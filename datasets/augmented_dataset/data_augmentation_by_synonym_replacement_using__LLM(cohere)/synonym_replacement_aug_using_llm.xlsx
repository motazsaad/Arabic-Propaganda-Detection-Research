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072" tabRatio="500" activeTab="1"/>
  </bookViews>
  <sheets>
    <sheet name="detailes" sheetId="1" r:id="rId1"/>
    <sheet name="summary" sheetId="2" r:id="rId2"/>
  </sheets>
  <definedNames>
    <definedName name="_xlnm._FilterDatabase" localSheetId="0" hidden="1">detailes!$A$1:$M$4738</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6" i="2" l="1"/>
  <c r="H678" i="1"/>
  <c r="K678" i="1"/>
  <c r="H679" i="1"/>
  <c r="K679" i="1"/>
  <c r="M679" i="1"/>
  <c r="H680" i="1"/>
  <c r="K680" i="1"/>
  <c r="M680" i="1"/>
  <c r="H746" i="1"/>
  <c r="K746" i="1"/>
  <c r="H747" i="1"/>
  <c r="K747" i="1"/>
  <c r="M747" i="1"/>
  <c r="H748" i="1"/>
  <c r="K748" i="1"/>
  <c r="M748" i="1"/>
  <c r="H969" i="1"/>
  <c r="K969" i="1"/>
  <c r="H970" i="1"/>
  <c r="K970" i="1"/>
  <c r="M970" i="1"/>
  <c r="H971" i="1"/>
  <c r="K971" i="1"/>
  <c r="M971" i="1"/>
  <c r="H972" i="1"/>
  <c r="K972" i="1"/>
  <c r="M972" i="1"/>
  <c r="H973" i="1"/>
  <c r="K973" i="1"/>
  <c r="M973" i="1"/>
  <c r="H974" i="1"/>
  <c r="K974" i="1"/>
  <c r="M974" i="1"/>
  <c r="H1414" i="1"/>
  <c r="K1414" i="1"/>
  <c r="H1415" i="1"/>
  <c r="K1415" i="1"/>
  <c r="M1415" i="1"/>
  <c r="H1608" i="1"/>
  <c r="K1608" i="1"/>
  <c r="H1609" i="1"/>
  <c r="K1609" i="1"/>
  <c r="M1609" i="1"/>
  <c r="H1610" i="1"/>
  <c r="K1610" i="1"/>
  <c r="M1610" i="1"/>
  <c r="H1611" i="1"/>
  <c r="K1611" i="1"/>
  <c r="M1611" i="1"/>
  <c r="H1612" i="1"/>
  <c r="K1612" i="1"/>
  <c r="M1612" i="1"/>
  <c r="H1613" i="1"/>
  <c r="K1613" i="1"/>
  <c r="M1613" i="1"/>
  <c r="H1614" i="1"/>
  <c r="K1614" i="1"/>
  <c r="M1614" i="1"/>
  <c r="H1615" i="1"/>
  <c r="K1615" i="1"/>
  <c r="M1615" i="1"/>
  <c r="H1616" i="1"/>
  <c r="K1616" i="1"/>
  <c r="M1616" i="1"/>
  <c r="H2652" i="1"/>
  <c r="K2652" i="1"/>
  <c r="H2653" i="1"/>
  <c r="K2653" i="1"/>
  <c r="M2653" i="1"/>
  <c r="H2654" i="1"/>
  <c r="K2654" i="1"/>
  <c r="M2654" i="1"/>
  <c r="H2655" i="1"/>
  <c r="K2655" i="1"/>
  <c r="M2655" i="1"/>
  <c r="H2656" i="1"/>
  <c r="K2656" i="1"/>
  <c r="M2656" i="1"/>
  <c r="H2657" i="1"/>
  <c r="K2657" i="1"/>
  <c r="M2657" i="1"/>
  <c r="H2658" i="1"/>
  <c r="K2658" i="1"/>
  <c r="M2658" i="1"/>
  <c r="H2659" i="1"/>
  <c r="K2659" i="1"/>
  <c r="M2659" i="1"/>
  <c r="H2660" i="1"/>
  <c r="K2660" i="1"/>
  <c r="M2660" i="1"/>
  <c r="H2661" i="1"/>
  <c r="K2661" i="1"/>
  <c r="M2661" i="1"/>
  <c r="H2662" i="1"/>
  <c r="K2662" i="1"/>
  <c r="M2662" i="1"/>
  <c r="H2663" i="1"/>
  <c r="K2663" i="1"/>
  <c r="M2663" i="1"/>
  <c r="H2882" i="1"/>
  <c r="K2882" i="1"/>
  <c r="H2883" i="1"/>
  <c r="K2883" i="1"/>
  <c r="M2883" i="1"/>
  <c r="H2884" i="1"/>
  <c r="K2884" i="1"/>
  <c r="M2884" i="1"/>
  <c r="H2885" i="1"/>
  <c r="K2885" i="1"/>
  <c r="M2885" i="1"/>
  <c r="H2886" i="1"/>
  <c r="K2886" i="1"/>
  <c r="M2886" i="1"/>
  <c r="H2887" i="1"/>
  <c r="K2887" i="1"/>
  <c r="M2887" i="1"/>
  <c r="H2888" i="1"/>
  <c r="K2888" i="1"/>
  <c r="M2888" i="1"/>
  <c r="H2889" i="1"/>
  <c r="K2889" i="1"/>
  <c r="M2889" i="1"/>
  <c r="H2890" i="1"/>
  <c r="K2890" i="1"/>
  <c r="M2890" i="1"/>
  <c r="H2891" i="1"/>
  <c r="K2891" i="1"/>
  <c r="M2891" i="1"/>
  <c r="H2892" i="1"/>
  <c r="K2892" i="1"/>
  <c r="M2892" i="1"/>
  <c r="H2893" i="1"/>
  <c r="K2893" i="1"/>
  <c r="M2893" i="1"/>
  <c r="H2894" i="1"/>
  <c r="K2894" i="1"/>
  <c r="M2894" i="1"/>
  <c r="H2895" i="1"/>
  <c r="K2895" i="1"/>
  <c r="M2895" i="1"/>
  <c r="H2896" i="1"/>
  <c r="K2896" i="1"/>
  <c r="M2896" i="1"/>
  <c r="H2897" i="1"/>
  <c r="K2897" i="1"/>
  <c r="M2897" i="1"/>
  <c r="H2898" i="1"/>
  <c r="K2898" i="1"/>
  <c r="M2898" i="1"/>
  <c r="H2899" i="1"/>
  <c r="K2899" i="1"/>
  <c r="M2899" i="1"/>
  <c r="H2900" i="1"/>
  <c r="K2900" i="1"/>
  <c r="M2900" i="1"/>
  <c r="H2951" i="1"/>
  <c r="K2951" i="1"/>
  <c r="H2952" i="1"/>
  <c r="K2952" i="1"/>
  <c r="M2952" i="1"/>
  <c r="H2957" i="1"/>
  <c r="K2957" i="1"/>
  <c r="M2957" i="1"/>
  <c r="H2958" i="1"/>
  <c r="K2958" i="1"/>
  <c r="M2958" i="1"/>
  <c r="H2960" i="1"/>
  <c r="K2960" i="1"/>
  <c r="M2960" i="1"/>
  <c r="H2961" i="1"/>
  <c r="K2961" i="1"/>
  <c r="M2961" i="1"/>
  <c r="H2967" i="1"/>
  <c r="K2967" i="1"/>
  <c r="M2967" i="1"/>
  <c r="H2968" i="1"/>
  <c r="K2968" i="1"/>
  <c r="M2968" i="1"/>
  <c r="H2972" i="1"/>
  <c r="K2972" i="1"/>
  <c r="M2972" i="1"/>
  <c r="H2973" i="1"/>
  <c r="K2973" i="1"/>
  <c r="M2973"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3" i="1"/>
  <c r="H2954" i="1"/>
  <c r="H2955" i="1"/>
  <c r="H2956" i="1"/>
  <c r="H2959" i="1"/>
  <c r="H2962" i="1"/>
  <c r="H2963" i="1"/>
  <c r="H2964" i="1"/>
  <c r="H2965" i="1"/>
  <c r="H2966" i="1"/>
  <c r="H2969" i="1"/>
  <c r="H2970" i="1"/>
  <c r="H2971"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M4734" i="1"/>
  <c r="L4734" i="1"/>
  <c r="K4734" i="1"/>
  <c r="M4733" i="1"/>
  <c r="L4733" i="1"/>
  <c r="K4733" i="1"/>
  <c r="M4732" i="1"/>
  <c r="L4732" i="1"/>
  <c r="K4732" i="1"/>
  <c r="M4731" i="1"/>
  <c r="L4731" i="1"/>
  <c r="K4731" i="1"/>
  <c r="M4730" i="1"/>
  <c r="L4730" i="1"/>
  <c r="K4730" i="1"/>
  <c r="M4729" i="1"/>
  <c r="L4729" i="1"/>
  <c r="K4729" i="1"/>
  <c r="M4728" i="1"/>
  <c r="L4728" i="1"/>
  <c r="K4728" i="1"/>
  <c r="M4727" i="1"/>
  <c r="L4727" i="1"/>
  <c r="K4727" i="1"/>
  <c r="M4726" i="1"/>
  <c r="L4726" i="1"/>
  <c r="K4726" i="1"/>
  <c r="M4725" i="1"/>
  <c r="L4725" i="1"/>
  <c r="K4725" i="1"/>
  <c r="M4724" i="1"/>
  <c r="L4724" i="1"/>
  <c r="K4724" i="1"/>
  <c r="M4723" i="1"/>
  <c r="L4723" i="1"/>
  <c r="K4723" i="1"/>
  <c r="M4722" i="1"/>
  <c r="L4722" i="1"/>
  <c r="K4722" i="1"/>
  <c r="M4721" i="1"/>
  <c r="L4721" i="1"/>
  <c r="K4721" i="1"/>
  <c r="M4720" i="1"/>
  <c r="L4720" i="1"/>
  <c r="K4720" i="1"/>
  <c r="M4719" i="1"/>
  <c r="L4719" i="1"/>
  <c r="K4719" i="1"/>
  <c r="M4718" i="1"/>
  <c r="L4718" i="1"/>
  <c r="K4718" i="1"/>
  <c r="M4717" i="1"/>
  <c r="L4717" i="1"/>
  <c r="K4717" i="1"/>
  <c r="M4716" i="1"/>
  <c r="L4716" i="1"/>
  <c r="K4716" i="1"/>
  <c r="M4715" i="1"/>
  <c r="L4715" i="1"/>
  <c r="K4715" i="1"/>
  <c r="M4714" i="1"/>
  <c r="L4714" i="1"/>
  <c r="K4714" i="1"/>
  <c r="M4713" i="1"/>
  <c r="L4713" i="1"/>
  <c r="K4713" i="1"/>
  <c r="M4712" i="1"/>
  <c r="L4712" i="1"/>
  <c r="K4712" i="1"/>
  <c r="M4711" i="1"/>
  <c r="L4711" i="1"/>
  <c r="K4711" i="1"/>
  <c r="M4710" i="1"/>
  <c r="L4710" i="1"/>
  <c r="K4710" i="1"/>
  <c r="M4709" i="1"/>
  <c r="L4709" i="1"/>
  <c r="K4709" i="1"/>
  <c r="M4708" i="1"/>
  <c r="L4708" i="1"/>
  <c r="K4708" i="1"/>
  <c r="M4707" i="1"/>
  <c r="L4707" i="1"/>
  <c r="K4707" i="1"/>
  <c r="M4706" i="1"/>
  <c r="L4706" i="1"/>
  <c r="K4706" i="1"/>
  <c r="M4705" i="1"/>
  <c r="L4705" i="1"/>
  <c r="K4705" i="1"/>
  <c r="M4704" i="1"/>
  <c r="L4704" i="1"/>
  <c r="K4704" i="1"/>
  <c r="M4703" i="1"/>
  <c r="L4703" i="1"/>
  <c r="K4703" i="1"/>
  <c r="M4702" i="1"/>
  <c r="L4702" i="1"/>
  <c r="K4702" i="1"/>
  <c r="M4701" i="1"/>
  <c r="L4701" i="1"/>
  <c r="K4701" i="1"/>
  <c r="M4700" i="1"/>
  <c r="L4700" i="1"/>
  <c r="K4700" i="1"/>
  <c r="M4699" i="1"/>
  <c r="L4699" i="1"/>
  <c r="K4699" i="1"/>
  <c r="M4698" i="1"/>
  <c r="L4698" i="1"/>
  <c r="K4698" i="1"/>
  <c r="M4697" i="1"/>
  <c r="L4697" i="1"/>
  <c r="K4697" i="1"/>
  <c r="M4696" i="1"/>
  <c r="L4696" i="1"/>
  <c r="K4696" i="1"/>
  <c r="M4695" i="1"/>
  <c r="L4695" i="1"/>
  <c r="K4695" i="1"/>
  <c r="M4694" i="1"/>
  <c r="L4694" i="1"/>
  <c r="K4694" i="1"/>
  <c r="M4693" i="1"/>
  <c r="L4693" i="1"/>
  <c r="K4693" i="1"/>
  <c r="M4692" i="1"/>
  <c r="L4692" i="1"/>
  <c r="K4692" i="1"/>
  <c r="M4691" i="1"/>
  <c r="L4691" i="1"/>
  <c r="K4691" i="1"/>
  <c r="M4690" i="1"/>
  <c r="L4690" i="1"/>
  <c r="K4690" i="1"/>
  <c r="M4689" i="1"/>
  <c r="L4689" i="1"/>
  <c r="K4689" i="1"/>
  <c r="M4688" i="1"/>
  <c r="L4688" i="1"/>
  <c r="K4688" i="1"/>
  <c r="M4687" i="1"/>
  <c r="L4687" i="1"/>
  <c r="K4687" i="1"/>
  <c r="M4686" i="1"/>
  <c r="L4686" i="1"/>
  <c r="K4686" i="1"/>
  <c r="M4685" i="1"/>
  <c r="L4685" i="1"/>
  <c r="K4685" i="1"/>
  <c r="M4684" i="1"/>
  <c r="L4684" i="1"/>
  <c r="K4684" i="1"/>
  <c r="M4683" i="1"/>
  <c r="L4683" i="1"/>
  <c r="K4683" i="1"/>
  <c r="M4682" i="1"/>
  <c r="L4682" i="1"/>
  <c r="K4682" i="1"/>
  <c r="M4681" i="1"/>
  <c r="L4681" i="1"/>
  <c r="K4681" i="1"/>
  <c r="M4680" i="1"/>
  <c r="L4680" i="1"/>
  <c r="K4680" i="1"/>
  <c r="M4679" i="1"/>
  <c r="L4679" i="1"/>
  <c r="K4679" i="1"/>
  <c r="M4678" i="1"/>
  <c r="L4678" i="1"/>
  <c r="K4678" i="1"/>
  <c r="M4677" i="1"/>
  <c r="L4677" i="1"/>
  <c r="K4677" i="1"/>
  <c r="M4676" i="1"/>
  <c r="L4676" i="1"/>
  <c r="K4676" i="1"/>
  <c r="M4675" i="1"/>
  <c r="L4675" i="1"/>
  <c r="K4675" i="1"/>
  <c r="M4674" i="1"/>
  <c r="L4674" i="1"/>
  <c r="K4674" i="1"/>
  <c r="M4673" i="1"/>
  <c r="L4673" i="1"/>
  <c r="K4673" i="1"/>
  <c r="M4672" i="1"/>
  <c r="L4672" i="1"/>
  <c r="K4672" i="1"/>
  <c r="M4671" i="1"/>
  <c r="L4671" i="1"/>
  <c r="K4671" i="1"/>
  <c r="M4670" i="1"/>
  <c r="L4670" i="1"/>
  <c r="K4670" i="1"/>
  <c r="M4669" i="1"/>
  <c r="L4669" i="1"/>
  <c r="K4669" i="1"/>
  <c r="M4668" i="1"/>
  <c r="L4668" i="1"/>
  <c r="K4668" i="1"/>
  <c r="M4667" i="1"/>
  <c r="L4667" i="1"/>
  <c r="K4667" i="1"/>
  <c r="M4666" i="1"/>
  <c r="L4666" i="1"/>
  <c r="K4666" i="1"/>
  <c r="M4665" i="1"/>
  <c r="L4665" i="1"/>
  <c r="K4665" i="1"/>
  <c r="M4664" i="1"/>
  <c r="L4664" i="1"/>
  <c r="K4664" i="1"/>
  <c r="M4663" i="1"/>
  <c r="L4663" i="1"/>
  <c r="K4663" i="1"/>
  <c r="M4662" i="1"/>
  <c r="L4662" i="1"/>
  <c r="K4662" i="1"/>
  <c r="M4661" i="1"/>
  <c r="L4661" i="1"/>
  <c r="K4661" i="1"/>
  <c r="M4660" i="1"/>
  <c r="L4660" i="1"/>
  <c r="K4660" i="1"/>
  <c r="M4659" i="1"/>
  <c r="L4659" i="1"/>
  <c r="K4659" i="1"/>
  <c r="M4658" i="1"/>
  <c r="L4658" i="1"/>
  <c r="K4658" i="1"/>
  <c r="M4657" i="1"/>
  <c r="L4657" i="1"/>
  <c r="K4657" i="1"/>
  <c r="M4656" i="1"/>
  <c r="L4656" i="1"/>
  <c r="K4656" i="1"/>
  <c r="M4655" i="1"/>
  <c r="L4655" i="1"/>
  <c r="K4655" i="1"/>
  <c r="M4654" i="1"/>
  <c r="L4654" i="1"/>
  <c r="K4654" i="1"/>
  <c r="M4653" i="1"/>
  <c r="L4653" i="1"/>
  <c r="K4653" i="1"/>
  <c r="M4652" i="1"/>
  <c r="L4652" i="1"/>
  <c r="K4652" i="1"/>
  <c r="M4651" i="1"/>
  <c r="L4651" i="1"/>
  <c r="K4651" i="1"/>
  <c r="M4650" i="1"/>
  <c r="L4650" i="1"/>
  <c r="K4650" i="1"/>
  <c r="M4649" i="1"/>
  <c r="L4649" i="1"/>
  <c r="K4649" i="1"/>
  <c r="M4648" i="1"/>
  <c r="L4648" i="1"/>
  <c r="K4648" i="1"/>
  <c r="M4647" i="1"/>
  <c r="L4647" i="1"/>
  <c r="K4647" i="1"/>
  <c r="M4646" i="1"/>
  <c r="L4646" i="1"/>
  <c r="K4646" i="1"/>
  <c r="M4645" i="1"/>
  <c r="L4645" i="1"/>
  <c r="K4645" i="1"/>
  <c r="M4644" i="1"/>
  <c r="L4644" i="1"/>
  <c r="K4644" i="1"/>
  <c r="M4643" i="1"/>
  <c r="L4643" i="1"/>
  <c r="K4643" i="1"/>
  <c r="M4642" i="1"/>
  <c r="L4642" i="1"/>
  <c r="K4642" i="1"/>
  <c r="M4641" i="1"/>
  <c r="L4641" i="1"/>
  <c r="K4641" i="1"/>
  <c r="M4640" i="1"/>
  <c r="L4640" i="1"/>
  <c r="K4640" i="1"/>
  <c r="M4639" i="1"/>
  <c r="L4639" i="1"/>
  <c r="K4639" i="1"/>
  <c r="M4638" i="1"/>
  <c r="L4638" i="1"/>
  <c r="K4638" i="1"/>
  <c r="M4637" i="1"/>
  <c r="L4637" i="1"/>
  <c r="K4637" i="1"/>
  <c r="M4636" i="1"/>
  <c r="L4636" i="1"/>
  <c r="K4636" i="1"/>
  <c r="M4635" i="1"/>
  <c r="L4635" i="1"/>
  <c r="K4635" i="1"/>
  <c r="M4634" i="1"/>
  <c r="L4634" i="1"/>
  <c r="K4634" i="1"/>
  <c r="M4633" i="1"/>
  <c r="L4633" i="1"/>
  <c r="K4633" i="1"/>
  <c r="M4632" i="1"/>
  <c r="L4632" i="1"/>
  <c r="K4632" i="1"/>
  <c r="M4631" i="1"/>
  <c r="L4631" i="1"/>
  <c r="K4631" i="1"/>
  <c r="M4630" i="1"/>
  <c r="L4630" i="1"/>
  <c r="K4630" i="1"/>
  <c r="M4629" i="1"/>
  <c r="L4629" i="1"/>
  <c r="K4629" i="1"/>
  <c r="M4628" i="1"/>
  <c r="L4628" i="1"/>
  <c r="K4628" i="1"/>
  <c r="M4627" i="1"/>
  <c r="L4627" i="1"/>
  <c r="K4627" i="1"/>
  <c r="M4626" i="1"/>
  <c r="L4626" i="1"/>
  <c r="K4626" i="1"/>
  <c r="M4625" i="1"/>
  <c r="L4625" i="1"/>
  <c r="K4625" i="1"/>
  <c r="M4624" i="1"/>
  <c r="L4624" i="1"/>
  <c r="K4624" i="1"/>
  <c r="M4623" i="1"/>
  <c r="L4623" i="1"/>
  <c r="K4623" i="1"/>
  <c r="M4622" i="1"/>
  <c r="L4622" i="1"/>
  <c r="K4622" i="1"/>
  <c r="M4621" i="1"/>
  <c r="L4621" i="1"/>
  <c r="K4621" i="1"/>
  <c r="M4620" i="1"/>
  <c r="L4620" i="1"/>
  <c r="K4620" i="1"/>
  <c r="M4619" i="1"/>
  <c r="L4619" i="1"/>
  <c r="K4619" i="1"/>
  <c r="M4618" i="1"/>
  <c r="L4618" i="1"/>
  <c r="K4618" i="1"/>
  <c r="M4617" i="1"/>
  <c r="L4617" i="1"/>
  <c r="K4617" i="1"/>
  <c r="M4616" i="1"/>
  <c r="L4616" i="1"/>
  <c r="K4616" i="1"/>
  <c r="M4615" i="1"/>
  <c r="L4615" i="1"/>
  <c r="K4615" i="1"/>
  <c r="M4614" i="1"/>
  <c r="L4614" i="1"/>
  <c r="K4614" i="1"/>
  <c r="M4613" i="1"/>
  <c r="L4613" i="1"/>
  <c r="K4613" i="1"/>
  <c r="M4612" i="1"/>
  <c r="L4612" i="1"/>
  <c r="K4612" i="1"/>
  <c r="M4611" i="1"/>
  <c r="L4611" i="1"/>
  <c r="K4611" i="1"/>
  <c r="M4610" i="1"/>
  <c r="L4610" i="1"/>
  <c r="K4610" i="1"/>
  <c r="M4609" i="1"/>
  <c r="L4609" i="1"/>
  <c r="K4609" i="1"/>
  <c r="M4608" i="1"/>
  <c r="L4608" i="1"/>
  <c r="K4608" i="1"/>
  <c r="M4607" i="1"/>
  <c r="L4607" i="1"/>
  <c r="K4607" i="1"/>
  <c r="M4606" i="1"/>
  <c r="L4606" i="1"/>
  <c r="K4606" i="1"/>
  <c r="M4605" i="1"/>
  <c r="L4605" i="1"/>
  <c r="K4605" i="1"/>
  <c r="M4604" i="1"/>
  <c r="L4604" i="1"/>
  <c r="K4604" i="1"/>
  <c r="M4603" i="1"/>
  <c r="L4603" i="1"/>
  <c r="K4603" i="1"/>
  <c r="M4602" i="1"/>
  <c r="L4602" i="1"/>
  <c r="K4602" i="1"/>
  <c r="M4601" i="1"/>
  <c r="L4601" i="1"/>
  <c r="K4601" i="1"/>
  <c r="M4600" i="1"/>
  <c r="L4600" i="1"/>
  <c r="K4600" i="1"/>
  <c r="M4599" i="1"/>
  <c r="L4599" i="1"/>
  <c r="K4599" i="1"/>
  <c r="M4598" i="1"/>
  <c r="L4598" i="1"/>
  <c r="K4598" i="1"/>
  <c r="M4597" i="1"/>
  <c r="L4597" i="1"/>
  <c r="K4597" i="1"/>
  <c r="M4596" i="1"/>
  <c r="L4596" i="1"/>
  <c r="K4596" i="1"/>
  <c r="M4595" i="1"/>
  <c r="L4595" i="1"/>
  <c r="K4595" i="1"/>
  <c r="M4594" i="1"/>
  <c r="L4594" i="1"/>
  <c r="K4594" i="1"/>
  <c r="M4593" i="1"/>
  <c r="L4593" i="1"/>
  <c r="K4593" i="1"/>
  <c r="M4592" i="1"/>
  <c r="L4592" i="1"/>
  <c r="K4592" i="1"/>
  <c r="M4591" i="1"/>
  <c r="L4591" i="1"/>
  <c r="K4591" i="1"/>
  <c r="M4590" i="1"/>
  <c r="L4590" i="1"/>
  <c r="K4590" i="1"/>
  <c r="M4589" i="1"/>
  <c r="L4589" i="1"/>
  <c r="K4589" i="1"/>
  <c r="M4588" i="1"/>
  <c r="L4588" i="1"/>
  <c r="K4588" i="1"/>
  <c r="M4587" i="1"/>
  <c r="L4587" i="1"/>
  <c r="K4587" i="1"/>
  <c r="M4586" i="1"/>
  <c r="L4586" i="1"/>
  <c r="K4586" i="1"/>
  <c r="M4585" i="1"/>
  <c r="L4585" i="1"/>
  <c r="K4585" i="1"/>
  <c r="M4584" i="1"/>
  <c r="L4584" i="1"/>
  <c r="K4584" i="1"/>
  <c r="M4583" i="1"/>
  <c r="L4583" i="1"/>
  <c r="K4583" i="1"/>
  <c r="M4582" i="1"/>
  <c r="L4582" i="1"/>
  <c r="K4582" i="1"/>
  <c r="M4581" i="1"/>
  <c r="L4581" i="1"/>
  <c r="K4581" i="1"/>
  <c r="M4580" i="1"/>
  <c r="L4580" i="1"/>
  <c r="K4580" i="1"/>
  <c r="M4579" i="1"/>
  <c r="L4579" i="1"/>
  <c r="K4579" i="1"/>
  <c r="M4578" i="1"/>
  <c r="L4578" i="1"/>
  <c r="K4578" i="1"/>
  <c r="M4577" i="1"/>
  <c r="L4577" i="1"/>
  <c r="K4577" i="1"/>
  <c r="M4576" i="1"/>
  <c r="L4576" i="1"/>
  <c r="K4576" i="1"/>
  <c r="M4575" i="1"/>
  <c r="L4575" i="1"/>
  <c r="K4575" i="1"/>
  <c r="M4574" i="1"/>
  <c r="L4574" i="1"/>
  <c r="K4574" i="1"/>
  <c r="M4573" i="1"/>
  <c r="L4573" i="1"/>
  <c r="K4573" i="1"/>
  <c r="M4572" i="1"/>
  <c r="L4572" i="1"/>
  <c r="K4572" i="1"/>
  <c r="M4571" i="1"/>
  <c r="L4571" i="1"/>
  <c r="K4571" i="1"/>
  <c r="M4570" i="1"/>
  <c r="L4570" i="1"/>
  <c r="K4570" i="1"/>
  <c r="M4569" i="1"/>
  <c r="L4569" i="1"/>
  <c r="K4569" i="1"/>
  <c r="M4568" i="1"/>
  <c r="L4568" i="1"/>
  <c r="K4568" i="1"/>
  <c r="M4567" i="1"/>
  <c r="L4567" i="1"/>
  <c r="K4567" i="1"/>
  <c r="M4566" i="1"/>
  <c r="L4566" i="1"/>
  <c r="K4566" i="1"/>
  <c r="M4565" i="1"/>
  <c r="L4565" i="1"/>
  <c r="K4565" i="1"/>
  <c r="M4564" i="1"/>
  <c r="L4564" i="1"/>
  <c r="K4564" i="1"/>
  <c r="M4563" i="1"/>
  <c r="L4563" i="1"/>
  <c r="K4563" i="1"/>
  <c r="M4562" i="1"/>
  <c r="L4562" i="1"/>
  <c r="K4562" i="1"/>
  <c r="M4561" i="1"/>
  <c r="L4561" i="1"/>
  <c r="K4561" i="1"/>
  <c r="M4560" i="1"/>
  <c r="L4560" i="1"/>
  <c r="K4560" i="1"/>
  <c r="M4559" i="1"/>
  <c r="L4559" i="1"/>
  <c r="K4559" i="1"/>
  <c r="M4558" i="1"/>
  <c r="L4558" i="1"/>
  <c r="K4558" i="1"/>
  <c r="M4557" i="1"/>
  <c r="L4557" i="1"/>
  <c r="K4557" i="1"/>
  <c r="M4556" i="1"/>
  <c r="L4556" i="1"/>
  <c r="K4556" i="1"/>
  <c r="M4555" i="1"/>
  <c r="L4555" i="1"/>
  <c r="K4555" i="1"/>
  <c r="M4554" i="1"/>
  <c r="L4554" i="1"/>
  <c r="K4554" i="1"/>
  <c r="M4553" i="1"/>
  <c r="L4553" i="1"/>
  <c r="K4553" i="1"/>
  <c r="M4552" i="1"/>
  <c r="L4552" i="1"/>
  <c r="K4552" i="1"/>
  <c r="M4551" i="1"/>
  <c r="L4551" i="1"/>
  <c r="K4551" i="1"/>
  <c r="M4550" i="1"/>
  <c r="L4550" i="1"/>
  <c r="K4550" i="1"/>
  <c r="M4549" i="1"/>
  <c r="L4549" i="1"/>
  <c r="K4549" i="1"/>
  <c r="M4548" i="1"/>
  <c r="L4548" i="1"/>
  <c r="K4548" i="1"/>
  <c r="M4547" i="1"/>
  <c r="L4547" i="1"/>
  <c r="K4547" i="1"/>
  <c r="M4546" i="1"/>
  <c r="L4546" i="1"/>
  <c r="K4546" i="1"/>
  <c r="M4545" i="1"/>
  <c r="L4545" i="1"/>
  <c r="K4545" i="1"/>
  <c r="M4544" i="1"/>
  <c r="L4544" i="1"/>
  <c r="K4544" i="1"/>
  <c r="M4543" i="1"/>
  <c r="L4543" i="1"/>
  <c r="K4543" i="1"/>
  <c r="M4542" i="1"/>
  <c r="L4542" i="1"/>
  <c r="K4542" i="1"/>
  <c r="M4541" i="1"/>
  <c r="L4541" i="1"/>
  <c r="K4541" i="1"/>
  <c r="M4540" i="1"/>
  <c r="L4540" i="1"/>
  <c r="K4540" i="1"/>
  <c r="M4539" i="1"/>
  <c r="L4539" i="1"/>
  <c r="K4539" i="1"/>
  <c r="M4538" i="1"/>
  <c r="L4538" i="1"/>
  <c r="K4538" i="1"/>
  <c r="M4537" i="1"/>
  <c r="L4537" i="1"/>
  <c r="K4537" i="1"/>
  <c r="M4536" i="1"/>
  <c r="L4536" i="1"/>
  <c r="K4536" i="1"/>
  <c r="M4535" i="1"/>
  <c r="L4535" i="1"/>
  <c r="K4535" i="1"/>
  <c r="M4534" i="1"/>
  <c r="L4534" i="1"/>
  <c r="K4534" i="1"/>
  <c r="M4533" i="1"/>
  <c r="L4533" i="1"/>
  <c r="K4533" i="1"/>
  <c r="M4532" i="1"/>
  <c r="L4532" i="1"/>
  <c r="K4532" i="1"/>
  <c r="M4531" i="1"/>
  <c r="L4531" i="1"/>
  <c r="K4531" i="1"/>
  <c r="M4530" i="1"/>
  <c r="L4530" i="1"/>
  <c r="K4530" i="1"/>
  <c r="M4529" i="1"/>
  <c r="L4529" i="1"/>
  <c r="K4529" i="1"/>
  <c r="M4528" i="1"/>
  <c r="L4528" i="1"/>
  <c r="K4528" i="1"/>
  <c r="M4527" i="1"/>
  <c r="L4527" i="1"/>
  <c r="K4527" i="1"/>
  <c r="M4526" i="1"/>
  <c r="L4526" i="1"/>
  <c r="K4526" i="1"/>
  <c r="M4525" i="1"/>
  <c r="L4525" i="1"/>
  <c r="K4525" i="1"/>
  <c r="M4524" i="1"/>
  <c r="L4524" i="1"/>
  <c r="K4524" i="1"/>
  <c r="M4523" i="1"/>
  <c r="L4523" i="1"/>
  <c r="K4523" i="1"/>
  <c r="M4522" i="1"/>
  <c r="L4522" i="1"/>
  <c r="K4522" i="1"/>
  <c r="M4521" i="1"/>
  <c r="L4521" i="1"/>
  <c r="K4521" i="1"/>
  <c r="M4520" i="1"/>
  <c r="L4520" i="1"/>
  <c r="K4520" i="1"/>
  <c r="M4519" i="1"/>
  <c r="L4519" i="1"/>
  <c r="K4519" i="1"/>
  <c r="M4518" i="1"/>
  <c r="L4518" i="1"/>
  <c r="K4518" i="1"/>
  <c r="M4517" i="1"/>
  <c r="L4517" i="1"/>
  <c r="K4517" i="1"/>
  <c r="M4516" i="1"/>
  <c r="L4516" i="1"/>
  <c r="K4516" i="1"/>
  <c r="M4515" i="1"/>
  <c r="L4515" i="1"/>
  <c r="K4515" i="1"/>
  <c r="M4514" i="1"/>
  <c r="L4514" i="1"/>
  <c r="K4514" i="1"/>
  <c r="M4513" i="1"/>
  <c r="L4513" i="1"/>
  <c r="K4513" i="1"/>
  <c r="M4512" i="1"/>
  <c r="L4512" i="1"/>
  <c r="K4512" i="1"/>
  <c r="M4511" i="1"/>
  <c r="L4511" i="1"/>
  <c r="K4511" i="1"/>
  <c r="M4510" i="1"/>
  <c r="L4510" i="1"/>
  <c r="K4510" i="1"/>
  <c r="M4509" i="1"/>
  <c r="L4509" i="1"/>
  <c r="K4509" i="1"/>
  <c r="M4508" i="1"/>
  <c r="L4508" i="1"/>
  <c r="K4508" i="1"/>
  <c r="M4507" i="1"/>
  <c r="L4507" i="1"/>
  <c r="K4507" i="1"/>
  <c r="M4506" i="1"/>
  <c r="L4506" i="1"/>
  <c r="K4506" i="1"/>
  <c r="M4505" i="1"/>
  <c r="L4505" i="1"/>
  <c r="K4505" i="1"/>
  <c r="M4504" i="1"/>
  <c r="L4504" i="1"/>
  <c r="K4504" i="1"/>
  <c r="M4503" i="1"/>
  <c r="L4503" i="1"/>
  <c r="K4503" i="1"/>
  <c r="M4502" i="1"/>
  <c r="L4502" i="1"/>
  <c r="K4502" i="1"/>
  <c r="M4501" i="1"/>
  <c r="L4501" i="1"/>
  <c r="K4501" i="1"/>
  <c r="M4500" i="1"/>
  <c r="L4500" i="1"/>
  <c r="K4500" i="1"/>
  <c r="M4499" i="1"/>
  <c r="L4499" i="1"/>
  <c r="K4499" i="1"/>
  <c r="M4498" i="1"/>
  <c r="L4498" i="1"/>
  <c r="K4498" i="1"/>
  <c r="M4497" i="1"/>
  <c r="L4497" i="1"/>
  <c r="K4497" i="1"/>
  <c r="M4496" i="1"/>
  <c r="L4496" i="1"/>
  <c r="K4496" i="1"/>
  <c r="M4495" i="1"/>
  <c r="L4495" i="1"/>
  <c r="K4495" i="1"/>
  <c r="M4494" i="1"/>
  <c r="L4494" i="1"/>
  <c r="K4494" i="1"/>
  <c r="M4493" i="1"/>
  <c r="L4493" i="1"/>
  <c r="K4493" i="1"/>
  <c r="M4492" i="1"/>
  <c r="L4492" i="1"/>
  <c r="K4492" i="1"/>
  <c r="M4491" i="1"/>
  <c r="L4491" i="1"/>
  <c r="K4491" i="1"/>
  <c r="M4490" i="1"/>
  <c r="L4490" i="1"/>
  <c r="K4490" i="1"/>
  <c r="M4489" i="1"/>
  <c r="L4489" i="1"/>
  <c r="K4489" i="1"/>
  <c r="M4488" i="1"/>
  <c r="L4488" i="1"/>
  <c r="K4488" i="1"/>
  <c r="M4487" i="1"/>
  <c r="L4487" i="1"/>
  <c r="K4487" i="1"/>
  <c r="M4486" i="1"/>
  <c r="L4486" i="1"/>
  <c r="K4486" i="1"/>
  <c r="M4485" i="1"/>
  <c r="L4485" i="1"/>
  <c r="K4485" i="1"/>
  <c r="M4484" i="1"/>
  <c r="L4484" i="1"/>
  <c r="K4484" i="1"/>
  <c r="M4483" i="1"/>
  <c r="L4483" i="1"/>
  <c r="K4483" i="1"/>
  <c r="M4482" i="1"/>
  <c r="L4482" i="1"/>
  <c r="K4482" i="1"/>
  <c r="M4481" i="1"/>
  <c r="L4481" i="1"/>
  <c r="K4481" i="1"/>
  <c r="M4480" i="1"/>
  <c r="L4480" i="1"/>
  <c r="K4480" i="1"/>
  <c r="M4479" i="1"/>
  <c r="L4479" i="1"/>
  <c r="K4479" i="1"/>
  <c r="M4478" i="1"/>
  <c r="L4478" i="1"/>
  <c r="K4478" i="1"/>
  <c r="M4477" i="1"/>
  <c r="L4477" i="1"/>
  <c r="K4477" i="1"/>
  <c r="M4476" i="1"/>
  <c r="L4476" i="1"/>
  <c r="K4476" i="1"/>
  <c r="M4475" i="1"/>
  <c r="L4475" i="1"/>
  <c r="K4475" i="1"/>
  <c r="M4474" i="1"/>
  <c r="L4474" i="1"/>
  <c r="K4474" i="1"/>
  <c r="M4473" i="1"/>
  <c r="L4473" i="1"/>
  <c r="K4473" i="1"/>
  <c r="M4472" i="1"/>
  <c r="L4472" i="1"/>
  <c r="K4472" i="1"/>
  <c r="M4471" i="1"/>
  <c r="L4471" i="1"/>
  <c r="K4471" i="1"/>
  <c r="M4470" i="1"/>
  <c r="L4470" i="1"/>
  <c r="K4470" i="1"/>
  <c r="M4469" i="1"/>
  <c r="L4469" i="1"/>
  <c r="K4469" i="1"/>
  <c r="M4468" i="1"/>
  <c r="L4468" i="1"/>
  <c r="K4468" i="1"/>
  <c r="M4467" i="1"/>
  <c r="L4467" i="1"/>
  <c r="K4467" i="1"/>
  <c r="M4466" i="1"/>
  <c r="L4466" i="1"/>
  <c r="K4466" i="1"/>
  <c r="M4465" i="1"/>
  <c r="L4465" i="1"/>
  <c r="K4465" i="1"/>
  <c r="M4464" i="1"/>
  <c r="L4464" i="1"/>
  <c r="K4464" i="1"/>
  <c r="M4463" i="1"/>
  <c r="L4463" i="1"/>
  <c r="K4463" i="1"/>
  <c r="M4462" i="1"/>
  <c r="L4462" i="1"/>
  <c r="K4462" i="1"/>
  <c r="M4461" i="1"/>
  <c r="L4461" i="1"/>
  <c r="K4461" i="1"/>
  <c r="M4460" i="1"/>
  <c r="L4460" i="1"/>
  <c r="K4460" i="1"/>
  <c r="M4459" i="1"/>
  <c r="L4459" i="1"/>
  <c r="K4459" i="1"/>
  <c r="M4458" i="1"/>
  <c r="L4458" i="1"/>
  <c r="K4458" i="1"/>
  <c r="M4457" i="1"/>
  <c r="L4457" i="1"/>
  <c r="K4457" i="1"/>
  <c r="M4456" i="1"/>
  <c r="L4456" i="1"/>
  <c r="K4456" i="1"/>
  <c r="M4455" i="1"/>
  <c r="L4455" i="1"/>
  <c r="K4455" i="1"/>
  <c r="M4454" i="1"/>
  <c r="L4454" i="1"/>
  <c r="K4454" i="1"/>
  <c r="M4453" i="1"/>
  <c r="L4453" i="1"/>
  <c r="K4453" i="1"/>
  <c r="M4452" i="1"/>
  <c r="L4452" i="1"/>
  <c r="K4452" i="1"/>
  <c r="M4451" i="1"/>
  <c r="L4451" i="1"/>
  <c r="K4451" i="1"/>
  <c r="M4450" i="1"/>
  <c r="L4450" i="1"/>
  <c r="K4450" i="1"/>
  <c r="M4449" i="1"/>
  <c r="L4449" i="1"/>
  <c r="K4449" i="1"/>
  <c r="M4448" i="1"/>
  <c r="L4448" i="1"/>
  <c r="K4448" i="1"/>
  <c r="M4447" i="1"/>
  <c r="L4447" i="1"/>
  <c r="K4447" i="1"/>
  <c r="M4446" i="1"/>
  <c r="L4446" i="1"/>
  <c r="K4446" i="1"/>
  <c r="M4445" i="1"/>
  <c r="L4445" i="1"/>
  <c r="K4445" i="1"/>
  <c r="M4444" i="1"/>
  <c r="L4444" i="1"/>
  <c r="K4444" i="1"/>
  <c r="M4443" i="1"/>
  <c r="L4443" i="1"/>
  <c r="K4443" i="1"/>
  <c r="M4442" i="1"/>
  <c r="L4442" i="1"/>
  <c r="K4442" i="1"/>
  <c r="M4441" i="1"/>
  <c r="L4441" i="1"/>
  <c r="K4441" i="1"/>
  <c r="M4440" i="1"/>
  <c r="L4440" i="1"/>
  <c r="K4440" i="1"/>
  <c r="M4439" i="1"/>
  <c r="L4439" i="1"/>
  <c r="K4439" i="1"/>
  <c r="M4438" i="1"/>
  <c r="L4438" i="1"/>
  <c r="K4438" i="1"/>
  <c r="M4437" i="1"/>
  <c r="L4437" i="1"/>
  <c r="K4437" i="1"/>
  <c r="M4436" i="1"/>
  <c r="L4436" i="1"/>
  <c r="K4436" i="1"/>
  <c r="M4435" i="1"/>
  <c r="L4435" i="1"/>
  <c r="K4435" i="1"/>
  <c r="M4434" i="1"/>
  <c r="L4434" i="1"/>
  <c r="K4434" i="1"/>
  <c r="M4433" i="1"/>
  <c r="L4433" i="1"/>
  <c r="K4433" i="1"/>
  <c r="M4432" i="1"/>
  <c r="L4432" i="1"/>
  <c r="K4432" i="1"/>
  <c r="M4431" i="1"/>
  <c r="L4431" i="1"/>
  <c r="K4431" i="1"/>
  <c r="M4430" i="1"/>
  <c r="L4430" i="1"/>
  <c r="K4430" i="1"/>
  <c r="M4429" i="1"/>
  <c r="L4429" i="1"/>
  <c r="K4429" i="1"/>
  <c r="M4428" i="1"/>
  <c r="L4428" i="1"/>
  <c r="K4428" i="1"/>
  <c r="M4427" i="1"/>
  <c r="L4427" i="1"/>
  <c r="K4427" i="1"/>
  <c r="M4426" i="1"/>
  <c r="L4426" i="1"/>
  <c r="K4426" i="1"/>
  <c r="M4425" i="1"/>
  <c r="L4425" i="1"/>
  <c r="K4425" i="1"/>
  <c r="M4424" i="1"/>
  <c r="L4424" i="1"/>
  <c r="K4424" i="1"/>
  <c r="M4423" i="1"/>
  <c r="L4423" i="1"/>
  <c r="K4423" i="1"/>
  <c r="M4422" i="1"/>
  <c r="L4422" i="1"/>
  <c r="K4422" i="1"/>
  <c r="M4421" i="1"/>
  <c r="L4421" i="1"/>
  <c r="K4421" i="1"/>
  <c r="M4420" i="1"/>
  <c r="L4420" i="1"/>
  <c r="K4420" i="1"/>
  <c r="M4419" i="1"/>
  <c r="L4419" i="1"/>
  <c r="K4419" i="1"/>
  <c r="M4418" i="1"/>
  <c r="L4418" i="1"/>
  <c r="K4418" i="1"/>
  <c r="M4417" i="1"/>
  <c r="L4417" i="1"/>
  <c r="K4417" i="1"/>
  <c r="M4416" i="1"/>
  <c r="L4416" i="1"/>
  <c r="K4416" i="1"/>
  <c r="M4415" i="1"/>
  <c r="L4415" i="1"/>
  <c r="K4415" i="1"/>
  <c r="M4414" i="1"/>
  <c r="L4414" i="1"/>
  <c r="K4414" i="1"/>
  <c r="M4413" i="1"/>
  <c r="L4413" i="1"/>
  <c r="K4413" i="1"/>
  <c r="M4412" i="1"/>
  <c r="L4412" i="1"/>
  <c r="K4412" i="1"/>
  <c r="M4411" i="1"/>
  <c r="L4411" i="1"/>
  <c r="K4411" i="1"/>
  <c r="M4410" i="1"/>
  <c r="L4410" i="1"/>
  <c r="K4410" i="1"/>
  <c r="M4409" i="1"/>
  <c r="L4409" i="1"/>
  <c r="K4409" i="1"/>
  <c r="M4408" i="1"/>
  <c r="L4408" i="1"/>
  <c r="K4408" i="1"/>
  <c r="M4407" i="1"/>
  <c r="L4407" i="1"/>
  <c r="K4407" i="1"/>
  <c r="M4406" i="1"/>
  <c r="L4406" i="1"/>
  <c r="K4406" i="1"/>
  <c r="M4405" i="1"/>
  <c r="L4405" i="1"/>
  <c r="K4405" i="1"/>
  <c r="M4404" i="1"/>
  <c r="L4404" i="1"/>
  <c r="K4404" i="1"/>
  <c r="M4403" i="1"/>
  <c r="L4403" i="1"/>
  <c r="K4403" i="1"/>
  <c r="M4402" i="1"/>
  <c r="L4402" i="1"/>
  <c r="K4402" i="1"/>
  <c r="M4401" i="1"/>
  <c r="L4401" i="1"/>
  <c r="K4401" i="1"/>
  <c r="M4400" i="1"/>
  <c r="L4400" i="1"/>
  <c r="K4400" i="1"/>
  <c r="M4399" i="1"/>
  <c r="L4399" i="1"/>
  <c r="K4399" i="1"/>
  <c r="M4398" i="1"/>
  <c r="L4398" i="1"/>
  <c r="K4398" i="1"/>
  <c r="M4397" i="1"/>
  <c r="L4397" i="1"/>
  <c r="K4397" i="1"/>
  <c r="M4396" i="1"/>
  <c r="L4396" i="1"/>
  <c r="K4396" i="1"/>
  <c r="M4395" i="1"/>
  <c r="L4395" i="1"/>
  <c r="K4395" i="1"/>
  <c r="M4394" i="1"/>
  <c r="L4394" i="1"/>
  <c r="K4394" i="1"/>
  <c r="M4393" i="1"/>
  <c r="L4393" i="1"/>
  <c r="K4393" i="1"/>
  <c r="M4392" i="1"/>
  <c r="L4392" i="1"/>
  <c r="K4392" i="1"/>
  <c r="M4391" i="1"/>
  <c r="L4391" i="1"/>
  <c r="K4391" i="1"/>
  <c r="M4390" i="1"/>
  <c r="L4390" i="1"/>
  <c r="K4390" i="1"/>
  <c r="M4389" i="1"/>
  <c r="L4389" i="1"/>
  <c r="K4389" i="1"/>
  <c r="M4388" i="1"/>
  <c r="L4388" i="1"/>
  <c r="K4388" i="1"/>
  <c r="M4387" i="1"/>
  <c r="L4387" i="1"/>
  <c r="K4387" i="1"/>
  <c r="M4386" i="1"/>
  <c r="L4386" i="1"/>
  <c r="K4386" i="1"/>
  <c r="M4385" i="1"/>
  <c r="L4385" i="1"/>
  <c r="K4385" i="1"/>
  <c r="M4384" i="1"/>
  <c r="L4384" i="1"/>
  <c r="K4384" i="1"/>
  <c r="M4383" i="1"/>
  <c r="L4383" i="1"/>
  <c r="K4383" i="1"/>
  <c r="M4382" i="1"/>
  <c r="L4382" i="1"/>
  <c r="K4382" i="1"/>
  <c r="M4381" i="1"/>
  <c r="L4381" i="1"/>
  <c r="K4381" i="1"/>
  <c r="M4380" i="1"/>
  <c r="L4380" i="1"/>
  <c r="K4380" i="1"/>
  <c r="M4379" i="1"/>
  <c r="L4379" i="1"/>
  <c r="K4379" i="1"/>
  <c r="M4378" i="1"/>
  <c r="L4378" i="1"/>
  <c r="K4378" i="1"/>
  <c r="M4377" i="1"/>
  <c r="L4377" i="1"/>
  <c r="K4377" i="1"/>
  <c r="M4376" i="1"/>
  <c r="L4376" i="1"/>
  <c r="K4376" i="1"/>
  <c r="M4375" i="1"/>
  <c r="L4375" i="1"/>
  <c r="K4375" i="1"/>
  <c r="M4374" i="1"/>
  <c r="L4374" i="1"/>
  <c r="K4374" i="1"/>
  <c r="M4373" i="1"/>
  <c r="L4373" i="1"/>
  <c r="K4373" i="1"/>
  <c r="M4372" i="1"/>
  <c r="L4372" i="1"/>
  <c r="K4372" i="1"/>
  <c r="M4371" i="1"/>
  <c r="L4371" i="1"/>
  <c r="K4371" i="1"/>
  <c r="M4370" i="1"/>
  <c r="L4370" i="1"/>
  <c r="K4370" i="1"/>
  <c r="M4369" i="1"/>
  <c r="L4369" i="1"/>
  <c r="K4369" i="1"/>
  <c r="M4368" i="1"/>
  <c r="L4368" i="1"/>
  <c r="K4368" i="1"/>
  <c r="M4367" i="1"/>
  <c r="L4367" i="1"/>
  <c r="K4367" i="1"/>
  <c r="M4366" i="1"/>
  <c r="L4366" i="1"/>
  <c r="K4366" i="1"/>
  <c r="M4365" i="1"/>
  <c r="L4365" i="1"/>
  <c r="K4365" i="1"/>
  <c r="M4364" i="1"/>
  <c r="L4364" i="1"/>
  <c r="K4364" i="1"/>
  <c r="M4363" i="1"/>
  <c r="L4363" i="1"/>
  <c r="K4363" i="1"/>
  <c r="M4362" i="1"/>
  <c r="L4362" i="1"/>
  <c r="K4362" i="1"/>
  <c r="M4361" i="1"/>
  <c r="L4361" i="1"/>
  <c r="K4361" i="1"/>
  <c r="M4360" i="1"/>
  <c r="L4360" i="1"/>
  <c r="K4360" i="1"/>
  <c r="M4359" i="1"/>
  <c r="L4359" i="1"/>
  <c r="K4359" i="1"/>
  <c r="M4358" i="1"/>
  <c r="L4358" i="1"/>
  <c r="K4358" i="1"/>
  <c r="M4357" i="1"/>
  <c r="L4357" i="1"/>
  <c r="K4357" i="1"/>
  <c r="M4356" i="1"/>
  <c r="L4356" i="1"/>
  <c r="K4356" i="1"/>
  <c r="M4355" i="1"/>
  <c r="L4355" i="1"/>
  <c r="K4355" i="1"/>
  <c r="M4354" i="1"/>
  <c r="L4354" i="1"/>
  <c r="K4354" i="1"/>
  <c r="M4353" i="1"/>
  <c r="L4353" i="1"/>
  <c r="K4353" i="1"/>
  <c r="M4352" i="1"/>
  <c r="L4352" i="1"/>
  <c r="K4352" i="1"/>
  <c r="M4351" i="1"/>
  <c r="L4351" i="1"/>
  <c r="K4351" i="1"/>
  <c r="M4350" i="1"/>
  <c r="L4350" i="1"/>
  <c r="K4350" i="1"/>
  <c r="M4349" i="1"/>
  <c r="L4349" i="1"/>
  <c r="K4349" i="1"/>
  <c r="M4348" i="1"/>
  <c r="L4348" i="1"/>
  <c r="K4348" i="1"/>
  <c r="M4347" i="1"/>
  <c r="L4347" i="1"/>
  <c r="K4347" i="1"/>
  <c r="M4346" i="1"/>
  <c r="L4346" i="1"/>
  <c r="K4346" i="1"/>
  <c r="M4345" i="1"/>
  <c r="L4345" i="1"/>
  <c r="K4345" i="1"/>
  <c r="M4344" i="1"/>
  <c r="L4344" i="1"/>
  <c r="K4344" i="1"/>
  <c r="M4343" i="1"/>
  <c r="L4343" i="1"/>
  <c r="K4343" i="1"/>
  <c r="M4342" i="1"/>
  <c r="L4342" i="1"/>
  <c r="K4342" i="1"/>
  <c r="M4341" i="1"/>
  <c r="L4341" i="1"/>
  <c r="K4341" i="1"/>
  <c r="M4340" i="1"/>
  <c r="L4340" i="1"/>
  <c r="K4340" i="1"/>
  <c r="M4339" i="1"/>
  <c r="L4339" i="1"/>
  <c r="K4339" i="1"/>
  <c r="M4338" i="1"/>
  <c r="L4338" i="1"/>
  <c r="K4338" i="1"/>
  <c r="M4337" i="1"/>
  <c r="L4337" i="1"/>
  <c r="K4337" i="1"/>
  <c r="M4336" i="1"/>
  <c r="L4336" i="1"/>
  <c r="K4336" i="1"/>
  <c r="M4335" i="1"/>
  <c r="L4335" i="1"/>
  <c r="K4335" i="1"/>
  <c r="M4334" i="1"/>
  <c r="L4334" i="1"/>
  <c r="K4334" i="1"/>
  <c r="M4333" i="1"/>
  <c r="L4333" i="1"/>
  <c r="K4333" i="1"/>
  <c r="M4332" i="1"/>
  <c r="L4332" i="1"/>
  <c r="K4332" i="1"/>
  <c r="M4331" i="1"/>
  <c r="L4331" i="1"/>
  <c r="K4331" i="1"/>
  <c r="M4330" i="1"/>
  <c r="L4330" i="1"/>
  <c r="K4330" i="1"/>
  <c r="M4329" i="1"/>
  <c r="L4329" i="1"/>
  <c r="K4329" i="1"/>
  <c r="M4328" i="1"/>
  <c r="L4328" i="1"/>
  <c r="K4328" i="1"/>
  <c r="M4327" i="1"/>
  <c r="L4327" i="1"/>
  <c r="K4327" i="1"/>
  <c r="M4326" i="1"/>
  <c r="L4326" i="1"/>
  <c r="K4326" i="1"/>
  <c r="M4325" i="1"/>
  <c r="L4325" i="1"/>
  <c r="K4325" i="1"/>
  <c r="M4324" i="1"/>
  <c r="L4324" i="1"/>
  <c r="K4324" i="1"/>
  <c r="M4323" i="1"/>
  <c r="L4323" i="1"/>
  <c r="K4323" i="1"/>
  <c r="M4322" i="1"/>
  <c r="L4322" i="1"/>
  <c r="K4322" i="1"/>
  <c r="M4321" i="1"/>
  <c r="L4321" i="1"/>
  <c r="K4321" i="1"/>
  <c r="M4320" i="1"/>
  <c r="L4320" i="1"/>
  <c r="K4320" i="1"/>
  <c r="M4319" i="1"/>
  <c r="L4319" i="1"/>
  <c r="K4319" i="1"/>
  <c r="M4318" i="1"/>
  <c r="L4318" i="1"/>
  <c r="K4318" i="1"/>
  <c r="M4317" i="1"/>
  <c r="L4317" i="1"/>
  <c r="K4317" i="1"/>
  <c r="M4316" i="1"/>
  <c r="L4316" i="1"/>
  <c r="K4316" i="1"/>
  <c r="M4315" i="1"/>
  <c r="L4315" i="1"/>
  <c r="K4315" i="1"/>
  <c r="M4314" i="1"/>
  <c r="L4314" i="1"/>
  <c r="K4314" i="1"/>
  <c r="M4313" i="1"/>
  <c r="L4313" i="1"/>
  <c r="K4313" i="1"/>
  <c r="M4312" i="1"/>
  <c r="L4312" i="1"/>
  <c r="K4312" i="1"/>
  <c r="M4311" i="1"/>
  <c r="L4311" i="1"/>
  <c r="K4311" i="1"/>
  <c r="M4310" i="1"/>
  <c r="L4310" i="1"/>
  <c r="K4310" i="1"/>
  <c r="M4309" i="1"/>
  <c r="L4309" i="1"/>
  <c r="K4309" i="1"/>
  <c r="M4308" i="1"/>
  <c r="L4308" i="1"/>
  <c r="K4308" i="1"/>
  <c r="M4307" i="1"/>
  <c r="L4307" i="1"/>
  <c r="K4307" i="1"/>
  <c r="M4306" i="1"/>
  <c r="L4306" i="1"/>
  <c r="K4306" i="1"/>
  <c r="M4305" i="1"/>
  <c r="L4305" i="1"/>
  <c r="K4305" i="1"/>
  <c r="M4304" i="1"/>
  <c r="L4304" i="1"/>
  <c r="K4304" i="1"/>
  <c r="M4303" i="1"/>
  <c r="L4303" i="1"/>
  <c r="K4303" i="1"/>
  <c r="M4302" i="1"/>
  <c r="L4302" i="1"/>
  <c r="K4302" i="1"/>
  <c r="M4301" i="1"/>
  <c r="L4301" i="1"/>
  <c r="K4301" i="1"/>
  <c r="M4300" i="1"/>
  <c r="L4300" i="1"/>
  <c r="K4300" i="1"/>
  <c r="M4299" i="1"/>
  <c r="L4299" i="1"/>
  <c r="K4299" i="1"/>
  <c r="M4298" i="1"/>
  <c r="L4298" i="1"/>
  <c r="K4298" i="1"/>
  <c r="M4297" i="1"/>
  <c r="L4297" i="1"/>
  <c r="K4297" i="1"/>
  <c r="M4296" i="1"/>
  <c r="L4296" i="1"/>
  <c r="K4296" i="1"/>
  <c r="M4295" i="1"/>
  <c r="L4295" i="1"/>
  <c r="K4295" i="1"/>
  <c r="M4294" i="1"/>
  <c r="L4294" i="1"/>
  <c r="K4294" i="1"/>
  <c r="M4293" i="1"/>
  <c r="L4293" i="1"/>
  <c r="K4293" i="1"/>
  <c r="M4292" i="1"/>
  <c r="L4292" i="1"/>
  <c r="K4292" i="1"/>
  <c r="M4291" i="1"/>
  <c r="L4291" i="1"/>
  <c r="K4291" i="1"/>
  <c r="M4290" i="1"/>
  <c r="L4290" i="1"/>
  <c r="K4290" i="1"/>
  <c r="M4289" i="1"/>
  <c r="L4289" i="1"/>
  <c r="K4289" i="1"/>
  <c r="M4288" i="1"/>
  <c r="L4288" i="1"/>
  <c r="K4288" i="1"/>
  <c r="M4287" i="1"/>
  <c r="K4287" i="1"/>
  <c r="M4286" i="1"/>
  <c r="K4286" i="1"/>
  <c r="M4285" i="1"/>
  <c r="K4285" i="1"/>
  <c r="M4284" i="1"/>
  <c r="K4284" i="1"/>
  <c r="M4283" i="1"/>
  <c r="K4283" i="1"/>
  <c r="M4282" i="1"/>
  <c r="K4282" i="1"/>
  <c r="M4281" i="1"/>
  <c r="K4281" i="1"/>
  <c r="M4280" i="1"/>
  <c r="K4280" i="1"/>
  <c r="M4279" i="1"/>
  <c r="K4279" i="1"/>
  <c r="M4278" i="1"/>
  <c r="K4278" i="1"/>
  <c r="M4277" i="1"/>
  <c r="K4277" i="1"/>
  <c r="M4276" i="1"/>
  <c r="K4276" i="1"/>
  <c r="M4275" i="1"/>
  <c r="K4275" i="1"/>
  <c r="M4274" i="1"/>
  <c r="K4274" i="1"/>
  <c r="K4273" i="1"/>
  <c r="M4272" i="1"/>
  <c r="K4272" i="1"/>
  <c r="M4271" i="1"/>
  <c r="K4271" i="1"/>
  <c r="M4270" i="1"/>
  <c r="K4270" i="1"/>
  <c r="M4269" i="1"/>
  <c r="K4269" i="1"/>
  <c r="M4268" i="1"/>
  <c r="K4268" i="1"/>
  <c r="M4267" i="1"/>
  <c r="K4267" i="1"/>
  <c r="M4266" i="1"/>
  <c r="K4266" i="1"/>
  <c r="M4265" i="1"/>
  <c r="K4265" i="1"/>
  <c r="M4264" i="1"/>
  <c r="K4264" i="1"/>
  <c r="K4263" i="1"/>
  <c r="M4262" i="1"/>
  <c r="K4262" i="1"/>
  <c r="M4261" i="1"/>
  <c r="K4261" i="1"/>
  <c r="K4260" i="1"/>
  <c r="M4259" i="1"/>
  <c r="K4259" i="1"/>
  <c r="M4258" i="1"/>
  <c r="K4258" i="1"/>
  <c r="M4257" i="1"/>
  <c r="K4257" i="1"/>
  <c r="M4256" i="1"/>
  <c r="K4256" i="1"/>
  <c r="M4255" i="1"/>
  <c r="K4255" i="1"/>
  <c r="M4254" i="1"/>
  <c r="K4254" i="1"/>
  <c r="M4253" i="1"/>
  <c r="K4253" i="1"/>
  <c r="M4252" i="1"/>
  <c r="K4252" i="1"/>
  <c r="M4251" i="1"/>
  <c r="K4251" i="1"/>
  <c r="M4250" i="1"/>
  <c r="K4250" i="1"/>
  <c r="M4249" i="1"/>
  <c r="K4249" i="1"/>
  <c r="M4248" i="1"/>
  <c r="K4248" i="1"/>
  <c r="K4247" i="1"/>
  <c r="M4246" i="1"/>
  <c r="K4246" i="1"/>
  <c r="M4245" i="1"/>
  <c r="K4245" i="1"/>
  <c r="M4244" i="1"/>
  <c r="K4244" i="1"/>
  <c r="K4243" i="1"/>
  <c r="M4242" i="1"/>
  <c r="K4242" i="1"/>
  <c r="M4241" i="1"/>
  <c r="K4241" i="1"/>
  <c r="K4240" i="1"/>
  <c r="M4239" i="1"/>
  <c r="L4239" i="1"/>
  <c r="K4239" i="1"/>
  <c r="M4238" i="1"/>
  <c r="L4238" i="1"/>
  <c r="K4238" i="1"/>
  <c r="M4237" i="1"/>
  <c r="L4237" i="1"/>
  <c r="K4237" i="1"/>
  <c r="M4236" i="1"/>
  <c r="L4236" i="1"/>
  <c r="K4236" i="1"/>
  <c r="M4235" i="1"/>
  <c r="L4235" i="1"/>
  <c r="K4235" i="1"/>
  <c r="M4234" i="1"/>
  <c r="L4234" i="1"/>
  <c r="K4234" i="1"/>
  <c r="M4233" i="1"/>
  <c r="L4233" i="1"/>
  <c r="K4233" i="1"/>
  <c r="M4232" i="1"/>
  <c r="L4232" i="1"/>
  <c r="K4232" i="1"/>
  <c r="M4231" i="1"/>
  <c r="L4231" i="1"/>
  <c r="K4231" i="1"/>
  <c r="M4230" i="1"/>
  <c r="L4230" i="1"/>
  <c r="K4230" i="1"/>
  <c r="M4229" i="1"/>
  <c r="L4229" i="1"/>
  <c r="K4229" i="1"/>
  <c r="M4228" i="1"/>
  <c r="L4228" i="1"/>
  <c r="K4228" i="1"/>
  <c r="M4227" i="1"/>
  <c r="L4227" i="1"/>
  <c r="K4227" i="1"/>
  <c r="M4226" i="1"/>
  <c r="L4226" i="1"/>
  <c r="K4226" i="1"/>
  <c r="M4225" i="1"/>
  <c r="L4225" i="1"/>
  <c r="K4225" i="1"/>
  <c r="M4224" i="1"/>
  <c r="L4224" i="1"/>
  <c r="K4224" i="1"/>
  <c r="M4223" i="1"/>
  <c r="L4223" i="1"/>
  <c r="K4223" i="1"/>
  <c r="M4222" i="1"/>
  <c r="K4222" i="1"/>
  <c r="M4221" i="1"/>
  <c r="K4221" i="1"/>
  <c r="M4220" i="1"/>
  <c r="K4220" i="1"/>
  <c r="K4219" i="1"/>
  <c r="M4218" i="1"/>
  <c r="L4218" i="1"/>
  <c r="K4218" i="1"/>
  <c r="M4217" i="1"/>
  <c r="L4217" i="1"/>
  <c r="K4217" i="1"/>
  <c r="M4216" i="1"/>
  <c r="L4216" i="1"/>
  <c r="K4216" i="1"/>
  <c r="M4215" i="1"/>
  <c r="L4215" i="1"/>
  <c r="K4215" i="1"/>
  <c r="M4214" i="1"/>
  <c r="L4214" i="1"/>
  <c r="K4214" i="1"/>
  <c r="M4213" i="1"/>
  <c r="L4213" i="1"/>
  <c r="K4213" i="1"/>
  <c r="M4212" i="1"/>
  <c r="L4212" i="1"/>
  <c r="K4212" i="1"/>
  <c r="M4211" i="1"/>
  <c r="L4211" i="1"/>
  <c r="K4211" i="1"/>
  <c r="M4210" i="1"/>
  <c r="L4210" i="1"/>
  <c r="K4210" i="1"/>
  <c r="M4209" i="1"/>
  <c r="L4209" i="1"/>
  <c r="K4209" i="1"/>
  <c r="M4208" i="1"/>
  <c r="L4208" i="1"/>
  <c r="K4208" i="1"/>
  <c r="M4207" i="1"/>
  <c r="L4207" i="1"/>
  <c r="K4207" i="1"/>
  <c r="M4206" i="1"/>
  <c r="L4206" i="1"/>
  <c r="K4206" i="1"/>
  <c r="M4205" i="1"/>
  <c r="L4205" i="1"/>
  <c r="K4205" i="1"/>
  <c r="M4204" i="1"/>
  <c r="L4204" i="1"/>
  <c r="K4204" i="1"/>
  <c r="M4203" i="1"/>
  <c r="L4203" i="1"/>
  <c r="K4203" i="1"/>
  <c r="M4202" i="1"/>
  <c r="L4202" i="1"/>
  <c r="K4202" i="1"/>
  <c r="M4201" i="1"/>
  <c r="L4201" i="1"/>
  <c r="K4201" i="1"/>
  <c r="M4200" i="1"/>
  <c r="L4200" i="1"/>
  <c r="K4200" i="1"/>
  <c r="M4199" i="1"/>
  <c r="L4199" i="1"/>
  <c r="K4199" i="1"/>
  <c r="M4198" i="1"/>
  <c r="L4198" i="1"/>
  <c r="K4198" i="1"/>
  <c r="M4197" i="1"/>
  <c r="L4197" i="1"/>
  <c r="K4197" i="1"/>
  <c r="M4196" i="1"/>
  <c r="L4196" i="1"/>
  <c r="K4196" i="1"/>
  <c r="M4195" i="1"/>
  <c r="L4195" i="1"/>
  <c r="K4195" i="1"/>
  <c r="M4194" i="1"/>
  <c r="L4194" i="1"/>
  <c r="K4194" i="1"/>
  <c r="M4193" i="1"/>
  <c r="L4193" i="1"/>
  <c r="K4193" i="1"/>
  <c r="M4192" i="1"/>
  <c r="L4192" i="1"/>
  <c r="K4192" i="1"/>
  <c r="M4191" i="1"/>
  <c r="L4191" i="1"/>
  <c r="K4191" i="1"/>
  <c r="M4190" i="1"/>
  <c r="L4190" i="1"/>
  <c r="K4190" i="1"/>
  <c r="M4189" i="1"/>
  <c r="L4189" i="1"/>
  <c r="K4189" i="1"/>
  <c r="M4188" i="1"/>
  <c r="L4188" i="1"/>
  <c r="K4188" i="1"/>
  <c r="M4187" i="1"/>
  <c r="L4187" i="1"/>
  <c r="K4187" i="1"/>
  <c r="M4186" i="1"/>
  <c r="L4186" i="1"/>
  <c r="K4186" i="1"/>
  <c r="M4185" i="1"/>
  <c r="L4185" i="1"/>
  <c r="K4185" i="1"/>
  <c r="M4184" i="1"/>
  <c r="L4184" i="1"/>
  <c r="K4184" i="1"/>
  <c r="M4183" i="1"/>
  <c r="L4183" i="1"/>
  <c r="K4183" i="1"/>
  <c r="M4182" i="1"/>
  <c r="L4182" i="1"/>
  <c r="K4182" i="1"/>
  <c r="M4181" i="1"/>
  <c r="L4181" i="1"/>
  <c r="K4181" i="1"/>
  <c r="M4180" i="1"/>
  <c r="L4180" i="1"/>
  <c r="K4180" i="1"/>
  <c r="M4179" i="1"/>
  <c r="L4179" i="1"/>
  <c r="K4179" i="1"/>
  <c r="M4178" i="1"/>
  <c r="L4178" i="1"/>
  <c r="K4178" i="1"/>
  <c r="M4177" i="1"/>
  <c r="L4177" i="1"/>
  <c r="K4177" i="1"/>
  <c r="M4176" i="1"/>
  <c r="L4176" i="1"/>
  <c r="K4176" i="1"/>
  <c r="M4175" i="1"/>
  <c r="L4175" i="1"/>
  <c r="K4175" i="1"/>
  <c r="M4174" i="1"/>
  <c r="L4174" i="1"/>
  <c r="K4174" i="1"/>
  <c r="M4173" i="1"/>
  <c r="L4173" i="1"/>
  <c r="K4173" i="1"/>
  <c r="M4172" i="1"/>
  <c r="L4172" i="1"/>
  <c r="K4172" i="1"/>
  <c r="M4171" i="1"/>
  <c r="L4171" i="1"/>
  <c r="K4171" i="1"/>
  <c r="M4170" i="1"/>
  <c r="L4170" i="1"/>
  <c r="K4170" i="1"/>
  <c r="M4169" i="1"/>
  <c r="L4169" i="1"/>
  <c r="K4169" i="1"/>
  <c r="M4168" i="1"/>
  <c r="K4168" i="1"/>
  <c r="M4167" i="1"/>
  <c r="K4167" i="1"/>
  <c r="M4166" i="1"/>
  <c r="K4166" i="1"/>
  <c r="M4165" i="1"/>
  <c r="K4165" i="1"/>
  <c r="M4164" i="1"/>
  <c r="K4164" i="1"/>
  <c r="M4163" i="1"/>
  <c r="K4163" i="1"/>
  <c r="K4162" i="1"/>
  <c r="M4161" i="1"/>
  <c r="L4161" i="1"/>
  <c r="K4161" i="1"/>
  <c r="M4160" i="1"/>
  <c r="L4160" i="1"/>
  <c r="K4160" i="1"/>
  <c r="M4159" i="1"/>
  <c r="L4159" i="1"/>
  <c r="K4159" i="1"/>
  <c r="M4158" i="1"/>
  <c r="L4158" i="1"/>
  <c r="K4158" i="1"/>
  <c r="M4157" i="1"/>
  <c r="L4157" i="1"/>
  <c r="K4157" i="1"/>
  <c r="M4156" i="1"/>
  <c r="L4156" i="1"/>
  <c r="K4156" i="1"/>
  <c r="M4155" i="1"/>
  <c r="L4155" i="1"/>
  <c r="K4155" i="1"/>
  <c r="M4154" i="1"/>
  <c r="L4154" i="1"/>
  <c r="K4154" i="1"/>
  <c r="M4153" i="1"/>
  <c r="L4153" i="1"/>
  <c r="K4153" i="1"/>
  <c r="M4152" i="1"/>
  <c r="L4152" i="1"/>
  <c r="K4152" i="1"/>
  <c r="M4151" i="1"/>
  <c r="L4151" i="1"/>
  <c r="K4151" i="1"/>
  <c r="M4150" i="1"/>
  <c r="L4150" i="1"/>
  <c r="K4150" i="1"/>
  <c r="M4149" i="1"/>
  <c r="L4149" i="1"/>
  <c r="K4149" i="1"/>
  <c r="M4148" i="1"/>
  <c r="L4148" i="1"/>
  <c r="K4148" i="1"/>
  <c r="M4147" i="1"/>
  <c r="L4147" i="1"/>
  <c r="K4147" i="1"/>
  <c r="M4146" i="1"/>
  <c r="L4146" i="1"/>
  <c r="K4146" i="1"/>
  <c r="M4145" i="1"/>
  <c r="K4145" i="1"/>
  <c r="M4144" i="1"/>
  <c r="K4144" i="1"/>
  <c r="M4143" i="1"/>
  <c r="K4143" i="1"/>
  <c r="K4142" i="1"/>
  <c r="M4141" i="1"/>
  <c r="L4141" i="1"/>
  <c r="K4141" i="1"/>
  <c r="M4140" i="1"/>
  <c r="L4140" i="1"/>
  <c r="K4140" i="1"/>
  <c r="M4139" i="1"/>
  <c r="L4139" i="1"/>
  <c r="K4139" i="1"/>
  <c r="M4138" i="1"/>
  <c r="L4138" i="1"/>
  <c r="K4138" i="1"/>
  <c r="M4137" i="1"/>
  <c r="L4137" i="1"/>
  <c r="K4137" i="1"/>
  <c r="M4136" i="1"/>
  <c r="L4136" i="1"/>
  <c r="K4136" i="1"/>
  <c r="M4135" i="1"/>
  <c r="L4135" i="1"/>
  <c r="K4135" i="1"/>
  <c r="M4134" i="1"/>
  <c r="L4134" i="1"/>
  <c r="K4134" i="1"/>
  <c r="M4133" i="1"/>
  <c r="L4133" i="1"/>
  <c r="K4133" i="1"/>
  <c r="M4132" i="1"/>
  <c r="L4132" i="1"/>
  <c r="K4132" i="1"/>
  <c r="M4131" i="1"/>
  <c r="L4131" i="1"/>
  <c r="K4131" i="1"/>
  <c r="M4130" i="1"/>
  <c r="L4130" i="1"/>
  <c r="K4130" i="1"/>
  <c r="M4129" i="1"/>
  <c r="L4129" i="1"/>
  <c r="K4129" i="1"/>
  <c r="M4128" i="1"/>
  <c r="K4128" i="1"/>
  <c r="M4127" i="1"/>
  <c r="K4127" i="1"/>
  <c r="M4126" i="1"/>
  <c r="K4126" i="1"/>
  <c r="M4125" i="1"/>
  <c r="K4125" i="1"/>
  <c r="M4124" i="1"/>
  <c r="K4124" i="1"/>
  <c r="M4123" i="1"/>
  <c r="K4123" i="1"/>
  <c r="M4122" i="1"/>
  <c r="K4122" i="1"/>
  <c r="M4121" i="1"/>
  <c r="K4121" i="1"/>
  <c r="M4120" i="1"/>
  <c r="K4120" i="1"/>
  <c r="M4119" i="1"/>
  <c r="K4119" i="1"/>
  <c r="M4118" i="1"/>
  <c r="K4118" i="1"/>
  <c r="M4117" i="1"/>
  <c r="K4117" i="1"/>
  <c r="M4116" i="1"/>
  <c r="K4116" i="1"/>
  <c r="M4115" i="1"/>
  <c r="K4115" i="1"/>
  <c r="M4114" i="1"/>
  <c r="K4114" i="1"/>
  <c r="M4113" i="1"/>
  <c r="K4113" i="1"/>
  <c r="M4112" i="1"/>
  <c r="K4112" i="1"/>
  <c r="M4111" i="1"/>
  <c r="K4111" i="1"/>
  <c r="M4110" i="1"/>
  <c r="K4110" i="1"/>
  <c r="K4109" i="1"/>
  <c r="M4108" i="1"/>
  <c r="K4108" i="1"/>
  <c r="M4107" i="1"/>
  <c r="K4107" i="1"/>
  <c r="M4106" i="1"/>
  <c r="K4106" i="1"/>
  <c r="M4105" i="1"/>
  <c r="K4105" i="1"/>
  <c r="M4104" i="1"/>
  <c r="K4104" i="1"/>
  <c r="M4103" i="1"/>
  <c r="K4103" i="1"/>
  <c r="M4102" i="1"/>
  <c r="K4102" i="1"/>
  <c r="K4101" i="1"/>
  <c r="M4100" i="1"/>
  <c r="L4100" i="1"/>
  <c r="K4100" i="1"/>
  <c r="M4099" i="1"/>
  <c r="L4099" i="1"/>
  <c r="K4099" i="1"/>
  <c r="M4098" i="1"/>
  <c r="L4098" i="1"/>
  <c r="K4098" i="1"/>
  <c r="M4097" i="1"/>
  <c r="L4097" i="1"/>
  <c r="K4097" i="1"/>
  <c r="M4096" i="1"/>
  <c r="L4096" i="1"/>
  <c r="K4096" i="1"/>
  <c r="M4095" i="1"/>
  <c r="L4095" i="1"/>
  <c r="K4095" i="1"/>
  <c r="M4094" i="1"/>
  <c r="L4094" i="1"/>
  <c r="K4094" i="1"/>
  <c r="M4093" i="1"/>
  <c r="L4093" i="1"/>
  <c r="K4093" i="1"/>
  <c r="M4092" i="1"/>
  <c r="L4092" i="1"/>
  <c r="K4092" i="1"/>
  <c r="M4091" i="1"/>
  <c r="L4091" i="1"/>
  <c r="K4091" i="1"/>
  <c r="M4090" i="1"/>
  <c r="K4090" i="1"/>
  <c r="M4089" i="1"/>
  <c r="K4089" i="1"/>
  <c r="K4088" i="1"/>
  <c r="M4087" i="1"/>
  <c r="L4087" i="1"/>
  <c r="K4087" i="1"/>
  <c r="M4086" i="1"/>
  <c r="L4086" i="1"/>
  <c r="K4086" i="1"/>
  <c r="M4085" i="1"/>
  <c r="L4085" i="1"/>
  <c r="K4085" i="1"/>
  <c r="M4084" i="1"/>
  <c r="L4084" i="1"/>
  <c r="K4084" i="1"/>
  <c r="M4083" i="1"/>
  <c r="L4083" i="1"/>
  <c r="K4083" i="1"/>
  <c r="M4082" i="1"/>
  <c r="L4082" i="1"/>
  <c r="K4082" i="1"/>
  <c r="M4081" i="1"/>
  <c r="L4081" i="1"/>
  <c r="K4081" i="1"/>
  <c r="M4080" i="1"/>
  <c r="L4080" i="1"/>
  <c r="K4080" i="1"/>
  <c r="M4079" i="1"/>
  <c r="L4079" i="1"/>
  <c r="K4079" i="1"/>
  <c r="M4078" i="1"/>
  <c r="L4078" i="1"/>
  <c r="K4078" i="1"/>
  <c r="M4077" i="1"/>
  <c r="L4077" i="1"/>
  <c r="K4077" i="1"/>
  <c r="M4076" i="1"/>
  <c r="L4076" i="1"/>
  <c r="K4076" i="1"/>
  <c r="M4075" i="1"/>
  <c r="L4075" i="1"/>
  <c r="K4075" i="1"/>
  <c r="M4074" i="1"/>
  <c r="L4074" i="1"/>
  <c r="K4074" i="1"/>
  <c r="M4073" i="1"/>
  <c r="L4073" i="1"/>
  <c r="K4073" i="1"/>
  <c r="M4072" i="1"/>
  <c r="L4072" i="1"/>
  <c r="K4072" i="1"/>
  <c r="M4071" i="1"/>
  <c r="L4071" i="1"/>
  <c r="K4071" i="1"/>
  <c r="M4070" i="1"/>
  <c r="L4070" i="1"/>
  <c r="K4070" i="1"/>
  <c r="M4069" i="1"/>
  <c r="L4069" i="1"/>
  <c r="K4069" i="1"/>
  <c r="M4068" i="1"/>
  <c r="L4068" i="1"/>
  <c r="K4068" i="1"/>
  <c r="M4067" i="1"/>
  <c r="L4067" i="1"/>
  <c r="K4067" i="1"/>
  <c r="M4066" i="1"/>
  <c r="L4066" i="1"/>
  <c r="K4066" i="1"/>
  <c r="M4065" i="1"/>
  <c r="L4065" i="1"/>
  <c r="K4065" i="1"/>
  <c r="M4064" i="1"/>
  <c r="L4064" i="1"/>
  <c r="K4064" i="1"/>
  <c r="M4063" i="1"/>
  <c r="L4063" i="1"/>
  <c r="K4063" i="1"/>
  <c r="M4062" i="1"/>
  <c r="L4062" i="1"/>
  <c r="K4062" i="1"/>
  <c r="M4061" i="1"/>
  <c r="L4061" i="1"/>
  <c r="K4061" i="1"/>
  <c r="M4060" i="1"/>
  <c r="L4060" i="1"/>
  <c r="K4060" i="1"/>
  <c r="M4059" i="1"/>
  <c r="L4059" i="1"/>
  <c r="K4059" i="1"/>
  <c r="M4058" i="1"/>
  <c r="L4058" i="1"/>
  <c r="K4058" i="1"/>
  <c r="M4057" i="1"/>
  <c r="L4057" i="1"/>
  <c r="K4057" i="1"/>
  <c r="M4056" i="1"/>
  <c r="L4056" i="1"/>
  <c r="K4056" i="1"/>
  <c r="M4055" i="1"/>
  <c r="K4055" i="1"/>
  <c r="M4054" i="1"/>
  <c r="K4054" i="1"/>
  <c r="M4053" i="1"/>
  <c r="K4053" i="1"/>
  <c r="M4052" i="1"/>
  <c r="K4052" i="1"/>
  <c r="M4051" i="1"/>
  <c r="K4051" i="1"/>
  <c r="M4050" i="1"/>
  <c r="K4050" i="1"/>
  <c r="M4049" i="1"/>
  <c r="K4049" i="1"/>
  <c r="M4048" i="1"/>
  <c r="K4048" i="1"/>
  <c r="M4047" i="1"/>
  <c r="K4047" i="1"/>
  <c r="M4046" i="1"/>
  <c r="K4046" i="1"/>
  <c r="M4045" i="1"/>
  <c r="K4045" i="1"/>
  <c r="M4044" i="1"/>
  <c r="K4044" i="1"/>
  <c r="M4043" i="1"/>
  <c r="K4043" i="1"/>
  <c r="M4042" i="1"/>
  <c r="K4042" i="1"/>
  <c r="M4041" i="1"/>
  <c r="K4041" i="1"/>
  <c r="M4040" i="1"/>
  <c r="K4040" i="1"/>
  <c r="M4039" i="1"/>
  <c r="K4039" i="1"/>
  <c r="K4038" i="1"/>
  <c r="M4037" i="1"/>
  <c r="L4037" i="1"/>
  <c r="K4037" i="1"/>
  <c r="M4036" i="1"/>
  <c r="L4036" i="1"/>
  <c r="K4036" i="1"/>
  <c r="M4035" i="1"/>
  <c r="L4035" i="1"/>
  <c r="K4035" i="1"/>
  <c r="M4034" i="1"/>
  <c r="L4034" i="1"/>
  <c r="K4034" i="1"/>
  <c r="M4033" i="1"/>
  <c r="L4033" i="1"/>
  <c r="K4033" i="1"/>
  <c r="M4032" i="1"/>
  <c r="L4032" i="1"/>
  <c r="K4032" i="1"/>
  <c r="M4031" i="1"/>
  <c r="L4031" i="1"/>
  <c r="K4031" i="1"/>
  <c r="M4030" i="1"/>
  <c r="L4030" i="1"/>
  <c r="K4030" i="1"/>
  <c r="M4029" i="1"/>
  <c r="L4029" i="1"/>
  <c r="K4029" i="1"/>
  <c r="M4028" i="1"/>
  <c r="L4028" i="1"/>
  <c r="K4028" i="1"/>
  <c r="M4027" i="1"/>
  <c r="L4027" i="1"/>
  <c r="K4027" i="1"/>
  <c r="M4026" i="1"/>
  <c r="L4026" i="1"/>
  <c r="K4026" i="1"/>
  <c r="M4025" i="1"/>
  <c r="L4025" i="1"/>
  <c r="K4025" i="1"/>
  <c r="M4024" i="1"/>
  <c r="L4024" i="1"/>
  <c r="K4024" i="1"/>
  <c r="M4023" i="1"/>
  <c r="L4023" i="1"/>
  <c r="K4023" i="1"/>
  <c r="M4022" i="1"/>
  <c r="L4022" i="1"/>
  <c r="K4022" i="1"/>
  <c r="M4021" i="1"/>
  <c r="L4021" i="1"/>
  <c r="K4021" i="1"/>
  <c r="M4020" i="1"/>
  <c r="L4020" i="1"/>
  <c r="K4020" i="1"/>
  <c r="M4019" i="1"/>
  <c r="L4019" i="1"/>
  <c r="K4019" i="1"/>
  <c r="M4018" i="1"/>
  <c r="K4018" i="1"/>
  <c r="M4017" i="1"/>
  <c r="K4017" i="1"/>
  <c r="M4016" i="1"/>
  <c r="K4016" i="1"/>
  <c r="M4015" i="1"/>
  <c r="K4015" i="1"/>
  <c r="M4014" i="1"/>
  <c r="K4014" i="1"/>
  <c r="M4013" i="1"/>
  <c r="K4013" i="1"/>
  <c r="M4012" i="1"/>
  <c r="K4012" i="1"/>
  <c r="M4011" i="1"/>
  <c r="K4011" i="1"/>
  <c r="K4010" i="1"/>
  <c r="M4009" i="1"/>
  <c r="L4009" i="1"/>
  <c r="K4009" i="1"/>
  <c r="M4008" i="1"/>
  <c r="L4008" i="1"/>
  <c r="K4008" i="1"/>
  <c r="M4007" i="1"/>
  <c r="L4007" i="1"/>
  <c r="K4007" i="1"/>
  <c r="M4006" i="1"/>
  <c r="L4006" i="1"/>
  <c r="K4006" i="1"/>
  <c r="M4005" i="1"/>
  <c r="L4005" i="1"/>
  <c r="K4005" i="1"/>
  <c r="M4004" i="1"/>
  <c r="L4004" i="1"/>
  <c r="K4004" i="1"/>
  <c r="M4003" i="1"/>
  <c r="L4003" i="1"/>
  <c r="K4003" i="1"/>
  <c r="M4002" i="1"/>
  <c r="L4002" i="1"/>
  <c r="K4002" i="1"/>
  <c r="M4001" i="1"/>
  <c r="L4001" i="1"/>
  <c r="K4001" i="1"/>
  <c r="M4000" i="1"/>
  <c r="L4000" i="1"/>
  <c r="K4000" i="1"/>
  <c r="M3999" i="1"/>
  <c r="L3999" i="1"/>
  <c r="K3999" i="1"/>
  <c r="M3998" i="1"/>
  <c r="L3998" i="1"/>
  <c r="K3998" i="1"/>
  <c r="M3997" i="1"/>
  <c r="L3997" i="1"/>
  <c r="K3997" i="1"/>
  <c r="M3996" i="1"/>
  <c r="L3996" i="1"/>
  <c r="K3996" i="1"/>
  <c r="M3995" i="1"/>
  <c r="L3995" i="1"/>
  <c r="K3995" i="1"/>
  <c r="M3994" i="1"/>
  <c r="L3994" i="1"/>
  <c r="K3994" i="1"/>
  <c r="M3993" i="1"/>
  <c r="L3993" i="1"/>
  <c r="K3993" i="1"/>
  <c r="M3992" i="1"/>
  <c r="L3992" i="1"/>
  <c r="K3992" i="1"/>
  <c r="M3991" i="1"/>
  <c r="L3991" i="1"/>
  <c r="K3991" i="1"/>
  <c r="M3990" i="1"/>
  <c r="L3990" i="1"/>
  <c r="K3990" i="1"/>
  <c r="M3989" i="1"/>
  <c r="L3989" i="1"/>
  <c r="K3989" i="1"/>
  <c r="M3988" i="1"/>
  <c r="L3988" i="1"/>
  <c r="K3988" i="1"/>
  <c r="M3987" i="1"/>
  <c r="L3987" i="1"/>
  <c r="K3987" i="1"/>
  <c r="M3986" i="1"/>
  <c r="L3986" i="1"/>
  <c r="K3986" i="1"/>
  <c r="M3985" i="1"/>
  <c r="L3985" i="1"/>
  <c r="K3985" i="1"/>
  <c r="M3984" i="1"/>
  <c r="L3984" i="1"/>
  <c r="K3984" i="1"/>
  <c r="M3983" i="1"/>
  <c r="L3983" i="1"/>
  <c r="K3983" i="1"/>
  <c r="M3982" i="1"/>
  <c r="K3982" i="1"/>
  <c r="M3981" i="1"/>
  <c r="K3981" i="1"/>
  <c r="M3980" i="1"/>
  <c r="K3980" i="1"/>
  <c r="M3979" i="1"/>
  <c r="K3979" i="1"/>
  <c r="M3978" i="1"/>
  <c r="K3978" i="1"/>
  <c r="M3977" i="1"/>
  <c r="K3977" i="1"/>
  <c r="M3976" i="1"/>
  <c r="K3976" i="1"/>
  <c r="M3975" i="1"/>
  <c r="K3975" i="1"/>
  <c r="M3974" i="1"/>
  <c r="K3974" i="1"/>
  <c r="M3973" i="1"/>
  <c r="K3973" i="1"/>
  <c r="M3972" i="1"/>
  <c r="K3972" i="1"/>
  <c r="M3971" i="1"/>
  <c r="K3971" i="1"/>
  <c r="M3970" i="1"/>
  <c r="K3970" i="1"/>
  <c r="K3969" i="1"/>
  <c r="M3968" i="1"/>
  <c r="K3968" i="1"/>
  <c r="M3967" i="1"/>
  <c r="K3967" i="1"/>
  <c r="K3966" i="1"/>
  <c r="M3965" i="1"/>
  <c r="K3965" i="1"/>
  <c r="M3964" i="1"/>
  <c r="K3964" i="1"/>
  <c r="K3963" i="1"/>
  <c r="M3962" i="1"/>
  <c r="K3962" i="1"/>
  <c r="M3961" i="1"/>
  <c r="K3961" i="1"/>
  <c r="M3960" i="1"/>
  <c r="K3960" i="1"/>
  <c r="M3959" i="1"/>
  <c r="K3959" i="1"/>
  <c r="M3958" i="1"/>
  <c r="K3958" i="1"/>
  <c r="M3957" i="1"/>
  <c r="K3957" i="1"/>
  <c r="M3956" i="1"/>
  <c r="K3956" i="1"/>
  <c r="M3955" i="1"/>
  <c r="K3955" i="1"/>
  <c r="M3954" i="1"/>
  <c r="K3954" i="1"/>
  <c r="M3953" i="1"/>
  <c r="K3953" i="1"/>
  <c r="M3952" i="1"/>
  <c r="K3952" i="1"/>
  <c r="M3951" i="1"/>
  <c r="K3951" i="1"/>
  <c r="M3950" i="1"/>
  <c r="K3950" i="1"/>
  <c r="M3949" i="1"/>
  <c r="K3949" i="1"/>
  <c r="M3948" i="1"/>
  <c r="K3948" i="1"/>
  <c r="M3947" i="1"/>
  <c r="K3947" i="1"/>
  <c r="K3946" i="1"/>
  <c r="M3945" i="1"/>
  <c r="L3945" i="1"/>
  <c r="K3945" i="1"/>
  <c r="M3944" i="1"/>
  <c r="L3944" i="1"/>
  <c r="K3944" i="1"/>
  <c r="M3943" i="1"/>
  <c r="L3943" i="1"/>
  <c r="K3943" i="1"/>
  <c r="M3942" i="1"/>
  <c r="L3942" i="1"/>
  <c r="K3942" i="1"/>
  <c r="M3941" i="1"/>
  <c r="L3941" i="1"/>
  <c r="K3941" i="1"/>
  <c r="M3940" i="1"/>
  <c r="L3940" i="1"/>
  <c r="K3940" i="1"/>
  <c r="M3939" i="1"/>
  <c r="L3939" i="1"/>
  <c r="K3939" i="1"/>
  <c r="M3938" i="1"/>
  <c r="L3938" i="1"/>
  <c r="K3938" i="1"/>
  <c r="M3937" i="1"/>
  <c r="L3937" i="1"/>
  <c r="K3937" i="1"/>
  <c r="M3936" i="1"/>
  <c r="L3936" i="1"/>
  <c r="K3936" i="1"/>
  <c r="M3935" i="1"/>
  <c r="L3935" i="1"/>
  <c r="K3935" i="1"/>
  <c r="M3934" i="1"/>
  <c r="L3934" i="1"/>
  <c r="K3934" i="1"/>
  <c r="M3933" i="1"/>
  <c r="L3933" i="1"/>
  <c r="K3933" i="1"/>
  <c r="M3932" i="1"/>
  <c r="L3932" i="1"/>
  <c r="K3932" i="1"/>
  <c r="M3931" i="1"/>
  <c r="L3931" i="1"/>
  <c r="K3931" i="1"/>
  <c r="M3930" i="1"/>
  <c r="L3930" i="1"/>
  <c r="K3930" i="1"/>
  <c r="M3929" i="1"/>
  <c r="L3929" i="1"/>
  <c r="K3929" i="1"/>
  <c r="M3928" i="1"/>
  <c r="L3928" i="1"/>
  <c r="K3928" i="1"/>
  <c r="M3927" i="1"/>
  <c r="L3927" i="1"/>
  <c r="K3927" i="1"/>
  <c r="M3926" i="1"/>
  <c r="L3926" i="1"/>
  <c r="K3926" i="1"/>
  <c r="M3925" i="1"/>
  <c r="L3925" i="1"/>
  <c r="K3925" i="1"/>
  <c r="M3924" i="1"/>
  <c r="L3924" i="1"/>
  <c r="K3924" i="1"/>
  <c r="M3923" i="1"/>
  <c r="L3923" i="1"/>
  <c r="K3923" i="1"/>
  <c r="M3922" i="1"/>
  <c r="L3922" i="1"/>
  <c r="K3922" i="1"/>
  <c r="M3921" i="1"/>
  <c r="L3921" i="1"/>
  <c r="K3921" i="1"/>
  <c r="M3920" i="1"/>
  <c r="L3920" i="1"/>
  <c r="K3920" i="1"/>
  <c r="M3919" i="1"/>
  <c r="L3919" i="1"/>
  <c r="K3919" i="1"/>
  <c r="M3918" i="1"/>
  <c r="L3918" i="1"/>
  <c r="K3918" i="1"/>
  <c r="M3917" i="1"/>
  <c r="K3917" i="1"/>
  <c r="K3916" i="1"/>
  <c r="M3915" i="1"/>
  <c r="K3915" i="1"/>
  <c r="M3914" i="1"/>
  <c r="K3914" i="1"/>
  <c r="M3913" i="1"/>
  <c r="K3913" i="1"/>
  <c r="M3912" i="1"/>
  <c r="K3912" i="1"/>
  <c r="M3911" i="1"/>
  <c r="K3911" i="1"/>
  <c r="M3910" i="1"/>
  <c r="K3910" i="1"/>
  <c r="M3909" i="1"/>
  <c r="K3909" i="1"/>
  <c r="M3908" i="1"/>
  <c r="K3908" i="1"/>
  <c r="K3907" i="1"/>
  <c r="M3906" i="1"/>
  <c r="K3906" i="1"/>
  <c r="M3905" i="1"/>
  <c r="K3905" i="1"/>
  <c r="K3904" i="1"/>
  <c r="M3903" i="1"/>
  <c r="L3903" i="1"/>
  <c r="K3903" i="1"/>
  <c r="M3902" i="1"/>
  <c r="L3902" i="1"/>
  <c r="K3902" i="1"/>
  <c r="M3901" i="1"/>
  <c r="L3901" i="1"/>
  <c r="K3901" i="1"/>
  <c r="M3900" i="1"/>
  <c r="L3900" i="1"/>
  <c r="K3900" i="1"/>
  <c r="M3899" i="1"/>
  <c r="L3899" i="1"/>
  <c r="K3899" i="1"/>
  <c r="M3898" i="1"/>
  <c r="L3898" i="1"/>
  <c r="K3898" i="1"/>
  <c r="M3897" i="1"/>
  <c r="L3897" i="1"/>
  <c r="K3897" i="1"/>
  <c r="M3896" i="1"/>
  <c r="L3896" i="1"/>
  <c r="K3896" i="1"/>
  <c r="M3895" i="1"/>
  <c r="L3895" i="1"/>
  <c r="K3895" i="1"/>
  <c r="M3894" i="1"/>
  <c r="L3894" i="1"/>
  <c r="K3894" i="1"/>
  <c r="M3893" i="1"/>
  <c r="L3893" i="1"/>
  <c r="K3893" i="1"/>
  <c r="M3892" i="1"/>
  <c r="L3892" i="1"/>
  <c r="K3892" i="1"/>
  <c r="M3891" i="1"/>
  <c r="K3891" i="1"/>
  <c r="M3890" i="1"/>
  <c r="K3890" i="1"/>
  <c r="M3889" i="1"/>
  <c r="K3889" i="1"/>
  <c r="M3888" i="1"/>
  <c r="K3888" i="1"/>
  <c r="M3887" i="1"/>
  <c r="K3887" i="1"/>
  <c r="M3886" i="1"/>
  <c r="K3886" i="1"/>
  <c r="M3885" i="1"/>
  <c r="K3885" i="1"/>
  <c r="M3884" i="1"/>
  <c r="K3884" i="1"/>
  <c r="M3883" i="1"/>
  <c r="K3883" i="1"/>
  <c r="M3882" i="1"/>
  <c r="K3882" i="1"/>
  <c r="M3881" i="1"/>
  <c r="K3881" i="1"/>
  <c r="M3880" i="1"/>
  <c r="K3880" i="1"/>
  <c r="M3879" i="1"/>
  <c r="K3879" i="1"/>
  <c r="M3878" i="1"/>
  <c r="K3878" i="1"/>
  <c r="K3877" i="1"/>
  <c r="M3876" i="1"/>
  <c r="K3876" i="1"/>
  <c r="M3875" i="1"/>
  <c r="K3875" i="1"/>
  <c r="M3874" i="1"/>
  <c r="K3874" i="1"/>
  <c r="M3873" i="1"/>
  <c r="K3873" i="1"/>
  <c r="K3872" i="1"/>
  <c r="M3871" i="1"/>
  <c r="K3871" i="1"/>
  <c r="M3870" i="1"/>
  <c r="K3870" i="1"/>
  <c r="M3869" i="1"/>
  <c r="K3869" i="1"/>
  <c r="M3868" i="1"/>
  <c r="K3868" i="1"/>
  <c r="M3867" i="1"/>
  <c r="K3867" i="1"/>
  <c r="M3866" i="1"/>
  <c r="K3866" i="1"/>
  <c r="K3865" i="1"/>
  <c r="M3864" i="1"/>
  <c r="K3864" i="1"/>
  <c r="K3863" i="1"/>
  <c r="M3862" i="1"/>
  <c r="K3862" i="1"/>
  <c r="K3861" i="1"/>
  <c r="M3860" i="1"/>
  <c r="L3860" i="1"/>
  <c r="K3860" i="1"/>
  <c r="M3859" i="1"/>
  <c r="L3859" i="1"/>
  <c r="K3859" i="1"/>
  <c r="M3858" i="1"/>
  <c r="L3858" i="1"/>
  <c r="K3858" i="1"/>
  <c r="M3857" i="1"/>
  <c r="L3857" i="1"/>
  <c r="K3857" i="1"/>
  <c r="M3856" i="1"/>
  <c r="L3856" i="1"/>
  <c r="K3856" i="1"/>
  <c r="M3855" i="1"/>
  <c r="L3855" i="1"/>
  <c r="K3855" i="1"/>
  <c r="M3854" i="1"/>
  <c r="L3854" i="1"/>
  <c r="K3854" i="1"/>
  <c r="M3853" i="1"/>
  <c r="L3853" i="1"/>
  <c r="K3853" i="1"/>
  <c r="M3852" i="1"/>
  <c r="L3852" i="1"/>
  <c r="K3852" i="1"/>
  <c r="M3851" i="1"/>
  <c r="L3851" i="1"/>
  <c r="K3851" i="1"/>
  <c r="M3850" i="1"/>
  <c r="K3850" i="1"/>
  <c r="K3849" i="1"/>
  <c r="M3848" i="1"/>
  <c r="L3848" i="1"/>
  <c r="K3848" i="1"/>
  <c r="M3847" i="1"/>
  <c r="L3847" i="1"/>
  <c r="K3847" i="1"/>
  <c r="M3846" i="1"/>
  <c r="L3846" i="1"/>
  <c r="K3846" i="1"/>
  <c r="M3845" i="1"/>
  <c r="L3845" i="1"/>
  <c r="K3845" i="1"/>
  <c r="M3844" i="1"/>
  <c r="L3844" i="1"/>
  <c r="K3844" i="1"/>
  <c r="M3843" i="1"/>
  <c r="L3843" i="1"/>
  <c r="K3843" i="1"/>
  <c r="M3842" i="1"/>
  <c r="L3842" i="1"/>
  <c r="K3842" i="1"/>
  <c r="M3841" i="1"/>
  <c r="L3841" i="1"/>
  <c r="K3841" i="1"/>
  <c r="M3840" i="1"/>
  <c r="L3840" i="1"/>
  <c r="K3840" i="1"/>
  <c r="M3839" i="1"/>
  <c r="L3839" i="1"/>
  <c r="K3839" i="1"/>
  <c r="M3838" i="1"/>
  <c r="L3838" i="1"/>
  <c r="K3838" i="1"/>
  <c r="M3837" i="1"/>
  <c r="L3837" i="1"/>
  <c r="K3837" i="1"/>
  <c r="M3836" i="1"/>
  <c r="L3836" i="1"/>
  <c r="K3836" i="1"/>
  <c r="M3835" i="1"/>
  <c r="L3835" i="1"/>
  <c r="K3835" i="1"/>
  <c r="M3834" i="1"/>
  <c r="L3834" i="1"/>
  <c r="K3834" i="1"/>
  <c r="M3833" i="1"/>
  <c r="L3833" i="1"/>
  <c r="K3833" i="1"/>
  <c r="M3832" i="1"/>
  <c r="L3832" i="1"/>
  <c r="K3832" i="1"/>
  <c r="M3831" i="1"/>
  <c r="L3831" i="1"/>
  <c r="K3831" i="1"/>
  <c r="M3830" i="1"/>
  <c r="L3830" i="1"/>
  <c r="K3830" i="1"/>
  <c r="M3829" i="1"/>
  <c r="L3829" i="1"/>
  <c r="K3829" i="1"/>
  <c r="M3828" i="1"/>
  <c r="K3828" i="1"/>
  <c r="M3827" i="1"/>
  <c r="K3827" i="1"/>
  <c r="K3826" i="1"/>
  <c r="M3825" i="1"/>
  <c r="K3825" i="1"/>
  <c r="M3824" i="1"/>
  <c r="K3824" i="1"/>
  <c r="M3823" i="1"/>
  <c r="K3823" i="1"/>
  <c r="M3822" i="1"/>
  <c r="K3822" i="1"/>
  <c r="K3821" i="1"/>
  <c r="M3820" i="1"/>
  <c r="L3820" i="1"/>
  <c r="K3820" i="1"/>
  <c r="M3819" i="1"/>
  <c r="L3819" i="1"/>
  <c r="K3819" i="1"/>
  <c r="M3818" i="1"/>
  <c r="L3818" i="1"/>
  <c r="K3818" i="1"/>
  <c r="M3817" i="1"/>
  <c r="L3817" i="1"/>
  <c r="K3817" i="1"/>
  <c r="M3816" i="1"/>
  <c r="L3816" i="1"/>
  <c r="K3816" i="1"/>
  <c r="M3815" i="1"/>
  <c r="L3815" i="1"/>
  <c r="K3815" i="1"/>
  <c r="M3814" i="1"/>
  <c r="L3814" i="1"/>
  <c r="K3814" i="1"/>
  <c r="M3813" i="1"/>
  <c r="L3813" i="1"/>
  <c r="K3813" i="1"/>
  <c r="M3812" i="1"/>
  <c r="L3812" i="1"/>
  <c r="K3812" i="1"/>
  <c r="M3811" i="1"/>
  <c r="L3811" i="1"/>
  <c r="K3811" i="1"/>
  <c r="M3810" i="1"/>
  <c r="L3810" i="1"/>
  <c r="K3810" i="1"/>
  <c r="M3809" i="1"/>
  <c r="L3809" i="1"/>
  <c r="K3809" i="1"/>
  <c r="M3808" i="1"/>
  <c r="K3808" i="1"/>
  <c r="K3807" i="1"/>
  <c r="M3806" i="1"/>
  <c r="K3806" i="1"/>
  <c r="M3805" i="1"/>
  <c r="K3805" i="1"/>
  <c r="M3804" i="1"/>
  <c r="K3804" i="1"/>
  <c r="K3803" i="1"/>
  <c r="M3802" i="1"/>
  <c r="K3802" i="1"/>
  <c r="M3801" i="1"/>
  <c r="K3801" i="1"/>
  <c r="M3800" i="1"/>
  <c r="K3800" i="1"/>
  <c r="K3799" i="1"/>
  <c r="M3798" i="1"/>
  <c r="K3798" i="1"/>
  <c r="M3797" i="1"/>
  <c r="K3797" i="1"/>
  <c r="M3796" i="1"/>
  <c r="K3796" i="1"/>
  <c r="M3795" i="1"/>
  <c r="K3795" i="1"/>
  <c r="K3794" i="1"/>
  <c r="M3793" i="1"/>
  <c r="K3793" i="1"/>
  <c r="M3792" i="1"/>
  <c r="K3792" i="1"/>
  <c r="K3791" i="1"/>
  <c r="M3790" i="1"/>
  <c r="K3790" i="1"/>
  <c r="M3789" i="1"/>
  <c r="K3789" i="1"/>
  <c r="M3788" i="1"/>
  <c r="K3788" i="1"/>
  <c r="M3787" i="1"/>
  <c r="K3787" i="1"/>
  <c r="M3786" i="1"/>
  <c r="K3786" i="1"/>
  <c r="K3785" i="1"/>
  <c r="M3784" i="1"/>
  <c r="K3784" i="1"/>
  <c r="M3783" i="1"/>
  <c r="K3783" i="1"/>
  <c r="M3782" i="1"/>
  <c r="K3782" i="1"/>
  <c r="M3781" i="1"/>
  <c r="K3781" i="1"/>
  <c r="M3780" i="1"/>
  <c r="K3780" i="1"/>
  <c r="M3779" i="1"/>
  <c r="K3779" i="1"/>
  <c r="M3778" i="1"/>
  <c r="K3778" i="1"/>
  <c r="M3777" i="1"/>
  <c r="K3777" i="1"/>
  <c r="M3776" i="1"/>
  <c r="K3776" i="1"/>
  <c r="M3775" i="1"/>
  <c r="K3775" i="1"/>
  <c r="M3774" i="1"/>
  <c r="K3774" i="1"/>
  <c r="M3773" i="1"/>
  <c r="K3773" i="1"/>
  <c r="M3772" i="1"/>
  <c r="K3772" i="1"/>
  <c r="K3771" i="1"/>
  <c r="M3770" i="1"/>
  <c r="L3770" i="1"/>
  <c r="K3770" i="1"/>
  <c r="M3769" i="1"/>
  <c r="L3769" i="1"/>
  <c r="K3769" i="1"/>
  <c r="M3768" i="1"/>
  <c r="L3768" i="1"/>
  <c r="K3768" i="1"/>
  <c r="M3767" i="1"/>
  <c r="L3767" i="1"/>
  <c r="K3767" i="1"/>
  <c r="M3766" i="1"/>
  <c r="L3766" i="1"/>
  <c r="K3766" i="1"/>
  <c r="M3765" i="1"/>
  <c r="L3765" i="1"/>
  <c r="K3765" i="1"/>
  <c r="M3764" i="1"/>
  <c r="L3764" i="1"/>
  <c r="K3764" i="1"/>
  <c r="M3763" i="1"/>
  <c r="L3763" i="1"/>
  <c r="K3763" i="1"/>
  <c r="M3762" i="1"/>
  <c r="L3762" i="1"/>
  <c r="K3762" i="1"/>
  <c r="M3761" i="1"/>
  <c r="L3761" i="1"/>
  <c r="K3761" i="1"/>
  <c r="M3760" i="1"/>
  <c r="L3760" i="1"/>
  <c r="K3760" i="1"/>
  <c r="M3759" i="1"/>
  <c r="L3759" i="1"/>
  <c r="K3759" i="1"/>
  <c r="M3758" i="1"/>
  <c r="L3758" i="1"/>
  <c r="K3758" i="1"/>
  <c r="M3757" i="1"/>
  <c r="L3757" i="1"/>
  <c r="K3757" i="1"/>
  <c r="M3756" i="1"/>
  <c r="L3756" i="1"/>
  <c r="K3756" i="1"/>
  <c r="M3755" i="1"/>
  <c r="L3755" i="1"/>
  <c r="K3755" i="1"/>
  <c r="M3754" i="1"/>
  <c r="K3754" i="1"/>
  <c r="M3753" i="1"/>
  <c r="K3753" i="1"/>
  <c r="K3752" i="1"/>
  <c r="M3751" i="1"/>
  <c r="K3751" i="1"/>
  <c r="M3750" i="1"/>
  <c r="K3750" i="1"/>
  <c r="M3749" i="1"/>
  <c r="K3749" i="1"/>
  <c r="M3748" i="1"/>
  <c r="K3748" i="1"/>
  <c r="K3747" i="1"/>
  <c r="M3746" i="1"/>
  <c r="K3746" i="1"/>
  <c r="M3745" i="1"/>
  <c r="K3745" i="1"/>
  <c r="M3744" i="1"/>
  <c r="K3744" i="1"/>
  <c r="M3743" i="1"/>
  <c r="K3743" i="1"/>
  <c r="M3742" i="1"/>
  <c r="K3742" i="1"/>
  <c r="M3741" i="1"/>
  <c r="K3741" i="1"/>
  <c r="K3740" i="1"/>
  <c r="M3739" i="1"/>
  <c r="K3739" i="1"/>
  <c r="M3738" i="1"/>
  <c r="K3738" i="1"/>
  <c r="M3737" i="1"/>
  <c r="K3737" i="1"/>
  <c r="M3736" i="1"/>
  <c r="K3736" i="1"/>
  <c r="M3735" i="1"/>
  <c r="K3735" i="1"/>
  <c r="M3734" i="1"/>
  <c r="K3734" i="1"/>
  <c r="K3733" i="1"/>
  <c r="M3732" i="1"/>
  <c r="K3732" i="1"/>
  <c r="M3731" i="1"/>
  <c r="K3731" i="1"/>
  <c r="K3730" i="1"/>
  <c r="M3729" i="1"/>
  <c r="K3729" i="1"/>
  <c r="M3728" i="1"/>
  <c r="K3728" i="1"/>
  <c r="M3727" i="1"/>
  <c r="K3727" i="1"/>
  <c r="K3726" i="1"/>
  <c r="M3725" i="1"/>
  <c r="K3725" i="1"/>
  <c r="M3724" i="1"/>
  <c r="K3724" i="1"/>
  <c r="M3723" i="1"/>
  <c r="K3723" i="1"/>
  <c r="M3722" i="1"/>
  <c r="K3722" i="1"/>
  <c r="M3721" i="1"/>
  <c r="K3721" i="1"/>
  <c r="M3720" i="1"/>
  <c r="K3720" i="1"/>
  <c r="M3719" i="1"/>
  <c r="K3719" i="1"/>
  <c r="M3718" i="1"/>
  <c r="K3718" i="1"/>
  <c r="K3717" i="1"/>
  <c r="M3716" i="1"/>
  <c r="K3716" i="1"/>
  <c r="M3715" i="1"/>
  <c r="K3715" i="1"/>
  <c r="M3714" i="1"/>
  <c r="K3714" i="1"/>
  <c r="M3713" i="1"/>
  <c r="K3713" i="1"/>
  <c r="M3712" i="1"/>
  <c r="K3712" i="1"/>
  <c r="M3711" i="1"/>
  <c r="K3711" i="1"/>
  <c r="M3710" i="1"/>
  <c r="K3710" i="1"/>
  <c r="M3709" i="1"/>
  <c r="K3709" i="1"/>
  <c r="M3708" i="1"/>
  <c r="K3708" i="1"/>
  <c r="M3707" i="1"/>
  <c r="K3707" i="1"/>
  <c r="M3706" i="1"/>
  <c r="K3706" i="1"/>
  <c r="M3705" i="1"/>
  <c r="K3705" i="1"/>
  <c r="K3704" i="1"/>
  <c r="M3703" i="1"/>
  <c r="K3703" i="1"/>
  <c r="M3702" i="1"/>
  <c r="K3702" i="1"/>
  <c r="M3701" i="1"/>
  <c r="K3701" i="1"/>
  <c r="M3700" i="1"/>
  <c r="K3700" i="1"/>
  <c r="K3699" i="1"/>
  <c r="M3698" i="1"/>
  <c r="K3698" i="1"/>
  <c r="M3697" i="1"/>
  <c r="K3697" i="1"/>
  <c r="M3696" i="1"/>
  <c r="K3696" i="1"/>
  <c r="M3695" i="1"/>
  <c r="K3695" i="1"/>
  <c r="M3694" i="1"/>
  <c r="K3694" i="1"/>
  <c r="M3693" i="1"/>
  <c r="K3693" i="1"/>
  <c r="M3692" i="1"/>
  <c r="K3692" i="1"/>
  <c r="M3691" i="1"/>
  <c r="K3691" i="1"/>
  <c r="K3690" i="1"/>
  <c r="M3689" i="1"/>
  <c r="L3689" i="1"/>
  <c r="K3689" i="1"/>
  <c r="M3688" i="1"/>
  <c r="L3688" i="1"/>
  <c r="K3688" i="1"/>
  <c r="M3687" i="1"/>
  <c r="L3687" i="1"/>
  <c r="K3687" i="1"/>
  <c r="M3686" i="1"/>
  <c r="L3686" i="1"/>
  <c r="K3686" i="1"/>
  <c r="M3685" i="1"/>
  <c r="L3685" i="1"/>
  <c r="K3685" i="1"/>
  <c r="M3684" i="1"/>
  <c r="L3684" i="1"/>
  <c r="K3684" i="1"/>
  <c r="M3683" i="1"/>
  <c r="L3683" i="1"/>
  <c r="K3683" i="1"/>
  <c r="M3682" i="1"/>
  <c r="L3682" i="1"/>
  <c r="K3682" i="1"/>
  <c r="M3681" i="1"/>
  <c r="L3681" i="1"/>
  <c r="K3681" i="1"/>
  <c r="M3680" i="1"/>
  <c r="L3680" i="1"/>
  <c r="K3680" i="1"/>
  <c r="M3679" i="1"/>
  <c r="L3679" i="1"/>
  <c r="K3679" i="1"/>
  <c r="M3678" i="1"/>
  <c r="L3678" i="1"/>
  <c r="K3678" i="1"/>
  <c r="M3677" i="1"/>
  <c r="L3677" i="1"/>
  <c r="K3677" i="1"/>
  <c r="M3676" i="1"/>
  <c r="L3676" i="1"/>
  <c r="K3676" i="1"/>
  <c r="M3675" i="1"/>
  <c r="L3675" i="1"/>
  <c r="K3675" i="1"/>
  <c r="M3674" i="1"/>
  <c r="L3674" i="1"/>
  <c r="K3674" i="1"/>
  <c r="M3673" i="1"/>
  <c r="L3673" i="1"/>
  <c r="K3673" i="1"/>
  <c r="M3672" i="1"/>
  <c r="L3672" i="1"/>
  <c r="K3672" i="1"/>
  <c r="M3671" i="1"/>
  <c r="K3671" i="1"/>
  <c r="K3670" i="1"/>
  <c r="M3669" i="1"/>
  <c r="L3669" i="1"/>
  <c r="K3669" i="1"/>
  <c r="M3668" i="1"/>
  <c r="L3668" i="1"/>
  <c r="K3668" i="1"/>
  <c r="M3667" i="1"/>
  <c r="L3667" i="1"/>
  <c r="K3667" i="1"/>
  <c r="M3666" i="1"/>
  <c r="L3666" i="1"/>
  <c r="K3666" i="1"/>
  <c r="M3665" i="1"/>
  <c r="L3665" i="1"/>
  <c r="K3665" i="1"/>
  <c r="M3664" i="1"/>
  <c r="L3664" i="1"/>
  <c r="K3664" i="1"/>
  <c r="M3663" i="1"/>
  <c r="L3663" i="1"/>
  <c r="K3663" i="1"/>
  <c r="M3662" i="1"/>
  <c r="L3662" i="1"/>
  <c r="K3662" i="1"/>
  <c r="M3661" i="1"/>
  <c r="L3661" i="1"/>
  <c r="K3661" i="1"/>
  <c r="M3660" i="1"/>
  <c r="L3660" i="1"/>
  <c r="K3660" i="1"/>
  <c r="M3659" i="1"/>
  <c r="L3659" i="1"/>
  <c r="K3659" i="1"/>
  <c r="M3658" i="1"/>
  <c r="L3658" i="1"/>
  <c r="K3658" i="1"/>
  <c r="M3657" i="1"/>
  <c r="L3657" i="1"/>
  <c r="K3657" i="1"/>
  <c r="M3656" i="1"/>
  <c r="L3656" i="1"/>
  <c r="K3656" i="1"/>
  <c r="M3655" i="1"/>
  <c r="L3655" i="1"/>
  <c r="K3655" i="1"/>
  <c r="M3654" i="1"/>
  <c r="L3654" i="1"/>
  <c r="K3654" i="1"/>
  <c r="M3653" i="1"/>
  <c r="L3653" i="1"/>
  <c r="K3653" i="1"/>
  <c r="M3652" i="1"/>
  <c r="L3652" i="1"/>
  <c r="K3652" i="1"/>
  <c r="M3651" i="1"/>
  <c r="L3651" i="1"/>
  <c r="K3651" i="1"/>
  <c r="M3650" i="1"/>
  <c r="L3650" i="1"/>
  <c r="K3650" i="1"/>
  <c r="M3649" i="1"/>
  <c r="K3649" i="1"/>
  <c r="M3648" i="1"/>
  <c r="K3648" i="1"/>
  <c r="M3647" i="1"/>
  <c r="K3647" i="1"/>
  <c r="M3646" i="1"/>
  <c r="K3646" i="1"/>
  <c r="M3645" i="1"/>
  <c r="K3645" i="1"/>
  <c r="M3644" i="1"/>
  <c r="K3644" i="1"/>
  <c r="M3643" i="1"/>
  <c r="K3643" i="1"/>
  <c r="M3642" i="1"/>
  <c r="K3642" i="1"/>
  <c r="M3641" i="1"/>
  <c r="K3641" i="1"/>
  <c r="M3640" i="1"/>
  <c r="K3640" i="1"/>
  <c r="M3639" i="1"/>
  <c r="K3639" i="1"/>
  <c r="M3638" i="1"/>
  <c r="K3638" i="1"/>
  <c r="M3637" i="1"/>
  <c r="K3637" i="1"/>
  <c r="K3636" i="1"/>
  <c r="M3635" i="1"/>
  <c r="L3635" i="1"/>
  <c r="K3635" i="1"/>
  <c r="M3634" i="1"/>
  <c r="L3634" i="1"/>
  <c r="K3634" i="1"/>
  <c r="M3633" i="1"/>
  <c r="L3633" i="1"/>
  <c r="K3633" i="1"/>
  <c r="M3632" i="1"/>
  <c r="L3632" i="1"/>
  <c r="K3632" i="1"/>
  <c r="M3631" i="1"/>
  <c r="L3631" i="1"/>
  <c r="K3631" i="1"/>
  <c r="M3630" i="1"/>
  <c r="L3630" i="1"/>
  <c r="K3630" i="1"/>
  <c r="M3629" i="1"/>
  <c r="L3629" i="1"/>
  <c r="K3629" i="1"/>
  <c r="M3628" i="1"/>
  <c r="L3628" i="1"/>
  <c r="K3628" i="1"/>
  <c r="M3627" i="1"/>
  <c r="L3627" i="1"/>
  <c r="K3627" i="1"/>
  <c r="M3626" i="1"/>
  <c r="L3626" i="1"/>
  <c r="K3626" i="1"/>
  <c r="M3625" i="1"/>
  <c r="L3625" i="1"/>
  <c r="K3625" i="1"/>
  <c r="M3624" i="1"/>
  <c r="L3624" i="1"/>
  <c r="K3624" i="1"/>
  <c r="M3623" i="1"/>
  <c r="L3623" i="1"/>
  <c r="K3623" i="1"/>
  <c r="M3622" i="1"/>
  <c r="L3622" i="1"/>
  <c r="K3622" i="1"/>
  <c r="M3621" i="1"/>
  <c r="K3621" i="1"/>
  <c r="M3620" i="1"/>
  <c r="K3620" i="1"/>
  <c r="M3619" i="1"/>
  <c r="K3619" i="1"/>
  <c r="M3618" i="1"/>
  <c r="K3618" i="1"/>
  <c r="K3617" i="1"/>
  <c r="M3616" i="1"/>
  <c r="K3616" i="1"/>
  <c r="M3615" i="1"/>
  <c r="K3615" i="1"/>
  <c r="M3614" i="1"/>
  <c r="K3614" i="1"/>
  <c r="M3613" i="1"/>
  <c r="K3613" i="1"/>
  <c r="K3612" i="1"/>
  <c r="M3611" i="1"/>
  <c r="K3611" i="1"/>
  <c r="M3610" i="1"/>
  <c r="K3610" i="1"/>
  <c r="K3609" i="1"/>
  <c r="M3608" i="1"/>
  <c r="L3608" i="1"/>
  <c r="K3608" i="1"/>
  <c r="M3607" i="1"/>
  <c r="L3607" i="1"/>
  <c r="K3607" i="1"/>
  <c r="M3606" i="1"/>
  <c r="L3606" i="1"/>
  <c r="K3606" i="1"/>
  <c r="M3605" i="1"/>
  <c r="L3605" i="1"/>
  <c r="K3605" i="1"/>
  <c r="M3604" i="1"/>
  <c r="L3604" i="1"/>
  <c r="K3604" i="1"/>
  <c r="M3603" i="1"/>
  <c r="L3603" i="1"/>
  <c r="K3603" i="1"/>
  <c r="M3602" i="1"/>
  <c r="L3602" i="1"/>
  <c r="K3602" i="1"/>
  <c r="M3601" i="1"/>
  <c r="L3601" i="1"/>
  <c r="K3601" i="1"/>
  <c r="M3600" i="1"/>
  <c r="L3600" i="1"/>
  <c r="K3600" i="1"/>
  <c r="M3599" i="1"/>
  <c r="L3599" i="1"/>
  <c r="K3599" i="1"/>
  <c r="M3598" i="1"/>
  <c r="L3598" i="1"/>
  <c r="K3598" i="1"/>
  <c r="M3597" i="1"/>
  <c r="L3597" i="1"/>
  <c r="K3597" i="1"/>
  <c r="M3596" i="1"/>
  <c r="K3596" i="1"/>
  <c r="M3595" i="1"/>
  <c r="K3595" i="1"/>
  <c r="M3594" i="1"/>
  <c r="K3594" i="1"/>
  <c r="K3593" i="1"/>
  <c r="M3592" i="1"/>
  <c r="K3592" i="1"/>
  <c r="M3591" i="1"/>
  <c r="K3591" i="1"/>
  <c r="M3590" i="1"/>
  <c r="K3590" i="1"/>
  <c r="K3589" i="1"/>
  <c r="M3588" i="1"/>
  <c r="K3588" i="1"/>
  <c r="M3587" i="1"/>
  <c r="K3587" i="1"/>
  <c r="K3586" i="1"/>
  <c r="M3585" i="1"/>
  <c r="L3585" i="1"/>
  <c r="K3585" i="1"/>
  <c r="M3584" i="1"/>
  <c r="L3584" i="1"/>
  <c r="K3584" i="1"/>
  <c r="M3583" i="1"/>
  <c r="L3583" i="1"/>
  <c r="K3583" i="1"/>
  <c r="M3582" i="1"/>
  <c r="L3582" i="1"/>
  <c r="K3582" i="1"/>
  <c r="M3581" i="1"/>
  <c r="L3581" i="1"/>
  <c r="K3581" i="1"/>
  <c r="M3580" i="1"/>
  <c r="K3580" i="1"/>
  <c r="M3579" i="1"/>
  <c r="K3579" i="1"/>
  <c r="M3578" i="1"/>
  <c r="K3578" i="1"/>
  <c r="M3577" i="1"/>
  <c r="K3577" i="1"/>
  <c r="M3576" i="1"/>
  <c r="K3576" i="1"/>
  <c r="M3575" i="1"/>
  <c r="K3575" i="1"/>
  <c r="M3574" i="1"/>
  <c r="K3574" i="1"/>
  <c r="M3573" i="1"/>
  <c r="K3573" i="1"/>
  <c r="M3572" i="1"/>
  <c r="K3572" i="1"/>
  <c r="K3571" i="1"/>
  <c r="M3570" i="1"/>
  <c r="K3570" i="1"/>
  <c r="M3569" i="1"/>
  <c r="K3569" i="1"/>
  <c r="M3568" i="1"/>
  <c r="K3568" i="1"/>
  <c r="K3567" i="1"/>
  <c r="M3566" i="1"/>
  <c r="K3566" i="1"/>
  <c r="M3565" i="1"/>
  <c r="K3565" i="1"/>
  <c r="M3564" i="1"/>
  <c r="K3564" i="1"/>
  <c r="K3563" i="1"/>
  <c r="M3562" i="1"/>
  <c r="L3562" i="1"/>
  <c r="K3562" i="1"/>
  <c r="M3561" i="1"/>
  <c r="L3561" i="1"/>
  <c r="K3561" i="1"/>
  <c r="M3560" i="1"/>
  <c r="L3560" i="1"/>
  <c r="K3560" i="1"/>
  <c r="M3559" i="1"/>
  <c r="L3559" i="1"/>
  <c r="K3559" i="1"/>
  <c r="M3558" i="1"/>
  <c r="K3558" i="1"/>
  <c r="M3557" i="1"/>
  <c r="K3557" i="1"/>
  <c r="M3556" i="1"/>
  <c r="K3556" i="1"/>
  <c r="K3555" i="1"/>
  <c r="M3554" i="1"/>
  <c r="L3554" i="1"/>
  <c r="K3554" i="1"/>
  <c r="M3553" i="1"/>
  <c r="L3553" i="1"/>
  <c r="K3553" i="1"/>
  <c r="M3552" i="1"/>
  <c r="L3552" i="1"/>
  <c r="K3552" i="1"/>
  <c r="M3551" i="1"/>
  <c r="L3551" i="1"/>
  <c r="K3551" i="1"/>
  <c r="M3550" i="1"/>
  <c r="L3550" i="1"/>
  <c r="K3550" i="1"/>
  <c r="M3549" i="1"/>
  <c r="L3549" i="1"/>
  <c r="K3549" i="1"/>
  <c r="M3548" i="1"/>
  <c r="L3548" i="1"/>
  <c r="K3548" i="1"/>
  <c r="M3547" i="1"/>
  <c r="L3547" i="1"/>
  <c r="K3547" i="1"/>
  <c r="M3546" i="1"/>
  <c r="K3546" i="1"/>
  <c r="M3545" i="1"/>
  <c r="K3545" i="1"/>
  <c r="K3544" i="1"/>
  <c r="M3543" i="1"/>
  <c r="K3543" i="1"/>
  <c r="M3542" i="1"/>
  <c r="K3542" i="1"/>
  <c r="K3541" i="1"/>
  <c r="M3540" i="1"/>
  <c r="K3540" i="1"/>
  <c r="M3539" i="1"/>
  <c r="K3539" i="1"/>
  <c r="M3538" i="1"/>
  <c r="K3538" i="1"/>
  <c r="M3537" i="1"/>
  <c r="K3537" i="1"/>
  <c r="M3536" i="1"/>
  <c r="K3536" i="1"/>
  <c r="M3535" i="1"/>
  <c r="K3535" i="1"/>
  <c r="K3534" i="1"/>
  <c r="M3533" i="1"/>
  <c r="L3533" i="1"/>
  <c r="K3533" i="1"/>
  <c r="M3532" i="1"/>
  <c r="L3532" i="1"/>
  <c r="K3532" i="1"/>
  <c r="M3531" i="1"/>
  <c r="L3531" i="1"/>
  <c r="K3531" i="1"/>
  <c r="M3530" i="1"/>
  <c r="L3530" i="1"/>
  <c r="K3530" i="1"/>
  <c r="M3529" i="1"/>
  <c r="L3529" i="1"/>
  <c r="K3529" i="1"/>
  <c r="M3528" i="1"/>
  <c r="L3528" i="1"/>
  <c r="K3528" i="1"/>
  <c r="M3527" i="1"/>
  <c r="L3527" i="1"/>
  <c r="K3527" i="1"/>
  <c r="M3526" i="1"/>
  <c r="L3526" i="1"/>
  <c r="K3526" i="1"/>
  <c r="M3525" i="1"/>
  <c r="L3525" i="1"/>
  <c r="K3525" i="1"/>
  <c r="M3524" i="1"/>
  <c r="L3524" i="1"/>
  <c r="K3524" i="1"/>
  <c r="M3523" i="1"/>
  <c r="L3523" i="1"/>
  <c r="K3523" i="1"/>
  <c r="M3522" i="1"/>
  <c r="L3522" i="1"/>
  <c r="K3522" i="1"/>
  <c r="M3521" i="1"/>
  <c r="L3521" i="1"/>
  <c r="K3521" i="1"/>
  <c r="M3520" i="1"/>
  <c r="L3520" i="1"/>
  <c r="K3520" i="1"/>
  <c r="M3519" i="1"/>
  <c r="L3519" i="1"/>
  <c r="K3519" i="1"/>
  <c r="M3518" i="1"/>
  <c r="L3518" i="1"/>
  <c r="K3518" i="1"/>
  <c r="M3517" i="1"/>
  <c r="L3517" i="1"/>
  <c r="K3517" i="1"/>
  <c r="M3516" i="1"/>
  <c r="L3516" i="1"/>
  <c r="K3516" i="1"/>
  <c r="M3515" i="1"/>
  <c r="L3515" i="1"/>
  <c r="K3515" i="1"/>
  <c r="M3514" i="1"/>
  <c r="L3514" i="1"/>
  <c r="K3514" i="1"/>
  <c r="M3513" i="1"/>
  <c r="K3513" i="1"/>
  <c r="M3512" i="1"/>
  <c r="K3512" i="1"/>
  <c r="K3511" i="1"/>
  <c r="M3510" i="1"/>
  <c r="K3510" i="1"/>
  <c r="M3509" i="1"/>
  <c r="K3509" i="1"/>
  <c r="M3508" i="1"/>
  <c r="K3508" i="1"/>
  <c r="M3507" i="1"/>
  <c r="K3507" i="1"/>
  <c r="M3506" i="1"/>
  <c r="K3506" i="1"/>
  <c r="M3505" i="1"/>
  <c r="K3505" i="1"/>
  <c r="M3504" i="1"/>
  <c r="K3504" i="1"/>
  <c r="M3503" i="1"/>
  <c r="K3503" i="1"/>
  <c r="K3502" i="1"/>
  <c r="M3501" i="1"/>
  <c r="L3501" i="1"/>
  <c r="K3501" i="1"/>
  <c r="M3500" i="1"/>
  <c r="L3500" i="1"/>
  <c r="K3500" i="1"/>
  <c r="M3499" i="1"/>
  <c r="L3499" i="1"/>
  <c r="K3499" i="1"/>
  <c r="M3498" i="1"/>
  <c r="L3498" i="1"/>
  <c r="K3498" i="1"/>
  <c r="M3497" i="1"/>
  <c r="L3497" i="1"/>
  <c r="K3497" i="1"/>
  <c r="M3496" i="1"/>
  <c r="L3496" i="1"/>
  <c r="K3496" i="1"/>
  <c r="M3495" i="1"/>
  <c r="L3495" i="1"/>
  <c r="K3495" i="1"/>
  <c r="M3494" i="1"/>
  <c r="L3494" i="1"/>
  <c r="K3494" i="1"/>
  <c r="M3493" i="1"/>
  <c r="L3493" i="1"/>
  <c r="K3493" i="1"/>
  <c r="M3492" i="1"/>
  <c r="L3492" i="1"/>
  <c r="K3492" i="1"/>
  <c r="M3491" i="1"/>
  <c r="L3491" i="1"/>
  <c r="K3491" i="1"/>
  <c r="M3490" i="1"/>
  <c r="L3490" i="1"/>
  <c r="K3490" i="1"/>
  <c r="M3489" i="1"/>
  <c r="L3489" i="1"/>
  <c r="K3489" i="1"/>
  <c r="M3488" i="1"/>
  <c r="L3488" i="1"/>
  <c r="K3488" i="1"/>
  <c r="M3487" i="1"/>
  <c r="L3487" i="1"/>
  <c r="K3487" i="1"/>
  <c r="M3486" i="1"/>
  <c r="L3486" i="1"/>
  <c r="K3486" i="1"/>
  <c r="M3485" i="1"/>
  <c r="L3485" i="1"/>
  <c r="K3485" i="1"/>
  <c r="M3484" i="1"/>
  <c r="L3484" i="1"/>
  <c r="K3484" i="1"/>
  <c r="M3483" i="1"/>
  <c r="L3483" i="1"/>
  <c r="K3483" i="1"/>
  <c r="M3482" i="1"/>
  <c r="L3482" i="1"/>
  <c r="K3482" i="1"/>
  <c r="M3481" i="1"/>
  <c r="L3481" i="1"/>
  <c r="K3481" i="1"/>
  <c r="M3480" i="1"/>
  <c r="L3480" i="1"/>
  <c r="K3480" i="1"/>
  <c r="M3479" i="1"/>
  <c r="L3479" i="1"/>
  <c r="K3479" i="1"/>
  <c r="M3478" i="1"/>
  <c r="L3478" i="1"/>
  <c r="K3478" i="1"/>
  <c r="M3477" i="1"/>
  <c r="K3477" i="1"/>
  <c r="M3476" i="1"/>
  <c r="K3476" i="1"/>
  <c r="K3475" i="1"/>
  <c r="M3474" i="1"/>
  <c r="L3474" i="1"/>
  <c r="K3474" i="1"/>
  <c r="M3473" i="1"/>
  <c r="L3473" i="1"/>
  <c r="K3473" i="1"/>
  <c r="M3472" i="1"/>
  <c r="L3472" i="1"/>
  <c r="K3472" i="1"/>
  <c r="M3471" i="1"/>
  <c r="L3471" i="1"/>
  <c r="K3471" i="1"/>
  <c r="M3470" i="1"/>
  <c r="L3470" i="1"/>
  <c r="K3470" i="1"/>
  <c r="M3469" i="1"/>
  <c r="L3469" i="1"/>
  <c r="K3469" i="1"/>
  <c r="M3468" i="1"/>
  <c r="L3468" i="1"/>
  <c r="K3468" i="1"/>
  <c r="M3467" i="1"/>
  <c r="L3467" i="1"/>
  <c r="K3467" i="1"/>
  <c r="M3466" i="1"/>
  <c r="L3466" i="1"/>
  <c r="K3466" i="1"/>
  <c r="M3465" i="1"/>
  <c r="K3465" i="1"/>
  <c r="M3464" i="1"/>
  <c r="K3464" i="1"/>
  <c r="M3463" i="1"/>
  <c r="K3463" i="1"/>
  <c r="K3462" i="1"/>
  <c r="M3461" i="1"/>
  <c r="K3461" i="1"/>
  <c r="M3460" i="1"/>
  <c r="K3460" i="1"/>
  <c r="M3459" i="1"/>
  <c r="K3459" i="1"/>
  <c r="K3458" i="1"/>
  <c r="M3457" i="1"/>
  <c r="K3457" i="1"/>
  <c r="M3456" i="1"/>
  <c r="K3456" i="1"/>
  <c r="M3455" i="1"/>
  <c r="K3455" i="1"/>
  <c r="K3454" i="1"/>
  <c r="M3453" i="1"/>
  <c r="L3453" i="1"/>
  <c r="K3453" i="1"/>
  <c r="M3452" i="1"/>
  <c r="L3452" i="1"/>
  <c r="K3452" i="1"/>
  <c r="M3451" i="1"/>
  <c r="L3451" i="1"/>
  <c r="K3451" i="1"/>
  <c r="M3450" i="1"/>
  <c r="L3450" i="1"/>
  <c r="K3450" i="1"/>
  <c r="M3449" i="1"/>
  <c r="L3449" i="1"/>
  <c r="K3449" i="1"/>
  <c r="M3448" i="1"/>
  <c r="L3448" i="1"/>
  <c r="K3448" i="1"/>
  <c r="M3447" i="1"/>
  <c r="L3447" i="1"/>
  <c r="K3447" i="1"/>
  <c r="M3446" i="1"/>
  <c r="L3446" i="1"/>
  <c r="K3446" i="1"/>
  <c r="M3445" i="1"/>
  <c r="L3445" i="1"/>
  <c r="K3445" i="1"/>
  <c r="M3444" i="1"/>
  <c r="L3444" i="1"/>
  <c r="K3444" i="1"/>
  <c r="M3443" i="1"/>
  <c r="L3443" i="1"/>
  <c r="K3443" i="1"/>
  <c r="M3442" i="1"/>
  <c r="L3442" i="1"/>
  <c r="K3442" i="1"/>
  <c r="M3441" i="1"/>
  <c r="L3441" i="1"/>
  <c r="K3441" i="1"/>
  <c r="M3440" i="1"/>
  <c r="L3440" i="1"/>
  <c r="K3440" i="1"/>
  <c r="M3439" i="1"/>
  <c r="L3439" i="1"/>
  <c r="K3439" i="1"/>
  <c r="M3438" i="1"/>
  <c r="L3438" i="1"/>
  <c r="K3438" i="1"/>
  <c r="M3437" i="1"/>
  <c r="L3437" i="1"/>
  <c r="K3437" i="1"/>
  <c r="M3436" i="1"/>
  <c r="L3436" i="1"/>
  <c r="K3436" i="1"/>
  <c r="M3435" i="1"/>
  <c r="L3435" i="1"/>
  <c r="K3435" i="1"/>
  <c r="M3434" i="1"/>
  <c r="L3434" i="1"/>
  <c r="K3434" i="1"/>
  <c r="M3433" i="1"/>
  <c r="L3433" i="1"/>
  <c r="K3433" i="1"/>
  <c r="M3432" i="1"/>
  <c r="L3432" i="1"/>
  <c r="K3432" i="1"/>
  <c r="M3431" i="1"/>
  <c r="L3431" i="1"/>
  <c r="K3431" i="1"/>
  <c r="M3430" i="1"/>
  <c r="L3430" i="1"/>
  <c r="K3430" i="1"/>
  <c r="M3429" i="1"/>
  <c r="K3429" i="1"/>
  <c r="M3428" i="1"/>
  <c r="K3428" i="1"/>
  <c r="M3427" i="1"/>
  <c r="K3427" i="1"/>
  <c r="K3426" i="1"/>
  <c r="M3425" i="1"/>
  <c r="K3425" i="1"/>
  <c r="M3424" i="1"/>
  <c r="K3424" i="1"/>
  <c r="M3423" i="1"/>
  <c r="K3423" i="1"/>
  <c r="M3422" i="1"/>
  <c r="K3422" i="1"/>
  <c r="M3421" i="1"/>
  <c r="K3421" i="1"/>
  <c r="M3420" i="1"/>
  <c r="K3420" i="1"/>
  <c r="M3419" i="1"/>
  <c r="K3419" i="1"/>
  <c r="K3418" i="1"/>
  <c r="M3417" i="1"/>
  <c r="K3417" i="1"/>
  <c r="M3416" i="1"/>
  <c r="K3416" i="1"/>
  <c r="K3415" i="1"/>
  <c r="M3414" i="1"/>
  <c r="L3414" i="1"/>
  <c r="K3414" i="1"/>
  <c r="M3413" i="1"/>
  <c r="L3413" i="1"/>
  <c r="K3413" i="1"/>
  <c r="M3412" i="1"/>
  <c r="L3412" i="1"/>
  <c r="K3412" i="1"/>
  <c r="M3411" i="1"/>
  <c r="L3411" i="1"/>
  <c r="K3411" i="1"/>
  <c r="M3410" i="1"/>
  <c r="L3410" i="1"/>
  <c r="K3410" i="1"/>
  <c r="M3409" i="1"/>
  <c r="L3409" i="1"/>
  <c r="K3409" i="1"/>
  <c r="M3408" i="1"/>
  <c r="L3408" i="1"/>
  <c r="K3408" i="1"/>
  <c r="M3407" i="1"/>
  <c r="L3407" i="1"/>
  <c r="K3407" i="1"/>
  <c r="M3406" i="1"/>
  <c r="L3406" i="1"/>
  <c r="K3406" i="1"/>
  <c r="M3405" i="1"/>
  <c r="K3405" i="1"/>
  <c r="M3404" i="1"/>
  <c r="K3404" i="1"/>
  <c r="M3403" i="1"/>
  <c r="K3403" i="1"/>
  <c r="M3402" i="1"/>
  <c r="K3402" i="1"/>
  <c r="M3401" i="1"/>
  <c r="K3401" i="1"/>
  <c r="M3400" i="1"/>
  <c r="K3400" i="1"/>
  <c r="M3399" i="1"/>
  <c r="K3399" i="1"/>
  <c r="M3398" i="1"/>
  <c r="K3398" i="1"/>
  <c r="K3397" i="1"/>
  <c r="M3396" i="1"/>
  <c r="L3396" i="1"/>
  <c r="K3396" i="1"/>
  <c r="M3395" i="1"/>
  <c r="L3395" i="1"/>
  <c r="K3395" i="1"/>
  <c r="M3394" i="1"/>
  <c r="L3394" i="1"/>
  <c r="K3394" i="1"/>
  <c r="M3393" i="1"/>
  <c r="L3393" i="1"/>
  <c r="K3393" i="1"/>
  <c r="M3392" i="1"/>
  <c r="L3392" i="1"/>
  <c r="K3392" i="1"/>
  <c r="M3391" i="1"/>
  <c r="L3391" i="1"/>
  <c r="K3391" i="1"/>
  <c r="M3390" i="1"/>
  <c r="L3390" i="1"/>
  <c r="K3390" i="1"/>
  <c r="M3389" i="1"/>
  <c r="L3389" i="1"/>
  <c r="K3389" i="1"/>
  <c r="M3388" i="1"/>
  <c r="L3388" i="1"/>
  <c r="K3388" i="1"/>
  <c r="M3387" i="1"/>
  <c r="L3387" i="1"/>
  <c r="K3387" i="1"/>
  <c r="M3386" i="1"/>
  <c r="L3386" i="1"/>
  <c r="K3386" i="1"/>
  <c r="M3385" i="1"/>
  <c r="L3385" i="1"/>
  <c r="K3385" i="1"/>
  <c r="M3384" i="1"/>
  <c r="L3384" i="1"/>
  <c r="K3384" i="1"/>
  <c r="M3383" i="1"/>
  <c r="L3383" i="1"/>
  <c r="K3383" i="1"/>
  <c r="M3382" i="1"/>
  <c r="L3382" i="1"/>
  <c r="K3382" i="1"/>
  <c r="M3381" i="1"/>
  <c r="K3381" i="1"/>
  <c r="M3380" i="1"/>
  <c r="K3380" i="1"/>
  <c r="M3379" i="1"/>
  <c r="K3379" i="1"/>
  <c r="K3378" i="1"/>
  <c r="M3377" i="1"/>
  <c r="K3377" i="1"/>
  <c r="M3376" i="1"/>
  <c r="K3376" i="1"/>
  <c r="K3375" i="1"/>
  <c r="M3374" i="1"/>
  <c r="K3374" i="1"/>
  <c r="M3373" i="1"/>
  <c r="K3373" i="1"/>
  <c r="M3372" i="1"/>
  <c r="K3372" i="1"/>
  <c r="M3371" i="1"/>
  <c r="K3371" i="1"/>
  <c r="M3370" i="1"/>
  <c r="K3370" i="1"/>
  <c r="M3369" i="1"/>
  <c r="K3369" i="1"/>
  <c r="M3368" i="1"/>
  <c r="K3368" i="1"/>
  <c r="M3367" i="1"/>
  <c r="K3367" i="1"/>
  <c r="M3366" i="1"/>
  <c r="K3366" i="1"/>
  <c r="M3365" i="1"/>
  <c r="K3365" i="1"/>
  <c r="M3364" i="1"/>
  <c r="K3364" i="1"/>
  <c r="K3363" i="1"/>
  <c r="M3362" i="1"/>
  <c r="K3362" i="1"/>
  <c r="M3361" i="1"/>
  <c r="K3361" i="1"/>
  <c r="M3360" i="1"/>
  <c r="K3360" i="1"/>
  <c r="K3359" i="1"/>
  <c r="M3358" i="1"/>
  <c r="L3358" i="1"/>
  <c r="K3358" i="1"/>
  <c r="M3357" i="1"/>
  <c r="L3357" i="1"/>
  <c r="K3357" i="1"/>
  <c r="M3356" i="1"/>
  <c r="L3356" i="1"/>
  <c r="K3356" i="1"/>
  <c r="M3355" i="1"/>
  <c r="L3355" i="1"/>
  <c r="K3355" i="1"/>
  <c r="M3354" i="1"/>
  <c r="L3354" i="1"/>
  <c r="K3354" i="1"/>
  <c r="M3353" i="1"/>
  <c r="L3353" i="1"/>
  <c r="K3353" i="1"/>
  <c r="M3352" i="1"/>
  <c r="L3352" i="1"/>
  <c r="K3352" i="1"/>
  <c r="M3351" i="1"/>
  <c r="L3351" i="1"/>
  <c r="K3351" i="1"/>
  <c r="M3350" i="1"/>
  <c r="L3350" i="1"/>
  <c r="K3350" i="1"/>
  <c r="M3349" i="1"/>
  <c r="L3349" i="1"/>
  <c r="K3349" i="1"/>
  <c r="M3348" i="1"/>
  <c r="L3348" i="1"/>
  <c r="K3348" i="1"/>
  <c r="M3347" i="1"/>
  <c r="L3347" i="1"/>
  <c r="K3347" i="1"/>
  <c r="M3346" i="1"/>
  <c r="L3346" i="1"/>
  <c r="K3346" i="1"/>
  <c r="M3345" i="1"/>
  <c r="L3345" i="1"/>
  <c r="K3345" i="1"/>
  <c r="M3344" i="1"/>
  <c r="L3344" i="1"/>
  <c r="K3344" i="1"/>
  <c r="M3343" i="1"/>
  <c r="L3343" i="1"/>
  <c r="K3343" i="1"/>
  <c r="M3342" i="1"/>
  <c r="L3342" i="1"/>
  <c r="K3342" i="1"/>
  <c r="M3341" i="1"/>
  <c r="L3341" i="1"/>
  <c r="K3341" i="1"/>
  <c r="M3340" i="1"/>
  <c r="L3340" i="1"/>
  <c r="K3340" i="1"/>
  <c r="M3339" i="1"/>
  <c r="L3339" i="1"/>
  <c r="K3339" i="1"/>
  <c r="M3338" i="1"/>
  <c r="L3338" i="1"/>
  <c r="K3338" i="1"/>
  <c r="M3337" i="1"/>
  <c r="L3337" i="1"/>
  <c r="K3337" i="1"/>
  <c r="M3336" i="1"/>
  <c r="L3336" i="1"/>
  <c r="K3336" i="1"/>
  <c r="M3335" i="1"/>
  <c r="L3335" i="1"/>
  <c r="K3335" i="1"/>
  <c r="M3334" i="1"/>
  <c r="L3334" i="1"/>
  <c r="K3334" i="1"/>
  <c r="M3333" i="1"/>
  <c r="L3333" i="1"/>
  <c r="K3333" i="1"/>
  <c r="M3332" i="1"/>
  <c r="L3332" i="1"/>
  <c r="K3332" i="1"/>
  <c r="M3331" i="1"/>
  <c r="L3331" i="1"/>
  <c r="K3331" i="1"/>
  <c r="M3330" i="1"/>
  <c r="L3330" i="1"/>
  <c r="K3330" i="1"/>
  <c r="M3329" i="1"/>
  <c r="L3329" i="1"/>
  <c r="K3329" i="1"/>
  <c r="M3328" i="1"/>
  <c r="L3328" i="1"/>
  <c r="K3328" i="1"/>
  <c r="M3327" i="1"/>
  <c r="L3327" i="1"/>
  <c r="K3327" i="1"/>
  <c r="M3326" i="1"/>
  <c r="L3326" i="1"/>
  <c r="K3326" i="1"/>
  <c r="M3325" i="1"/>
  <c r="L3325" i="1"/>
  <c r="K3325" i="1"/>
  <c r="M3324" i="1"/>
  <c r="L3324" i="1"/>
  <c r="K3324" i="1"/>
  <c r="M3323" i="1"/>
  <c r="L3323" i="1"/>
  <c r="K3323" i="1"/>
  <c r="M3322" i="1"/>
  <c r="L3322" i="1"/>
  <c r="K3322" i="1"/>
  <c r="M3321" i="1"/>
  <c r="L3321" i="1"/>
  <c r="K3321" i="1"/>
  <c r="M3320" i="1"/>
  <c r="L3320" i="1"/>
  <c r="K3320" i="1"/>
  <c r="M3319" i="1"/>
  <c r="L3319" i="1"/>
  <c r="K3319" i="1"/>
  <c r="M3318" i="1"/>
  <c r="L3318" i="1"/>
  <c r="K3318" i="1"/>
  <c r="M3317" i="1"/>
  <c r="L3317" i="1"/>
  <c r="K3317" i="1"/>
  <c r="M3316" i="1"/>
  <c r="L3316" i="1"/>
  <c r="K3316" i="1"/>
  <c r="M3315" i="1"/>
  <c r="L3315" i="1"/>
  <c r="K3315" i="1"/>
  <c r="M3314" i="1"/>
  <c r="L3314" i="1"/>
  <c r="K3314" i="1"/>
  <c r="M3313" i="1"/>
  <c r="L3313" i="1"/>
  <c r="K3313" i="1"/>
  <c r="M3312" i="1"/>
  <c r="L3312" i="1"/>
  <c r="K3312" i="1"/>
  <c r="M3311" i="1"/>
  <c r="L3311" i="1"/>
  <c r="K3311" i="1"/>
  <c r="M3310" i="1"/>
  <c r="L3310" i="1"/>
  <c r="K3310" i="1"/>
  <c r="M3309" i="1"/>
  <c r="L3309" i="1"/>
  <c r="K3309" i="1"/>
  <c r="M3308" i="1"/>
  <c r="L3308" i="1"/>
  <c r="K3308" i="1"/>
  <c r="M3307" i="1"/>
  <c r="K3307" i="1"/>
  <c r="M3306" i="1"/>
  <c r="K3306" i="1"/>
  <c r="M3305" i="1"/>
  <c r="K3305" i="1"/>
  <c r="K3304" i="1"/>
  <c r="M3303" i="1"/>
  <c r="K3303" i="1"/>
  <c r="M3302" i="1"/>
  <c r="K3302" i="1"/>
  <c r="M3301" i="1"/>
  <c r="K3301" i="1"/>
  <c r="M3300" i="1"/>
  <c r="K3300" i="1"/>
  <c r="K3299" i="1"/>
  <c r="M3298" i="1"/>
  <c r="K3298" i="1"/>
  <c r="M3297" i="1"/>
  <c r="K3297" i="1"/>
  <c r="M3296" i="1"/>
  <c r="K3296" i="1"/>
  <c r="M3295" i="1"/>
  <c r="K3295" i="1"/>
  <c r="M3294" i="1"/>
  <c r="K3294" i="1"/>
  <c r="M3293" i="1"/>
  <c r="K3293" i="1"/>
  <c r="M3292" i="1"/>
  <c r="K3292" i="1"/>
  <c r="M3291" i="1"/>
  <c r="K3291" i="1"/>
  <c r="M3290" i="1"/>
  <c r="K3290" i="1"/>
  <c r="K3289" i="1"/>
  <c r="M3288" i="1"/>
  <c r="K3288" i="1"/>
  <c r="M3287" i="1"/>
  <c r="K3287" i="1"/>
  <c r="M3286" i="1"/>
  <c r="K3286" i="1"/>
  <c r="M3285" i="1"/>
  <c r="K3285" i="1"/>
  <c r="M3284" i="1"/>
  <c r="K3284" i="1"/>
  <c r="M3283" i="1"/>
  <c r="K3283" i="1"/>
  <c r="M3282" i="1"/>
  <c r="K3282" i="1"/>
  <c r="M3281" i="1"/>
  <c r="K3281" i="1"/>
  <c r="M3280" i="1"/>
  <c r="K3280" i="1"/>
  <c r="M3279" i="1"/>
  <c r="K3279" i="1"/>
  <c r="M3278" i="1"/>
  <c r="K3278" i="1"/>
  <c r="K3277" i="1"/>
  <c r="M3276" i="1"/>
  <c r="K3276" i="1"/>
  <c r="M3275" i="1"/>
  <c r="K3275" i="1"/>
  <c r="K3274" i="1"/>
  <c r="M3273" i="1"/>
  <c r="L3273" i="1"/>
  <c r="K3273" i="1"/>
  <c r="M3272" i="1"/>
  <c r="L3272" i="1"/>
  <c r="K3272" i="1"/>
  <c r="M3271" i="1"/>
  <c r="L3271" i="1"/>
  <c r="K3271" i="1"/>
  <c r="M3270" i="1"/>
  <c r="L3270" i="1"/>
  <c r="K3270" i="1"/>
  <c r="M3269" i="1"/>
  <c r="L3269" i="1"/>
  <c r="K3269" i="1"/>
  <c r="M3268" i="1"/>
  <c r="L3268" i="1"/>
  <c r="K3268" i="1"/>
  <c r="M3267" i="1"/>
  <c r="L3267" i="1"/>
  <c r="K3267" i="1"/>
  <c r="M3266" i="1"/>
  <c r="L3266" i="1"/>
  <c r="K3266" i="1"/>
  <c r="M3265" i="1"/>
  <c r="L3265" i="1"/>
  <c r="K3265" i="1"/>
  <c r="M3264" i="1"/>
  <c r="L3264" i="1"/>
  <c r="K3264" i="1"/>
  <c r="M3263" i="1"/>
  <c r="L3263" i="1"/>
  <c r="K3263" i="1"/>
  <c r="M3262" i="1"/>
  <c r="L3262" i="1"/>
  <c r="K3262" i="1"/>
  <c r="M3261" i="1"/>
  <c r="L3261" i="1"/>
  <c r="K3261" i="1"/>
  <c r="M3260" i="1"/>
  <c r="L3260" i="1"/>
  <c r="K3260" i="1"/>
  <c r="M3259" i="1"/>
  <c r="L3259" i="1"/>
  <c r="K3259" i="1"/>
  <c r="M3258" i="1"/>
  <c r="L3258" i="1"/>
  <c r="K3258" i="1"/>
  <c r="M3257" i="1"/>
  <c r="L3257" i="1"/>
  <c r="K3257" i="1"/>
  <c r="M3256" i="1"/>
  <c r="L3256" i="1"/>
  <c r="K3256" i="1"/>
  <c r="M3255" i="1"/>
  <c r="K3255" i="1"/>
  <c r="M3254" i="1"/>
  <c r="K3254" i="1"/>
  <c r="M3253" i="1"/>
  <c r="K3253" i="1"/>
  <c r="M3252" i="1"/>
  <c r="K3252" i="1"/>
  <c r="M3251" i="1"/>
  <c r="K3251" i="1"/>
  <c r="K3250" i="1"/>
  <c r="M3249" i="1"/>
  <c r="K3249" i="1"/>
  <c r="M3248" i="1"/>
  <c r="K3248" i="1"/>
  <c r="M3247" i="1"/>
  <c r="K3247" i="1"/>
  <c r="M3246" i="1"/>
  <c r="K3246" i="1"/>
  <c r="M3245" i="1"/>
  <c r="K3245" i="1"/>
  <c r="M3244" i="1"/>
  <c r="K3244" i="1"/>
  <c r="M3243" i="1"/>
  <c r="K3243" i="1"/>
  <c r="M3242" i="1"/>
  <c r="K3242" i="1"/>
  <c r="M3241" i="1"/>
  <c r="K3241" i="1"/>
  <c r="M3240" i="1"/>
  <c r="K3240" i="1"/>
  <c r="M3239" i="1"/>
  <c r="K3239" i="1"/>
  <c r="M3238" i="1"/>
  <c r="K3238" i="1"/>
  <c r="M3237" i="1"/>
  <c r="K3237" i="1"/>
  <c r="K3236" i="1"/>
  <c r="M3235" i="1"/>
  <c r="L3235" i="1"/>
  <c r="K3235" i="1"/>
  <c r="M3234" i="1"/>
  <c r="L3234" i="1"/>
  <c r="K3234" i="1"/>
  <c r="M3233" i="1"/>
  <c r="L3233" i="1"/>
  <c r="K3233" i="1"/>
  <c r="M3232" i="1"/>
  <c r="L3232" i="1"/>
  <c r="K3232" i="1"/>
  <c r="M3231" i="1"/>
  <c r="L3231" i="1"/>
  <c r="K3231" i="1"/>
  <c r="M3230" i="1"/>
  <c r="L3230" i="1"/>
  <c r="K3230" i="1"/>
  <c r="M3229" i="1"/>
  <c r="L3229" i="1"/>
  <c r="K3229" i="1"/>
  <c r="M3228" i="1"/>
  <c r="L3228" i="1"/>
  <c r="K3228" i="1"/>
  <c r="M3227" i="1"/>
  <c r="L3227" i="1"/>
  <c r="K3227" i="1"/>
  <c r="M3226" i="1"/>
  <c r="L3226" i="1"/>
  <c r="K3226" i="1"/>
  <c r="M3225" i="1"/>
  <c r="L3225" i="1"/>
  <c r="K3225" i="1"/>
  <c r="M3224" i="1"/>
  <c r="L3224" i="1"/>
  <c r="K3224" i="1"/>
  <c r="M3223" i="1"/>
  <c r="L3223" i="1"/>
  <c r="K3223" i="1"/>
  <c r="M3222" i="1"/>
  <c r="L3222" i="1"/>
  <c r="K3222" i="1"/>
  <c r="M3221" i="1"/>
  <c r="L3221" i="1"/>
  <c r="K3221" i="1"/>
  <c r="M3220" i="1"/>
  <c r="L3220" i="1"/>
  <c r="K3220" i="1"/>
  <c r="M3219" i="1"/>
  <c r="L3219" i="1"/>
  <c r="K3219" i="1"/>
  <c r="M3218" i="1"/>
  <c r="L3218" i="1"/>
  <c r="K3218" i="1"/>
  <c r="M3217" i="1"/>
  <c r="L3217" i="1"/>
  <c r="K3217" i="1"/>
  <c r="M3216" i="1"/>
  <c r="L3216" i="1"/>
  <c r="K3216" i="1"/>
  <c r="M3215" i="1"/>
  <c r="L3215" i="1"/>
  <c r="K3215" i="1"/>
  <c r="M3214" i="1"/>
  <c r="L3214" i="1"/>
  <c r="K3214" i="1"/>
  <c r="M3213" i="1"/>
  <c r="L3213" i="1"/>
  <c r="K3213" i="1"/>
  <c r="M3212" i="1"/>
  <c r="L3212" i="1"/>
  <c r="K3212" i="1"/>
  <c r="M3211" i="1"/>
  <c r="L3211" i="1"/>
  <c r="K3211" i="1"/>
  <c r="M3210" i="1"/>
  <c r="L3210" i="1"/>
  <c r="K3210" i="1"/>
  <c r="M3209" i="1"/>
  <c r="L3209" i="1"/>
  <c r="K3209" i="1"/>
  <c r="M3208" i="1"/>
  <c r="L3208" i="1"/>
  <c r="K3208" i="1"/>
  <c r="M3207" i="1"/>
  <c r="L3207" i="1"/>
  <c r="K3207" i="1"/>
  <c r="M3206" i="1"/>
  <c r="L3206" i="1"/>
  <c r="K3206" i="1"/>
  <c r="M3205" i="1"/>
  <c r="L3205" i="1"/>
  <c r="K3205" i="1"/>
  <c r="M3204" i="1"/>
  <c r="L3204" i="1"/>
  <c r="K3204" i="1"/>
  <c r="M3203" i="1"/>
  <c r="L3203" i="1"/>
  <c r="K3203" i="1"/>
  <c r="M3202" i="1"/>
  <c r="L3202" i="1"/>
  <c r="K3202" i="1"/>
  <c r="M3201" i="1"/>
  <c r="K3201" i="1"/>
  <c r="M3200" i="1"/>
  <c r="K3200" i="1"/>
  <c r="M3199" i="1"/>
  <c r="K3199" i="1"/>
  <c r="M3198" i="1"/>
  <c r="K3198" i="1"/>
  <c r="M3197" i="1"/>
  <c r="K3197" i="1"/>
  <c r="M3196" i="1"/>
  <c r="K3196" i="1"/>
  <c r="M3195" i="1"/>
  <c r="K3195" i="1"/>
  <c r="M3194" i="1"/>
  <c r="K3194" i="1"/>
  <c r="M3193" i="1"/>
  <c r="K3193" i="1"/>
  <c r="K3192" i="1"/>
  <c r="M3191" i="1"/>
  <c r="K3191" i="1"/>
  <c r="M3190" i="1"/>
  <c r="K3190" i="1"/>
  <c r="M3189" i="1"/>
  <c r="K3189" i="1"/>
  <c r="M3188" i="1"/>
  <c r="K3188" i="1"/>
  <c r="M3187" i="1"/>
  <c r="K3187" i="1"/>
  <c r="M3186" i="1"/>
  <c r="K3186" i="1"/>
  <c r="K3185" i="1"/>
  <c r="M3184" i="1"/>
  <c r="L3184" i="1"/>
  <c r="K3184" i="1"/>
  <c r="M3183" i="1"/>
  <c r="L3183" i="1"/>
  <c r="K3183" i="1"/>
  <c r="M3182" i="1"/>
  <c r="L3182" i="1"/>
  <c r="K3182" i="1"/>
  <c r="M3181" i="1"/>
  <c r="L3181" i="1"/>
  <c r="K3181" i="1"/>
  <c r="M3180" i="1"/>
  <c r="L3180" i="1"/>
  <c r="K3180" i="1"/>
  <c r="M3179" i="1"/>
  <c r="L3179" i="1"/>
  <c r="K3179" i="1"/>
  <c r="M3178" i="1"/>
  <c r="L3178" i="1"/>
  <c r="K3178" i="1"/>
  <c r="M3177" i="1"/>
  <c r="L3177" i="1"/>
  <c r="K3177" i="1"/>
  <c r="M3176" i="1"/>
  <c r="L3176" i="1"/>
  <c r="K3176" i="1"/>
  <c r="M3175" i="1"/>
  <c r="L3175" i="1"/>
  <c r="K3175" i="1"/>
  <c r="M3174" i="1"/>
  <c r="L3174" i="1"/>
  <c r="K3174" i="1"/>
  <c r="M3173" i="1"/>
  <c r="L3173" i="1"/>
  <c r="K3173" i="1"/>
  <c r="M3172" i="1"/>
  <c r="L3172" i="1"/>
  <c r="K3172" i="1"/>
  <c r="M3171" i="1"/>
  <c r="L3171" i="1"/>
  <c r="K3171" i="1"/>
  <c r="M3170" i="1"/>
  <c r="L3170" i="1"/>
  <c r="K3170" i="1"/>
  <c r="M3169" i="1"/>
  <c r="L3169" i="1"/>
  <c r="K3169" i="1"/>
  <c r="M3168" i="1"/>
  <c r="L3168" i="1"/>
  <c r="K3168" i="1"/>
  <c r="M3167" i="1"/>
  <c r="L3167" i="1"/>
  <c r="K3167" i="1"/>
  <c r="M3166" i="1"/>
  <c r="L3166" i="1"/>
  <c r="K3166" i="1"/>
  <c r="M3165" i="1"/>
  <c r="L3165" i="1"/>
  <c r="K3165" i="1"/>
  <c r="M3164" i="1"/>
  <c r="L3164" i="1"/>
  <c r="K3164" i="1"/>
  <c r="M3163" i="1"/>
  <c r="L3163" i="1"/>
  <c r="K3163" i="1"/>
  <c r="M3162" i="1"/>
  <c r="L3162" i="1"/>
  <c r="K3162" i="1"/>
  <c r="M3161" i="1"/>
  <c r="L3161" i="1"/>
  <c r="K3161" i="1"/>
  <c r="M3160" i="1"/>
  <c r="L3160" i="1"/>
  <c r="K3160" i="1"/>
  <c r="M3159" i="1"/>
  <c r="L3159" i="1"/>
  <c r="K3159" i="1"/>
  <c r="M3158" i="1"/>
  <c r="L3158" i="1"/>
  <c r="K3158" i="1"/>
  <c r="M3157" i="1"/>
  <c r="L3157" i="1"/>
  <c r="K3157" i="1"/>
  <c r="M3156" i="1"/>
  <c r="L3156" i="1"/>
  <c r="K3156" i="1"/>
  <c r="M3155" i="1"/>
  <c r="L3155" i="1"/>
  <c r="K3155" i="1"/>
  <c r="M3154" i="1"/>
  <c r="L3154" i="1"/>
  <c r="K3154" i="1"/>
  <c r="M3153" i="1"/>
  <c r="L3153" i="1"/>
  <c r="K3153" i="1"/>
  <c r="M3152" i="1"/>
  <c r="L3152" i="1"/>
  <c r="K3152" i="1"/>
  <c r="M3151" i="1"/>
  <c r="L3151" i="1"/>
  <c r="K3151" i="1"/>
  <c r="M3150" i="1"/>
  <c r="L3150" i="1"/>
  <c r="K3150" i="1"/>
  <c r="M3149" i="1"/>
  <c r="L3149" i="1"/>
  <c r="K3149" i="1"/>
  <c r="M3148" i="1"/>
  <c r="L3148" i="1"/>
  <c r="K3148" i="1"/>
  <c r="M3147" i="1"/>
  <c r="L3147" i="1"/>
  <c r="K3147" i="1"/>
  <c r="M3146" i="1"/>
  <c r="L3146" i="1"/>
  <c r="K3146" i="1"/>
  <c r="M3145" i="1"/>
  <c r="L3145" i="1"/>
  <c r="K3145" i="1"/>
  <c r="M3144" i="1"/>
  <c r="L3144" i="1"/>
  <c r="K3144" i="1"/>
  <c r="M3143" i="1"/>
  <c r="L3143" i="1"/>
  <c r="K3143" i="1"/>
  <c r="M3142" i="1"/>
  <c r="L3142" i="1"/>
  <c r="K3142" i="1"/>
  <c r="M3141" i="1"/>
  <c r="L3141" i="1"/>
  <c r="K3141" i="1"/>
  <c r="M3140" i="1"/>
  <c r="K3140" i="1"/>
  <c r="M3139" i="1"/>
  <c r="K3139" i="1"/>
  <c r="M3138" i="1"/>
  <c r="K3138" i="1"/>
  <c r="M3137" i="1"/>
  <c r="K3137" i="1"/>
  <c r="K3136" i="1"/>
  <c r="M3135" i="1"/>
  <c r="K3135" i="1"/>
  <c r="M3134" i="1"/>
  <c r="K3134" i="1"/>
  <c r="M3133" i="1"/>
  <c r="K3133" i="1"/>
  <c r="M3132" i="1"/>
  <c r="K3132" i="1"/>
  <c r="M3131" i="1"/>
  <c r="K3131" i="1"/>
  <c r="M3130" i="1"/>
  <c r="K3130" i="1"/>
  <c r="M3129" i="1"/>
  <c r="K3129" i="1"/>
  <c r="M3128" i="1"/>
  <c r="K3128" i="1"/>
  <c r="M3127" i="1"/>
  <c r="K3127" i="1"/>
  <c r="M3126" i="1"/>
  <c r="K3126" i="1"/>
  <c r="M3125" i="1"/>
  <c r="K3125" i="1"/>
  <c r="M3124" i="1"/>
  <c r="K3124" i="1"/>
  <c r="M3123" i="1"/>
  <c r="K3123" i="1"/>
  <c r="M3122" i="1"/>
  <c r="K3122" i="1"/>
  <c r="M3121" i="1"/>
  <c r="K3121" i="1"/>
  <c r="M3120" i="1"/>
  <c r="K3120" i="1"/>
  <c r="M3119" i="1"/>
  <c r="K3119" i="1"/>
  <c r="K3118" i="1"/>
  <c r="M3117" i="1"/>
  <c r="L3117" i="1"/>
  <c r="K3117" i="1"/>
  <c r="M3116" i="1"/>
  <c r="L3116" i="1"/>
  <c r="K3116" i="1"/>
  <c r="M3115" i="1"/>
  <c r="L3115" i="1"/>
  <c r="K3115" i="1"/>
  <c r="M3114" i="1"/>
  <c r="L3114" i="1"/>
  <c r="K3114" i="1"/>
  <c r="M3113" i="1"/>
  <c r="L3113" i="1"/>
  <c r="K3113" i="1"/>
  <c r="M3112" i="1"/>
  <c r="K3112" i="1"/>
  <c r="M3111" i="1"/>
  <c r="K3111" i="1"/>
  <c r="M3110" i="1"/>
  <c r="K3110" i="1"/>
  <c r="M3109" i="1"/>
  <c r="K3109" i="1"/>
  <c r="M3108" i="1"/>
  <c r="K3108" i="1"/>
  <c r="M3107" i="1"/>
  <c r="K3107" i="1"/>
  <c r="M3106" i="1"/>
  <c r="K3106" i="1"/>
  <c r="M3105" i="1"/>
  <c r="K3105" i="1"/>
  <c r="M3104" i="1"/>
  <c r="K3104" i="1"/>
  <c r="K3103" i="1"/>
  <c r="M3102" i="1"/>
  <c r="L3102" i="1"/>
  <c r="K3102" i="1"/>
  <c r="M3101" i="1"/>
  <c r="L3101" i="1"/>
  <c r="K3101" i="1"/>
  <c r="M3100" i="1"/>
  <c r="L3100" i="1"/>
  <c r="K3100" i="1"/>
  <c r="M3099" i="1"/>
  <c r="L3099" i="1"/>
  <c r="K3099" i="1"/>
  <c r="M3098" i="1"/>
  <c r="L3098" i="1"/>
  <c r="K3098" i="1"/>
  <c r="M3097" i="1"/>
  <c r="L3097" i="1"/>
  <c r="K3097" i="1"/>
  <c r="M3096" i="1"/>
  <c r="L3096" i="1"/>
  <c r="K3096" i="1"/>
  <c r="M3095" i="1"/>
  <c r="L3095" i="1"/>
  <c r="K3095" i="1"/>
  <c r="M3094" i="1"/>
  <c r="L3094" i="1"/>
  <c r="K3094" i="1"/>
  <c r="M3093" i="1"/>
  <c r="L3093" i="1"/>
  <c r="K3093" i="1"/>
  <c r="M3092" i="1"/>
  <c r="L3092" i="1"/>
  <c r="K3092" i="1"/>
  <c r="M3091" i="1"/>
  <c r="L3091" i="1"/>
  <c r="K3091" i="1"/>
  <c r="M3090" i="1"/>
  <c r="L3090" i="1"/>
  <c r="K3090" i="1"/>
  <c r="M3089" i="1"/>
  <c r="L3089" i="1"/>
  <c r="K3089" i="1"/>
  <c r="M3088" i="1"/>
  <c r="L3088" i="1"/>
  <c r="K3088" i="1"/>
  <c r="M3087" i="1"/>
  <c r="L3087" i="1"/>
  <c r="K3087" i="1"/>
  <c r="M3086" i="1"/>
  <c r="L3086" i="1"/>
  <c r="K3086" i="1"/>
  <c r="M3085" i="1"/>
  <c r="L3085" i="1"/>
  <c r="K3085" i="1"/>
  <c r="M3084" i="1"/>
  <c r="L3084" i="1"/>
  <c r="K3084" i="1"/>
  <c r="M3083" i="1"/>
  <c r="L3083" i="1"/>
  <c r="K3083" i="1"/>
  <c r="M3082" i="1"/>
  <c r="L3082" i="1"/>
  <c r="K3082" i="1"/>
  <c r="M3081" i="1"/>
  <c r="L3081" i="1"/>
  <c r="K3081" i="1"/>
  <c r="M3080" i="1"/>
  <c r="L3080" i="1"/>
  <c r="K3080" i="1"/>
  <c r="M3079" i="1"/>
  <c r="L3079" i="1"/>
  <c r="K3079" i="1"/>
  <c r="M3078" i="1"/>
  <c r="K3078" i="1"/>
  <c r="M3077" i="1"/>
  <c r="K3077" i="1"/>
  <c r="M3076" i="1"/>
  <c r="K3076" i="1"/>
  <c r="M3075" i="1"/>
  <c r="K3075" i="1"/>
  <c r="M3074" i="1"/>
  <c r="K3074" i="1"/>
  <c r="K3073" i="1"/>
  <c r="M3072" i="1"/>
  <c r="K3072" i="1"/>
  <c r="M3071" i="1"/>
  <c r="K3071" i="1"/>
  <c r="M3070" i="1"/>
  <c r="K3070" i="1"/>
  <c r="M3069" i="1"/>
  <c r="K3069" i="1"/>
  <c r="M3068" i="1"/>
  <c r="K3068" i="1"/>
  <c r="M3067" i="1"/>
  <c r="K3067" i="1"/>
  <c r="M3066" i="1"/>
  <c r="K3066" i="1"/>
  <c r="M3065" i="1"/>
  <c r="K3065" i="1"/>
  <c r="K3064" i="1"/>
  <c r="M3063" i="1"/>
  <c r="L3063" i="1"/>
  <c r="K3063" i="1"/>
  <c r="M3062" i="1"/>
  <c r="L3062" i="1"/>
  <c r="K3062" i="1"/>
  <c r="M3061" i="1"/>
  <c r="L3061" i="1"/>
  <c r="K3061" i="1"/>
  <c r="M3060" i="1"/>
  <c r="L3060" i="1"/>
  <c r="K3060" i="1"/>
  <c r="M3059" i="1"/>
  <c r="L3059" i="1"/>
  <c r="K3059" i="1"/>
  <c r="M3058" i="1"/>
  <c r="L3058" i="1"/>
  <c r="K3058" i="1"/>
  <c r="M3057" i="1"/>
  <c r="L3057" i="1"/>
  <c r="K3057" i="1"/>
  <c r="M3056" i="1"/>
  <c r="L3056" i="1"/>
  <c r="K3056" i="1"/>
  <c r="M3055" i="1"/>
  <c r="L3055" i="1"/>
  <c r="K3055" i="1"/>
  <c r="M3054" i="1"/>
  <c r="L3054" i="1"/>
  <c r="K3054" i="1"/>
  <c r="M3053" i="1"/>
  <c r="L3053" i="1"/>
  <c r="K3053" i="1"/>
  <c r="M3052" i="1"/>
  <c r="L3052" i="1"/>
  <c r="K3052" i="1"/>
  <c r="M3051" i="1"/>
  <c r="L3051" i="1"/>
  <c r="K3051" i="1"/>
  <c r="M3050" i="1"/>
  <c r="L3050" i="1"/>
  <c r="K3050" i="1"/>
  <c r="M3049" i="1"/>
  <c r="L3049" i="1"/>
  <c r="K3049" i="1"/>
  <c r="M3048" i="1"/>
  <c r="L3048" i="1"/>
  <c r="K3048" i="1"/>
  <c r="M3047" i="1"/>
  <c r="L3047" i="1"/>
  <c r="K3047" i="1"/>
  <c r="M3046" i="1"/>
  <c r="L3046" i="1"/>
  <c r="K3046" i="1"/>
  <c r="M3045" i="1"/>
  <c r="L3045" i="1"/>
  <c r="K3045" i="1"/>
  <c r="M3044" i="1"/>
  <c r="L3044" i="1"/>
  <c r="K3044" i="1"/>
  <c r="M3043" i="1"/>
  <c r="L3043" i="1"/>
  <c r="K3043" i="1"/>
  <c r="M3042" i="1"/>
  <c r="L3042" i="1"/>
  <c r="K3042" i="1"/>
  <c r="M3041" i="1"/>
  <c r="L3041" i="1"/>
  <c r="K3041" i="1"/>
  <c r="M3040" i="1"/>
  <c r="L3040" i="1"/>
  <c r="K3040" i="1"/>
  <c r="M3039" i="1"/>
  <c r="L3039" i="1"/>
  <c r="K3039" i="1"/>
  <c r="M3038" i="1"/>
  <c r="L3038" i="1"/>
  <c r="K3038" i="1"/>
  <c r="M3037" i="1"/>
  <c r="L3037" i="1"/>
  <c r="K3037" i="1"/>
  <c r="M3036" i="1"/>
  <c r="L3036" i="1"/>
  <c r="K3036" i="1"/>
  <c r="M3035" i="1"/>
  <c r="L3035" i="1"/>
  <c r="K3035" i="1"/>
  <c r="M3034" i="1"/>
  <c r="L3034" i="1"/>
  <c r="K3034" i="1"/>
  <c r="M3033" i="1"/>
  <c r="L3033" i="1"/>
  <c r="K3033" i="1"/>
  <c r="M3032" i="1"/>
  <c r="L3032" i="1"/>
  <c r="K3032" i="1"/>
  <c r="M3031" i="1"/>
  <c r="L3031" i="1"/>
  <c r="K3031" i="1"/>
  <c r="M3030" i="1"/>
  <c r="L3030" i="1"/>
  <c r="K3030" i="1"/>
  <c r="M3029" i="1"/>
  <c r="L3029" i="1"/>
  <c r="K3029" i="1"/>
  <c r="M3028" i="1"/>
  <c r="L3028" i="1"/>
  <c r="K3028" i="1"/>
  <c r="M3027" i="1"/>
  <c r="L3027" i="1"/>
  <c r="K3027" i="1"/>
  <c r="M3026" i="1"/>
  <c r="L3026" i="1"/>
  <c r="K3026" i="1"/>
  <c r="M3025" i="1"/>
  <c r="L3025" i="1"/>
  <c r="K3025" i="1"/>
  <c r="M3024" i="1"/>
  <c r="L3024" i="1"/>
  <c r="K3024" i="1"/>
  <c r="M3023" i="1"/>
  <c r="L3023" i="1"/>
  <c r="K3023" i="1"/>
  <c r="M3022" i="1"/>
  <c r="L3022" i="1"/>
  <c r="K3022" i="1"/>
  <c r="M3021" i="1"/>
  <c r="K3021" i="1"/>
  <c r="M3020" i="1"/>
  <c r="K3020" i="1"/>
  <c r="M3019" i="1"/>
  <c r="K3019" i="1"/>
  <c r="K3018" i="1"/>
  <c r="M3017" i="1"/>
  <c r="K3017" i="1"/>
  <c r="M3016" i="1"/>
  <c r="K3016" i="1"/>
  <c r="M3015" i="1"/>
  <c r="K3015" i="1"/>
  <c r="M3014" i="1"/>
  <c r="K3014" i="1"/>
  <c r="M3013" i="1"/>
  <c r="K3013" i="1"/>
  <c r="M3012" i="1"/>
  <c r="K3012" i="1"/>
  <c r="M3011" i="1"/>
  <c r="K3011" i="1"/>
  <c r="M3010" i="1"/>
  <c r="K3010" i="1"/>
  <c r="M3009" i="1"/>
  <c r="K3009" i="1"/>
  <c r="M3008" i="1"/>
  <c r="K3008" i="1"/>
  <c r="M3007" i="1"/>
  <c r="K3007" i="1"/>
  <c r="K3006" i="1"/>
  <c r="M3005" i="1"/>
  <c r="L3005" i="1"/>
  <c r="K3005" i="1"/>
  <c r="M3004" i="1"/>
  <c r="L3004" i="1"/>
  <c r="K3004" i="1"/>
  <c r="M3003" i="1"/>
  <c r="L3003" i="1"/>
  <c r="K3003" i="1"/>
  <c r="M3002" i="1"/>
  <c r="L3002" i="1"/>
  <c r="K3002" i="1"/>
  <c r="M3001" i="1"/>
  <c r="L3001" i="1"/>
  <c r="K3001" i="1"/>
  <c r="M3000" i="1"/>
  <c r="L3000" i="1"/>
  <c r="K3000" i="1"/>
  <c r="M2999" i="1"/>
  <c r="L2999" i="1"/>
  <c r="K2999" i="1"/>
  <c r="M2998" i="1"/>
  <c r="L2998" i="1"/>
  <c r="K2998" i="1"/>
  <c r="M2997" i="1"/>
  <c r="L2997" i="1"/>
  <c r="K2997" i="1"/>
  <c r="M2996" i="1"/>
  <c r="L2996" i="1"/>
  <c r="K2996" i="1"/>
  <c r="M2995" i="1"/>
  <c r="L2995" i="1"/>
  <c r="K2995" i="1"/>
  <c r="M2994" i="1"/>
  <c r="L2994" i="1"/>
  <c r="K2994" i="1"/>
  <c r="M2993" i="1"/>
  <c r="L2993" i="1"/>
  <c r="K2993" i="1"/>
  <c r="M2992" i="1"/>
  <c r="L2992" i="1"/>
  <c r="K2992" i="1"/>
  <c r="M2991" i="1"/>
  <c r="L2991" i="1"/>
  <c r="K2991" i="1"/>
  <c r="M2990" i="1"/>
  <c r="L2990" i="1"/>
  <c r="K2990" i="1"/>
  <c r="M2989" i="1"/>
  <c r="L2989" i="1"/>
  <c r="K2989" i="1"/>
  <c r="M2988" i="1"/>
  <c r="L2988" i="1"/>
  <c r="K2988" i="1"/>
  <c r="M2987" i="1"/>
  <c r="K2987" i="1"/>
  <c r="M2986" i="1"/>
  <c r="K2986" i="1"/>
  <c r="M2985" i="1"/>
  <c r="K2985" i="1"/>
  <c r="K2984" i="1"/>
  <c r="M2983" i="1"/>
  <c r="L2983" i="1"/>
  <c r="K2983" i="1"/>
  <c r="M2982" i="1"/>
  <c r="L2982" i="1"/>
  <c r="K2982" i="1"/>
  <c r="M2981" i="1"/>
  <c r="L2981" i="1"/>
  <c r="K2981" i="1"/>
  <c r="M2980" i="1"/>
  <c r="L2980" i="1"/>
  <c r="K2980" i="1"/>
  <c r="M2979" i="1"/>
  <c r="L2979" i="1"/>
  <c r="K2979" i="1"/>
  <c r="M2978" i="1"/>
  <c r="L2978" i="1"/>
  <c r="K2978" i="1"/>
  <c r="M2977" i="1"/>
  <c r="L2977" i="1"/>
  <c r="K2977" i="1"/>
  <c r="M2976" i="1"/>
  <c r="L2976" i="1"/>
  <c r="K2976" i="1"/>
  <c r="M2975" i="1"/>
  <c r="K2975" i="1"/>
  <c r="M2974" i="1"/>
  <c r="K2974" i="1"/>
  <c r="M2971" i="1"/>
  <c r="K2971" i="1"/>
  <c r="M2970" i="1"/>
  <c r="K2970" i="1"/>
  <c r="M2969" i="1"/>
  <c r="K2969" i="1"/>
  <c r="M2966" i="1"/>
  <c r="K2966" i="1"/>
  <c r="M2965" i="1"/>
  <c r="K2965" i="1"/>
  <c r="M2964" i="1"/>
  <c r="K2964" i="1"/>
  <c r="M2963" i="1"/>
  <c r="K2963" i="1"/>
  <c r="M2962" i="1"/>
  <c r="K2962" i="1"/>
  <c r="M2959" i="1"/>
  <c r="K2959" i="1"/>
  <c r="M2956" i="1"/>
  <c r="K2956" i="1"/>
  <c r="M2955" i="1"/>
  <c r="K2955" i="1"/>
  <c r="M2954" i="1"/>
  <c r="K2954" i="1"/>
  <c r="K2953" i="1"/>
  <c r="M2950" i="1"/>
  <c r="K2950" i="1"/>
  <c r="M2949" i="1"/>
  <c r="K2949" i="1"/>
  <c r="M2948" i="1"/>
  <c r="K2948" i="1"/>
  <c r="M2947" i="1"/>
  <c r="K2947" i="1"/>
  <c r="M2946" i="1"/>
  <c r="K2946" i="1"/>
  <c r="M2945" i="1"/>
  <c r="K2945" i="1"/>
  <c r="M2944" i="1"/>
  <c r="K2944" i="1"/>
  <c r="M2943" i="1"/>
  <c r="K2943" i="1"/>
  <c r="M2942" i="1"/>
  <c r="K2942" i="1"/>
  <c r="M2941" i="1"/>
  <c r="K2941" i="1"/>
  <c r="M2940" i="1"/>
  <c r="K2940" i="1"/>
  <c r="M2939" i="1"/>
  <c r="K2939" i="1"/>
  <c r="M2938" i="1"/>
  <c r="K2938" i="1"/>
  <c r="K2937" i="1"/>
  <c r="M2936" i="1"/>
  <c r="K2936" i="1"/>
  <c r="M2935" i="1"/>
  <c r="K2935" i="1"/>
  <c r="K2934" i="1"/>
  <c r="M2933" i="1"/>
  <c r="K2933" i="1"/>
  <c r="M2932" i="1"/>
  <c r="K2932" i="1"/>
  <c r="K2931" i="1"/>
  <c r="M2930" i="1"/>
  <c r="K2930" i="1"/>
  <c r="M2929" i="1"/>
  <c r="K2929" i="1"/>
  <c r="M2928" i="1"/>
  <c r="K2928" i="1"/>
  <c r="M2927" i="1"/>
  <c r="K2927" i="1"/>
  <c r="K2926" i="1"/>
  <c r="M2925" i="1"/>
  <c r="L2925" i="1"/>
  <c r="K2925" i="1"/>
  <c r="M2924" i="1"/>
  <c r="L2924" i="1"/>
  <c r="K2924" i="1"/>
  <c r="M2923" i="1"/>
  <c r="L2923" i="1"/>
  <c r="K2923" i="1"/>
  <c r="M2922" i="1"/>
  <c r="L2922" i="1"/>
  <c r="K2922" i="1"/>
  <c r="M2921" i="1"/>
  <c r="L2921" i="1"/>
  <c r="K2921" i="1"/>
  <c r="M2920" i="1"/>
  <c r="L2920" i="1"/>
  <c r="K2920" i="1"/>
  <c r="M2919" i="1"/>
  <c r="L2919" i="1"/>
  <c r="K2919" i="1"/>
  <c r="M2918" i="1"/>
  <c r="L2918" i="1"/>
  <c r="K2918" i="1"/>
  <c r="M2917" i="1"/>
  <c r="L2917" i="1"/>
  <c r="K2917" i="1"/>
  <c r="M2916" i="1"/>
  <c r="L2916" i="1"/>
  <c r="K2916" i="1"/>
  <c r="M2915" i="1"/>
  <c r="L2915" i="1"/>
  <c r="K2915" i="1"/>
  <c r="M2914" i="1"/>
  <c r="L2914" i="1"/>
  <c r="K2914" i="1"/>
  <c r="M2913" i="1"/>
  <c r="L2913" i="1"/>
  <c r="K2913" i="1"/>
  <c r="M2912" i="1"/>
  <c r="L2912" i="1"/>
  <c r="K2912" i="1"/>
  <c r="M2911" i="1"/>
  <c r="L2911" i="1"/>
  <c r="K2911" i="1"/>
  <c r="M2910" i="1"/>
  <c r="L2910" i="1"/>
  <c r="K2910" i="1"/>
  <c r="M2909" i="1"/>
  <c r="L2909" i="1"/>
  <c r="K2909" i="1"/>
  <c r="M2908" i="1"/>
  <c r="L2908" i="1"/>
  <c r="K2908" i="1"/>
  <c r="M2907" i="1"/>
  <c r="L2907" i="1"/>
  <c r="K2907" i="1"/>
  <c r="M2906" i="1"/>
  <c r="L2906" i="1"/>
  <c r="K2906" i="1"/>
  <c r="M2905" i="1"/>
  <c r="L2905" i="1"/>
  <c r="K2905" i="1"/>
  <c r="M2904" i="1"/>
  <c r="L2904" i="1"/>
  <c r="K2904" i="1"/>
  <c r="M2903" i="1"/>
  <c r="L2903" i="1"/>
  <c r="K2903" i="1"/>
  <c r="M2902" i="1"/>
  <c r="L2902" i="1"/>
  <c r="K2902" i="1"/>
  <c r="K2901" i="1"/>
  <c r="M2881" i="1"/>
  <c r="K2881" i="1"/>
  <c r="M2880" i="1"/>
  <c r="K2880" i="1"/>
  <c r="M2879" i="1"/>
  <c r="K2879" i="1"/>
  <c r="M2878" i="1"/>
  <c r="K2878" i="1"/>
  <c r="M2877" i="1"/>
  <c r="K2877" i="1"/>
  <c r="M2876" i="1"/>
  <c r="K2876" i="1"/>
  <c r="M2875" i="1"/>
  <c r="K2875" i="1"/>
  <c r="K2874" i="1"/>
  <c r="M2873" i="1"/>
  <c r="L2873" i="1"/>
  <c r="K2873" i="1"/>
  <c r="M2872" i="1"/>
  <c r="L2872" i="1"/>
  <c r="K2872" i="1"/>
  <c r="M2871" i="1"/>
  <c r="L2871" i="1"/>
  <c r="K2871" i="1"/>
  <c r="M2870" i="1"/>
  <c r="L2870" i="1"/>
  <c r="K2870" i="1"/>
  <c r="M2869" i="1"/>
  <c r="L2869" i="1"/>
  <c r="K2869" i="1"/>
  <c r="M2868" i="1"/>
  <c r="L2868" i="1"/>
  <c r="K2868" i="1"/>
  <c r="M2867" i="1"/>
  <c r="L2867" i="1"/>
  <c r="K2867" i="1"/>
  <c r="M2866" i="1"/>
  <c r="L2866" i="1"/>
  <c r="K2866" i="1"/>
  <c r="M2865" i="1"/>
  <c r="L2865" i="1"/>
  <c r="K2865" i="1"/>
  <c r="M2864" i="1"/>
  <c r="L2864" i="1"/>
  <c r="K2864" i="1"/>
  <c r="M2863" i="1"/>
  <c r="L2863" i="1"/>
  <c r="K2863" i="1"/>
  <c r="M2862" i="1"/>
  <c r="L2862" i="1"/>
  <c r="K2862" i="1"/>
  <c r="M2861" i="1"/>
  <c r="L2861" i="1"/>
  <c r="K2861" i="1"/>
  <c r="M2860" i="1"/>
  <c r="L2860" i="1"/>
  <c r="K2860" i="1"/>
  <c r="M2859" i="1"/>
  <c r="L2859" i="1"/>
  <c r="K2859" i="1"/>
  <c r="M2858" i="1"/>
  <c r="L2858" i="1"/>
  <c r="K2858" i="1"/>
  <c r="M2857" i="1"/>
  <c r="L2857" i="1"/>
  <c r="K2857" i="1"/>
  <c r="M2856" i="1"/>
  <c r="L2856" i="1"/>
  <c r="K2856" i="1"/>
  <c r="M2855" i="1"/>
  <c r="L2855" i="1"/>
  <c r="K2855" i="1"/>
  <c r="M2854" i="1"/>
  <c r="L2854" i="1"/>
  <c r="K2854" i="1"/>
  <c r="M2853" i="1"/>
  <c r="L2853" i="1"/>
  <c r="K2853" i="1"/>
  <c r="M2852" i="1"/>
  <c r="L2852" i="1"/>
  <c r="K2852" i="1"/>
  <c r="M2851" i="1"/>
  <c r="L2851" i="1"/>
  <c r="K2851" i="1"/>
  <c r="M2850" i="1"/>
  <c r="L2850" i="1"/>
  <c r="K2850" i="1"/>
  <c r="M2849" i="1"/>
  <c r="L2849" i="1"/>
  <c r="K2849" i="1"/>
  <c r="M2848" i="1"/>
  <c r="L2848" i="1"/>
  <c r="K2848" i="1"/>
  <c r="M2847" i="1"/>
  <c r="L2847" i="1"/>
  <c r="K2847" i="1"/>
  <c r="M2846" i="1"/>
  <c r="K2846" i="1"/>
  <c r="M2845" i="1"/>
  <c r="K2845" i="1"/>
  <c r="M2844" i="1"/>
  <c r="K2844" i="1"/>
  <c r="K2843" i="1"/>
  <c r="M2842" i="1"/>
  <c r="K2842" i="1"/>
  <c r="M2841" i="1"/>
  <c r="K2841" i="1"/>
  <c r="M2840" i="1"/>
  <c r="K2840" i="1"/>
  <c r="M2839" i="1"/>
  <c r="K2839" i="1"/>
  <c r="M2838" i="1"/>
  <c r="K2838" i="1"/>
  <c r="M2837" i="1"/>
  <c r="K2837" i="1"/>
  <c r="M2836" i="1"/>
  <c r="K2836" i="1"/>
  <c r="M2835" i="1"/>
  <c r="K2835" i="1"/>
  <c r="M2834" i="1"/>
  <c r="K2834" i="1"/>
  <c r="M2833" i="1"/>
  <c r="K2833" i="1"/>
  <c r="M2832" i="1"/>
  <c r="K2832" i="1"/>
  <c r="M2831" i="1"/>
  <c r="K2831" i="1"/>
  <c r="M2830" i="1"/>
  <c r="K2830" i="1"/>
  <c r="K2829" i="1"/>
  <c r="M2828" i="1"/>
  <c r="K2828" i="1"/>
  <c r="M2827" i="1"/>
  <c r="K2827" i="1"/>
  <c r="M2826" i="1"/>
  <c r="K2826" i="1"/>
  <c r="M2825" i="1"/>
  <c r="K2825" i="1"/>
  <c r="M2824" i="1"/>
  <c r="K2824" i="1"/>
  <c r="M2823" i="1"/>
  <c r="K2823" i="1"/>
  <c r="M2822" i="1"/>
  <c r="K2822" i="1"/>
  <c r="K2821" i="1"/>
  <c r="M2820" i="1"/>
  <c r="L2820" i="1"/>
  <c r="K2820" i="1"/>
  <c r="M2819" i="1"/>
  <c r="L2819" i="1"/>
  <c r="K2819" i="1"/>
  <c r="M2818" i="1"/>
  <c r="L2818" i="1"/>
  <c r="K2818" i="1"/>
  <c r="M2817" i="1"/>
  <c r="L2817" i="1"/>
  <c r="K2817" i="1"/>
  <c r="M2816" i="1"/>
  <c r="L2816" i="1"/>
  <c r="K2816" i="1"/>
  <c r="M2815" i="1"/>
  <c r="L2815" i="1"/>
  <c r="K2815" i="1"/>
  <c r="M2814" i="1"/>
  <c r="L2814" i="1"/>
  <c r="K2814" i="1"/>
  <c r="M2813" i="1"/>
  <c r="L2813" i="1"/>
  <c r="K2813" i="1"/>
  <c r="M2812" i="1"/>
  <c r="L2812" i="1"/>
  <c r="K2812" i="1"/>
  <c r="M2811" i="1"/>
  <c r="L2811" i="1"/>
  <c r="K2811" i="1"/>
  <c r="M2810" i="1"/>
  <c r="L2810" i="1"/>
  <c r="K2810" i="1"/>
  <c r="M2809" i="1"/>
  <c r="L2809" i="1"/>
  <c r="K2809" i="1"/>
  <c r="M2808" i="1"/>
  <c r="L2808" i="1"/>
  <c r="K2808" i="1"/>
  <c r="M2807" i="1"/>
  <c r="L2807" i="1"/>
  <c r="K2807" i="1"/>
  <c r="M2806" i="1"/>
  <c r="L2806" i="1"/>
  <c r="K2806" i="1"/>
  <c r="M2805" i="1"/>
  <c r="L2805" i="1"/>
  <c r="K2805" i="1"/>
  <c r="M2804" i="1"/>
  <c r="L2804" i="1"/>
  <c r="K2804" i="1"/>
  <c r="M2803" i="1"/>
  <c r="L2803" i="1"/>
  <c r="K2803" i="1"/>
  <c r="M2802" i="1"/>
  <c r="L2802" i="1"/>
  <c r="K2802" i="1"/>
  <c r="M2801" i="1"/>
  <c r="L2801" i="1"/>
  <c r="K2801" i="1"/>
  <c r="M2800" i="1"/>
  <c r="L2800" i="1"/>
  <c r="K2800" i="1"/>
  <c r="M2799" i="1"/>
  <c r="L2799" i="1"/>
  <c r="K2799" i="1"/>
  <c r="M2798" i="1"/>
  <c r="L2798" i="1"/>
  <c r="K2798" i="1"/>
  <c r="M2797" i="1"/>
  <c r="L2797" i="1"/>
  <c r="K2797" i="1"/>
  <c r="M2796" i="1"/>
  <c r="L2796" i="1"/>
  <c r="K2796" i="1"/>
  <c r="M2795" i="1"/>
  <c r="L2795" i="1"/>
  <c r="K2795" i="1"/>
  <c r="M2794" i="1"/>
  <c r="L2794" i="1"/>
  <c r="K2794" i="1"/>
  <c r="M2793" i="1"/>
  <c r="L2793" i="1"/>
  <c r="K2793" i="1"/>
  <c r="M2792" i="1"/>
  <c r="L2792" i="1"/>
  <c r="K2792" i="1"/>
  <c r="M2791" i="1"/>
  <c r="L2791" i="1"/>
  <c r="K2791" i="1"/>
  <c r="M2790" i="1"/>
  <c r="L2790" i="1"/>
  <c r="K2790" i="1"/>
  <c r="M2789" i="1"/>
  <c r="L2789" i="1"/>
  <c r="K2789" i="1"/>
  <c r="M2788" i="1"/>
  <c r="L2788" i="1"/>
  <c r="K2788" i="1"/>
  <c r="M2787" i="1"/>
  <c r="L2787" i="1"/>
  <c r="K2787" i="1"/>
  <c r="M2786" i="1"/>
  <c r="L2786" i="1"/>
  <c r="K2786" i="1"/>
  <c r="M2785" i="1"/>
  <c r="L2785" i="1"/>
  <c r="K2785" i="1"/>
  <c r="M2784" i="1"/>
  <c r="K2784" i="1"/>
  <c r="M2783" i="1"/>
  <c r="K2783" i="1"/>
  <c r="M2782" i="1"/>
  <c r="K2782" i="1"/>
  <c r="M2781" i="1"/>
  <c r="K2781" i="1"/>
  <c r="M2780" i="1"/>
  <c r="K2780" i="1"/>
  <c r="M2779" i="1"/>
  <c r="K2779" i="1"/>
  <c r="M2778" i="1"/>
  <c r="K2778" i="1"/>
  <c r="M2777" i="1"/>
  <c r="K2777" i="1"/>
  <c r="M2776" i="1"/>
  <c r="K2776" i="1"/>
  <c r="K2775" i="1"/>
  <c r="M2774" i="1"/>
  <c r="K2774" i="1"/>
  <c r="M2773" i="1"/>
  <c r="K2773" i="1"/>
  <c r="M2772" i="1"/>
  <c r="K2772" i="1"/>
  <c r="M2771" i="1"/>
  <c r="K2771" i="1"/>
  <c r="M2770" i="1"/>
  <c r="K2770" i="1"/>
  <c r="M2769" i="1"/>
  <c r="K2769" i="1"/>
  <c r="M2768" i="1"/>
  <c r="K2768" i="1"/>
  <c r="K2767" i="1"/>
  <c r="M2766" i="1"/>
  <c r="K2766" i="1"/>
  <c r="M2765" i="1"/>
  <c r="K2765" i="1"/>
  <c r="M2764" i="1"/>
  <c r="K2764" i="1"/>
  <c r="M2763" i="1"/>
  <c r="K2763" i="1"/>
  <c r="M2762" i="1"/>
  <c r="K2762" i="1"/>
  <c r="M2761" i="1"/>
  <c r="K2761" i="1"/>
  <c r="M2760" i="1"/>
  <c r="K2760" i="1"/>
  <c r="M2759" i="1"/>
  <c r="K2759" i="1"/>
  <c r="M2758" i="1"/>
  <c r="K2758" i="1"/>
  <c r="M2757" i="1"/>
  <c r="K2757" i="1"/>
  <c r="M2756" i="1"/>
  <c r="K2756" i="1"/>
  <c r="K2755" i="1"/>
  <c r="M2754" i="1"/>
  <c r="K2754" i="1"/>
  <c r="K2753" i="1"/>
  <c r="M2752" i="1"/>
  <c r="K2752" i="1"/>
  <c r="M2751" i="1"/>
  <c r="K2751" i="1"/>
  <c r="M2750" i="1"/>
  <c r="K2750" i="1"/>
  <c r="M2749" i="1"/>
  <c r="K2749" i="1"/>
  <c r="M2748" i="1"/>
  <c r="K2748" i="1"/>
  <c r="K2747" i="1"/>
  <c r="M2746" i="1"/>
  <c r="K2746" i="1"/>
  <c r="M2745" i="1"/>
  <c r="K2745" i="1"/>
  <c r="M2744" i="1"/>
  <c r="K2744" i="1"/>
  <c r="K2743" i="1"/>
  <c r="M2742" i="1"/>
  <c r="K2742" i="1"/>
  <c r="K2741" i="1"/>
  <c r="M2740" i="1"/>
  <c r="K2740" i="1"/>
  <c r="M2739" i="1"/>
  <c r="K2739" i="1"/>
  <c r="M2738" i="1"/>
  <c r="K2738" i="1"/>
  <c r="M2737" i="1"/>
  <c r="K2737" i="1"/>
  <c r="M2736" i="1"/>
  <c r="K2736" i="1"/>
  <c r="M2735" i="1"/>
  <c r="K2735" i="1"/>
  <c r="M2734" i="1"/>
  <c r="K2734" i="1"/>
  <c r="M2733" i="1"/>
  <c r="K2733" i="1"/>
  <c r="K2732" i="1"/>
  <c r="M2731" i="1"/>
  <c r="K2731" i="1"/>
  <c r="M2730" i="1"/>
  <c r="K2730" i="1"/>
  <c r="M2729" i="1"/>
  <c r="K2729" i="1"/>
  <c r="M2728" i="1"/>
  <c r="K2728" i="1"/>
  <c r="M2727" i="1"/>
  <c r="K2727" i="1"/>
  <c r="M2726" i="1"/>
  <c r="K2726" i="1"/>
  <c r="M2725" i="1"/>
  <c r="K2725" i="1"/>
  <c r="K2724" i="1"/>
  <c r="M2723" i="1"/>
  <c r="K2723" i="1"/>
  <c r="M2722" i="1"/>
  <c r="K2722" i="1"/>
  <c r="M2721" i="1"/>
  <c r="K2721" i="1"/>
  <c r="M2720" i="1"/>
  <c r="K2720" i="1"/>
  <c r="M2719" i="1"/>
  <c r="K2719" i="1"/>
  <c r="M2718" i="1"/>
  <c r="K2718" i="1"/>
  <c r="M2717" i="1"/>
  <c r="K2717" i="1"/>
  <c r="M2716" i="1"/>
  <c r="K2716" i="1"/>
  <c r="M2715" i="1"/>
  <c r="K2715" i="1"/>
  <c r="K2714" i="1"/>
  <c r="M2713" i="1"/>
  <c r="K2713" i="1"/>
  <c r="M2712" i="1"/>
  <c r="K2712" i="1"/>
  <c r="M2711" i="1"/>
  <c r="K2711" i="1"/>
  <c r="M2710" i="1"/>
  <c r="K2710" i="1"/>
  <c r="M2709" i="1"/>
  <c r="K2709" i="1"/>
  <c r="M2708" i="1"/>
  <c r="K2708" i="1"/>
  <c r="M2707" i="1"/>
  <c r="K2707" i="1"/>
  <c r="M2706" i="1"/>
  <c r="K2706" i="1"/>
  <c r="M2705" i="1"/>
  <c r="K2705" i="1"/>
  <c r="M2704" i="1"/>
  <c r="K2704" i="1"/>
  <c r="M2703" i="1"/>
  <c r="K2703" i="1"/>
  <c r="M2702" i="1"/>
  <c r="K2702" i="1"/>
  <c r="M2701" i="1"/>
  <c r="K2701" i="1"/>
  <c r="M2700" i="1"/>
  <c r="K2700" i="1"/>
  <c r="M2699" i="1"/>
  <c r="K2699" i="1"/>
  <c r="M2698" i="1"/>
  <c r="K2698" i="1"/>
  <c r="M2697" i="1"/>
  <c r="K2697" i="1"/>
  <c r="M2696" i="1"/>
  <c r="K2696" i="1"/>
  <c r="K2695" i="1"/>
  <c r="M2694" i="1"/>
  <c r="L2694" i="1"/>
  <c r="K2694" i="1"/>
  <c r="M2693" i="1"/>
  <c r="L2693" i="1"/>
  <c r="K2693" i="1"/>
  <c r="M2692" i="1"/>
  <c r="L2692" i="1"/>
  <c r="K2692" i="1"/>
  <c r="M2691" i="1"/>
  <c r="L2691" i="1"/>
  <c r="K2691" i="1"/>
  <c r="M2690" i="1"/>
  <c r="L2690" i="1"/>
  <c r="K2690" i="1"/>
  <c r="M2689" i="1"/>
  <c r="L2689" i="1"/>
  <c r="K2689" i="1"/>
  <c r="M2688" i="1"/>
  <c r="L2688" i="1"/>
  <c r="K2688" i="1"/>
  <c r="M2687" i="1"/>
  <c r="L2687" i="1"/>
  <c r="K2687" i="1"/>
  <c r="M2686" i="1"/>
  <c r="L2686" i="1"/>
  <c r="K2686" i="1"/>
  <c r="M2685" i="1"/>
  <c r="L2685" i="1"/>
  <c r="K2685" i="1"/>
  <c r="M2684" i="1"/>
  <c r="L2684" i="1"/>
  <c r="K2684" i="1"/>
  <c r="M2683" i="1"/>
  <c r="L2683" i="1"/>
  <c r="K2683" i="1"/>
  <c r="M2682" i="1"/>
  <c r="L2682" i="1"/>
  <c r="K2682" i="1"/>
  <c r="M2681" i="1"/>
  <c r="L2681" i="1"/>
  <c r="K2681" i="1"/>
  <c r="M2680" i="1"/>
  <c r="L2680" i="1"/>
  <c r="K2680" i="1"/>
  <c r="M2679" i="1"/>
  <c r="L2679" i="1"/>
  <c r="K2679" i="1"/>
  <c r="M2678" i="1"/>
  <c r="L2678" i="1"/>
  <c r="K2678" i="1"/>
  <c r="M2677" i="1"/>
  <c r="L2677" i="1"/>
  <c r="K2677" i="1"/>
  <c r="M2676" i="1"/>
  <c r="K2676" i="1"/>
  <c r="M2675" i="1"/>
  <c r="K2675" i="1"/>
  <c r="M2674" i="1"/>
  <c r="K2674" i="1"/>
  <c r="M2673" i="1"/>
  <c r="K2673" i="1"/>
  <c r="M2672" i="1"/>
  <c r="K2672" i="1"/>
  <c r="M2671" i="1"/>
  <c r="K2671" i="1"/>
  <c r="M2670" i="1"/>
  <c r="K2670" i="1"/>
  <c r="M2669" i="1"/>
  <c r="K2669" i="1"/>
  <c r="K2668" i="1"/>
  <c r="M2667" i="1"/>
  <c r="K2667" i="1"/>
  <c r="M2666" i="1"/>
  <c r="K2666" i="1"/>
  <c r="M2665" i="1"/>
  <c r="K2665" i="1"/>
  <c r="K2664" i="1"/>
  <c r="M2651" i="1"/>
  <c r="K2651" i="1"/>
  <c r="M2650" i="1"/>
  <c r="K2650" i="1"/>
  <c r="M2649" i="1"/>
  <c r="K2649" i="1"/>
  <c r="M2648" i="1"/>
  <c r="K2648" i="1"/>
  <c r="K2647" i="1"/>
  <c r="M2646" i="1"/>
  <c r="L2646" i="1"/>
  <c r="K2646" i="1"/>
  <c r="M2645" i="1"/>
  <c r="L2645" i="1"/>
  <c r="K2645" i="1"/>
  <c r="M2644" i="1"/>
  <c r="L2644" i="1"/>
  <c r="K2644" i="1"/>
  <c r="M2643" i="1"/>
  <c r="L2643" i="1"/>
  <c r="K2643" i="1"/>
  <c r="M2642" i="1"/>
  <c r="L2642" i="1"/>
  <c r="K2642" i="1"/>
  <c r="M2641" i="1"/>
  <c r="L2641" i="1"/>
  <c r="K2641" i="1"/>
  <c r="M2640" i="1"/>
  <c r="L2640" i="1"/>
  <c r="K2640" i="1"/>
  <c r="M2639" i="1"/>
  <c r="L2639" i="1"/>
  <c r="K2639" i="1"/>
  <c r="M2638" i="1"/>
  <c r="K2638" i="1"/>
  <c r="M2637" i="1"/>
  <c r="K2637" i="1"/>
  <c r="M2636" i="1"/>
  <c r="K2636" i="1"/>
  <c r="K2635" i="1"/>
  <c r="M2634" i="1"/>
  <c r="L2634" i="1"/>
  <c r="K2634" i="1"/>
  <c r="M2633" i="1"/>
  <c r="L2633" i="1"/>
  <c r="K2633" i="1"/>
  <c r="M2632" i="1"/>
  <c r="L2632" i="1"/>
  <c r="K2632" i="1"/>
  <c r="M2631" i="1"/>
  <c r="L2631" i="1"/>
  <c r="K2631" i="1"/>
  <c r="M2630" i="1"/>
  <c r="L2630" i="1"/>
  <c r="K2630" i="1"/>
  <c r="M2629" i="1"/>
  <c r="L2629" i="1"/>
  <c r="K2629" i="1"/>
  <c r="M2628" i="1"/>
  <c r="L2628" i="1"/>
  <c r="K2628" i="1"/>
  <c r="M2627" i="1"/>
  <c r="L2627" i="1"/>
  <c r="K2627" i="1"/>
  <c r="M2626" i="1"/>
  <c r="L2626" i="1"/>
  <c r="K2626" i="1"/>
  <c r="M2625" i="1"/>
  <c r="K2625" i="1"/>
  <c r="K2624" i="1"/>
  <c r="M2623" i="1"/>
  <c r="L2623" i="1"/>
  <c r="K2623" i="1"/>
  <c r="M2622" i="1"/>
  <c r="L2622" i="1"/>
  <c r="K2622" i="1"/>
  <c r="M2621" i="1"/>
  <c r="L2621" i="1"/>
  <c r="K2621" i="1"/>
  <c r="M2620" i="1"/>
  <c r="L2620" i="1"/>
  <c r="K2620" i="1"/>
  <c r="M2619" i="1"/>
  <c r="L2619" i="1"/>
  <c r="K2619" i="1"/>
  <c r="M2618" i="1"/>
  <c r="L2618" i="1"/>
  <c r="K2618" i="1"/>
  <c r="M2617" i="1"/>
  <c r="L2617" i="1"/>
  <c r="K2617" i="1"/>
  <c r="M2616" i="1"/>
  <c r="L2616" i="1"/>
  <c r="K2616" i="1"/>
  <c r="M2615" i="1"/>
  <c r="L2615" i="1"/>
  <c r="K2615" i="1"/>
  <c r="M2614" i="1"/>
  <c r="L2614" i="1"/>
  <c r="K2614" i="1"/>
  <c r="M2613" i="1"/>
  <c r="L2613" i="1"/>
  <c r="K2613" i="1"/>
  <c r="M2612" i="1"/>
  <c r="L2612" i="1"/>
  <c r="K2612" i="1"/>
  <c r="M2611" i="1"/>
  <c r="L2611" i="1"/>
  <c r="K2611" i="1"/>
  <c r="M2610" i="1"/>
  <c r="L2610" i="1"/>
  <c r="K2610" i="1"/>
  <c r="M2609" i="1"/>
  <c r="L2609" i="1"/>
  <c r="K2609" i="1"/>
  <c r="M2608" i="1"/>
  <c r="L2608" i="1"/>
  <c r="K2608" i="1"/>
  <c r="M2607" i="1"/>
  <c r="L2607" i="1"/>
  <c r="K2607" i="1"/>
  <c r="M2606" i="1"/>
  <c r="L2606" i="1"/>
  <c r="K2606" i="1"/>
  <c r="M2605" i="1"/>
  <c r="L2605" i="1"/>
  <c r="K2605" i="1"/>
  <c r="M2604" i="1"/>
  <c r="L2604" i="1"/>
  <c r="K2604" i="1"/>
  <c r="M2603" i="1"/>
  <c r="L2603" i="1"/>
  <c r="K2603" i="1"/>
  <c r="M2602" i="1"/>
  <c r="L2602" i="1"/>
  <c r="K2602" i="1"/>
  <c r="M2601" i="1"/>
  <c r="L2601" i="1"/>
  <c r="K2601" i="1"/>
  <c r="M2600" i="1"/>
  <c r="L2600" i="1"/>
  <c r="K2600" i="1"/>
  <c r="M2599" i="1"/>
  <c r="K2599" i="1"/>
  <c r="K2598" i="1"/>
  <c r="M2597" i="1"/>
  <c r="L2597" i="1"/>
  <c r="K2597" i="1"/>
  <c r="M2596" i="1"/>
  <c r="L2596" i="1"/>
  <c r="K2596" i="1"/>
  <c r="M2595" i="1"/>
  <c r="L2595" i="1"/>
  <c r="K2595" i="1"/>
  <c r="M2594" i="1"/>
  <c r="L2594" i="1"/>
  <c r="K2594" i="1"/>
  <c r="M2593" i="1"/>
  <c r="L2593" i="1"/>
  <c r="K2593" i="1"/>
  <c r="M2592" i="1"/>
  <c r="L2592" i="1"/>
  <c r="K2592" i="1"/>
  <c r="M2591" i="1"/>
  <c r="L2591" i="1"/>
  <c r="K2591" i="1"/>
  <c r="M2590" i="1"/>
  <c r="L2590" i="1"/>
  <c r="K2590" i="1"/>
  <c r="M2589" i="1"/>
  <c r="L2589" i="1"/>
  <c r="K2589" i="1"/>
  <c r="M2588" i="1"/>
  <c r="L2588" i="1"/>
  <c r="K2588" i="1"/>
  <c r="M2587" i="1"/>
  <c r="L2587" i="1"/>
  <c r="K2587" i="1"/>
  <c r="M2586" i="1"/>
  <c r="L2586" i="1"/>
  <c r="K2586" i="1"/>
  <c r="M2585" i="1"/>
  <c r="L2585" i="1"/>
  <c r="K2585" i="1"/>
  <c r="M2584" i="1"/>
  <c r="L2584" i="1"/>
  <c r="K2584" i="1"/>
  <c r="M2583" i="1"/>
  <c r="L2583" i="1"/>
  <c r="K2583" i="1"/>
  <c r="M2582" i="1"/>
  <c r="K2582" i="1"/>
  <c r="M2581" i="1"/>
  <c r="K2581" i="1"/>
  <c r="M2580" i="1"/>
  <c r="K2580" i="1"/>
  <c r="M2579" i="1"/>
  <c r="K2579" i="1"/>
  <c r="M2578" i="1"/>
  <c r="K2578" i="1"/>
  <c r="M2577" i="1"/>
  <c r="K2577" i="1"/>
  <c r="M2576" i="1"/>
  <c r="K2576" i="1"/>
  <c r="K2575" i="1"/>
  <c r="M2574" i="1"/>
  <c r="L2574" i="1"/>
  <c r="K2574" i="1"/>
  <c r="M2573" i="1"/>
  <c r="L2573" i="1"/>
  <c r="K2573" i="1"/>
  <c r="M2572" i="1"/>
  <c r="L2572" i="1"/>
  <c r="K2572" i="1"/>
  <c r="M2571" i="1"/>
  <c r="L2571" i="1"/>
  <c r="K2571" i="1"/>
  <c r="M2570" i="1"/>
  <c r="L2570" i="1"/>
  <c r="K2570" i="1"/>
  <c r="M2569" i="1"/>
  <c r="L2569" i="1"/>
  <c r="K2569" i="1"/>
  <c r="M2568" i="1"/>
  <c r="L2568" i="1"/>
  <c r="K2568" i="1"/>
  <c r="M2567" i="1"/>
  <c r="L2567" i="1"/>
  <c r="K2567" i="1"/>
  <c r="M2566" i="1"/>
  <c r="L2566" i="1"/>
  <c r="K2566" i="1"/>
  <c r="M2565" i="1"/>
  <c r="L2565" i="1"/>
  <c r="K2565" i="1"/>
  <c r="M2564" i="1"/>
  <c r="L2564" i="1"/>
  <c r="K2564" i="1"/>
  <c r="M2563" i="1"/>
  <c r="L2563" i="1"/>
  <c r="K2563" i="1"/>
  <c r="M2562" i="1"/>
  <c r="L2562" i="1"/>
  <c r="K2562" i="1"/>
  <c r="M2561" i="1"/>
  <c r="L2561" i="1"/>
  <c r="K2561" i="1"/>
  <c r="M2560" i="1"/>
  <c r="L2560" i="1"/>
  <c r="K2560" i="1"/>
  <c r="M2559" i="1"/>
  <c r="L2559" i="1"/>
  <c r="K2559" i="1"/>
  <c r="M2558" i="1"/>
  <c r="L2558" i="1"/>
  <c r="K2558" i="1"/>
  <c r="M2557" i="1"/>
  <c r="L2557" i="1"/>
  <c r="K2557" i="1"/>
  <c r="M2556" i="1"/>
  <c r="L2556" i="1"/>
  <c r="K2556" i="1"/>
  <c r="M2555" i="1"/>
  <c r="L2555" i="1"/>
  <c r="K2555" i="1"/>
  <c r="M2554" i="1"/>
  <c r="L2554" i="1"/>
  <c r="K2554" i="1"/>
  <c r="M2553" i="1"/>
  <c r="L2553" i="1"/>
  <c r="K2553" i="1"/>
  <c r="M2552" i="1"/>
  <c r="L2552" i="1"/>
  <c r="K2552" i="1"/>
  <c r="M2551" i="1"/>
  <c r="L2551" i="1"/>
  <c r="K2551" i="1"/>
  <c r="M2550" i="1"/>
  <c r="L2550" i="1"/>
  <c r="K2550" i="1"/>
  <c r="M2549" i="1"/>
  <c r="L2549" i="1"/>
  <c r="K2549" i="1"/>
  <c r="M2548" i="1"/>
  <c r="L2548" i="1"/>
  <c r="K2548" i="1"/>
  <c r="M2547" i="1"/>
  <c r="L2547" i="1"/>
  <c r="K2547" i="1"/>
  <c r="M2546" i="1"/>
  <c r="K2546" i="1"/>
  <c r="M2545" i="1"/>
  <c r="K2545" i="1"/>
  <c r="M2544" i="1"/>
  <c r="K2544" i="1"/>
  <c r="K2543" i="1"/>
  <c r="M2542" i="1"/>
  <c r="L2542" i="1"/>
  <c r="K2542" i="1"/>
  <c r="M2541" i="1"/>
  <c r="L2541" i="1"/>
  <c r="K2541" i="1"/>
  <c r="M2540" i="1"/>
  <c r="L2540" i="1"/>
  <c r="K2540" i="1"/>
  <c r="M2539" i="1"/>
  <c r="L2539" i="1"/>
  <c r="K2539" i="1"/>
  <c r="M2538" i="1"/>
  <c r="L2538" i="1"/>
  <c r="K2538" i="1"/>
  <c r="M2537" i="1"/>
  <c r="L2537" i="1"/>
  <c r="K2537" i="1"/>
  <c r="M2536" i="1"/>
  <c r="L2536" i="1"/>
  <c r="K2536" i="1"/>
  <c r="M2535" i="1"/>
  <c r="L2535" i="1"/>
  <c r="K2535" i="1"/>
  <c r="M2534" i="1"/>
  <c r="L2534" i="1"/>
  <c r="K2534" i="1"/>
  <c r="M2533" i="1"/>
  <c r="L2533" i="1"/>
  <c r="K2533" i="1"/>
  <c r="M2532" i="1"/>
  <c r="L2532" i="1"/>
  <c r="K2532" i="1"/>
  <c r="M2531" i="1"/>
  <c r="L2531" i="1"/>
  <c r="K2531" i="1"/>
  <c r="M2530" i="1"/>
  <c r="L2530" i="1"/>
  <c r="K2530" i="1"/>
  <c r="M2529" i="1"/>
  <c r="L2529" i="1"/>
  <c r="K2529" i="1"/>
  <c r="M2528" i="1"/>
  <c r="L2528" i="1"/>
  <c r="K2528" i="1"/>
  <c r="M2527" i="1"/>
  <c r="L2527" i="1"/>
  <c r="K2527" i="1"/>
  <c r="M2526" i="1"/>
  <c r="L2526" i="1"/>
  <c r="K2526" i="1"/>
  <c r="M2525" i="1"/>
  <c r="L2525" i="1"/>
  <c r="K2525" i="1"/>
  <c r="M2524" i="1"/>
  <c r="L2524" i="1"/>
  <c r="K2524" i="1"/>
  <c r="M2523" i="1"/>
  <c r="L2523" i="1"/>
  <c r="K2523" i="1"/>
  <c r="M2522" i="1"/>
  <c r="L2522" i="1"/>
  <c r="K2522" i="1"/>
  <c r="M2521" i="1"/>
  <c r="L2521" i="1"/>
  <c r="K2521" i="1"/>
  <c r="M2520" i="1"/>
  <c r="L2520" i="1"/>
  <c r="K2520" i="1"/>
  <c r="M2519" i="1"/>
  <c r="L2519" i="1"/>
  <c r="K2519" i="1"/>
  <c r="M2518" i="1"/>
  <c r="L2518" i="1"/>
  <c r="K2518" i="1"/>
  <c r="M2517" i="1"/>
  <c r="L2517" i="1"/>
  <c r="K2517" i="1"/>
  <c r="M2516" i="1"/>
  <c r="L2516" i="1"/>
  <c r="K2516" i="1"/>
  <c r="M2515" i="1"/>
  <c r="L2515" i="1"/>
  <c r="K2515" i="1"/>
  <c r="M2514" i="1"/>
  <c r="L2514" i="1"/>
  <c r="K2514" i="1"/>
  <c r="M2513" i="1"/>
  <c r="L2513" i="1"/>
  <c r="K2513" i="1"/>
  <c r="M2512" i="1"/>
  <c r="L2512" i="1"/>
  <c r="K2512" i="1"/>
  <c r="M2511" i="1"/>
  <c r="L2511" i="1"/>
  <c r="K2511" i="1"/>
  <c r="M2510" i="1"/>
  <c r="L2510" i="1"/>
  <c r="K2510" i="1"/>
  <c r="M2509" i="1"/>
  <c r="L2509" i="1"/>
  <c r="K2509" i="1"/>
  <c r="M2508" i="1"/>
  <c r="L2508" i="1"/>
  <c r="K2508" i="1"/>
  <c r="M2507" i="1"/>
  <c r="L2507" i="1"/>
  <c r="K2507" i="1"/>
  <c r="M2506" i="1"/>
  <c r="L2506" i="1"/>
  <c r="K2506" i="1"/>
  <c r="M2505" i="1"/>
  <c r="L2505" i="1"/>
  <c r="K2505" i="1"/>
  <c r="M2504" i="1"/>
  <c r="L2504" i="1"/>
  <c r="K2504" i="1"/>
  <c r="M2503" i="1"/>
  <c r="L2503" i="1"/>
  <c r="K2503" i="1"/>
  <c r="M2502" i="1"/>
  <c r="L2502" i="1"/>
  <c r="K2502" i="1"/>
  <c r="M2501" i="1"/>
  <c r="K2501" i="1"/>
  <c r="M2500" i="1"/>
  <c r="K2500" i="1"/>
  <c r="M2499" i="1"/>
  <c r="K2499" i="1"/>
  <c r="K2498" i="1"/>
  <c r="M2497" i="1"/>
  <c r="K2497" i="1"/>
  <c r="M2496" i="1"/>
  <c r="K2496" i="1"/>
  <c r="M2495" i="1"/>
  <c r="K2495" i="1"/>
  <c r="M2494" i="1"/>
  <c r="K2494" i="1"/>
  <c r="M2493" i="1"/>
  <c r="K2493" i="1"/>
  <c r="M2492" i="1"/>
  <c r="K2492" i="1"/>
  <c r="M2491" i="1"/>
  <c r="K2491" i="1"/>
  <c r="M2490" i="1"/>
  <c r="K2490" i="1"/>
  <c r="M2489" i="1"/>
  <c r="K2489" i="1"/>
  <c r="K2488" i="1"/>
  <c r="M2487" i="1"/>
  <c r="K2487" i="1"/>
  <c r="M2486" i="1"/>
  <c r="K2486" i="1"/>
  <c r="M2485" i="1"/>
  <c r="K2485" i="1"/>
  <c r="M2484" i="1"/>
  <c r="K2484" i="1"/>
  <c r="K2483" i="1"/>
  <c r="M2482" i="1"/>
  <c r="K2482" i="1"/>
  <c r="M2481" i="1"/>
  <c r="K2481" i="1"/>
  <c r="M2480" i="1"/>
  <c r="K2480" i="1"/>
  <c r="M2479" i="1"/>
  <c r="K2479" i="1"/>
  <c r="M2478" i="1"/>
  <c r="K2478" i="1"/>
  <c r="M2477" i="1"/>
  <c r="K2477" i="1"/>
  <c r="K2476" i="1"/>
  <c r="M2475" i="1"/>
  <c r="K2475" i="1"/>
  <c r="M2474" i="1"/>
  <c r="K2474" i="1"/>
  <c r="M2473" i="1"/>
  <c r="K2473" i="1"/>
  <c r="M2472" i="1"/>
  <c r="K2472" i="1"/>
  <c r="M2471" i="1"/>
  <c r="K2471" i="1"/>
  <c r="M2470" i="1"/>
  <c r="K2470" i="1"/>
  <c r="M2469" i="1"/>
  <c r="K2469" i="1"/>
  <c r="M2468" i="1"/>
  <c r="K2468" i="1"/>
  <c r="M2467" i="1"/>
  <c r="K2467" i="1"/>
  <c r="M2466" i="1"/>
  <c r="K2466" i="1"/>
  <c r="M2465" i="1"/>
  <c r="K2465" i="1"/>
  <c r="M2464" i="1"/>
  <c r="K2464" i="1"/>
  <c r="K2463" i="1"/>
  <c r="M2462" i="1"/>
  <c r="K2462" i="1"/>
  <c r="M2461" i="1"/>
  <c r="K2461" i="1"/>
  <c r="M2460" i="1"/>
  <c r="K2460" i="1"/>
  <c r="M2459" i="1"/>
  <c r="K2459" i="1"/>
  <c r="M2458" i="1"/>
  <c r="K2458" i="1"/>
  <c r="M2457" i="1"/>
  <c r="K2457" i="1"/>
  <c r="M2456" i="1"/>
  <c r="K2456" i="1"/>
  <c r="M2455" i="1"/>
  <c r="K2455" i="1"/>
  <c r="K2454" i="1"/>
  <c r="M2453" i="1"/>
  <c r="L2453" i="1"/>
  <c r="K2453" i="1"/>
  <c r="M2452" i="1"/>
  <c r="L2452" i="1"/>
  <c r="K2452" i="1"/>
  <c r="M2451" i="1"/>
  <c r="L2451" i="1"/>
  <c r="K2451" i="1"/>
  <c r="M2450" i="1"/>
  <c r="L2450" i="1"/>
  <c r="K2450" i="1"/>
  <c r="M2449" i="1"/>
  <c r="L2449" i="1"/>
  <c r="K2449" i="1"/>
  <c r="M2448" i="1"/>
  <c r="L2448" i="1"/>
  <c r="K2448" i="1"/>
  <c r="M2447" i="1"/>
  <c r="L2447" i="1"/>
  <c r="K2447" i="1"/>
  <c r="M2446" i="1"/>
  <c r="L2446" i="1"/>
  <c r="K2446" i="1"/>
  <c r="M2445" i="1"/>
  <c r="L2445" i="1"/>
  <c r="K2445" i="1"/>
  <c r="M2444" i="1"/>
  <c r="L2444" i="1"/>
  <c r="K2444" i="1"/>
  <c r="M2443" i="1"/>
  <c r="L2443" i="1"/>
  <c r="K2443" i="1"/>
  <c r="M2442" i="1"/>
  <c r="L2442" i="1"/>
  <c r="K2442" i="1"/>
  <c r="M2441" i="1"/>
  <c r="L2441" i="1"/>
  <c r="K2441" i="1"/>
  <c r="M2440" i="1"/>
  <c r="L2440" i="1"/>
  <c r="K2440" i="1"/>
  <c r="M2439" i="1"/>
  <c r="L2439" i="1"/>
  <c r="K2439" i="1"/>
  <c r="M2438" i="1"/>
  <c r="L2438" i="1"/>
  <c r="K2438" i="1"/>
  <c r="M2437" i="1"/>
  <c r="L2437" i="1"/>
  <c r="K2437" i="1"/>
  <c r="M2436" i="1"/>
  <c r="L2436" i="1"/>
  <c r="K2436" i="1"/>
  <c r="M2435" i="1"/>
  <c r="L2435" i="1"/>
  <c r="K2435" i="1"/>
  <c r="M2434" i="1"/>
  <c r="L2434" i="1"/>
  <c r="K2434" i="1"/>
  <c r="M2433" i="1"/>
  <c r="L2433" i="1"/>
  <c r="K2433" i="1"/>
  <c r="M2432" i="1"/>
  <c r="L2432" i="1"/>
  <c r="K2432" i="1"/>
  <c r="M2431" i="1"/>
  <c r="K2431" i="1"/>
  <c r="M2430" i="1"/>
  <c r="K2430" i="1"/>
  <c r="K2429" i="1"/>
  <c r="M2428" i="1"/>
  <c r="L2428" i="1"/>
  <c r="K2428" i="1"/>
  <c r="M2427" i="1"/>
  <c r="L2427" i="1"/>
  <c r="K2427" i="1"/>
  <c r="M2426" i="1"/>
  <c r="L2426" i="1"/>
  <c r="K2426" i="1"/>
  <c r="M2425" i="1"/>
  <c r="L2425" i="1"/>
  <c r="K2425" i="1"/>
  <c r="M2424" i="1"/>
  <c r="L2424" i="1"/>
  <c r="K2424" i="1"/>
  <c r="M2423" i="1"/>
  <c r="L2423" i="1"/>
  <c r="K2423" i="1"/>
  <c r="M2422" i="1"/>
  <c r="L2422" i="1"/>
  <c r="K2422" i="1"/>
  <c r="M2421" i="1"/>
  <c r="L2421" i="1"/>
  <c r="K2421" i="1"/>
  <c r="M2420" i="1"/>
  <c r="L2420" i="1"/>
  <c r="K2420" i="1"/>
  <c r="M2419" i="1"/>
  <c r="L2419" i="1"/>
  <c r="K2419" i="1"/>
  <c r="M2418" i="1"/>
  <c r="L2418" i="1"/>
  <c r="K2418" i="1"/>
  <c r="M2417" i="1"/>
  <c r="L2417" i="1"/>
  <c r="K2417" i="1"/>
  <c r="M2416" i="1"/>
  <c r="L2416" i="1"/>
  <c r="K2416" i="1"/>
  <c r="M2415" i="1"/>
  <c r="L2415" i="1"/>
  <c r="K2415" i="1"/>
  <c r="M2414" i="1"/>
  <c r="L2414" i="1"/>
  <c r="K2414" i="1"/>
  <c r="M2413" i="1"/>
  <c r="L2413" i="1"/>
  <c r="K2413" i="1"/>
  <c r="M2412" i="1"/>
  <c r="L2412" i="1"/>
  <c r="K2412" i="1"/>
  <c r="M2411" i="1"/>
  <c r="L2411" i="1"/>
  <c r="K2411" i="1"/>
  <c r="M2410" i="1"/>
  <c r="L2410" i="1"/>
  <c r="K2410" i="1"/>
  <c r="M2409" i="1"/>
  <c r="L2409" i="1"/>
  <c r="K2409" i="1"/>
  <c r="M2408" i="1"/>
  <c r="L2408" i="1"/>
  <c r="K2408" i="1"/>
  <c r="M2407" i="1"/>
  <c r="L2407" i="1"/>
  <c r="K2407" i="1"/>
  <c r="M2406" i="1"/>
  <c r="L2406" i="1"/>
  <c r="K2406" i="1"/>
  <c r="M2405" i="1"/>
  <c r="L2405" i="1"/>
  <c r="K2405" i="1"/>
  <c r="M2404" i="1"/>
  <c r="L2404" i="1"/>
  <c r="K2404" i="1"/>
  <c r="M2403" i="1"/>
  <c r="L2403" i="1"/>
  <c r="K2403" i="1"/>
  <c r="M2402" i="1"/>
  <c r="L2402" i="1"/>
  <c r="K2402" i="1"/>
  <c r="M2401" i="1"/>
  <c r="L2401" i="1"/>
  <c r="K2401" i="1"/>
  <c r="M2400" i="1"/>
  <c r="L2400" i="1"/>
  <c r="K2400" i="1"/>
  <c r="M2399" i="1"/>
  <c r="L2399" i="1"/>
  <c r="K2399" i="1"/>
  <c r="M2398" i="1"/>
  <c r="L2398" i="1"/>
  <c r="K2398" i="1"/>
  <c r="M2397" i="1"/>
  <c r="L2397" i="1"/>
  <c r="K2397" i="1"/>
  <c r="M2396" i="1"/>
  <c r="L2396" i="1"/>
  <c r="K2396" i="1"/>
  <c r="M2395" i="1"/>
  <c r="L2395" i="1"/>
  <c r="K2395" i="1"/>
  <c r="M2394" i="1"/>
  <c r="L2394" i="1"/>
  <c r="K2394" i="1"/>
  <c r="M2393" i="1"/>
  <c r="L2393" i="1"/>
  <c r="K2393" i="1"/>
  <c r="M2392" i="1"/>
  <c r="L2392" i="1"/>
  <c r="K2392" i="1"/>
  <c r="M2391" i="1"/>
  <c r="L2391" i="1"/>
  <c r="K2391" i="1"/>
  <c r="M2390" i="1"/>
  <c r="L2390" i="1"/>
  <c r="K2390" i="1"/>
  <c r="M2389" i="1"/>
  <c r="L2389" i="1"/>
  <c r="K2389" i="1"/>
  <c r="M2388" i="1"/>
  <c r="L2388" i="1"/>
  <c r="K2388" i="1"/>
  <c r="M2387" i="1"/>
  <c r="L2387" i="1"/>
  <c r="K2387" i="1"/>
  <c r="M2386" i="1"/>
  <c r="L2386" i="1"/>
  <c r="K2386" i="1"/>
  <c r="M2385" i="1"/>
  <c r="L2385" i="1"/>
  <c r="K2385" i="1"/>
  <c r="M2384" i="1"/>
  <c r="L2384" i="1"/>
  <c r="K2384" i="1"/>
  <c r="M2383" i="1"/>
  <c r="L2383" i="1"/>
  <c r="K2383" i="1"/>
  <c r="M2382" i="1"/>
  <c r="L2382" i="1"/>
  <c r="K2382" i="1"/>
  <c r="M2381" i="1"/>
  <c r="L2381" i="1"/>
  <c r="K2381" i="1"/>
  <c r="M2380" i="1"/>
  <c r="L2380" i="1"/>
  <c r="K2380" i="1"/>
  <c r="M2379" i="1"/>
  <c r="L2379" i="1"/>
  <c r="K2379" i="1"/>
  <c r="M2378" i="1"/>
  <c r="L2378" i="1"/>
  <c r="K2378" i="1"/>
  <c r="M2377" i="1"/>
  <c r="L2377" i="1"/>
  <c r="K2377" i="1"/>
  <c r="M2376" i="1"/>
  <c r="L2376" i="1"/>
  <c r="K2376" i="1"/>
  <c r="M2375" i="1"/>
  <c r="L2375" i="1"/>
  <c r="K2375" i="1"/>
  <c r="M2374" i="1"/>
  <c r="L2374" i="1"/>
  <c r="K2374" i="1"/>
  <c r="M2373" i="1"/>
  <c r="L2373" i="1"/>
  <c r="K2373" i="1"/>
  <c r="M2372" i="1"/>
  <c r="L2372" i="1"/>
  <c r="K2372" i="1"/>
  <c r="M2371" i="1"/>
  <c r="L2371" i="1"/>
  <c r="K2371" i="1"/>
  <c r="M2370" i="1"/>
  <c r="L2370" i="1"/>
  <c r="K2370" i="1"/>
  <c r="M2369" i="1"/>
  <c r="L2369" i="1"/>
  <c r="K2369" i="1"/>
  <c r="M2368" i="1"/>
  <c r="L2368" i="1"/>
  <c r="K2368" i="1"/>
  <c r="M2367" i="1"/>
  <c r="L2367" i="1"/>
  <c r="K2367" i="1"/>
  <c r="M2366" i="1"/>
  <c r="L2366" i="1"/>
  <c r="K2366" i="1"/>
  <c r="M2365" i="1"/>
  <c r="L2365" i="1"/>
  <c r="K2365" i="1"/>
  <c r="M2364" i="1"/>
  <c r="L2364" i="1"/>
  <c r="K2364" i="1"/>
  <c r="M2363" i="1"/>
  <c r="L2363" i="1"/>
  <c r="K2363" i="1"/>
  <c r="M2362" i="1"/>
  <c r="L2362" i="1"/>
  <c r="K2362" i="1"/>
  <c r="M2361" i="1"/>
  <c r="L2361" i="1"/>
  <c r="K2361" i="1"/>
  <c r="M2360" i="1"/>
  <c r="L2360" i="1"/>
  <c r="K2360" i="1"/>
  <c r="M2359" i="1"/>
  <c r="L2359" i="1"/>
  <c r="K2359" i="1"/>
  <c r="M2358" i="1"/>
  <c r="L2358" i="1"/>
  <c r="K2358" i="1"/>
  <c r="M2357" i="1"/>
  <c r="L2357" i="1"/>
  <c r="K2357" i="1"/>
  <c r="M2356" i="1"/>
  <c r="L2356" i="1"/>
  <c r="K2356" i="1"/>
  <c r="M2355" i="1"/>
  <c r="L2355" i="1"/>
  <c r="K2355" i="1"/>
  <c r="M2354" i="1"/>
  <c r="L2354" i="1"/>
  <c r="K2354" i="1"/>
  <c r="M2353" i="1"/>
  <c r="L2353" i="1"/>
  <c r="K2353" i="1"/>
  <c r="M2352" i="1"/>
  <c r="L2352" i="1"/>
  <c r="K2352" i="1"/>
  <c r="M2351" i="1"/>
  <c r="L2351" i="1"/>
  <c r="K2351" i="1"/>
  <c r="M2350" i="1"/>
  <c r="L2350" i="1"/>
  <c r="K2350" i="1"/>
  <c r="M2349" i="1"/>
  <c r="L2349" i="1"/>
  <c r="K2349" i="1"/>
  <c r="M2348" i="1"/>
  <c r="L2348" i="1"/>
  <c r="K2348" i="1"/>
  <c r="M2347" i="1"/>
  <c r="L2347" i="1"/>
  <c r="K2347" i="1"/>
  <c r="M2346" i="1"/>
  <c r="L2346" i="1"/>
  <c r="K2346" i="1"/>
  <c r="M2345" i="1"/>
  <c r="L2345" i="1"/>
  <c r="K2345" i="1"/>
  <c r="M2344" i="1"/>
  <c r="L2344" i="1"/>
  <c r="K2344" i="1"/>
  <c r="M2343" i="1"/>
  <c r="L2343" i="1"/>
  <c r="K2343" i="1"/>
  <c r="M2342" i="1"/>
  <c r="L2342" i="1"/>
  <c r="K2342" i="1"/>
  <c r="M2341" i="1"/>
  <c r="L2341" i="1"/>
  <c r="K2341" i="1"/>
  <c r="M2340" i="1"/>
  <c r="L2340" i="1"/>
  <c r="K2340" i="1"/>
  <c r="M2339" i="1"/>
  <c r="L2339" i="1"/>
  <c r="K2339" i="1"/>
  <c r="M2338" i="1"/>
  <c r="L2338" i="1"/>
  <c r="K2338" i="1"/>
  <c r="M2337" i="1"/>
  <c r="L2337" i="1"/>
  <c r="K2337" i="1"/>
  <c r="M2336" i="1"/>
  <c r="L2336" i="1"/>
  <c r="K2336" i="1"/>
  <c r="M2335" i="1"/>
  <c r="L2335" i="1"/>
  <c r="K2335" i="1"/>
  <c r="M2334" i="1"/>
  <c r="L2334" i="1"/>
  <c r="K2334" i="1"/>
  <c r="M2333" i="1"/>
  <c r="L2333" i="1"/>
  <c r="K2333" i="1"/>
  <c r="M2332" i="1"/>
  <c r="L2332" i="1"/>
  <c r="K2332" i="1"/>
  <c r="M2331" i="1"/>
  <c r="L2331" i="1"/>
  <c r="K2331" i="1"/>
  <c r="M2330" i="1"/>
  <c r="L2330" i="1"/>
  <c r="K2330" i="1"/>
  <c r="M2329" i="1"/>
  <c r="L2329" i="1"/>
  <c r="K2329" i="1"/>
  <c r="M2328" i="1"/>
  <c r="L2328" i="1"/>
  <c r="K2328" i="1"/>
  <c r="M2327" i="1"/>
  <c r="L2327" i="1"/>
  <c r="K2327" i="1"/>
  <c r="M2326" i="1"/>
  <c r="L2326" i="1"/>
  <c r="K2326" i="1"/>
  <c r="M2325" i="1"/>
  <c r="L2325" i="1"/>
  <c r="K2325" i="1"/>
  <c r="M2324" i="1"/>
  <c r="L2324" i="1"/>
  <c r="K2324" i="1"/>
  <c r="M2323" i="1"/>
  <c r="L2323" i="1"/>
  <c r="K2323" i="1"/>
  <c r="M2322" i="1"/>
  <c r="L2322" i="1"/>
  <c r="K2322" i="1"/>
  <c r="M2321" i="1"/>
  <c r="L2321" i="1"/>
  <c r="K2321" i="1"/>
  <c r="M2320" i="1"/>
  <c r="L2320" i="1"/>
  <c r="K2320" i="1"/>
  <c r="M2319" i="1"/>
  <c r="L2319" i="1"/>
  <c r="K2319" i="1"/>
  <c r="M2318" i="1"/>
  <c r="L2318" i="1"/>
  <c r="K2318" i="1"/>
  <c r="M2317" i="1"/>
  <c r="L2317" i="1"/>
  <c r="K2317" i="1"/>
  <c r="M2316" i="1"/>
  <c r="L2316" i="1"/>
  <c r="K2316" i="1"/>
  <c r="M2315" i="1"/>
  <c r="L2315" i="1"/>
  <c r="K2315" i="1"/>
  <c r="M2314" i="1"/>
  <c r="L2314" i="1"/>
  <c r="K2314" i="1"/>
  <c r="M2313" i="1"/>
  <c r="L2313" i="1"/>
  <c r="K2313" i="1"/>
  <c r="M2312" i="1"/>
  <c r="L2312" i="1"/>
  <c r="K2312" i="1"/>
  <c r="M2311" i="1"/>
  <c r="L2311" i="1"/>
  <c r="K2311" i="1"/>
  <c r="M2310" i="1"/>
  <c r="L2310" i="1"/>
  <c r="K2310" i="1"/>
  <c r="M2309" i="1"/>
  <c r="L2309" i="1"/>
  <c r="K2309" i="1"/>
  <c r="M2308" i="1"/>
  <c r="L2308" i="1"/>
  <c r="K2308" i="1"/>
  <c r="M2307" i="1"/>
  <c r="L2307" i="1"/>
  <c r="K2307" i="1"/>
  <c r="M2306" i="1"/>
  <c r="L2306" i="1"/>
  <c r="K2306" i="1"/>
  <c r="M2305" i="1"/>
  <c r="L2305" i="1"/>
  <c r="K2305" i="1"/>
  <c r="M2304" i="1"/>
  <c r="L2304" i="1"/>
  <c r="K2304" i="1"/>
  <c r="M2303" i="1"/>
  <c r="L2303" i="1"/>
  <c r="K2303" i="1"/>
  <c r="M2302" i="1"/>
  <c r="L2302" i="1"/>
  <c r="K2302" i="1"/>
  <c r="M2301" i="1"/>
  <c r="L2301" i="1"/>
  <c r="K2301" i="1"/>
  <c r="M2300" i="1"/>
  <c r="L2300" i="1"/>
  <c r="K2300" i="1"/>
  <c r="M2299" i="1"/>
  <c r="L2299" i="1"/>
  <c r="K2299" i="1"/>
  <c r="M2298" i="1"/>
  <c r="L2298" i="1"/>
  <c r="K2298" i="1"/>
  <c r="M2297" i="1"/>
  <c r="L2297" i="1"/>
  <c r="K2297" i="1"/>
  <c r="M2296" i="1"/>
  <c r="L2296" i="1"/>
  <c r="K2296" i="1"/>
  <c r="M2295" i="1"/>
  <c r="L2295" i="1"/>
  <c r="K2295" i="1"/>
  <c r="M2294" i="1"/>
  <c r="L2294" i="1"/>
  <c r="K2294" i="1"/>
  <c r="M2293" i="1"/>
  <c r="L2293" i="1"/>
  <c r="K2293" i="1"/>
  <c r="M2292" i="1"/>
  <c r="L2292" i="1"/>
  <c r="K2292" i="1"/>
  <c r="M2291" i="1"/>
  <c r="L2291" i="1"/>
  <c r="K2291" i="1"/>
  <c r="M2290" i="1"/>
  <c r="L2290" i="1"/>
  <c r="K2290" i="1"/>
  <c r="M2289" i="1"/>
  <c r="L2289" i="1"/>
  <c r="K2289" i="1"/>
  <c r="M2288" i="1"/>
  <c r="L2288" i="1"/>
  <c r="K2288" i="1"/>
  <c r="M2287" i="1"/>
  <c r="L2287" i="1"/>
  <c r="K2287" i="1"/>
  <c r="M2286" i="1"/>
  <c r="L2286" i="1"/>
  <c r="K2286" i="1"/>
  <c r="M2285" i="1"/>
  <c r="L2285" i="1"/>
  <c r="K2285" i="1"/>
  <c r="M2284" i="1"/>
  <c r="L2284" i="1"/>
  <c r="K2284" i="1"/>
  <c r="M2283" i="1"/>
  <c r="L2283" i="1"/>
  <c r="K2283" i="1"/>
  <c r="M2282" i="1"/>
  <c r="L2282" i="1"/>
  <c r="K2282" i="1"/>
  <c r="M2281" i="1"/>
  <c r="L2281" i="1"/>
  <c r="K2281" i="1"/>
  <c r="M2280" i="1"/>
  <c r="L2280" i="1"/>
  <c r="K2280" i="1"/>
  <c r="M2279" i="1"/>
  <c r="L2279" i="1"/>
  <c r="K2279" i="1"/>
  <c r="M2278" i="1"/>
  <c r="L2278" i="1"/>
  <c r="K2278" i="1"/>
  <c r="M2277" i="1"/>
  <c r="L2277" i="1"/>
  <c r="K2277" i="1"/>
  <c r="M2276" i="1"/>
  <c r="L2276" i="1"/>
  <c r="K2276" i="1"/>
  <c r="M2275" i="1"/>
  <c r="L2275" i="1"/>
  <c r="K2275" i="1"/>
  <c r="M2274" i="1"/>
  <c r="L2274" i="1"/>
  <c r="K2274" i="1"/>
  <c r="M2273" i="1"/>
  <c r="L2273" i="1"/>
  <c r="K2273" i="1"/>
  <c r="M2272" i="1"/>
  <c r="L2272" i="1"/>
  <c r="K2272" i="1"/>
  <c r="M2271" i="1"/>
  <c r="L2271" i="1"/>
  <c r="K2271" i="1"/>
  <c r="M2270" i="1"/>
  <c r="L2270" i="1"/>
  <c r="K2270" i="1"/>
  <c r="M2269" i="1"/>
  <c r="L2269" i="1"/>
  <c r="K2269" i="1"/>
  <c r="M2268" i="1"/>
  <c r="L2268" i="1"/>
  <c r="K2268" i="1"/>
  <c r="M2267" i="1"/>
  <c r="L2267" i="1"/>
  <c r="K2267" i="1"/>
  <c r="M2266" i="1"/>
  <c r="L2266" i="1"/>
  <c r="K2266" i="1"/>
  <c r="M2265" i="1"/>
  <c r="L2265" i="1"/>
  <c r="K2265" i="1"/>
  <c r="M2264" i="1"/>
  <c r="L2264" i="1"/>
  <c r="K2264" i="1"/>
  <c r="M2263" i="1"/>
  <c r="L2263" i="1"/>
  <c r="K2263" i="1"/>
  <c r="M2262" i="1"/>
  <c r="L2262" i="1"/>
  <c r="K2262" i="1"/>
  <c r="M2261" i="1"/>
  <c r="L2261" i="1"/>
  <c r="K2261" i="1"/>
  <c r="M2260" i="1"/>
  <c r="K2260" i="1"/>
  <c r="M2259" i="1"/>
  <c r="K2259" i="1"/>
  <c r="M2258" i="1"/>
  <c r="K2258" i="1"/>
  <c r="M2257" i="1"/>
  <c r="K2257" i="1"/>
  <c r="M2256" i="1"/>
  <c r="K2256" i="1"/>
  <c r="K2255" i="1"/>
  <c r="M2254" i="1"/>
  <c r="L2254" i="1"/>
  <c r="K2254" i="1"/>
  <c r="M2253" i="1"/>
  <c r="L2253" i="1"/>
  <c r="K2253" i="1"/>
  <c r="M2252" i="1"/>
  <c r="L2252" i="1"/>
  <c r="K2252" i="1"/>
  <c r="M2251" i="1"/>
  <c r="L2251" i="1"/>
  <c r="K2251" i="1"/>
  <c r="M2250" i="1"/>
  <c r="L2250" i="1"/>
  <c r="K2250" i="1"/>
  <c r="M2249" i="1"/>
  <c r="L2249" i="1"/>
  <c r="K2249" i="1"/>
  <c r="M2248" i="1"/>
  <c r="L2248" i="1"/>
  <c r="K2248" i="1"/>
  <c r="M2247" i="1"/>
  <c r="L2247" i="1"/>
  <c r="K2247" i="1"/>
  <c r="M2246" i="1"/>
  <c r="L2246" i="1"/>
  <c r="K2246" i="1"/>
  <c r="M2245" i="1"/>
  <c r="L2245" i="1"/>
  <c r="K2245" i="1"/>
  <c r="M2244" i="1"/>
  <c r="L2244" i="1"/>
  <c r="K2244" i="1"/>
  <c r="M2243" i="1"/>
  <c r="L2243" i="1"/>
  <c r="K2243" i="1"/>
  <c r="M2242" i="1"/>
  <c r="L2242" i="1"/>
  <c r="K2242" i="1"/>
  <c r="M2241" i="1"/>
  <c r="L2241" i="1"/>
  <c r="K2241" i="1"/>
  <c r="M2240" i="1"/>
  <c r="L2240" i="1"/>
  <c r="K2240" i="1"/>
  <c r="M2239" i="1"/>
  <c r="L2239" i="1"/>
  <c r="K2239" i="1"/>
  <c r="M2238" i="1"/>
  <c r="L2238" i="1"/>
  <c r="K2238" i="1"/>
  <c r="M2237" i="1"/>
  <c r="L2237" i="1"/>
  <c r="K2237" i="1"/>
  <c r="M2236" i="1"/>
  <c r="L2236" i="1"/>
  <c r="K2236" i="1"/>
  <c r="M2235" i="1"/>
  <c r="L2235" i="1"/>
  <c r="K2235" i="1"/>
  <c r="M2234" i="1"/>
  <c r="L2234" i="1"/>
  <c r="K2234" i="1"/>
  <c r="M2233" i="1"/>
  <c r="L2233" i="1"/>
  <c r="K2233" i="1"/>
  <c r="M2232" i="1"/>
  <c r="L2232" i="1"/>
  <c r="K2232" i="1"/>
  <c r="M2231" i="1"/>
  <c r="L2231" i="1"/>
  <c r="K2231" i="1"/>
  <c r="M2230" i="1"/>
  <c r="L2230" i="1"/>
  <c r="K2230" i="1"/>
  <c r="M2229" i="1"/>
  <c r="L2229" i="1"/>
  <c r="K2229" i="1"/>
  <c r="M2228" i="1"/>
  <c r="L2228" i="1"/>
  <c r="K2228" i="1"/>
  <c r="M2227" i="1"/>
  <c r="L2227" i="1"/>
  <c r="K2227" i="1"/>
  <c r="M2226" i="1"/>
  <c r="L2226" i="1"/>
  <c r="K2226" i="1"/>
  <c r="M2225" i="1"/>
  <c r="L2225" i="1"/>
  <c r="K2225" i="1"/>
  <c r="M2224" i="1"/>
  <c r="L2224" i="1"/>
  <c r="K2224" i="1"/>
  <c r="M2223" i="1"/>
  <c r="L2223" i="1"/>
  <c r="K2223" i="1"/>
  <c r="M2222" i="1"/>
  <c r="L2222" i="1"/>
  <c r="K2222" i="1"/>
  <c r="M2221" i="1"/>
  <c r="L2221" i="1"/>
  <c r="K2221" i="1"/>
  <c r="M2220" i="1"/>
  <c r="L2220" i="1"/>
  <c r="K2220" i="1"/>
  <c r="M2219" i="1"/>
  <c r="L2219" i="1"/>
  <c r="K2219" i="1"/>
  <c r="M2218" i="1"/>
  <c r="L2218" i="1"/>
  <c r="K2218" i="1"/>
  <c r="M2217" i="1"/>
  <c r="L2217" i="1"/>
  <c r="K2217" i="1"/>
  <c r="M2216" i="1"/>
  <c r="L2216" i="1"/>
  <c r="K2216" i="1"/>
  <c r="M2215" i="1"/>
  <c r="L2215" i="1"/>
  <c r="K2215" i="1"/>
  <c r="M2214" i="1"/>
  <c r="L2214" i="1"/>
  <c r="K2214" i="1"/>
  <c r="M2213" i="1"/>
  <c r="L2213" i="1"/>
  <c r="K2213" i="1"/>
  <c r="M2212" i="1"/>
  <c r="L2212" i="1"/>
  <c r="K2212" i="1"/>
  <c r="M2211" i="1"/>
  <c r="L2211" i="1"/>
  <c r="K2211" i="1"/>
  <c r="M2210" i="1"/>
  <c r="L2210" i="1"/>
  <c r="K2210" i="1"/>
  <c r="M2209" i="1"/>
  <c r="L2209" i="1"/>
  <c r="K2209" i="1"/>
  <c r="M2208" i="1"/>
  <c r="L2208" i="1"/>
  <c r="K2208" i="1"/>
  <c r="M2207" i="1"/>
  <c r="L2207" i="1"/>
  <c r="K2207" i="1"/>
  <c r="M2206" i="1"/>
  <c r="L2206" i="1"/>
  <c r="K2206" i="1"/>
  <c r="M2205" i="1"/>
  <c r="L2205" i="1"/>
  <c r="K2205" i="1"/>
  <c r="M2204" i="1"/>
  <c r="L2204" i="1"/>
  <c r="K2204" i="1"/>
  <c r="M2203" i="1"/>
  <c r="L2203" i="1"/>
  <c r="K2203" i="1"/>
  <c r="M2202" i="1"/>
  <c r="L2202" i="1"/>
  <c r="K2202" i="1"/>
  <c r="M2201" i="1"/>
  <c r="L2201" i="1"/>
  <c r="K2201" i="1"/>
  <c r="M2200" i="1"/>
  <c r="L2200" i="1"/>
  <c r="K2200" i="1"/>
  <c r="M2199" i="1"/>
  <c r="L2199" i="1"/>
  <c r="K2199" i="1"/>
  <c r="M2198" i="1"/>
  <c r="L2198" i="1"/>
  <c r="K2198" i="1"/>
  <c r="M2197" i="1"/>
  <c r="L2197" i="1"/>
  <c r="K2197" i="1"/>
  <c r="M2196" i="1"/>
  <c r="L2196" i="1"/>
  <c r="K2196" i="1"/>
  <c r="M2195" i="1"/>
  <c r="L2195" i="1"/>
  <c r="K2195" i="1"/>
  <c r="M2194" i="1"/>
  <c r="L2194" i="1"/>
  <c r="K2194" i="1"/>
  <c r="M2193" i="1"/>
  <c r="L2193" i="1"/>
  <c r="K2193" i="1"/>
  <c r="M2192" i="1"/>
  <c r="L2192" i="1"/>
  <c r="K2192" i="1"/>
  <c r="M2191" i="1"/>
  <c r="L2191" i="1"/>
  <c r="K2191" i="1"/>
  <c r="M2190" i="1"/>
  <c r="L2190" i="1"/>
  <c r="K2190" i="1"/>
  <c r="M2189" i="1"/>
  <c r="L2189" i="1"/>
  <c r="K2189" i="1"/>
  <c r="M2188" i="1"/>
  <c r="L2188" i="1"/>
  <c r="K2188" i="1"/>
  <c r="M2187" i="1"/>
  <c r="L2187" i="1"/>
  <c r="K2187" i="1"/>
  <c r="M2186" i="1"/>
  <c r="L2186" i="1"/>
  <c r="K2186" i="1"/>
  <c r="M2185" i="1"/>
  <c r="L2185" i="1"/>
  <c r="K2185" i="1"/>
  <c r="M2184" i="1"/>
  <c r="L2184" i="1"/>
  <c r="K2184" i="1"/>
  <c r="M2183" i="1"/>
  <c r="L2183" i="1"/>
  <c r="K2183" i="1"/>
  <c r="M2182" i="1"/>
  <c r="L2182" i="1"/>
  <c r="K2182" i="1"/>
  <c r="M2181" i="1"/>
  <c r="L2181" i="1"/>
  <c r="K2181" i="1"/>
  <c r="M2180" i="1"/>
  <c r="L2180" i="1"/>
  <c r="K2180" i="1"/>
  <c r="M2179" i="1"/>
  <c r="L2179" i="1"/>
  <c r="K2179" i="1"/>
  <c r="M2178" i="1"/>
  <c r="L2178" i="1"/>
  <c r="K2178" i="1"/>
  <c r="M2177" i="1"/>
  <c r="L2177" i="1"/>
  <c r="K2177" i="1"/>
  <c r="M2176" i="1"/>
  <c r="L2176" i="1"/>
  <c r="K2176" i="1"/>
  <c r="M2175" i="1"/>
  <c r="L2175" i="1"/>
  <c r="K2175" i="1"/>
  <c r="M2174" i="1"/>
  <c r="L2174" i="1"/>
  <c r="K2174" i="1"/>
  <c r="M2173" i="1"/>
  <c r="L2173" i="1"/>
  <c r="K2173" i="1"/>
  <c r="M2172" i="1"/>
  <c r="L2172" i="1"/>
  <c r="K2172" i="1"/>
  <c r="M2171" i="1"/>
  <c r="L2171" i="1"/>
  <c r="K2171" i="1"/>
  <c r="M2170" i="1"/>
  <c r="L2170" i="1"/>
  <c r="K2170" i="1"/>
  <c r="M2169" i="1"/>
  <c r="L2169" i="1"/>
  <c r="K2169" i="1"/>
  <c r="M2168" i="1"/>
  <c r="L2168" i="1"/>
  <c r="K2168" i="1"/>
  <c r="M2167" i="1"/>
  <c r="L2167" i="1"/>
  <c r="K2167" i="1"/>
  <c r="M2166" i="1"/>
  <c r="L2166" i="1"/>
  <c r="K2166" i="1"/>
  <c r="M2165" i="1"/>
  <c r="L2165" i="1"/>
  <c r="K2165" i="1"/>
  <c r="M2164" i="1"/>
  <c r="L2164" i="1"/>
  <c r="K2164" i="1"/>
  <c r="M2163" i="1"/>
  <c r="L2163" i="1"/>
  <c r="K2163" i="1"/>
  <c r="M2162" i="1"/>
  <c r="L2162" i="1"/>
  <c r="K2162" i="1"/>
  <c r="M2161" i="1"/>
  <c r="L2161" i="1"/>
  <c r="K2161" i="1"/>
  <c r="M2160" i="1"/>
  <c r="L2160" i="1"/>
  <c r="K2160" i="1"/>
  <c r="M2159" i="1"/>
  <c r="L2159" i="1"/>
  <c r="K2159" i="1"/>
  <c r="M2158" i="1"/>
  <c r="L2158" i="1"/>
  <c r="K2158" i="1"/>
  <c r="M2157" i="1"/>
  <c r="L2157" i="1"/>
  <c r="K2157" i="1"/>
  <c r="M2156" i="1"/>
  <c r="L2156" i="1"/>
  <c r="K2156" i="1"/>
  <c r="M2155" i="1"/>
  <c r="L2155" i="1"/>
  <c r="K2155" i="1"/>
  <c r="M2154" i="1"/>
  <c r="L2154" i="1"/>
  <c r="K2154" i="1"/>
  <c r="M2153" i="1"/>
  <c r="L2153" i="1"/>
  <c r="K2153" i="1"/>
  <c r="M2152" i="1"/>
  <c r="L2152" i="1"/>
  <c r="K2152" i="1"/>
  <c r="M2151" i="1"/>
  <c r="L2151" i="1"/>
  <c r="K2151" i="1"/>
  <c r="M2150" i="1"/>
  <c r="L2150" i="1"/>
  <c r="K2150" i="1"/>
  <c r="M2149" i="1"/>
  <c r="L2149" i="1"/>
  <c r="K2149" i="1"/>
  <c r="M2148" i="1"/>
  <c r="L2148" i="1"/>
  <c r="K2148" i="1"/>
  <c r="M2147" i="1"/>
  <c r="L2147" i="1"/>
  <c r="K2147" i="1"/>
  <c r="M2146" i="1"/>
  <c r="L2146" i="1"/>
  <c r="K2146" i="1"/>
  <c r="M2145" i="1"/>
  <c r="L2145" i="1"/>
  <c r="K2145" i="1"/>
  <c r="M2144" i="1"/>
  <c r="L2144" i="1"/>
  <c r="K2144" i="1"/>
  <c r="M2143" i="1"/>
  <c r="L2143" i="1"/>
  <c r="K2143" i="1"/>
  <c r="M2142" i="1"/>
  <c r="L2142" i="1"/>
  <c r="K2142" i="1"/>
  <c r="M2141" i="1"/>
  <c r="L2141" i="1"/>
  <c r="K2141" i="1"/>
  <c r="M2140" i="1"/>
  <c r="L2140" i="1"/>
  <c r="K2140" i="1"/>
  <c r="M2139" i="1"/>
  <c r="L2139" i="1"/>
  <c r="K2139" i="1"/>
  <c r="M2138" i="1"/>
  <c r="L2138" i="1"/>
  <c r="K2138" i="1"/>
  <c r="M2137" i="1"/>
  <c r="L2137" i="1"/>
  <c r="K2137" i="1"/>
  <c r="M2136" i="1"/>
  <c r="L2136" i="1"/>
  <c r="K2136" i="1"/>
  <c r="M2135" i="1"/>
  <c r="L2135" i="1"/>
  <c r="K2135" i="1"/>
  <c r="M2134" i="1"/>
  <c r="K2134" i="1"/>
  <c r="M2133" i="1"/>
  <c r="K2133" i="1"/>
  <c r="M2132" i="1"/>
  <c r="K2132" i="1"/>
  <c r="M2131" i="1"/>
  <c r="K2131" i="1"/>
  <c r="M2130" i="1"/>
  <c r="K2130" i="1"/>
  <c r="M2129" i="1"/>
  <c r="K2129" i="1"/>
  <c r="M2128" i="1"/>
  <c r="K2128" i="1"/>
  <c r="M2127" i="1"/>
  <c r="K2127" i="1"/>
  <c r="M2126" i="1"/>
  <c r="K2126" i="1"/>
  <c r="M2125" i="1"/>
  <c r="K2125" i="1"/>
  <c r="M2124" i="1"/>
  <c r="K2124" i="1"/>
  <c r="M2123" i="1"/>
  <c r="K2123" i="1"/>
  <c r="M2122" i="1"/>
  <c r="K2122" i="1"/>
  <c r="M2121" i="1"/>
  <c r="K2121" i="1"/>
  <c r="M2120" i="1"/>
  <c r="K2120" i="1"/>
  <c r="K2119" i="1"/>
  <c r="M2118" i="1"/>
  <c r="L2118" i="1"/>
  <c r="K2118" i="1"/>
  <c r="M2117" i="1"/>
  <c r="L2117" i="1"/>
  <c r="K2117" i="1"/>
  <c r="M2116" i="1"/>
  <c r="L2116" i="1"/>
  <c r="K2116" i="1"/>
  <c r="M2115" i="1"/>
  <c r="L2115" i="1"/>
  <c r="K2115" i="1"/>
  <c r="M2114" i="1"/>
  <c r="L2114" i="1"/>
  <c r="K2114" i="1"/>
  <c r="M2113" i="1"/>
  <c r="L2113" i="1"/>
  <c r="K2113" i="1"/>
  <c r="M2112" i="1"/>
  <c r="L2112" i="1"/>
  <c r="K2112" i="1"/>
  <c r="M2111" i="1"/>
  <c r="L2111" i="1"/>
  <c r="K2111" i="1"/>
  <c r="M2110" i="1"/>
  <c r="L2110" i="1"/>
  <c r="K2110" i="1"/>
  <c r="M2109" i="1"/>
  <c r="L2109" i="1"/>
  <c r="K2109" i="1"/>
  <c r="M2108" i="1"/>
  <c r="L2108" i="1"/>
  <c r="K2108" i="1"/>
  <c r="M2107" i="1"/>
  <c r="L2107" i="1"/>
  <c r="K2107" i="1"/>
  <c r="M2106" i="1"/>
  <c r="L2106" i="1"/>
  <c r="K2106" i="1"/>
  <c r="M2105" i="1"/>
  <c r="L2105" i="1"/>
  <c r="K2105" i="1"/>
  <c r="M2104" i="1"/>
  <c r="L2104" i="1"/>
  <c r="K2104" i="1"/>
  <c r="M2103" i="1"/>
  <c r="L2103" i="1"/>
  <c r="K2103" i="1"/>
  <c r="M2102" i="1"/>
  <c r="L2102" i="1"/>
  <c r="K2102" i="1"/>
  <c r="M2101" i="1"/>
  <c r="L2101" i="1"/>
  <c r="K2101" i="1"/>
  <c r="M2100" i="1"/>
  <c r="L2100" i="1"/>
  <c r="K2100" i="1"/>
  <c r="M2099" i="1"/>
  <c r="L2099" i="1"/>
  <c r="K2099" i="1"/>
  <c r="M2098" i="1"/>
  <c r="L2098" i="1"/>
  <c r="K2098" i="1"/>
  <c r="M2097" i="1"/>
  <c r="L2097" i="1"/>
  <c r="K2097" i="1"/>
  <c r="M2096" i="1"/>
  <c r="L2096" i="1"/>
  <c r="K2096" i="1"/>
  <c r="M2095" i="1"/>
  <c r="L2095" i="1"/>
  <c r="K2095" i="1"/>
  <c r="M2094" i="1"/>
  <c r="L2094" i="1"/>
  <c r="K2094" i="1"/>
  <c r="M2093" i="1"/>
  <c r="L2093" i="1"/>
  <c r="K2093" i="1"/>
  <c r="M2092" i="1"/>
  <c r="L2092" i="1"/>
  <c r="K2092" i="1"/>
  <c r="M2091" i="1"/>
  <c r="L2091" i="1"/>
  <c r="K2091" i="1"/>
  <c r="M2090" i="1"/>
  <c r="L2090" i="1"/>
  <c r="K2090" i="1"/>
  <c r="M2089" i="1"/>
  <c r="L2089" i="1"/>
  <c r="K2089" i="1"/>
  <c r="M2088" i="1"/>
  <c r="L2088" i="1"/>
  <c r="K2088" i="1"/>
  <c r="M2087" i="1"/>
  <c r="L2087" i="1"/>
  <c r="K2087" i="1"/>
  <c r="M2086" i="1"/>
  <c r="L2086" i="1"/>
  <c r="K2086" i="1"/>
  <c r="M2085" i="1"/>
  <c r="L2085" i="1"/>
  <c r="K2085" i="1"/>
  <c r="M2084" i="1"/>
  <c r="L2084" i="1"/>
  <c r="K2084" i="1"/>
  <c r="M2083" i="1"/>
  <c r="L2083" i="1"/>
  <c r="K2083" i="1"/>
  <c r="M2082" i="1"/>
  <c r="L2082" i="1"/>
  <c r="K2082" i="1"/>
  <c r="M2081" i="1"/>
  <c r="L2081" i="1"/>
  <c r="K2081" i="1"/>
  <c r="M2080" i="1"/>
  <c r="L2080" i="1"/>
  <c r="K2080" i="1"/>
  <c r="M2079" i="1"/>
  <c r="L2079" i="1"/>
  <c r="K2079" i="1"/>
  <c r="M2078" i="1"/>
  <c r="L2078" i="1"/>
  <c r="K2078" i="1"/>
  <c r="M2077" i="1"/>
  <c r="L2077" i="1"/>
  <c r="K2077" i="1"/>
  <c r="M2076" i="1"/>
  <c r="L2076" i="1"/>
  <c r="K2076" i="1"/>
  <c r="M2075" i="1"/>
  <c r="L2075" i="1"/>
  <c r="K2075" i="1"/>
  <c r="M2074" i="1"/>
  <c r="L2074" i="1"/>
  <c r="K2074" i="1"/>
  <c r="M2073" i="1"/>
  <c r="L2073" i="1"/>
  <c r="K2073" i="1"/>
  <c r="M2072" i="1"/>
  <c r="L2072" i="1"/>
  <c r="K2072" i="1"/>
  <c r="M2071" i="1"/>
  <c r="L2071" i="1"/>
  <c r="K2071" i="1"/>
  <c r="M2070" i="1"/>
  <c r="L2070" i="1"/>
  <c r="K2070" i="1"/>
  <c r="M2069" i="1"/>
  <c r="L2069" i="1"/>
  <c r="K2069" i="1"/>
  <c r="M2068" i="1"/>
  <c r="L2068" i="1"/>
  <c r="K2068" i="1"/>
  <c r="M2067" i="1"/>
  <c r="L2067" i="1"/>
  <c r="K2067" i="1"/>
  <c r="M2066" i="1"/>
  <c r="L2066" i="1"/>
  <c r="K2066" i="1"/>
  <c r="M2065" i="1"/>
  <c r="L2065" i="1"/>
  <c r="K2065" i="1"/>
  <c r="M2064" i="1"/>
  <c r="L2064" i="1"/>
  <c r="K2064" i="1"/>
  <c r="M2063" i="1"/>
  <c r="L2063" i="1"/>
  <c r="K2063" i="1"/>
  <c r="M2062" i="1"/>
  <c r="L2062" i="1"/>
  <c r="K2062" i="1"/>
  <c r="M2061" i="1"/>
  <c r="L2061" i="1"/>
  <c r="K2061" i="1"/>
  <c r="M2060" i="1"/>
  <c r="L2060" i="1"/>
  <c r="K2060" i="1"/>
  <c r="M2059" i="1"/>
  <c r="L2059" i="1"/>
  <c r="K2059" i="1"/>
  <c r="M2058" i="1"/>
  <c r="L2058" i="1"/>
  <c r="K2058" i="1"/>
  <c r="M2057" i="1"/>
  <c r="L2057" i="1"/>
  <c r="K2057" i="1"/>
  <c r="M2056" i="1"/>
  <c r="L2056" i="1"/>
  <c r="K2056" i="1"/>
  <c r="M2055" i="1"/>
  <c r="L2055" i="1"/>
  <c r="K2055" i="1"/>
  <c r="M2054" i="1"/>
  <c r="L2054" i="1"/>
  <c r="K2054" i="1"/>
  <c r="M2053" i="1"/>
  <c r="L2053" i="1"/>
  <c r="K2053" i="1"/>
  <c r="M2052" i="1"/>
  <c r="L2052" i="1"/>
  <c r="K2052" i="1"/>
  <c r="M2051" i="1"/>
  <c r="L2051" i="1"/>
  <c r="K2051" i="1"/>
  <c r="M2050" i="1"/>
  <c r="L2050" i="1"/>
  <c r="K2050" i="1"/>
  <c r="M2049" i="1"/>
  <c r="L2049" i="1"/>
  <c r="K2049" i="1"/>
  <c r="M2048" i="1"/>
  <c r="L2048" i="1"/>
  <c r="K2048" i="1"/>
  <c r="M2047" i="1"/>
  <c r="L2047" i="1"/>
  <c r="K2047" i="1"/>
  <c r="M2046" i="1"/>
  <c r="L2046" i="1"/>
  <c r="K2046" i="1"/>
  <c r="M2045" i="1"/>
  <c r="L2045" i="1"/>
  <c r="K2045" i="1"/>
  <c r="M2044" i="1"/>
  <c r="L2044" i="1"/>
  <c r="K2044" i="1"/>
  <c r="M2043" i="1"/>
  <c r="L2043" i="1"/>
  <c r="K2043" i="1"/>
  <c r="M2042" i="1"/>
  <c r="L2042" i="1"/>
  <c r="K2042" i="1"/>
  <c r="M2041" i="1"/>
  <c r="L2041" i="1"/>
  <c r="K2041" i="1"/>
  <c r="M2040" i="1"/>
  <c r="L2040" i="1"/>
  <c r="K2040" i="1"/>
  <c r="M2039" i="1"/>
  <c r="L2039" i="1"/>
  <c r="K2039" i="1"/>
  <c r="M2038" i="1"/>
  <c r="L2038" i="1"/>
  <c r="K2038" i="1"/>
  <c r="M2037" i="1"/>
  <c r="L2037" i="1"/>
  <c r="K2037" i="1"/>
  <c r="M2036" i="1"/>
  <c r="L2036" i="1"/>
  <c r="K2036" i="1"/>
  <c r="M2035" i="1"/>
  <c r="L2035" i="1"/>
  <c r="K2035" i="1"/>
  <c r="M2034" i="1"/>
  <c r="L2034" i="1"/>
  <c r="K2034" i="1"/>
  <c r="M2033" i="1"/>
  <c r="L2033" i="1"/>
  <c r="K2033" i="1"/>
  <c r="M2032" i="1"/>
  <c r="L2032" i="1"/>
  <c r="K2032" i="1"/>
  <c r="M2031" i="1"/>
  <c r="K2031" i="1"/>
  <c r="M2030" i="1"/>
  <c r="K2030" i="1"/>
  <c r="M2029" i="1"/>
  <c r="K2029" i="1"/>
  <c r="M2028" i="1"/>
  <c r="K2028" i="1"/>
  <c r="M2027" i="1"/>
  <c r="K2027" i="1"/>
  <c r="M2026" i="1"/>
  <c r="K2026" i="1"/>
  <c r="M2025" i="1"/>
  <c r="K2025" i="1"/>
  <c r="M2024" i="1"/>
  <c r="K2024" i="1"/>
  <c r="M2023" i="1"/>
  <c r="K2023" i="1"/>
  <c r="M2022" i="1"/>
  <c r="K2022" i="1"/>
  <c r="K2021" i="1"/>
  <c r="M2020" i="1"/>
  <c r="L2020" i="1"/>
  <c r="K2020" i="1"/>
  <c r="M2019" i="1"/>
  <c r="L2019" i="1"/>
  <c r="K2019" i="1"/>
  <c r="M2018" i="1"/>
  <c r="L2018" i="1"/>
  <c r="K2018" i="1"/>
  <c r="M2017" i="1"/>
  <c r="L2017" i="1"/>
  <c r="K2017" i="1"/>
  <c r="M2016" i="1"/>
  <c r="L2016" i="1"/>
  <c r="K2016" i="1"/>
  <c r="M2015" i="1"/>
  <c r="L2015" i="1"/>
  <c r="K2015" i="1"/>
  <c r="M2014" i="1"/>
  <c r="L2014" i="1"/>
  <c r="K2014" i="1"/>
  <c r="M2013" i="1"/>
  <c r="L2013" i="1"/>
  <c r="K2013" i="1"/>
  <c r="M2012" i="1"/>
  <c r="L2012" i="1"/>
  <c r="K2012" i="1"/>
  <c r="M2011" i="1"/>
  <c r="L2011" i="1"/>
  <c r="K2011" i="1"/>
  <c r="M2010" i="1"/>
  <c r="L2010" i="1"/>
  <c r="K2010" i="1"/>
  <c r="M2009" i="1"/>
  <c r="L2009" i="1"/>
  <c r="K2009" i="1"/>
  <c r="M2008" i="1"/>
  <c r="L2008" i="1"/>
  <c r="K2008" i="1"/>
  <c r="M2007" i="1"/>
  <c r="L2007" i="1"/>
  <c r="K2007" i="1"/>
  <c r="M2006" i="1"/>
  <c r="L2006" i="1"/>
  <c r="K2006" i="1"/>
  <c r="M2005" i="1"/>
  <c r="L2005" i="1"/>
  <c r="K2005" i="1"/>
  <c r="M2004" i="1"/>
  <c r="L2004" i="1"/>
  <c r="K2004" i="1"/>
  <c r="M2003" i="1"/>
  <c r="L2003" i="1"/>
  <c r="K2003" i="1"/>
  <c r="M2002" i="1"/>
  <c r="L2002" i="1"/>
  <c r="K2002" i="1"/>
  <c r="M2001" i="1"/>
  <c r="L2001" i="1"/>
  <c r="K2001" i="1"/>
  <c r="M2000" i="1"/>
  <c r="L2000" i="1"/>
  <c r="K2000" i="1"/>
  <c r="M1999" i="1"/>
  <c r="L1999" i="1"/>
  <c r="K1999" i="1"/>
  <c r="M1998" i="1"/>
  <c r="L1998" i="1"/>
  <c r="K1998" i="1"/>
  <c r="M1997" i="1"/>
  <c r="L1997" i="1"/>
  <c r="K1997" i="1"/>
  <c r="M1996" i="1"/>
  <c r="L1996" i="1"/>
  <c r="K1996" i="1"/>
  <c r="M1995" i="1"/>
  <c r="L1995" i="1"/>
  <c r="K1995" i="1"/>
  <c r="M1994" i="1"/>
  <c r="L1994" i="1"/>
  <c r="K1994" i="1"/>
  <c r="M1993" i="1"/>
  <c r="L1993" i="1"/>
  <c r="K1993" i="1"/>
  <c r="M1992" i="1"/>
  <c r="L1992" i="1"/>
  <c r="K1992" i="1"/>
  <c r="M1991" i="1"/>
  <c r="L1991" i="1"/>
  <c r="K1991" i="1"/>
  <c r="M1990" i="1"/>
  <c r="L1990" i="1"/>
  <c r="K1990" i="1"/>
  <c r="M1989" i="1"/>
  <c r="L1989" i="1"/>
  <c r="K1989" i="1"/>
  <c r="M1988" i="1"/>
  <c r="L1988" i="1"/>
  <c r="K1988" i="1"/>
  <c r="M1987" i="1"/>
  <c r="L1987" i="1"/>
  <c r="K1987" i="1"/>
  <c r="M1986" i="1"/>
  <c r="L1986" i="1"/>
  <c r="K1986" i="1"/>
  <c r="M1985" i="1"/>
  <c r="K1985" i="1"/>
  <c r="M1984" i="1"/>
  <c r="K1984" i="1"/>
  <c r="K1983" i="1"/>
  <c r="M1982" i="1"/>
  <c r="L1982" i="1"/>
  <c r="K1982" i="1"/>
  <c r="M1981" i="1"/>
  <c r="L1981" i="1"/>
  <c r="K1981" i="1"/>
  <c r="M1980" i="1"/>
  <c r="L1980" i="1"/>
  <c r="K1980" i="1"/>
  <c r="M1979" i="1"/>
  <c r="L1979" i="1"/>
  <c r="K1979" i="1"/>
  <c r="M1978" i="1"/>
  <c r="L1978" i="1"/>
  <c r="K1978" i="1"/>
  <c r="M1977" i="1"/>
  <c r="L1977" i="1"/>
  <c r="K1977" i="1"/>
  <c r="M1976" i="1"/>
  <c r="L1976" i="1"/>
  <c r="K1976" i="1"/>
  <c r="M1975" i="1"/>
  <c r="L1975" i="1"/>
  <c r="K1975" i="1"/>
  <c r="M1974" i="1"/>
  <c r="L1974" i="1"/>
  <c r="K1974" i="1"/>
  <c r="M1973" i="1"/>
  <c r="L1973" i="1"/>
  <c r="K1973" i="1"/>
  <c r="M1972" i="1"/>
  <c r="L1972" i="1"/>
  <c r="K1972" i="1"/>
  <c r="M1971" i="1"/>
  <c r="L1971" i="1"/>
  <c r="K1971" i="1"/>
  <c r="M1970" i="1"/>
  <c r="L1970" i="1"/>
  <c r="K1970" i="1"/>
  <c r="M1969" i="1"/>
  <c r="L1969" i="1"/>
  <c r="K1969" i="1"/>
  <c r="M1968" i="1"/>
  <c r="L1968" i="1"/>
  <c r="K1968" i="1"/>
  <c r="M1967" i="1"/>
  <c r="L1967" i="1"/>
  <c r="K1967" i="1"/>
  <c r="M1966" i="1"/>
  <c r="L1966" i="1"/>
  <c r="K1966" i="1"/>
  <c r="M1965" i="1"/>
  <c r="L1965" i="1"/>
  <c r="K1965" i="1"/>
  <c r="M1964" i="1"/>
  <c r="L1964" i="1"/>
  <c r="K1964" i="1"/>
  <c r="M1963" i="1"/>
  <c r="L1963" i="1"/>
  <c r="K1963" i="1"/>
  <c r="M1962" i="1"/>
  <c r="L1962" i="1"/>
  <c r="K1962" i="1"/>
  <c r="M1961" i="1"/>
  <c r="L1961" i="1"/>
  <c r="K1961" i="1"/>
  <c r="M1960" i="1"/>
  <c r="L1960" i="1"/>
  <c r="K1960" i="1"/>
  <c r="M1959" i="1"/>
  <c r="L1959" i="1"/>
  <c r="K1959" i="1"/>
  <c r="M1958" i="1"/>
  <c r="L1958" i="1"/>
  <c r="K1958" i="1"/>
  <c r="M1957" i="1"/>
  <c r="L1957" i="1"/>
  <c r="K1957" i="1"/>
  <c r="M1956" i="1"/>
  <c r="L1956" i="1"/>
  <c r="K1956" i="1"/>
  <c r="M1955" i="1"/>
  <c r="L1955" i="1"/>
  <c r="K1955" i="1"/>
  <c r="M1954" i="1"/>
  <c r="L1954" i="1"/>
  <c r="K1954" i="1"/>
  <c r="M1953" i="1"/>
  <c r="L1953" i="1"/>
  <c r="K1953" i="1"/>
  <c r="M1952" i="1"/>
  <c r="L1952" i="1"/>
  <c r="K1952" i="1"/>
  <c r="M1951" i="1"/>
  <c r="L1951" i="1"/>
  <c r="K1951" i="1"/>
  <c r="M1950" i="1"/>
  <c r="L1950" i="1"/>
  <c r="K1950" i="1"/>
  <c r="M1949" i="1"/>
  <c r="L1949" i="1"/>
  <c r="K1949" i="1"/>
  <c r="M1948" i="1"/>
  <c r="L1948" i="1"/>
  <c r="K1948" i="1"/>
  <c r="M1947" i="1"/>
  <c r="L1947" i="1"/>
  <c r="K1947" i="1"/>
  <c r="M1946" i="1"/>
  <c r="L1946" i="1"/>
  <c r="K1946" i="1"/>
  <c r="M1945" i="1"/>
  <c r="L1945" i="1"/>
  <c r="K1945" i="1"/>
  <c r="M1944" i="1"/>
  <c r="L1944" i="1"/>
  <c r="K1944" i="1"/>
  <c r="M1943" i="1"/>
  <c r="L1943" i="1"/>
  <c r="K1943" i="1"/>
  <c r="M1942" i="1"/>
  <c r="L1942" i="1"/>
  <c r="K1942" i="1"/>
  <c r="M1941" i="1"/>
  <c r="L1941" i="1"/>
  <c r="K1941" i="1"/>
  <c r="M1940" i="1"/>
  <c r="L1940" i="1"/>
  <c r="K1940" i="1"/>
  <c r="M1939" i="1"/>
  <c r="L1939" i="1"/>
  <c r="K1939" i="1"/>
  <c r="M1938" i="1"/>
  <c r="L1938" i="1"/>
  <c r="K1938" i="1"/>
  <c r="M1937" i="1"/>
  <c r="L1937" i="1"/>
  <c r="K1937" i="1"/>
  <c r="M1936" i="1"/>
  <c r="L1936" i="1"/>
  <c r="K1936" i="1"/>
  <c r="M1935" i="1"/>
  <c r="L1935" i="1"/>
  <c r="K1935" i="1"/>
  <c r="M1934" i="1"/>
  <c r="L1934" i="1"/>
  <c r="K1934" i="1"/>
  <c r="M1933" i="1"/>
  <c r="L1933" i="1"/>
  <c r="K1933" i="1"/>
  <c r="M1932" i="1"/>
  <c r="L1932" i="1"/>
  <c r="K1932" i="1"/>
  <c r="M1931" i="1"/>
  <c r="L1931" i="1"/>
  <c r="K1931" i="1"/>
  <c r="M1930" i="1"/>
  <c r="L1930" i="1"/>
  <c r="K1930" i="1"/>
  <c r="M1929" i="1"/>
  <c r="L1929" i="1"/>
  <c r="K1929" i="1"/>
  <c r="M1928" i="1"/>
  <c r="L1928" i="1"/>
  <c r="K1928" i="1"/>
  <c r="M1927" i="1"/>
  <c r="L1927" i="1"/>
  <c r="K1927" i="1"/>
  <c r="M1926" i="1"/>
  <c r="L1926" i="1"/>
  <c r="K1926" i="1"/>
  <c r="M1925" i="1"/>
  <c r="K1925" i="1"/>
  <c r="M1924" i="1"/>
  <c r="K1924" i="1"/>
  <c r="K1923" i="1"/>
  <c r="M1922" i="1"/>
  <c r="L1922" i="1"/>
  <c r="K1922" i="1"/>
  <c r="M1921" i="1"/>
  <c r="L1921" i="1"/>
  <c r="K1921" i="1"/>
  <c r="M1920" i="1"/>
  <c r="L1920" i="1"/>
  <c r="K1920" i="1"/>
  <c r="M1919" i="1"/>
  <c r="L1919" i="1"/>
  <c r="K1919" i="1"/>
  <c r="M1918" i="1"/>
  <c r="L1918" i="1"/>
  <c r="K1918" i="1"/>
  <c r="M1917" i="1"/>
  <c r="L1917" i="1"/>
  <c r="K1917" i="1"/>
  <c r="M1916" i="1"/>
  <c r="L1916" i="1"/>
  <c r="K1916" i="1"/>
  <c r="M1915" i="1"/>
  <c r="L1915" i="1"/>
  <c r="K1915" i="1"/>
  <c r="M1914" i="1"/>
  <c r="L1914" i="1"/>
  <c r="K1914" i="1"/>
  <c r="M1913" i="1"/>
  <c r="L1913" i="1"/>
  <c r="K1913" i="1"/>
  <c r="M1912" i="1"/>
  <c r="L1912" i="1"/>
  <c r="K1912" i="1"/>
  <c r="M1911" i="1"/>
  <c r="L1911" i="1"/>
  <c r="K1911" i="1"/>
  <c r="M1910" i="1"/>
  <c r="L1910" i="1"/>
  <c r="K1910" i="1"/>
  <c r="M1909" i="1"/>
  <c r="L1909" i="1"/>
  <c r="K1909" i="1"/>
  <c r="M1908" i="1"/>
  <c r="L1908" i="1"/>
  <c r="K1908" i="1"/>
  <c r="M1907" i="1"/>
  <c r="L1907" i="1"/>
  <c r="K1907" i="1"/>
  <c r="M1906" i="1"/>
  <c r="L1906" i="1"/>
  <c r="K1906" i="1"/>
  <c r="M1905" i="1"/>
  <c r="L1905" i="1"/>
  <c r="K1905" i="1"/>
  <c r="M1904" i="1"/>
  <c r="L1904" i="1"/>
  <c r="K1904" i="1"/>
  <c r="M1903" i="1"/>
  <c r="L1903" i="1"/>
  <c r="K1903" i="1"/>
  <c r="M1902" i="1"/>
  <c r="L1902" i="1"/>
  <c r="K1902" i="1"/>
  <c r="M1901" i="1"/>
  <c r="L1901" i="1"/>
  <c r="K1901" i="1"/>
  <c r="M1900" i="1"/>
  <c r="L1900" i="1"/>
  <c r="K1900" i="1"/>
  <c r="M1899" i="1"/>
  <c r="L1899" i="1"/>
  <c r="K1899" i="1"/>
  <c r="M1898" i="1"/>
  <c r="L1898" i="1"/>
  <c r="K1898" i="1"/>
  <c r="M1897" i="1"/>
  <c r="L1897" i="1"/>
  <c r="K1897" i="1"/>
  <c r="M1896" i="1"/>
  <c r="L1896" i="1"/>
  <c r="K1896" i="1"/>
  <c r="M1895" i="1"/>
  <c r="L1895" i="1"/>
  <c r="K1895" i="1"/>
  <c r="M1894" i="1"/>
  <c r="L1894" i="1"/>
  <c r="K1894" i="1"/>
  <c r="M1893" i="1"/>
  <c r="L1893" i="1"/>
  <c r="K1893" i="1"/>
  <c r="M1892" i="1"/>
  <c r="K1892" i="1"/>
  <c r="M1891" i="1"/>
  <c r="K1891" i="1"/>
  <c r="K1890" i="1"/>
  <c r="M1889" i="1"/>
  <c r="L1889" i="1"/>
  <c r="K1889" i="1"/>
  <c r="M1888" i="1"/>
  <c r="L1888" i="1"/>
  <c r="K1888" i="1"/>
  <c r="M1887" i="1"/>
  <c r="L1887" i="1"/>
  <c r="K1887" i="1"/>
  <c r="M1886" i="1"/>
  <c r="L1886" i="1"/>
  <c r="K1886" i="1"/>
  <c r="M1885" i="1"/>
  <c r="L1885" i="1"/>
  <c r="K1885" i="1"/>
  <c r="M1884" i="1"/>
  <c r="L1884" i="1"/>
  <c r="K1884" i="1"/>
  <c r="M1883" i="1"/>
  <c r="L1883" i="1"/>
  <c r="K1883" i="1"/>
  <c r="M1882" i="1"/>
  <c r="L1882" i="1"/>
  <c r="K1882" i="1"/>
  <c r="M1881" i="1"/>
  <c r="L1881" i="1"/>
  <c r="K1881" i="1"/>
  <c r="M1880" i="1"/>
  <c r="L1880" i="1"/>
  <c r="K1880" i="1"/>
  <c r="M1879" i="1"/>
  <c r="L1879" i="1"/>
  <c r="K1879" i="1"/>
  <c r="M1878" i="1"/>
  <c r="L1878" i="1"/>
  <c r="K1878" i="1"/>
  <c r="M1877" i="1"/>
  <c r="L1877" i="1"/>
  <c r="K1877" i="1"/>
  <c r="M1876" i="1"/>
  <c r="L1876" i="1"/>
  <c r="K1876" i="1"/>
  <c r="M1875" i="1"/>
  <c r="L1875" i="1"/>
  <c r="K1875" i="1"/>
  <c r="M1874" i="1"/>
  <c r="L1874" i="1"/>
  <c r="K1874" i="1"/>
  <c r="M1873" i="1"/>
  <c r="L1873" i="1"/>
  <c r="K1873" i="1"/>
  <c r="M1872" i="1"/>
  <c r="L1872" i="1"/>
  <c r="K1872" i="1"/>
  <c r="M1871" i="1"/>
  <c r="L1871" i="1"/>
  <c r="K1871" i="1"/>
  <c r="M1870" i="1"/>
  <c r="L1870" i="1"/>
  <c r="K1870" i="1"/>
  <c r="M1869" i="1"/>
  <c r="L1869" i="1"/>
  <c r="K1869" i="1"/>
  <c r="M1868" i="1"/>
  <c r="L1868" i="1"/>
  <c r="K1868" i="1"/>
  <c r="M1867" i="1"/>
  <c r="L1867" i="1"/>
  <c r="K1867" i="1"/>
  <c r="M1866" i="1"/>
  <c r="L1866" i="1"/>
  <c r="K1866" i="1"/>
  <c r="M1865" i="1"/>
  <c r="L1865" i="1"/>
  <c r="K1865" i="1"/>
  <c r="M1864" i="1"/>
  <c r="L1864" i="1"/>
  <c r="K1864" i="1"/>
  <c r="M1863" i="1"/>
  <c r="L1863" i="1"/>
  <c r="K1863" i="1"/>
  <c r="M1862" i="1"/>
  <c r="L1862" i="1"/>
  <c r="K1862" i="1"/>
  <c r="M1861" i="1"/>
  <c r="L1861" i="1"/>
  <c r="K1861" i="1"/>
  <c r="M1860" i="1"/>
  <c r="L1860" i="1"/>
  <c r="K1860" i="1"/>
  <c r="M1859" i="1"/>
  <c r="K1859" i="1"/>
  <c r="M1858" i="1"/>
  <c r="K1858" i="1"/>
  <c r="M1857" i="1"/>
  <c r="K1857" i="1"/>
  <c r="M1856" i="1"/>
  <c r="K1856" i="1"/>
  <c r="M1855" i="1"/>
  <c r="K1855" i="1"/>
  <c r="M1854" i="1"/>
  <c r="K1854" i="1"/>
  <c r="M1853" i="1"/>
  <c r="K1853" i="1"/>
  <c r="M1852" i="1"/>
  <c r="K1852" i="1"/>
  <c r="M1851" i="1"/>
  <c r="K1851" i="1"/>
  <c r="M1850" i="1"/>
  <c r="K1850" i="1"/>
  <c r="M1849" i="1"/>
  <c r="K1849" i="1"/>
  <c r="M1848" i="1"/>
  <c r="K1848" i="1"/>
  <c r="M1847" i="1"/>
  <c r="K1847" i="1"/>
  <c r="M1846" i="1"/>
  <c r="K1846" i="1"/>
  <c r="M1845" i="1"/>
  <c r="K1845" i="1"/>
  <c r="M1844" i="1"/>
  <c r="K1844" i="1"/>
  <c r="M1843" i="1"/>
  <c r="K1843" i="1"/>
  <c r="K1842" i="1"/>
  <c r="M1841" i="1"/>
  <c r="L1841" i="1"/>
  <c r="K1841" i="1"/>
  <c r="M1840" i="1"/>
  <c r="L1840" i="1"/>
  <c r="K1840" i="1"/>
  <c r="M1839" i="1"/>
  <c r="L1839" i="1"/>
  <c r="K1839" i="1"/>
  <c r="M1838" i="1"/>
  <c r="L1838" i="1"/>
  <c r="K1838" i="1"/>
  <c r="M1837" i="1"/>
  <c r="K1837" i="1"/>
  <c r="M1836" i="1"/>
  <c r="K1836" i="1"/>
  <c r="M1835" i="1"/>
  <c r="K1835" i="1"/>
  <c r="M1834" i="1"/>
  <c r="K1834" i="1"/>
  <c r="M1833" i="1"/>
  <c r="K1833" i="1"/>
  <c r="M1832" i="1"/>
  <c r="K1832" i="1"/>
  <c r="M1831" i="1"/>
  <c r="K1831" i="1"/>
  <c r="M1830" i="1"/>
  <c r="K1830" i="1"/>
  <c r="M1829" i="1"/>
  <c r="K1829" i="1"/>
  <c r="M1828" i="1"/>
  <c r="K1828" i="1"/>
  <c r="M1827" i="1"/>
  <c r="K1827" i="1"/>
  <c r="M1826" i="1"/>
  <c r="K1826" i="1"/>
  <c r="K1825" i="1"/>
  <c r="M1824" i="1"/>
  <c r="L1824" i="1"/>
  <c r="K1824" i="1"/>
  <c r="M1823" i="1"/>
  <c r="L1823" i="1"/>
  <c r="K1823" i="1"/>
  <c r="M1822" i="1"/>
  <c r="L1822" i="1"/>
  <c r="K1822" i="1"/>
  <c r="M1821" i="1"/>
  <c r="L1821" i="1"/>
  <c r="K1821" i="1"/>
  <c r="M1820" i="1"/>
  <c r="L1820" i="1"/>
  <c r="K1820" i="1"/>
  <c r="M1819" i="1"/>
  <c r="L1819" i="1"/>
  <c r="K1819" i="1"/>
  <c r="M1818" i="1"/>
  <c r="L1818" i="1"/>
  <c r="K1818" i="1"/>
  <c r="M1817" i="1"/>
  <c r="L1817" i="1"/>
  <c r="K1817" i="1"/>
  <c r="M1816" i="1"/>
  <c r="L1816" i="1"/>
  <c r="K1816" i="1"/>
  <c r="M1815" i="1"/>
  <c r="L1815" i="1"/>
  <c r="K1815" i="1"/>
  <c r="M1814" i="1"/>
  <c r="L1814" i="1"/>
  <c r="K1814" i="1"/>
  <c r="M1813" i="1"/>
  <c r="L1813" i="1"/>
  <c r="K1813" i="1"/>
  <c r="M1812" i="1"/>
  <c r="L1812" i="1"/>
  <c r="K1812" i="1"/>
  <c r="M1811" i="1"/>
  <c r="L1811" i="1"/>
  <c r="K1811" i="1"/>
  <c r="M1810" i="1"/>
  <c r="L1810" i="1"/>
  <c r="K1810" i="1"/>
  <c r="M1809" i="1"/>
  <c r="L1809" i="1"/>
  <c r="K1809" i="1"/>
  <c r="M1808" i="1"/>
  <c r="L1808" i="1"/>
  <c r="K1808" i="1"/>
  <c r="M1807" i="1"/>
  <c r="L1807" i="1"/>
  <c r="K1807" i="1"/>
  <c r="M1806" i="1"/>
  <c r="K1806" i="1"/>
  <c r="M1805" i="1"/>
  <c r="K1805" i="1"/>
  <c r="M1804" i="1"/>
  <c r="K1804" i="1"/>
  <c r="M1803" i="1"/>
  <c r="K1803" i="1"/>
  <c r="M1802" i="1"/>
  <c r="K1802" i="1"/>
  <c r="M1801" i="1"/>
  <c r="K1801" i="1"/>
  <c r="M1800" i="1"/>
  <c r="K1800" i="1"/>
  <c r="M1799" i="1"/>
  <c r="K1799" i="1"/>
  <c r="M1798" i="1"/>
  <c r="K1798" i="1"/>
  <c r="M1797" i="1"/>
  <c r="K1797" i="1"/>
  <c r="M1796" i="1"/>
  <c r="K1796" i="1"/>
  <c r="M1795" i="1"/>
  <c r="K1795" i="1"/>
  <c r="K1794" i="1"/>
  <c r="M1793" i="1"/>
  <c r="L1793" i="1"/>
  <c r="K1793" i="1"/>
  <c r="M1792" i="1"/>
  <c r="L1792" i="1"/>
  <c r="K1792" i="1"/>
  <c r="M1791" i="1"/>
  <c r="L1791" i="1"/>
  <c r="K1791" i="1"/>
  <c r="M1790" i="1"/>
  <c r="L1790" i="1"/>
  <c r="K1790" i="1"/>
  <c r="M1789" i="1"/>
  <c r="L1789" i="1"/>
  <c r="K1789" i="1"/>
  <c r="M1788" i="1"/>
  <c r="L1788" i="1"/>
  <c r="K1788" i="1"/>
  <c r="M1787" i="1"/>
  <c r="L1787" i="1"/>
  <c r="K1787" i="1"/>
  <c r="M1786" i="1"/>
  <c r="L1786" i="1"/>
  <c r="K1786" i="1"/>
  <c r="M1785" i="1"/>
  <c r="L1785" i="1"/>
  <c r="K1785" i="1"/>
  <c r="M1784" i="1"/>
  <c r="L1784" i="1"/>
  <c r="K1784" i="1"/>
  <c r="M1783" i="1"/>
  <c r="L1783" i="1"/>
  <c r="K1783" i="1"/>
  <c r="M1782" i="1"/>
  <c r="L1782" i="1"/>
  <c r="K1782" i="1"/>
  <c r="M1781" i="1"/>
  <c r="L1781" i="1"/>
  <c r="K1781" i="1"/>
  <c r="M1780" i="1"/>
  <c r="L1780" i="1"/>
  <c r="K1780" i="1"/>
  <c r="M1779" i="1"/>
  <c r="L1779" i="1"/>
  <c r="K1779" i="1"/>
  <c r="M1778" i="1"/>
  <c r="L1778" i="1"/>
  <c r="K1778" i="1"/>
  <c r="M1777" i="1"/>
  <c r="L1777" i="1"/>
  <c r="K1777" i="1"/>
  <c r="M1776" i="1"/>
  <c r="L1776" i="1"/>
  <c r="K1776" i="1"/>
  <c r="M1775" i="1"/>
  <c r="L1775" i="1"/>
  <c r="K1775" i="1"/>
  <c r="M1774" i="1"/>
  <c r="L1774" i="1"/>
  <c r="K1774" i="1"/>
  <c r="M1773" i="1"/>
  <c r="L1773" i="1"/>
  <c r="K1773" i="1"/>
  <c r="M1772" i="1"/>
  <c r="L1772" i="1"/>
  <c r="K1772" i="1"/>
  <c r="M1771" i="1"/>
  <c r="L1771" i="1"/>
  <c r="K1771" i="1"/>
  <c r="M1770" i="1"/>
  <c r="L1770" i="1"/>
  <c r="K1770" i="1"/>
  <c r="M1769" i="1"/>
  <c r="L1769" i="1"/>
  <c r="K1769" i="1"/>
  <c r="M1768" i="1"/>
  <c r="L1768" i="1"/>
  <c r="K1768" i="1"/>
  <c r="M1767" i="1"/>
  <c r="L1767" i="1"/>
  <c r="K1767" i="1"/>
  <c r="M1766" i="1"/>
  <c r="L1766" i="1"/>
  <c r="K1766" i="1"/>
  <c r="M1765" i="1"/>
  <c r="L1765" i="1"/>
  <c r="K1765" i="1"/>
  <c r="M1764" i="1"/>
  <c r="L1764" i="1"/>
  <c r="K1764" i="1"/>
  <c r="M1763" i="1"/>
  <c r="L1763" i="1"/>
  <c r="K1763" i="1"/>
  <c r="M1762" i="1"/>
  <c r="L1762" i="1"/>
  <c r="K1762" i="1"/>
  <c r="M1761" i="1"/>
  <c r="L1761" i="1"/>
  <c r="K1761" i="1"/>
  <c r="M1760" i="1"/>
  <c r="L1760" i="1"/>
  <c r="K1760" i="1"/>
  <c r="M1759" i="1"/>
  <c r="L1759" i="1"/>
  <c r="K1759" i="1"/>
  <c r="M1758" i="1"/>
  <c r="L1758" i="1"/>
  <c r="K1758" i="1"/>
  <c r="M1757" i="1"/>
  <c r="L1757" i="1"/>
  <c r="K1757" i="1"/>
  <c r="M1756" i="1"/>
  <c r="L1756" i="1"/>
  <c r="K1756" i="1"/>
  <c r="M1755" i="1"/>
  <c r="L1755" i="1"/>
  <c r="K1755" i="1"/>
  <c r="M1754" i="1"/>
  <c r="L1754" i="1"/>
  <c r="K1754" i="1"/>
  <c r="M1753" i="1"/>
  <c r="L1753" i="1"/>
  <c r="K1753" i="1"/>
  <c r="M1752" i="1"/>
  <c r="L1752" i="1"/>
  <c r="K1752" i="1"/>
  <c r="M1751" i="1"/>
  <c r="L1751" i="1"/>
  <c r="K1751" i="1"/>
  <c r="M1750" i="1"/>
  <c r="L1750" i="1"/>
  <c r="K1750" i="1"/>
  <c r="M1749" i="1"/>
  <c r="L1749" i="1"/>
  <c r="K1749" i="1"/>
  <c r="M1748" i="1"/>
  <c r="L1748" i="1"/>
  <c r="K1748" i="1"/>
  <c r="M1747" i="1"/>
  <c r="L1747" i="1"/>
  <c r="K1747" i="1"/>
  <c r="M1746" i="1"/>
  <c r="L1746" i="1"/>
  <c r="K1746" i="1"/>
  <c r="M1745" i="1"/>
  <c r="L1745" i="1"/>
  <c r="K1745" i="1"/>
  <c r="M1744" i="1"/>
  <c r="L1744" i="1"/>
  <c r="K1744" i="1"/>
  <c r="M1743" i="1"/>
  <c r="L1743" i="1"/>
  <c r="K1743" i="1"/>
  <c r="M1742" i="1"/>
  <c r="L1742" i="1"/>
  <c r="K1742" i="1"/>
  <c r="M1741" i="1"/>
  <c r="L1741" i="1"/>
  <c r="K1741" i="1"/>
  <c r="M1740" i="1"/>
  <c r="L1740" i="1"/>
  <c r="K1740" i="1"/>
  <c r="M1739" i="1"/>
  <c r="L1739" i="1"/>
  <c r="K1739" i="1"/>
  <c r="M1738" i="1"/>
  <c r="L1738" i="1"/>
  <c r="K1738" i="1"/>
  <c r="M1737" i="1"/>
  <c r="L1737" i="1"/>
  <c r="K1737" i="1"/>
  <c r="M1736" i="1"/>
  <c r="L1736" i="1"/>
  <c r="K1736" i="1"/>
  <c r="M1735" i="1"/>
  <c r="L1735" i="1"/>
  <c r="K1735" i="1"/>
  <c r="M1734" i="1"/>
  <c r="L1734" i="1"/>
  <c r="K1734" i="1"/>
  <c r="M1733" i="1"/>
  <c r="L1733" i="1"/>
  <c r="K1733" i="1"/>
  <c r="M1732" i="1"/>
  <c r="L1732" i="1"/>
  <c r="K1732" i="1"/>
  <c r="M1731" i="1"/>
  <c r="L1731" i="1"/>
  <c r="K1731" i="1"/>
  <c r="M1730" i="1"/>
  <c r="L1730" i="1"/>
  <c r="K1730" i="1"/>
  <c r="M1729" i="1"/>
  <c r="L1729" i="1"/>
  <c r="K1729" i="1"/>
  <c r="M1728" i="1"/>
  <c r="L1728" i="1"/>
  <c r="K1728" i="1"/>
  <c r="M1727" i="1"/>
  <c r="L1727" i="1"/>
  <c r="K1727" i="1"/>
  <c r="M1726" i="1"/>
  <c r="L1726" i="1"/>
  <c r="K1726" i="1"/>
  <c r="M1725" i="1"/>
  <c r="L1725" i="1"/>
  <c r="K1725" i="1"/>
  <c r="M1724" i="1"/>
  <c r="L1724" i="1"/>
  <c r="K1724" i="1"/>
  <c r="M1723" i="1"/>
  <c r="L1723" i="1"/>
  <c r="K1723" i="1"/>
  <c r="M1722" i="1"/>
  <c r="L1722" i="1"/>
  <c r="K1722" i="1"/>
  <c r="M1721" i="1"/>
  <c r="L1721" i="1"/>
  <c r="K1721" i="1"/>
  <c r="M1720" i="1"/>
  <c r="L1720" i="1"/>
  <c r="K1720" i="1"/>
  <c r="M1719" i="1"/>
  <c r="L1719" i="1"/>
  <c r="K1719" i="1"/>
  <c r="M1718" i="1"/>
  <c r="L1718" i="1"/>
  <c r="K1718" i="1"/>
  <c r="M1717" i="1"/>
  <c r="L1717" i="1"/>
  <c r="K1717" i="1"/>
  <c r="M1716" i="1"/>
  <c r="L1716" i="1"/>
  <c r="K1716" i="1"/>
  <c r="M1715" i="1"/>
  <c r="L1715" i="1"/>
  <c r="K1715" i="1"/>
  <c r="M1714" i="1"/>
  <c r="L1714" i="1"/>
  <c r="K1714" i="1"/>
  <c r="M1713" i="1"/>
  <c r="L1713" i="1"/>
  <c r="K1713" i="1"/>
  <c r="M1712" i="1"/>
  <c r="L1712" i="1"/>
  <c r="K1712" i="1"/>
  <c r="M1711" i="1"/>
  <c r="L1711" i="1"/>
  <c r="K1711" i="1"/>
  <c r="M1710" i="1"/>
  <c r="L1710" i="1"/>
  <c r="K1710" i="1"/>
  <c r="M1709" i="1"/>
  <c r="L1709" i="1"/>
  <c r="K1709" i="1"/>
  <c r="M1708" i="1"/>
  <c r="L1708" i="1"/>
  <c r="K1708" i="1"/>
  <c r="M1707" i="1"/>
  <c r="L1707" i="1"/>
  <c r="K1707" i="1"/>
  <c r="M1706" i="1"/>
  <c r="L1706" i="1"/>
  <c r="K1706" i="1"/>
  <c r="M1705" i="1"/>
  <c r="L1705" i="1"/>
  <c r="K1705" i="1"/>
  <c r="M1704" i="1"/>
  <c r="L1704" i="1"/>
  <c r="K1704" i="1"/>
  <c r="M1703" i="1"/>
  <c r="L1703" i="1"/>
  <c r="K1703" i="1"/>
  <c r="M1702" i="1"/>
  <c r="L1702" i="1"/>
  <c r="K1702" i="1"/>
  <c r="M1701" i="1"/>
  <c r="L1701" i="1"/>
  <c r="K1701" i="1"/>
  <c r="M1700" i="1"/>
  <c r="L1700" i="1"/>
  <c r="K1700" i="1"/>
  <c r="M1699" i="1"/>
  <c r="L1699" i="1"/>
  <c r="K1699" i="1"/>
  <c r="M1698" i="1"/>
  <c r="L1698" i="1"/>
  <c r="K1698" i="1"/>
  <c r="M1697" i="1"/>
  <c r="L1697" i="1"/>
  <c r="K1697" i="1"/>
  <c r="M1696" i="1"/>
  <c r="L1696" i="1"/>
  <c r="K1696" i="1"/>
  <c r="M1695" i="1"/>
  <c r="L1695" i="1"/>
  <c r="K1695" i="1"/>
  <c r="M1694" i="1"/>
  <c r="L1694" i="1"/>
  <c r="K1694" i="1"/>
  <c r="M1693" i="1"/>
  <c r="L1693" i="1"/>
  <c r="K1693" i="1"/>
  <c r="M1692" i="1"/>
  <c r="L1692" i="1"/>
  <c r="K1692" i="1"/>
  <c r="M1691" i="1"/>
  <c r="L1691" i="1"/>
  <c r="K1691" i="1"/>
  <c r="M1690" i="1"/>
  <c r="L1690" i="1"/>
  <c r="K1690" i="1"/>
  <c r="M1689" i="1"/>
  <c r="L1689" i="1"/>
  <c r="K1689" i="1"/>
  <c r="M1688" i="1"/>
  <c r="L1688" i="1"/>
  <c r="K1688" i="1"/>
  <c r="M1687" i="1"/>
  <c r="L1687" i="1"/>
  <c r="K1687" i="1"/>
  <c r="M1686" i="1"/>
  <c r="L1686" i="1"/>
  <c r="K1686" i="1"/>
  <c r="M1685" i="1"/>
  <c r="L1685" i="1"/>
  <c r="K1685" i="1"/>
  <c r="M1684" i="1"/>
  <c r="L1684" i="1"/>
  <c r="K1684" i="1"/>
  <c r="M1683" i="1"/>
  <c r="L1683" i="1"/>
  <c r="K1683" i="1"/>
  <c r="M1682" i="1"/>
  <c r="L1682" i="1"/>
  <c r="K1682" i="1"/>
  <c r="M1681" i="1"/>
  <c r="L1681" i="1"/>
  <c r="K1681" i="1"/>
  <c r="M1680" i="1"/>
  <c r="L1680" i="1"/>
  <c r="K1680" i="1"/>
  <c r="M1679" i="1"/>
  <c r="L1679" i="1"/>
  <c r="K1679" i="1"/>
  <c r="M1678" i="1"/>
  <c r="L1678" i="1"/>
  <c r="K1678" i="1"/>
  <c r="M1677" i="1"/>
  <c r="L1677" i="1"/>
  <c r="K1677" i="1"/>
  <c r="M1676" i="1"/>
  <c r="L1676" i="1"/>
  <c r="K1676" i="1"/>
  <c r="M1675" i="1"/>
  <c r="L1675" i="1"/>
  <c r="K1675" i="1"/>
  <c r="M1674" i="1"/>
  <c r="L1674" i="1"/>
  <c r="K1674" i="1"/>
  <c r="M1673" i="1"/>
  <c r="L1673" i="1"/>
  <c r="K1673" i="1"/>
  <c r="M1672" i="1"/>
  <c r="L1672" i="1"/>
  <c r="K1672" i="1"/>
  <c r="M1671" i="1"/>
  <c r="L1671" i="1"/>
  <c r="K1671" i="1"/>
  <c r="M1670" i="1"/>
  <c r="L1670" i="1"/>
  <c r="K1670" i="1"/>
  <c r="M1669" i="1"/>
  <c r="L1669" i="1"/>
  <c r="K1669" i="1"/>
  <c r="M1668" i="1"/>
  <c r="L1668" i="1"/>
  <c r="K1668" i="1"/>
  <c r="M1667" i="1"/>
  <c r="L1667" i="1"/>
  <c r="K1667" i="1"/>
  <c r="M1666" i="1"/>
  <c r="L1666" i="1"/>
  <c r="K1666" i="1"/>
  <c r="M1665" i="1"/>
  <c r="L1665" i="1"/>
  <c r="K1665" i="1"/>
  <c r="M1664" i="1"/>
  <c r="L1664" i="1"/>
  <c r="K1664" i="1"/>
  <c r="M1663" i="1"/>
  <c r="L1663" i="1"/>
  <c r="K1663" i="1"/>
  <c r="M1662" i="1"/>
  <c r="L1662" i="1"/>
  <c r="K1662" i="1"/>
  <c r="M1661" i="1"/>
  <c r="L1661" i="1"/>
  <c r="K1661" i="1"/>
  <c r="M1660" i="1"/>
  <c r="L1660" i="1"/>
  <c r="K1660" i="1"/>
  <c r="M1659" i="1"/>
  <c r="L1659" i="1"/>
  <c r="K1659" i="1"/>
  <c r="M1658" i="1"/>
  <c r="L1658" i="1"/>
  <c r="K1658" i="1"/>
  <c r="M1657" i="1"/>
  <c r="L1657" i="1"/>
  <c r="K1657" i="1"/>
  <c r="M1656" i="1"/>
  <c r="L1656" i="1"/>
  <c r="K1656" i="1"/>
  <c r="M1655" i="1"/>
  <c r="L1655" i="1"/>
  <c r="K1655" i="1"/>
  <c r="M1654" i="1"/>
  <c r="L1654" i="1"/>
  <c r="K1654" i="1"/>
  <c r="M1653" i="1"/>
  <c r="L1653" i="1"/>
  <c r="K1653" i="1"/>
  <c r="M1652" i="1"/>
  <c r="L1652" i="1"/>
  <c r="K1652" i="1"/>
  <c r="M1651" i="1"/>
  <c r="L1651" i="1"/>
  <c r="K1651" i="1"/>
  <c r="M1650" i="1"/>
  <c r="L1650" i="1"/>
  <c r="K1650" i="1"/>
  <c r="M1649" i="1"/>
  <c r="L1649" i="1"/>
  <c r="K1649" i="1"/>
  <c r="M1648" i="1"/>
  <c r="L1648" i="1"/>
  <c r="K1648" i="1"/>
  <c r="M1647" i="1"/>
  <c r="L1647" i="1"/>
  <c r="K1647" i="1"/>
  <c r="M1646" i="1"/>
  <c r="L1646" i="1"/>
  <c r="K1646" i="1"/>
  <c r="M1645" i="1"/>
  <c r="L1645" i="1"/>
  <c r="K1645" i="1"/>
  <c r="M1644" i="1"/>
  <c r="L1644" i="1"/>
  <c r="K1644" i="1"/>
  <c r="M1643" i="1"/>
  <c r="L1643" i="1"/>
  <c r="K1643" i="1"/>
  <c r="M1642" i="1"/>
  <c r="L1642" i="1"/>
  <c r="K1642" i="1"/>
  <c r="M1641" i="1"/>
  <c r="L1641" i="1"/>
  <c r="K1641" i="1"/>
  <c r="M1640" i="1"/>
  <c r="L1640" i="1"/>
  <c r="K1640" i="1"/>
  <c r="M1639" i="1"/>
  <c r="L1639" i="1"/>
  <c r="K1639" i="1"/>
  <c r="M1638" i="1"/>
  <c r="L1638" i="1"/>
  <c r="K1638" i="1"/>
  <c r="M1637" i="1"/>
  <c r="L1637" i="1"/>
  <c r="K1637" i="1"/>
  <c r="M1636" i="1"/>
  <c r="L1636" i="1"/>
  <c r="K1636" i="1"/>
  <c r="M1635" i="1"/>
  <c r="L1635" i="1"/>
  <c r="K1635" i="1"/>
  <c r="M1634" i="1"/>
  <c r="L1634" i="1"/>
  <c r="K1634" i="1"/>
  <c r="M1633" i="1"/>
  <c r="L1633" i="1"/>
  <c r="K1633" i="1"/>
  <c r="M1632" i="1"/>
  <c r="L1632" i="1"/>
  <c r="K1632" i="1"/>
  <c r="M1631" i="1"/>
  <c r="L1631" i="1"/>
  <c r="K1631" i="1"/>
  <c r="M1630" i="1"/>
  <c r="L1630" i="1"/>
  <c r="K1630" i="1"/>
  <c r="M1629" i="1"/>
  <c r="L1629" i="1"/>
  <c r="K1629" i="1"/>
  <c r="M1628" i="1"/>
  <c r="L1628" i="1"/>
  <c r="K1628" i="1"/>
  <c r="M1627" i="1"/>
  <c r="L1627" i="1"/>
  <c r="K1627" i="1"/>
  <c r="M1626" i="1"/>
  <c r="L1626" i="1"/>
  <c r="K1626" i="1"/>
  <c r="M1625" i="1"/>
  <c r="L1625" i="1"/>
  <c r="K1625" i="1"/>
  <c r="M1624" i="1"/>
  <c r="L1624" i="1"/>
  <c r="K1624" i="1"/>
  <c r="M1623" i="1"/>
  <c r="L1623" i="1"/>
  <c r="K1623" i="1"/>
  <c r="M1622" i="1"/>
  <c r="L1622" i="1"/>
  <c r="K1622" i="1"/>
  <c r="M1621" i="1"/>
  <c r="L1621" i="1"/>
  <c r="K1621" i="1"/>
  <c r="M1620" i="1"/>
  <c r="L1620" i="1"/>
  <c r="K1620" i="1"/>
  <c r="M1619" i="1"/>
  <c r="L1619" i="1"/>
  <c r="K1619" i="1"/>
  <c r="M1618" i="1"/>
  <c r="L1618" i="1"/>
  <c r="K1618" i="1"/>
  <c r="M1617" i="1"/>
  <c r="L1617" i="1"/>
  <c r="K1617" i="1"/>
  <c r="M1607" i="1"/>
  <c r="L1607" i="1"/>
  <c r="K1607" i="1"/>
  <c r="M1606" i="1"/>
  <c r="L1606" i="1"/>
  <c r="K1606" i="1"/>
  <c r="M1605" i="1"/>
  <c r="L1605" i="1"/>
  <c r="K1605" i="1"/>
  <c r="M1604" i="1"/>
  <c r="L1604" i="1"/>
  <c r="K1604" i="1"/>
  <c r="M1603" i="1"/>
  <c r="K1603" i="1"/>
  <c r="M1602" i="1"/>
  <c r="K1602" i="1"/>
  <c r="M1601" i="1"/>
  <c r="K1601" i="1"/>
  <c r="M1600" i="1"/>
  <c r="K1600" i="1"/>
  <c r="M1599" i="1"/>
  <c r="K1599" i="1"/>
  <c r="K1598" i="1"/>
  <c r="M1597" i="1"/>
  <c r="L1597" i="1"/>
  <c r="K1597" i="1"/>
  <c r="M1596" i="1"/>
  <c r="L1596" i="1"/>
  <c r="K1596" i="1"/>
  <c r="M1595" i="1"/>
  <c r="L1595" i="1"/>
  <c r="K1595" i="1"/>
  <c r="M1594" i="1"/>
  <c r="L1594" i="1"/>
  <c r="K1594" i="1"/>
  <c r="M1593" i="1"/>
  <c r="L1593" i="1"/>
  <c r="K1593" i="1"/>
  <c r="M1592" i="1"/>
  <c r="L1592" i="1"/>
  <c r="K1592" i="1"/>
  <c r="M1591" i="1"/>
  <c r="L1591" i="1"/>
  <c r="K1591" i="1"/>
  <c r="M1590" i="1"/>
  <c r="L1590" i="1"/>
  <c r="K1590" i="1"/>
  <c r="M1589" i="1"/>
  <c r="L1589" i="1"/>
  <c r="K1589" i="1"/>
  <c r="M1588" i="1"/>
  <c r="L1588" i="1"/>
  <c r="K1588" i="1"/>
  <c r="M1587" i="1"/>
  <c r="L1587" i="1"/>
  <c r="K1587" i="1"/>
  <c r="M1586" i="1"/>
  <c r="L1586" i="1"/>
  <c r="K1586" i="1"/>
  <c r="M1585" i="1"/>
  <c r="L1585" i="1"/>
  <c r="K1585" i="1"/>
  <c r="M1584" i="1"/>
  <c r="L1584" i="1"/>
  <c r="K1584" i="1"/>
  <c r="M1583" i="1"/>
  <c r="L1583" i="1"/>
  <c r="K1583" i="1"/>
  <c r="M1582" i="1"/>
  <c r="L1582" i="1"/>
  <c r="K1582" i="1"/>
  <c r="M1581" i="1"/>
  <c r="L1581" i="1"/>
  <c r="K1581" i="1"/>
  <c r="M1580" i="1"/>
  <c r="L1580" i="1"/>
  <c r="K1580" i="1"/>
  <c r="M1579" i="1"/>
  <c r="L1579" i="1"/>
  <c r="K1579" i="1"/>
  <c r="M1578" i="1"/>
  <c r="L1578" i="1"/>
  <c r="K1578" i="1"/>
  <c r="M1577" i="1"/>
  <c r="L1577" i="1"/>
  <c r="K1577" i="1"/>
  <c r="M1576" i="1"/>
  <c r="L1576" i="1"/>
  <c r="K1576" i="1"/>
  <c r="M1575" i="1"/>
  <c r="L1575" i="1"/>
  <c r="K1575" i="1"/>
  <c r="M1574" i="1"/>
  <c r="L1574" i="1"/>
  <c r="K1574" i="1"/>
  <c r="M1573" i="1"/>
  <c r="L1573" i="1"/>
  <c r="K1573" i="1"/>
  <c r="M1572" i="1"/>
  <c r="L1572" i="1"/>
  <c r="K1572" i="1"/>
  <c r="M1571" i="1"/>
  <c r="L1571" i="1"/>
  <c r="K1571" i="1"/>
  <c r="M1570" i="1"/>
  <c r="L1570" i="1"/>
  <c r="K1570" i="1"/>
  <c r="M1569" i="1"/>
  <c r="L1569" i="1"/>
  <c r="K1569" i="1"/>
  <c r="M1568" i="1"/>
  <c r="L1568" i="1"/>
  <c r="K1568" i="1"/>
  <c r="M1567" i="1"/>
  <c r="L1567" i="1"/>
  <c r="K1567" i="1"/>
  <c r="M1566" i="1"/>
  <c r="L1566" i="1"/>
  <c r="K1566" i="1"/>
  <c r="M1565" i="1"/>
  <c r="L1565" i="1"/>
  <c r="K1565" i="1"/>
  <c r="M1564" i="1"/>
  <c r="L1564" i="1"/>
  <c r="K1564" i="1"/>
  <c r="M1563" i="1"/>
  <c r="L1563" i="1"/>
  <c r="K1563" i="1"/>
  <c r="M1562" i="1"/>
  <c r="L1562" i="1"/>
  <c r="K1562" i="1"/>
  <c r="M1561" i="1"/>
  <c r="L1561" i="1"/>
  <c r="K1561" i="1"/>
  <c r="M1560" i="1"/>
  <c r="L1560" i="1"/>
  <c r="K1560" i="1"/>
  <c r="M1559" i="1"/>
  <c r="L1559" i="1"/>
  <c r="K1559" i="1"/>
  <c r="M1558" i="1"/>
  <c r="L1558" i="1"/>
  <c r="K1558" i="1"/>
  <c r="M1557" i="1"/>
  <c r="L1557" i="1"/>
  <c r="K1557" i="1"/>
  <c r="M1556" i="1"/>
  <c r="L1556" i="1"/>
  <c r="K1556" i="1"/>
  <c r="M1555" i="1"/>
  <c r="L1555" i="1"/>
  <c r="K1555" i="1"/>
  <c r="M1554" i="1"/>
  <c r="L1554" i="1"/>
  <c r="K1554" i="1"/>
  <c r="M1553" i="1"/>
  <c r="L1553" i="1"/>
  <c r="K1553" i="1"/>
  <c r="M1552" i="1"/>
  <c r="L1552" i="1"/>
  <c r="K1552" i="1"/>
  <c r="M1551" i="1"/>
  <c r="L1551" i="1"/>
  <c r="K1551" i="1"/>
  <c r="M1550" i="1"/>
  <c r="L1550" i="1"/>
  <c r="K1550" i="1"/>
  <c r="M1549" i="1"/>
  <c r="L1549" i="1"/>
  <c r="K1549" i="1"/>
  <c r="M1548" i="1"/>
  <c r="L1548" i="1"/>
  <c r="K1548" i="1"/>
  <c r="M1547" i="1"/>
  <c r="L1547" i="1"/>
  <c r="K1547" i="1"/>
  <c r="M1546" i="1"/>
  <c r="L1546" i="1"/>
  <c r="K1546" i="1"/>
  <c r="M1545" i="1"/>
  <c r="L1545" i="1"/>
  <c r="K1545" i="1"/>
  <c r="M1544" i="1"/>
  <c r="L1544" i="1"/>
  <c r="K1544" i="1"/>
  <c r="M1543" i="1"/>
  <c r="L1543" i="1"/>
  <c r="K1543" i="1"/>
  <c r="M1542" i="1"/>
  <c r="L1542" i="1"/>
  <c r="K1542" i="1"/>
  <c r="M1541" i="1"/>
  <c r="L1541" i="1"/>
  <c r="K1541" i="1"/>
  <c r="M1540" i="1"/>
  <c r="L1540" i="1"/>
  <c r="K1540" i="1"/>
  <c r="M1539" i="1"/>
  <c r="L1539" i="1"/>
  <c r="K1539" i="1"/>
  <c r="M1538" i="1"/>
  <c r="L1538" i="1"/>
  <c r="K1538" i="1"/>
  <c r="M1537" i="1"/>
  <c r="L1537" i="1"/>
  <c r="K1537" i="1"/>
  <c r="M1536" i="1"/>
  <c r="L1536" i="1"/>
  <c r="K1536" i="1"/>
  <c r="M1535" i="1"/>
  <c r="L1535" i="1"/>
  <c r="K1535" i="1"/>
  <c r="M1534" i="1"/>
  <c r="L1534" i="1"/>
  <c r="K1534" i="1"/>
  <c r="M1533" i="1"/>
  <c r="L1533" i="1"/>
  <c r="K1533" i="1"/>
  <c r="M1532" i="1"/>
  <c r="L1532" i="1"/>
  <c r="K1532" i="1"/>
  <c r="M1531" i="1"/>
  <c r="L1531" i="1"/>
  <c r="K1531" i="1"/>
  <c r="M1530" i="1"/>
  <c r="L1530" i="1"/>
  <c r="K1530" i="1"/>
  <c r="M1529" i="1"/>
  <c r="L1529" i="1"/>
  <c r="K1529" i="1"/>
  <c r="M1528" i="1"/>
  <c r="L1528" i="1"/>
  <c r="K1528" i="1"/>
  <c r="M1527" i="1"/>
  <c r="L1527" i="1"/>
  <c r="K1527" i="1"/>
  <c r="M1526" i="1"/>
  <c r="L1526" i="1"/>
  <c r="K1526" i="1"/>
  <c r="M1525" i="1"/>
  <c r="L1525" i="1"/>
  <c r="K1525" i="1"/>
  <c r="M1524" i="1"/>
  <c r="K1524" i="1"/>
  <c r="M1523" i="1"/>
  <c r="K1523" i="1"/>
  <c r="M1522" i="1"/>
  <c r="K1522" i="1"/>
  <c r="M1521" i="1"/>
  <c r="K1521" i="1"/>
  <c r="M1520" i="1"/>
  <c r="K1520" i="1"/>
  <c r="M1519" i="1"/>
  <c r="K1519" i="1"/>
  <c r="M1518" i="1"/>
  <c r="K1518" i="1"/>
  <c r="M1517" i="1"/>
  <c r="K1517" i="1"/>
  <c r="M1516" i="1"/>
  <c r="K1516" i="1"/>
  <c r="M1515" i="1"/>
  <c r="K1515" i="1"/>
  <c r="M1514" i="1"/>
  <c r="K1514" i="1"/>
  <c r="M1513" i="1"/>
  <c r="K1513" i="1"/>
  <c r="M1512" i="1"/>
  <c r="K1512" i="1"/>
  <c r="K1511" i="1"/>
  <c r="M1510" i="1"/>
  <c r="L1510" i="1"/>
  <c r="K1510" i="1"/>
  <c r="M1509" i="1"/>
  <c r="L1509" i="1"/>
  <c r="K1509" i="1"/>
  <c r="M1508" i="1"/>
  <c r="L1508" i="1"/>
  <c r="K1508" i="1"/>
  <c r="M1507" i="1"/>
  <c r="L1507" i="1"/>
  <c r="K1507" i="1"/>
  <c r="M1506" i="1"/>
  <c r="L1506" i="1"/>
  <c r="K1506" i="1"/>
  <c r="M1505" i="1"/>
  <c r="L1505" i="1"/>
  <c r="K1505" i="1"/>
  <c r="M1504" i="1"/>
  <c r="L1504" i="1"/>
  <c r="K1504" i="1"/>
  <c r="M1503" i="1"/>
  <c r="L1503" i="1"/>
  <c r="K1503" i="1"/>
  <c r="M1502" i="1"/>
  <c r="L1502" i="1"/>
  <c r="K1502" i="1"/>
  <c r="M1501" i="1"/>
  <c r="L1501" i="1"/>
  <c r="K1501" i="1"/>
  <c r="M1500" i="1"/>
  <c r="L1500" i="1"/>
  <c r="K1500" i="1"/>
  <c r="M1499" i="1"/>
  <c r="L1499" i="1"/>
  <c r="K1499" i="1"/>
  <c r="M1498" i="1"/>
  <c r="L1498" i="1"/>
  <c r="K1498" i="1"/>
  <c r="M1497" i="1"/>
  <c r="L1497" i="1"/>
  <c r="K1497" i="1"/>
  <c r="M1496" i="1"/>
  <c r="L1496" i="1"/>
  <c r="K1496" i="1"/>
  <c r="M1495" i="1"/>
  <c r="L1495" i="1"/>
  <c r="K1495" i="1"/>
  <c r="M1494" i="1"/>
  <c r="L1494" i="1"/>
  <c r="K1494" i="1"/>
  <c r="M1493" i="1"/>
  <c r="L1493" i="1"/>
  <c r="K1493" i="1"/>
  <c r="M1492" i="1"/>
  <c r="L1492" i="1"/>
  <c r="K1492" i="1"/>
  <c r="M1491" i="1"/>
  <c r="L1491" i="1"/>
  <c r="K1491" i="1"/>
  <c r="M1490" i="1"/>
  <c r="L1490" i="1"/>
  <c r="K1490" i="1"/>
  <c r="M1489" i="1"/>
  <c r="L1489" i="1"/>
  <c r="K1489" i="1"/>
  <c r="M1488" i="1"/>
  <c r="L1488" i="1"/>
  <c r="K1488" i="1"/>
  <c r="M1487" i="1"/>
  <c r="L1487" i="1"/>
  <c r="K1487" i="1"/>
  <c r="M1486" i="1"/>
  <c r="L1486" i="1"/>
  <c r="K1486" i="1"/>
  <c r="M1485" i="1"/>
  <c r="L1485" i="1"/>
  <c r="K1485" i="1"/>
  <c r="M1484" i="1"/>
  <c r="L1484" i="1"/>
  <c r="K1484" i="1"/>
  <c r="M1483" i="1"/>
  <c r="L1483" i="1"/>
  <c r="K1483" i="1"/>
  <c r="M1482" i="1"/>
  <c r="L1482" i="1"/>
  <c r="K1482" i="1"/>
  <c r="M1481" i="1"/>
  <c r="L1481" i="1"/>
  <c r="K1481" i="1"/>
  <c r="M1480" i="1"/>
  <c r="L1480" i="1"/>
  <c r="K1480" i="1"/>
  <c r="M1479" i="1"/>
  <c r="L1479" i="1"/>
  <c r="K1479" i="1"/>
  <c r="M1478" i="1"/>
  <c r="L1478" i="1"/>
  <c r="K1478" i="1"/>
  <c r="M1477" i="1"/>
  <c r="L1477" i="1"/>
  <c r="K1477" i="1"/>
  <c r="M1476" i="1"/>
  <c r="L1476" i="1"/>
  <c r="K1476" i="1"/>
  <c r="M1475" i="1"/>
  <c r="L1475" i="1"/>
  <c r="K1475" i="1"/>
  <c r="M1474" i="1"/>
  <c r="L1474" i="1"/>
  <c r="K1474" i="1"/>
  <c r="M1473" i="1"/>
  <c r="L1473" i="1"/>
  <c r="K1473" i="1"/>
  <c r="M1472" i="1"/>
  <c r="L1472" i="1"/>
  <c r="K1472" i="1"/>
  <c r="M1471" i="1"/>
  <c r="L1471" i="1"/>
  <c r="K1471" i="1"/>
  <c r="M1470" i="1"/>
  <c r="L1470" i="1"/>
  <c r="K1470" i="1"/>
  <c r="M1469" i="1"/>
  <c r="L1469" i="1"/>
  <c r="K1469" i="1"/>
  <c r="M1468" i="1"/>
  <c r="L1468" i="1"/>
  <c r="K1468" i="1"/>
  <c r="M1467" i="1"/>
  <c r="L1467" i="1"/>
  <c r="K1467" i="1"/>
  <c r="M1466" i="1"/>
  <c r="L1466" i="1"/>
  <c r="K1466" i="1"/>
  <c r="M1465" i="1"/>
  <c r="L1465" i="1"/>
  <c r="K1465" i="1"/>
  <c r="M1464" i="1"/>
  <c r="L1464" i="1"/>
  <c r="K1464" i="1"/>
  <c r="M1463" i="1"/>
  <c r="L1463" i="1"/>
  <c r="K1463" i="1"/>
  <c r="M1462" i="1"/>
  <c r="L1462" i="1"/>
  <c r="K1462" i="1"/>
  <c r="M1461" i="1"/>
  <c r="L1461" i="1"/>
  <c r="K1461" i="1"/>
  <c r="M1460" i="1"/>
  <c r="L1460" i="1"/>
  <c r="K1460" i="1"/>
  <c r="M1459" i="1"/>
  <c r="L1459" i="1"/>
  <c r="K1459" i="1"/>
  <c r="M1458" i="1"/>
  <c r="L1458" i="1"/>
  <c r="K1458" i="1"/>
  <c r="M1457" i="1"/>
  <c r="L1457" i="1"/>
  <c r="K1457" i="1"/>
  <c r="M1456" i="1"/>
  <c r="L1456" i="1"/>
  <c r="K1456" i="1"/>
  <c r="M1455" i="1"/>
  <c r="L1455" i="1"/>
  <c r="K1455" i="1"/>
  <c r="M1454" i="1"/>
  <c r="L1454" i="1"/>
  <c r="K1454" i="1"/>
  <c r="M1453" i="1"/>
  <c r="L1453" i="1"/>
  <c r="K1453" i="1"/>
  <c r="M1452" i="1"/>
  <c r="L1452" i="1"/>
  <c r="K1452" i="1"/>
  <c r="M1451" i="1"/>
  <c r="L1451" i="1"/>
  <c r="K1451" i="1"/>
  <c r="M1450" i="1"/>
  <c r="L1450" i="1"/>
  <c r="K1450" i="1"/>
  <c r="M1449" i="1"/>
  <c r="L1449" i="1"/>
  <c r="K1449" i="1"/>
  <c r="M1448" i="1"/>
  <c r="L1448" i="1"/>
  <c r="K1448" i="1"/>
  <c r="M1447" i="1"/>
  <c r="L1447" i="1"/>
  <c r="K1447" i="1"/>
  <c r="M1446" i="1"/>
  <c r="L1446" i="1"/>
  <c r="K1446" i="1"/>
  <c r="M1445" i="1"/>
  <c r="L1445" i="1"/>
  <c r="K1445" i="1"/>
  <c r="M1444" i="1"/>
  <c r="L1444" i="1"/>
  <c r="K1444" i="1"/>
  <c r="M1443" i="1"/>
  <c r="L1443" i="1"/>
  <c r="K1443" i="1"/>
  <c r="M1442" i="1"/>
  <c r="L1442" i="1"/>
  <c r="K1442" i="1"/>
  <c r="M1441" i="1"/>
  <c r="L1441" i="1"/>
  <c r="K1441" i="1"/>
  <c r="M1440" i="1"/>
  <c r="L1440" i="1"/>
  <c r="K1440" i="1"/>
  <c r="M1439" i="1"/>
  <c r="L1439" i="1"/>
  <c r="K1439" i="1"/>
  <c r="M1438" i="1"/>
  <c r="L1438" i="1"/>
  <c r="K1438" i="1"/>
  <c r="M1437" i="1"/>
  <c r="L1437" i="1"/>
  <c r="K1437" i="1"/>
  <c r="M1436" i="1"/>
  <c r="L1436" i="1"/>
  <c r="K1436" i="1"/>
  <c r="M1435" i="1"/>
  <c r="L1435" i="1"/>
  <c r="K1435" i="1"/>
  <c r="M1434" i="1"/>
  <c r="L1434" i="1"/>
  <c r="K1434" i="1"/>
  <c r="M1433" i="1"/>
  <c r="L1433" i="1"/>
  <c r="K1433" i="1"/>
  <c r="M1432" i="1"/>
  <c r="L1432" i="1"/>
  <c r="K1432" i="1"/>
  <c r="M1431" i="1"/>
  <c r="L1431" i="1"/>
  <c r="K1431" i="1"/>
  <c r="M1430" i="1"/>
  <c r="L1430" i="1"/>
  <c r="K1430" i="1"/>
  <c r="M1429" i="1"/>
  <c r="L1429" i="1"/>
  <c r="K1429" i="1"/>
  <c r="M1428" i="1"/>
  <c r="L1428" i="1"/>
  <c r="K1428" i="1"/>
  <c r="M1427" i="1"/>
  <c r="L1427" i="1"/>
  <c r="K1427" i="1"/>
  <c r="M1426" i="1"/>
  <c r="L1426" i="1"/>
  <c r="K1426" i="1"/>
  <c r="M1425" i="1"/>
  <c r="L1425" i="1"/>
  <c r="K1425" i="1"/>
  <c r="M1424" i="1"/>
  <c r="L1424" i="1"/>
  <c r="K1424" i="1"/>
  <c r="M1423" i="1"/>
  <c r="L1423" i="1"/>
  <c r="K1423" i="1"/>
  <c r="M1422" i="1"/>
  <c r="L1422" i="1"/>
  <c r="K1422" i="1"/>
  <c r="M1421" i="1"/>
  <c r="K1421" i="1"/>
  <c r="M1420" i="1"/>
  <c r="K1420" i="1"/>
  <c r="M1419" i="1"/>
  <c r="K1419" i="1"/>
  <c r="M1418" i="1"/>
  <c r="K1418" i="1"/>
  <c r="M1417" i="1"/>
  <c r="K1417" i="1"/>
  <c r="K1416" i="1"/>
  <c r="M1413" i="1"/>
  <c r="L1413" i="1"/>
  <c r="K1413" i="1"/>
  <c r="M1412" i="1"/>
  <c r="L1412" i="1"/>
  <c r="K1412" i="1"/>
  <c r="M1411" i="1"/>
  <c r="L1411" i="1"/>
  <c r="K1411" i="1"/>
  <c r="M1410" i="1"/>
  <c r="L1410" i="1"/>
  <c r="K1410" i="1"/>
  <c r="M1409" i="1"/>
  <c r="L1409" i="1"/>
  <c r="K1409" i="1"/>
  <c r="M1408" i="1"/>
  <c r="L1408" i="1"/>
  <c r="K1408" i="1"/>
  <c r="M1407" i="1"/>
  <c r="L1407" i="1"/>
  <c r="K1407" i="1"/>
  <c r="M1406" i="1"/>
  <c r="L1406" i="1"/>
  <c r="K1406" i="1"/>
  <c r="M1405" i="1"/>
  <c r="L1405" i="1"/>
  <c r="K1405" i="1"/>
  <c r="M1404" i="1"/>
  <c r="L1404" i="1"/>
  <c r="K1404" i="1"/>
  <c r="M1403" i="1"/>
  <c r="L1403" i="1"/>
  <c r="K1403" i="1"/>
  <c r="M1402" i="1"/>
  <c r="L1402" i="1"/>
  <c r="K1402" i="1"/>
  <c r="M1401" i="1"/>
  <c r="L1401" i="1"/>
  <c r="K1401" i="1"/>
  <c r="M1400" i="1"/>
  <c r="L1400" i="1"/>
  <c r="K1400" i="1"/>
  <c r="M1399" i="1"/>
  <c r="L1399" i="1"/>
  <c r="K1399" i="1"/>
  <c r="M1398" i="1"/>
  <c r="L1398" i="1"/>
  <c r="K1398" i="1"/>
  <c r="M1397" i="1"/>
  <c r="L1397" i="1"/>
  <c r="K1397" i="1"/>
  <c r="M1396" i="1"/>
  <c r="L1396" i="1"/>
  <c r="K1396" i="1"/>
  <c r="M1395" i="1"/>
  <c r="L1395" i="1"/>
  <c r="K1395" i="1"/>
  <c r="M1394" i="1"/>
  <c r="L1394" i="1"/>
  <c r="K1394" i="1"/>
  <c r="M1393" i="1"/>
  <c r="L1393" i="1"/>
  <c r="K1393" i="1"/>
  <c r="M1392" i="1"/>
  <c r="L1392" i="1"/>
  <c r="K1392" i="1"/>
  <c r="M1391" i="1"/>
  <c r="L1391" i="1"/>
  <c r="K1391" i="1"/>
  <c r="M1390" i="1"/>
  <c r="L1390" i="1"/>
  <c r="K1390" i="1"/>
  <c r="M1389" i="1"/>
  <c r="L1389" i="1"/>
  <c r="K1389" i="1"/>
  <c r="M1388" i="1"/>
  <c r="L1388" i="1"/>
  <c r="K1388" i="1"/>
  <c r="M1387" i="1"/>
  <c r="L1387" i="1"/>
  <c r="K1387" i="1"/>
  <c r="M1386" i="1"/>
  <c r="L1386" i="1"/>
  <c r="K1386" i="1"/>
  <c r="M1385" i="1"/>
  <c r="L1385" i="1"/>
  <c r="K1385" i="1"/>
  <c r="M1384" i="1"/>
  <c r="L1384" i="1"/>
  <c r="K1384" i="1"/>
  <c r="M1383" i="1"/>
  <c r="L1383" i="1"/>
  <c r="K1383" i="1"/>
  <c r="M1382" i="1"/>
  <c r="L1382" i="1"/>
  <c r="K1382" i="1"/>
  <c r="M1381" i="1"/>
  <c r="L1381" i="1"/>
  <c r="K1381" i="1"/>
  <c r="M1380" i="1"/>
  <c r="L1380" i="1"/>
  <c r="K1380" i="1"/>
  <c r="M1379" i="1"/>
  <c r="L1379" i="1"/>
  <c r="K1379" i="1"/>
  <c r="M1378" i="1"/>
  <c r="L1378" i="1"/>
  <c r="K1378" i="1"/>
  <c r="M1377" i="1"/>
  <c r="L1377" i="1"/>
  <c r="K1377" i="1"/>
  <c r="M1376" i="1"/>
  <c r="L1376" i="1"/>
  <c r="K1376" i="1"/>
  <c r="M1375" i="1"/>
  <c r="L1375" i="1"/>
  <c r="K1375" i="1"/>
  <c r="M1374" i="1"/>
  <c r="L1374" i="1"/>
  <c r="K1374" i="1"/>
  <c r="M1373" i="1"/>
  <c r="L1373" i="1"/>
  <c r="K1373" i="1"/>
  <c r="M1372" i="1"/>
  <c r="L1372" i="1"/>
  <c r="K1372" i="1"/>
  <c r="M1371" i="1"/>
  <c r="L1371" i="1"/>
  <c r="K1371" i="1"/>
  <c r="M1370" i="1"/>
  <c r="L1370" i="1"/>
  <c r="K1370" i="1"/>
  <c r="M1369" i="1"/>
  <c r="L1369" i="1"/>
  <c r="K1369" i="1"/>
  <c r="M1368" i="1"/>
  <c r="L1368" i="1"/>
  <c r="K1368" i="1"/>
  <c r="M1367" i="1"/>
  <c r="L1367" i="1"/>
  <c r="K1367" i="1"/>
  <c r="M1366" i="1"/>
  <c r="L1366" i="1"/>
  <c r="K1366" i="1"/>
  <c r="M1365" i="1"/>
  <c r="L1365" i="1"/>
  <c r="K1365" i="1"/>
  <c r="M1364" i="1"/>
  <c r="L1364" i="1"/>
  <c r="K1364" i="1"/>
  <c r="M1363" i="1"/>
  <c r="L1363" i="1"/>
  <c r="K1363" i="1"/>
  <c r="M1362" i="1"/>
  <c r="L1362" i="1"/>
  <c r="K1362" i="1"/>
  <c r="M1361" i="1"/>
  <c r="L1361" i="1"/>
  <c r="K1361" i="1"/>
  <c r="M1360" i="1"/>
  <c r="L1360" i="1"/>
  <c r="K1360" i="1"/>
  <c r="M1359" i="1"/>
  <c r="L1359" i="1"/>
  <c r="K1359" i="1"/>
  <c r="M1358" i="1"/>
  <c r="L1358" i="1"/>
  <c r="K1358" i="1"/>
  <c r="M1357" i="1"/>
  <c r="L1357" i="1"/>
  <c r="K1357" i="1"/>
  <c r="M1356" i="1"/>
  <c r="L1356" i="1"/>
  <c r="K1356" i="1"/>
  <c r="M1355" i="1"/>
  <c r="L1355" i="1"/>
  <c r="K1355" i="1"/>
  <c r="M1354" i="1"/>
  <c r="L1354" i="1"/>
  <c r="K1354" i="1"/>
  <c r="M1353" i="1"/>
  <c r="L1353" i="1"/>
  <c r="K1353" i="1"/>
  <c r="M1352" i="1"/>
  <c r="L1352" i="1"/>
  <c r="K1352" i="1"/>
  <c r="M1351" i="1"/>
  <c r="L1351" i="1"/>
  <c r="K1351" i="1"/>
  <c r="M1350" i="1"/>
  <c r="L1350" i="1"/>
  <c r="K1350" i="1"/>
  <c r="M1349" i="1"/>
  <c r="L1349" i="1"/>
  <c r="K1349" i="1"/>
  <c r="M1348" i="1"/>
  <c r="L1348" i="1"/>
  <c r="K1348" i="1"/>
  <c r="M1347" i="1"/>
  <c r="L1347" i="1"/>
  <c r="K1347" i="1"/>
  <c r="M1346" i="1"/>
  <c r="L1346" i="1"/>
  <c r="K1346" i="1"/>
  <c r="M1345" i="1"/>
  <c r="L1345" i="1"/>
  <c r="K1345" i="1"/>
  <c r="M1344" i="1"/>
  <c r="L1344" i="1"/>
  <c r="K1344" i="1"/>
  <c r="M1343" i="1"/>
  <c r="L1343" i="1"/>
  <c r="K1343" i="1"/>
  <c r="M1342" i="1"/>
  <c r="L1342" i="1"/>
  <c r="K1342" i="1"/>
  <c r="M1341" i="1"/>
  <c r="L1341" i="1"/>
  <c r="K1341" i="1"/>
  <c r="M1340" i="1"/>
  <c r="L1340" i="1"/>
  <c r="K1340" i="1"/>
  <c r="M1339" i="1"/>
  <c r="L1339" i="1"/>
  <c r="K1339" i="1"/>
  <c r="M1338" i="1"/>
  <c r="L1338" i="1"/>
  <c r="K1338" i="1"/>
  <c r="M1337" i="1"/>
  <c r="L1337" i="1"/>
  <c r="K1337" i="1"/>
  <c r="M1336" i="1"/>
  <c r="L1336" i="1"/>
  <c r="K1336" i="1"/>
  <c r="M1335" i="1"/>
  <c r="L1335" i="1"/>
  <c r="K1335" i="1"/>
  <c r="M1334" i="1"/>
  <c r="L1334" i="1"/>
  <c r="K1334" i="1"/>
  <c r="M1333" i="1"/>
  <c r="L1333" i="1"/>
  <c r="K1333" i="1"/>
  <c r="M1332" i="1"/>
  <c r="L1332" i="1"/>
  <c r="K1332" i="1"/>
  <c r="M1331" i="1"/>
  <c r="L1331" i="1"/>
  <c r="K1331" i="1"/>
  <c r="M1330" i="1"/>
  <c r="L1330" i="1"/>
  <c r="K1330" i="1"/>
  <c r="M1329" i="1"/>
  <c r="L1329" i="1"/>
  <c r="K1329" i="1"/>
  <c r="M1328" i="1"/>
  <c r="L1328" i="1"/>
  <c r="K1328" i="1"/>
  <c r="M1327" i="1"/>
  <c r="L1327" i="1"/>
  <c r="K1327" i="1"/>
  <c r="M1326" i="1"/>
  <c r="L1326" i="1"/>
  <c r="K1326" i="1"/>
  <c r="M1325" i="1"/>
  <c r="L1325" i="1"/>
  <c r="K1325" i="1"/>
  <c r="M1324" i="1"/>
  <c r="L1324" i="1"/>
  <c r="K1324" i="1"/>
  <c r="M1323" i="1"/>
  <c r="L1323" i="1"/>
  <c r="K1323" i="1"/>
  <c r="M1322" i="1"/>
  <c r="L1322" i="1"/>
  <c r="K1322" i="1"/>
  <c r="M1321" i="1"/>
  <c r="L1321" i="1"/>
  <c r="K1321" i="1"/>
  <c r="M1320" i="1"/>
  <c r="L1320" i="1"/>
  <c r="K1320" i="1"/>
  <c r="M1319" i="1"/>
  <c r="L1319" i="1"/>
  <c r="K1319" i="1"/>
  <c r="M1318" i="1"/>
  <c r="L1318" i="1"/>
  <c r="K1318" i="1"/>
  <c r="M1317" i="1"/>
  <c r="L1317" i="1"/>
  <c r="K1317" i="1"/>
  <c r="M1316" i="1"/>
  <c r="L1316" i="1"/>
  <c r="K1316" i="1"/>
  <c r="M1315" i="1"/>
  <c r="L1315" i="1"/>
  <c r="K1315" i="1"/>
  <c r="M1314" i="1"/>
  <c r="L1314" i="1"/>
  <c r="K1314" i="1"/>
  <c r="M1313" i="1"/>
  <c r="L1313" i="1"/>
  <c r="K1313" i="1"/>
  <c r="M1312" i="1"/>
  <c r="L1312" i="1"/>
  <c r="K1312" i="1"/>
  <c r="M1311" i="1"/>
  <c r="L1311" i="1"/>
  <c r="K1311" i="1"/>
  <c r="M1310" i="1"/>
  <c r="L1310" i="1"/>
  <c r="K1310" i="1"/>
  <c r="M1309" i="1"/>
  <c r="L1309" i="1"/>
  <c r="K1309" i="1"/>
  <c r="M1308" i="1"/>
  <c r="L1308" i="1"/>
  <c r="K1308" i="1"/>
  <c r="M1307" i="1"/>
  <c r="L1307" i="1"/>
  <c r="K1307" i="1"/>
  <c r="M1306" i="1"/>
  <c r="L1306" i="1"/>
  <c r="K1306" i="1"/>
  <c r="M1305" i="1"/>
  <c r="L1305" i="1"/>
  <c r="K1305" i="1"/>
  <c r="M1304" i="1"/>
  <c r="L1304" i="1"/>
  <c r="K1304" i="1"/>
  <c r="M1303" i="1"/>
  <c r="L1303" i="1"/>
  <c r="K1303" i="1"/>
  <c r="M1302" i="1"/>
  <c r="L1302" i="1"/>
  <c r="K1302" i="1"/>
  <c r="M1301" i="1"/>
  <c r="L1301" i="1"/>
  <c r="K1301" i="1"/>
  <c r="M1300" i="1"/>
  <c r="L1300" i="1"/>
  <c r="K1300" i="1"/>
  <c r="M1299" i="1"/>
  <c r="L1299" i="1"/>
  <c r="K1299" i="1"/>
  <c r="M1298" i="1"/>
  <c r="L1298" i="1"/>
  <c r="K1298" i="1"/>
  <c r="M1297" i="1"/>
  <c r="L1297" i="1"/>
  <c r="K1297" i="1"/>
  <c r="M1296" i="1"/>
  <c r="L1296" i="1"/>
  <c r="K1296" i="1"/>
  <c r="M1295" i="1"/>
  <c r="L1295" i="1"/>
  <c r="K1295" i="1"/>
  <c r="M1294" i="1"/>
  <c r="L1294" i="1"/>
  <c r="K1294" i="1"/>
  <c r="M1293" i="1"/>
  <c r="L1293" i="1"/>
  <c r="K1293" i="1"/>
  <c r="M1292" i="1"/>
  <c r="L1292" i="1"/>
  <c r="K1292" i="1"/>
  <c r="M1291" i="1"/>
  <c r="K1291" i="1"/>
  <c r="M1290" i="1"/>
  <c r="K1290" i="1"/>
  <c r="K1289" i="1"/>
  <c r="M1288" i="1"/>
  <c r="K1288" i="1"/>
  <c r="M1287" i="1"/>
  <c r="K1287" i="1"/>
  <c r="M1286" i="1"/>
  <c r="K1286" i="1"/>
  <c r="M1285" i="1"/>
  <c r="K1285" i="1"/>
  <c r="M1284" i="1"/>
  <c r="K1284" i="1"/>
  <c r="M1283" i="1"/>
  <c r="K1283" i="1"/>
  <c r="M1282" i="1"/>
  <c r="K1282" i="1"/>
  <c r="M1281" i="1"/>
  <c r="K1281" i="1"/>
  <c r="M1280" i="1"/>
  <c r="K1280" i="1"/>
  <c r="M1279" i="1"/>
  <c r="K1279" i="1"/>
  <c r="M1278" i="1"/>
  <c r="K1278" i="1"/>
  <c r="K1277" i="1"/>
  <c r="M1276" i="1"/>
  <c r="L1276" i="1"/>
  <c r="K1276" i="1"/>
  <c r="M1275" i="1"/>
  <c r="L1275" i="1"/>
  <c r="K1275" i="1"/>
  <c r="M1274" i="1"/>
  <c r="L1274" i="1"/>
  <c r="K1274" i="1"/>
  <c r="M1273" i="1"/>
  <c r="L1273" i="1"/>
  <c r="K1273" i="1"/>
  <c r="M1272" i="1"/>
  <c r="L1272" i="1"/>
  <c r="K1272" i="1"/>
  <c r="M1271" i="1"/>
  <c r="L1271" i="1"/>
  <c r="K1271" i="1"/>
  <c r="M1270" i="1"/>
  <c r="L1270" i="1"/>
  <c r="K1270" i="1"/>
  <c r="M1269" i="1"/>
  <c r="L1269" i="1"/>
  <c r="K1269" i="1"/>
  <c r="M1268" i="1"/>
  <c r="L1268" i="1"/>
  <c r="K1268" i="1"/>
  <c r="M1267" i="1"/>
  <c r="L1267" i="1"/>
  <c r="K1267" i="1"/>
  <c r="M1266" i="1"/>
  <c r="L1266" i="1"/>
  <c r="K1266" i="1"/>
  <c r="M1265" i="1"/>
  <c r="L1265" i="1"/>
  <c r="K1265" i="1"/>
  <c r="M1264" i="1"/>
  <c r="L1264" i="1"/>
  <c r="K1264" i="1"/>
  <c r="M1263" i="1"/>
  <c r="L1263" i="1"/>
  <c r="K1263" i="1"/>
  <c r="M1262" i="1"/>
  <c r="L1262" i="1"/>
  <c r="K1262" i="1"/>
  <c r="M1261" i="1"/>
  <c r="L1261" i="1"/>
  <c r="K1261" i="1"/>
  <c r="M1260" i="1"/>
  <c r="L1260" i="1"/>
  <c r="K1260" i="1"/>
  <c r="M1259" i="1"/>
  <c r="L1259" i="1"/>
  <c r="K1259" i="1"/>
  <c r="M1258" i="1"/>
  <c r="L1258" i="1"/>
  <c r="K1258" i="1"/>
  <c r="M1257" i="1"/>
  <c r="L1257" i="1"/>
  <c r="K1257" i="1"/>
  <c r="M1256" i="1"/>
  <c r="L1256" i="1"/>
  <c r="K1256" i="1"/>
  <c r="M1255" i="1"/>
  <c r="L1255" i="1"/>
  <c r="K1255" i="1"/>
  <c r="M1254" i="1"/>
  <c r="L1254" i="1"/>
  <c r="K1254" i="1"/>
  <c r="M1253" i="1"/>
  <c r="L1253" i="1"/>
  <c r="K1253" i="1"/>
  <c r="M1252" i="1"/>
  <c r="L1252" i="1"/>
  <c r="K1252" i="1"/>
  <c r="M1251" i="1"/>
  <c r="L1251" i="1"/>
  <c r="K1251" i="1"/>
  <c r="M1250" i="1"/>
  <c r="L1250" i="1"/>
  <c r="K1250" i="1"/>
  <c r="M1249" i="1"/>
  <c r="L1249" i="1"/>
  <c r="K1249" i="1"/>
  <c r="M1248" i="1"/>
  <c r="L1248" i="1"/>
  <c r="K1248" i="1"/>
  <c r="M1247" i="1"/>
  <c r="L1247" i="1"/>
  <c r="K1247" i="1"/>
  <c r="M1246" i="1"/>
  <c r="L1246" i="1"/>
  <c r="K1246" i="1"/>
  <c r="M1245" i="1"/>
  <c r="L1245" i="1"/>
  <c r="K1245" i="1"/>
  <c r="M1244" i="1"/>
  <c r="L1244" i="1"/>
  <c r="K1244" i="1"/>
  <c r="M1243" i="1"/>
  <c r="L1243" i="1"/>
  <c r="K1243" i="1"/>
  <c r="M1242" i="1"/>
  <c r="L1242" i="1"/>
  <c r="K1242" i="1"/>
  <c r="M1241" i="1"/>
  <c r="L1241" i="1"/>
  <c r="K1241" i="1"/>
  <c r="M1240" i="1"/>
  <c r="L1240" i="1"/>
  <c r="K1240" i="1"/>
  <c r="M1239" i="1"/>
  <c r="L1239" i="1"/>
  <c r="K1239" i="1"/>
  <c r="M1238" i="1"/>
  <c r="L1238" i="1"/>
  <c r="K1238" i="1"/>
  <c r="M1237" i="1"/>
  <c r="L1237" i="1"/>
  <c r="K1237" i="1"/>
  <c r="M1236" i="1"/>
  <c r="L1236" i="1"/>
  <c r="K1236" i="1"/>
  <c r="M1235" i="1"/>
  <c r="L1235" i="1"/>
  <c r="K1235" i="1"/>
  <c r="M1234" i="1"/>
  <c r="L1234" i="1"/>
  <c r="K1234" i="1"/>
  <c r="M1233" i="1"/>
  <c r="L1233" i="1"/>
  <c r="K1233" i="1"/>
  <c r="M1232" i="1"/>
  <c r="L1232" i="1"/>
  <c r="K1232" i="1"/>
  <c r="M1231" i="1"/>
  <c r="L1231" i="1"/>
  <c r="K1231" i="1"/>
  <c r="M1230" i="1"/>
  <c r="L1230" i="1"/>
  <c r="K1230" i="1"/>
  <c r="M1229" i="1"/>
  <c r="L1229" i="1"/>
  <c r="K1229" i="1"/>
  <c r="M1228" i="1"/>
  <c r="L1228" i="1"/>
  <c r="K1228" i="1"/>
  <c r="M1227" i="1"/>
  <c r="L1227" i="1"/>
  <c r="K1227" i="1"/>
  <c r="M1226" i="1"/>
  <c r="L1226" i="1"/>
  <c r="K1226" i="1"/>
  <c r="M1225" i="1"/>
  <c r="L1225" i="1"/>
  <c r="K1225" i="1"/>
  <c r="M1224" i="1"/>
  <c r="L1224" i="1"/>
  <c r="K1224" i="1"/>
  <c r="M1223" i="1"/>
  <c r="L1223" i="1"/>
  <c r="K1223" i="1"/>
  <c r="M1222" i="1"/>
  <c r="L1222" i="1"/>
  <c r="K1222" i="1"/>
  <c r="M1221" i="1"/>
  <c r="L1221" i="1"/>
  <c r="K1221" i="1"/>
  <c r="M1220" i="1"/>
  <c r="L1220" i="1"/>
  <c r="K1220" i="1"/>
  <c r="M1219" i="1"/>
  <c r="L1219" i="1"/>
  <c r="K1219" i="1"/>
  <c r="M1218" i="1"/>
  <c r="L1218" i="1"/>
  <c r="K1218" i="1"/>
  <c r="M1217" i="1"/>
  <c r="L1217" i="1"/>
  <c r="K1217" i="1"/>
  <c r="M1216" i="1"/>
  <c r="L1216" i="1"/>
  <c r="K1216" i="1"/>
  <c r="M1215" i="1"/>
  <c r="L1215" i="1"/>
  <c r="K1215" i="1"/>
  <c r="M1214" i="1"/>
  <c r="L1214" i="1"/>
  <c r="K1214" i="1"/>
  <c r="M1213" i="1"/>
  <c r="L1213" i="1"/>
  <c r="K1213" i="1"/>
  <c r="M1212" i="1"/>
  <c r="L1212" i="1"/>
  <c r="K1212" i="1"/>
  <c r="M1211" i="1"/>
  <c r="L1211" i="1"/>
  <c r="K1211" i="1"/>
  <c r="M1210" i="1"/>
  <c r="L1210" i="1"/>
  <c r="K1210" i="1"/>
  <c r="M1209" i="1"/>
  <c r="L1209" i="1"/>
  <c r="K1209" i="1"/>
  <c r="M1208" i="1"/>
  <c r="L1208" i="1"/>
  <c r="K1208" i="1"/>
  <c r="M1207" i="1"/>
  <c r="L1207" i="1"/>
  <c r="K1207" i="1"/>
  <c r="M1206" i="1"/>
  <c r="L1206" i="1"/>
  <c r="K1206" i="1"/>
  <c r="M1205" i="1"/>
  <c r="L1205" i="1"/>
  <c r="K1205" i="1"/>
  <c r="M1204" i="1"/>
  <c r="L1204" i="1"/>
  <c r="K1204" i="1"/>
  <c r="M1203" i="1"/>
  <c r="L1203" i="1"/>
  <c r="K1203" i="1"/>
  <c r="M1202" i="1"/>
  <c r="L1202" i="1"/>
  <c r="K1202" i="1"/>
  <c r="M1201" i="1"/>
  <c r="L1201" i="1"/>
  <c r="K1201" i="1"/>
  <c r="M1200" i="1"/>
  <c r="L1200" i="1"/>
  <c r="K1200" i="1"/>
  <c r="M1199" i="1"/>
  <c r="L1199" i="1"/>
  <c r="K1199" i="1"/>
  <c r="M1198" i="1"/>
  <c r="L1198" i="1"/>
  <c r="K1198" i="1"/>
  <c r="M1197" i="1"/>
  <c r="L1197" i="1"/>
  <c r="K1197" i="1"/>
  <c r="M1196" i="1"/>
  <c r="L1196" i="1"/>
  <c r="K1196" i="1"/>
  <c r="M1195" i="1"/>
  <c r="L1195" i="1"/>
  <c r="K1195" i="1"/>
  <c r="M1194" i="1"/>
  <c r="L1194" i="1"/>
  <c r="K1194" i="1"/>
  <c r="M1193" i="1"/>
  <c r="L1193" i="1"/>
  <c r="K1193" i="1"/>
  <c r="M1192" i="1"/>
  <c r="L1192" i="1"/>
  <c r="K1192" i="1"/>
  <c r="M1191" i="1"/>
  <c r="L1191" i="1"/>
  <c r="K1191" i="1"/>
  <c r="M1190" i="1"/>
  <c r="L1190" i="1"/>
  <c r="K1190" i="1"/>
  <c r="M1189" i="1"/>
  <c r="L1189" i="1"/>
  <c r="K1189" i="1"/>
  <c r="M1188" i="1"/>
  <c r="L1188" i="1"/>
  <c r="K1188" i="1"/>
  <c r="M1187" i="1"/>
  <c r="L1187" i="1"/>
  <c r="K1187" i="1"/>
  <c r="M1186" i="1"/>
  <c r="L1186" i="1"/>
  <c r="K1186" i="1"/>
  <c r="M1185" i="1"/>
  <c r="L1185" i="1"/>
  <c r="K1185" i="1"/>
  <c r="M1184" i="1"/>
  <c r="L1184" i="1"/>
  <c r="K1184" i="1"/>
  <c r="M1183" i="1"/>
  <c r="L1183" i="1"/>
  <c r="K1183" i="1"/>
  <c r="M1182" i="1"/>
  <c r="L1182" i="1"/>
  <c r="K1182" i="1"/>
  <c r="M1181" i="1"/>
  <c r="L1181" i="1"/>
  <c r="K1181" i="1"/>
  <c r="M1180" i="1"/>
  <c r="L1180" i="1"/>
  <c r="K1180" i="1"/>
  <c r="M1179" i="1"/>
  <c r="L1179" i="1"/>
  <c r="K1179" i="1"/>
  <c r="M1178" i="1"/>
  <c r="L1178" i="1"/>
  <c r="K1178" i="1"/>
  <c r="M1177" i="1"/>
  <c r="L1177" i="1"/>
  <c r="K1177" i="1"/>
  <c r="M1176" i="1"/>
  <c r="L1176" i="1"/>
  <c r="K1176" i="1"/>
  <c r="M1175" i="1"/>
  <c r="L1175" i="1"/>
  <c r="K1175" i="1"/>
  <c r="M1174" i="1"/>
  <c r="L1174" i="1"/>
  <c r="K1174" i="1"/>
  <c r="M1173" i="1"/>
  <c r="L1173" i="1"/>
  <c r="K1173" i="1"/>
  <c r="M1172" i="1"/>
  <c r="L1172" i="1"/>
  <c r="K1172" i="1"/>
  <c r="M1171" i="1"/>
  <c r="L1171" i="1"/>
  <c r="K1171" i="1"/>
  <c r="M1170" i="1"/>
  <c r="L1170" i="1"/>
  <c r="K1170" i="1"/>
  <c r="M1169" i="1"/>
  <c r="L1169" i="1"/>
  <c r="K1169" i="1"/>
  <c r="M1168" i="1"/>
  <c r="L1168" i="1"/>
  <c r="K1168" i="1"/>
  <c r="M1167" i="1"/>
  <c r="L1167" i="1"/>
  <c r="K1167" i="1"/>
  <c r="M1166" i="1"/>
  <c r="L1166" i="1"/>
  <c r="K1166" i="1"/>
  <c r="M1165" i="1"/>
  <c r="L1165" i="1"/>
  <c r="K1165" i="1"/>
  <c r="M1164" i="1"/>
  <c r="L1164" i="1"/>
  <c r="K1164" i="1"/>
  <c r="M1163" i="1"/>
  <c r="L1163" i="1"/>
  <c r="K1163" i="1"/>
  <c r="M1162" i="1"/>
  <c r="L1162" i="1"/>
  <c r="K1162" i="1"/>
  <c r="M1161" i="1"/>
  <c r="L1161" i="1"/>
  <c r="K1161" i="1"/>
  <c r="M1160" i="1"/>
  <c r="L1160" i="1"/>
  <c r="K1160" i="1"/>
  <c r="M1159" i="1"/>
  <c r="L1159" i="1"/>
  <c r="K1159" i="1"/>
  <c r="M1158" i="1"/>
  <c r="L1158" i="1"/>
  <c r="K1158" i="1"/>
  <c r="M1157" i="1"/>
  <c r="L1157" i="1"/>
  <c r="K1157" i="1"/>
  <c r="M1156" i="1"/>
  <c r="L1156" i="1"/>
  <c r="K1156" i="1"/>
  <c r="M1155" i="1"/>
  <c r="L1155" i="1"/>
  <c r="K1155" i="1"/>
  <c r="M1154" i="1"/>
  <c r="L1154" i="1"/>
  <c r="K1154" i="1"/>
  <c r="M1153" i="1"/>
  <c r="L1153" i="1"/>
  <c r="K1153" i="1"/>
  <c r="M1152" i="1"/>
  <c r="L1152" i="1"/>
  <c r="K1152" i="1"/>
  <c r="M1151" i="1"/>
  <c r="L1151" i="1"/>
  <c r="K1151" i="1"/>
  <c r="M1150" i="1"/>
  <c r="L1150" i="1"/>
  <c r="K1150" i="1"/>
  <c r="M1149" i="1"/>
  <c r="L1149" i="1"/>
  <c r="K1149" i="1"/>
  <c r="M1148" i="1"/>
  <c r="L1148" i="1"/>
  <c r="K1148" i="1"/>
  <c r="M1147" i="1"/>
  <c r="L1147" i="1"/>
  <c r="K1147" i="1"/>
  <c r="M1146" i="1"/>
  <c r="L1146" i="1"/>
  <c r="K1146" i="1"/>
  <c r="M1145" i="1"/>
  <c r="L1145" i="1"/>
  <c r="K1145" i="1"/>
  <c r="M1144" i="1"/>
  <c r="L1144" i="1"/>
  <c r="K1144" i="1"/>
  <c r="M1143" i="1"/>
  <c r="L1143" i="1"/>
  <c r="K1143" i="1"/>
  <c r="M1142" i="1"/>
  <c r="L1142" i="1"/>
  <c r="K1142" i="1"/>
  <c r="M1141" i="1"/>
  <c r="L1141" i="1"/>
  <c r="K1141" i="1"/>
  <c r="M1140" i="1"/>
  <c r="L1140" i="1"/>
  <c r="K1140" i="1"/>
  <c r="M1139" i="1"/>
  <c r="L1139" i="1"/>
  <c r="K1139" i="1"/>
  <c r="M1138" i="1"/>
  <c r="L1138" i="1"/>
  <c r="K1138" i="1"/>
  <c r="M1137" i="1"/>
  <c r="L1137" i="1"/>
  <c r="K1137" i="1"/>
  <c r="M1136" i="1"/>
  <c r="L1136" i="1"/>
  <c r="K1136" i="1"/>
  <c r="M1135" i="1"/>
  <c r="L1135" i="1"/>
  <c r="K1135" i="1"/>
  <c r="M1134" i="1"/>
  <c r="L1134" i="1"/>
  <c r="K1134" i="1"/>
  <c r="M1133" i="1"/>
  <c r="L1133" i="1"/>
  <c r="K1133" i="1"/>
  <c r="M1132" i="1"/>
  <c r="L1132" i="1"/>
  <c r="K1132" i="1"/>
  <c r="M1131" i="1"/>
  <c r="L1131" i="1"/>
  <c r="K1131" i="1"/>
  <c r="M1130" i="1"/>
  <c r="L1130" i="1"/>
  <c r="K1130" i="1"/>
  <c r="M1129" i="1"/>
  <c r="L1129" i="1"/>
  <c r="K1129" i="1"/>
  <c r="M1128" i="1"/>
  <c r="L1128" i="1"/>
  <c r="K1128" i="1"/>
  <c r="M1127" i="1"/>
  <c r="L1127" i="1"/>
  <c r="K1127" i="1"/>
  <c r="M1126" i="1"/>
  <c r="L1126" i="1"/>
  <c r="K1126" i="1"/>
  <c r="M1125" i="1"/>
  <c r="L1125" i="1"/>
  <c r="K1125" i="1"/>
  <c r="M1124" i="1"/>
  <c r="L1124" i="1"/>
  <c r="K1124" i="1"/>
  <c r="M1123" i="1"/>
  <c r="L1123" i="1"/>
  <c r="K1123" i="1"/>
  <c r="M1122" i="1"/>
  <c r="L1122" i="1"/>
  <c r="K1122" i="1"/>
  <c r="M1121" i="1"/>
  <c r="L1121" i="1"/>
  <c r="K1121" i="1"/>
  <c r="M1120" i="1"/>
  <c r="L1120" i="1"/>
  <c r="K1120" i="1"/>
  <c r="M1119" i="1"/>
  <c r="L1119" i="1"/>
  <c r="K1119" i="1"/>
  <c r="M1118" i="1"/>
  <c r="L1118" i="1"/>
  <c r="K1118" i="1"/>
  <c r="M1117" i="1"/>
  <c r="L1117" i="1"/>
  <c r="K1117" i="1"/>
  <c r="M1116" i="1"/>
  <c r="L1116" i="1"/>
  <c r="K1116" i="1"/>
  <c r="M1115" i="1"/>
  <c r="L1115" i="1"/>
  <c r="K1115" i="1"/>
  <c r="M1114" i="1"/>
  <c r="L1114" i="1"/>
  <c r="K1114" i="1"/>
  <c r="M1113" i="1"/>
  <c r="L1113" i="1"/>
  <c r="K1113" i="1"/>
  <c r="M1112" i="1"/>
  <c r="L1112" i="1"/>
  <c r="K1112" i="1"/>
  <c r="M1111" i="1"/>
  <c r="L1111" i="1"/>
  <c r="K1111" i="1"/>
  <c r="M1110" i="1"/>
  <c r="L1110" i="1"/>
  <c r="K1110" i="1"/>
  <c r="M1109" i="1"/>
  <c r="L1109" i="1"/>
  <c r="K1109" i="1"/>
  <c r="M1108" i="1"/>
  <c r="L1108" i="1"/>
  <c r="K1108" i="1"/>
  <c r="M1107" i="1"/>
  <c r="L1107" i="1"/>
  <c r="K1107" i="1"/>
  <c r="M1106" i="1"/>
  <c r="L1106" i="1"/>
  <c r="K1106" i="1"/>
  <c r="M1105" i="1"/>
  <c r="L1105" i="1"/>
  <c r="K1105" i="1"/>
  <c r="M1104" i="1"/>
  <c r="L1104" i="1"/>
  <c r="K1104" i="1"/>
  <c r="M1103" i="1"/>
  <c r="L1103" i="1"/>
  <c r="K1103" i="1"/>
  <c r="M1102" i="1"/>
  <c r="L1102" i="1"/>
  <c r="K1102" i="1"/>
  <c r="M1101" i="1"/>
  <c r="L1101" i="1"/>
  <c r="K1101" i="1"/>
  <c r="M1100" i="1"/>
  <c r="L1100" i="1"/>
  <c r="K1100" i="1"/>
  <c r="M1099" i="1"/>
  <c r="L1099" i="1"/>
  <c r="K1099" i="1"/>
  <c r="M1098" i="1"/>
  <c r="L1098" i="1"/>
  <c r="K1098" i="1"/>
  <c r="M1097" i="1"/>
  <c r="L1097" i="1"/>
  <c r="K1097" i="1"/>
  <c r="M1096" i="1"/>
  <c r="L1096" i="1"/>
  <c r="K1096" i="1"/>
  <c r="M1095" i="1"/>
  <c r="L1095" i="1"/>
  <c r="K1095" i="1"/>
  <c r="M1094" i="1"/>
  <c r="L1094" i="1"/>
  <c r="K1094" i="1"/>
  <c r="M1093" i="1"/>
  <c r="L1093" i="1"/>
  <c r="K1093" i="1"/>
  <c r="M1092" i="1"/>
  <c r="L1092" i="1"/>
  <c r="K1092" i="1"/>
  <c r="M1091" i="1"/>
  <c r="L1091" i="1"/>
  <c r="K1091" i="1"/>
  <c r="M1090" i="1"/>
  <c r="L1090" i="1"/>
  <c r="K1090" i="1"/>
  <c r="M1089" i="1"/>
  <c r="L1089" i="1"/>
  <c r="K1089" i="1"/>
  <c r="M1088" i="1"/>
  <c r="L1088" i="1"/>
  <c r="K1088" i="1"/>
  <c r="M1087" i="1"/>
  <c r="L1087" i="1"/>
  <c r="K1087" i="1"/>
  <c r="M1086" i="1"/>
  <c r="L1086" i="1"/>
  <c r="K1086" i="1"/>
  <c r="M1085" i="1"/>
  <c r="L1085" i="1"/>
  <c r="K1085" i="1"/>
  <c r="M1084" i="1"/>
  <c r="L1084" i="1"/>
  <c r="K1084" i="1"/>
  <c r="M1083" i="1"/>
  <c r="L1083" i="1"/>
  <c r="K1083" i="1"/>
  <c r="M1082" i="1"/>
  <c r="L1082" i="1"/>
  <c r="K1082" i="1"/>
  <c r="M1081" i="1"/>
  <c r="L1081" i="1"/>
  <c r="K1081" i="1"/>
  <c r="M1080" i="1"/>
  <c r="L1080" i="1"/>
  <c r="K1080" i="1"/>
  <c r="M1079" i="1"/>
  <c r="L1079" i="1"/>
  <c r="K1079" i="1"/>
  <c r="M1078" i="1"/>
  <c r="L1078" i="1"/>
  <c r="K1078" i="1"/>
  <c r="M1077" i="1"/>
  <c r="L1077" i="1"/>
  <c r="K1077" i="1"/>
  <c r="M1076" i="1"/>
  <c r="L1076" i="1"/>
  <c r="K1076" i="1"/>
  <c r="M1075" i="1"/>
  <c r="L1075" i="1"/>
  <c r="K1075" i="1"/>
  <c r="M1074" i="1"/>
  <c r="L1074" i="1"/>
  <c r="K1074" i="1"/>
  <c r="M1073" i="1"/>
  <c r="L1073" i="1"/>
  <c r="K1073" i="1"/>
  <c r="M1072" i="1"/>
  <c r="L1072" i="1"/>
  <c r="K1072" i="1"/>
  <c r="M1071" i="1"/>
  <c r="L1071" i="1"/>
  <c r="K1071" i="1"/>
  <c r="M1070" i="1"/>
  <c r="L1070" i="1"/>
  <c r="K1070" i="1"/>
  <c r="M1069" i="1"/>
  <c r="L1069" i="1"/>
  <c r="K1069" i="1"/>
  <c r="M1068" i="1"/>
  <c r="L1068" i="1"/>
  <c r="K1068" i="1"/>
  <c r="M1067" i="1"/>
  <c r="L1067" i="1"/>
  <c r="K1067" i="1"/>
  <c r="M1066" i="1"/>
  <c r="L1066" i="1"/>
  <c r="K1066" i="1"/>
  <c r="M1065" i="1"/>
  <c r="L1065" i="1"/>
  <c r="K1065" i="1"/>
  <c r="M1064" i="1"/>
  <c r="L1064" i="1"/>
  <c r="K1064" i="1"/>
  <c r="M1063" i="1"/>
  <c r="L1063" i="1"/>
  <c r="K1063" i="1"/>
  <c r="M1062" i="1"/>
  <c r="L1062" i="1"/>
  <c r="K1062" i="1"/>
  <c r="M1061" i="1"/>
  <c r="L1061" i="1"/>
  <c r="K1061" i="1"/>
  <c r="M1060" i="1"/>
  <c r="L1060" i="1"/>
  <c r="K1060" i="1"/>
  <c r="M1059" i="1"/>
  <c r="L1059" i="1"/>
  <c r="K1059" i="1"/>
  <c r="M1058" i="1"/>
  <c r="L1058" i="1"/>
  <c r="K1058" i="1"/>
  <c r="M1057" i="1"/>
  <c r="L1057" i="1"/>
  <c r="K1057" i="1"/>
  <c r="M1056" i="1"/>
  <c r="L1056" i="1"/>
  <c r="K1056" i="1"/>
  <c r="M1055" i="1"/>
  <c r="L1055" i="1"/>
  <c r="K1055" i="1"/>
  <c r="M1054" i="1"/>
  <c r="L1054" i="1"/>
  <c r="K1054" i="1"/>
  <c r="M1053" i="1"/>
  <c r="L1053" i="1"/>
  <c r="K1053" i="1"/>
  <c r="M1052" i="1"/>
  <c r="L1052" i="1"/>
  <c r="K1052" i="1"/>
  <c r="M1051" i="1"/>
  <c r="L1051" i="1"/>
  <c r="K1051" i="1"/>
  <c r="M1050" i="1"/>
  <c r="L1050" i="1"/>
  <c r="K1050" i="1"/>
  <c r="M1049" i="1"/>
  <c r="L1049" i="1"/>
  <c r="K1049" i="1"/>
  <c r="M1048" i="1"/>
  <c r="L1048" i="1"/>
  <c r="K1048" i="1"/>
  <c r="M1047" i="1"/>
  <c r="L1047" i="1"/>
  <c r="K1047" i="1"/>
  <c r="M1046" i="1"/>
  <c r="L1046" i="1"/>
  <c r="K1046" i="1"/>
  <c r="M1045" i="1"/>
  <c r="L1045" i="1"/>
  <c r="K1045" i="1"/>
  <c r="M1044" i="1"/>
  <c r="L1044" i="1"/>
  <c r="K1044" i="1"/>
  <c r="M1043" i="1"/>
  <c r="L1043" i="1"/>
  <c r="K1043" i="1"/>
  <c r="M1042" i="1"/>
  <c r="L1042" i="1"/>
  <c r="K1042" i="1"/>
  <c r="M1041" i="1"/>
  <c r="L1041" i="1"/>
  <c r="K1041" i="1"/>
  <c r="M1040" i="1"/>
  <c r="L1040" i="1"/>
  <c r="K1040" i="1"/>
  <c r="M1039" i="1"/>
  <c r="L1039" i="1"/>
  <c r="K1039" i="1"/>
  <c r="M1038" i="1"/>
  <c r="L1038" i="1"/>
  <c r="K1038" i="1"/>
  <c r="M1037" i="1"/>
  <c r="L1037" i="1"/>
  <c r="K1037" i="1"/>
  <c r="M1036" i="1"/>
  <c r="L1036" i="1"/>
  <c r="K1036" i="1"/>
  <c r="M1035" i="1"/>
  <c r="L1035" i="1"/>
  <c r="K1035" i="1"/>
  <c r="M1034" i="1"/>
  <c r="L1034" i="1"/>
  <c r="K1034" i="1"/>
  <c r="M1033" i="1"/>
  <c r="L1033" i="1"/>
  <c r="K1033" i="1"/>
  <c r="M1032" i="1"/>
  <c r="L1032" i="1"/>
  <c r="K1032" i="1"/>
  <c r="M1031" i="1"/>
  <c r="L1031" i="1"/>
  <c r="K1031" i="1"/>
  <c r="M1030" i="1"/>
  <c r="L1030" i="1"/>
  <c r="K1030" i="1"/>
  <c r="M1029" i="1"/>
  <c r="L1029" i="1"/>
  <c r="K1029" i="1"/>
  <c r="M1028" i="1"/>
  <c r="L1028" i="1"/>
  <c r="K1028" i="1"/>
  <c r="M1027" i="1"/>
  <c r="L1027" i="1"/>
  <c r="K1027" i="1"/>
  <c r="M1026" i="1"/>
  <c r="L1026" i="1"/>
  <c r="K1026" i="1"/>
  <c r="M1025" i="1"/>
  <c r="L1025" i="1"/>
  <c r="K1025" i="1"/>
  <c r="M1024" i="1"/>
  <c r="L1024" i="1"/>
  <c r="K1024" i="1"/>
  <c r="M1023" i="1"/>
  <c r="L1023" i="1"/>
  <c r="K1023" i="1"/>
  <c r="M1022" i="1"/>
  <c r="L1022" i="1"/>
  <c r="K1022" i="1"/>
  <c r="M1021" i="1"/>
  <c r="L1021" i="1"/>
  <c r="K1021" i="1"/>
  <c r="M1020" i="1"/>
  <c r="L1020" i="1"/>
  <c r="K1020" i="1"/>
  <c r="M1019" i="1"/>
  <c r="L1019" i="1"/>
  <c r="K1019" i="1"/>
  <c r="M1018" i="1"/>
  <c r="L1018" i="1"/>
  <c r="K1018" i="1"/>
  <c r="M1017" i="1"/>
  <c r="L1017" i="1"/>
  <c r="K1017" i="1"/>
  <c r="M1016" i="1"/>
  <c r="L1016" i="1"/>
  <c r="K1016" i="1"/>
  <c r="M1015" i="1"/>
  <c r="L1015" i="1"/>
  <c r="K1015" i="1"/>
  <c r="M1014" i="1"/>
  <c r="L1014" i="1"/>
  <c r="K1014" i="1"/>
  <c r="M1013" i="1"/>
  <c r="L1013" i="1"/>
  <c r="K1013" i="1"/>
  <c r="M1012" i="1"/>
  <c r="L1012" i="1"/>
  <c r="K1012" i="1"/>
  <c r="M1011" i="1"/>
  <c r="L1011" i="1"/>
  <c r="K1011" i="1"/>
  <c r="M1010" i="1"/>
  <c r="L1010" i="1"/>
  <c r="K1010" i="1"/>
  <c r="M1009" i="1"/>
  <c r="L1009" i="1"/>
  <c r="K1009" i="1"/>
  <c r="M1008" i="1"/>
  <c r="L1008" i="1"/>
  <c r="K1008" i="1"/>
  <c r="M1007" i="1"/>
  <c r="L1007" i="1"/>
  <c r="K1007" i="1"/>
  <c r="M1006" i="1"/>
  <c r="L1006" i="1"/>
  <c r="K1006" i="1"/>
  <c r="M1005" i="1"/>
  <c r="L1005" i="1"/>
  <c r="K1005" i="1"/>
  <c r="M1004" i="1"/>
  <c r="L1004" i="1"/>
  <c r="K1004" i="1"/>
  <c r="M1003" i="1"/>
  <c r="L1003" i="1"/>
  <c r="K1003" i="1"/>
  <c r="M1002" i="1"/>
  <c r="L1002" i="1"/>
  <c r="K1002" i="1"/>
  <c r="M1001" i="1"/>
  <c r="L1001" i="1"/>
  <c r="K1001" i="1"/>
  <c r="M1000" i="1"/>
  <c r="L1000" i="1"/>
  <c r="K1000" i="1"/>
  <c r="M999" i="1"/>
  <c r="L999" i="1"/>
  <c r="K999" i="1"/>
  <c r="M998" i="1"/>
  <c r="L998" i="1"/>
  <c r="K998" i="1"/>
  <c r="M997" i="1"/>
  <c r="L997" i="1"/>
  <c r="K997" i="1"/>
  <c r="M996" i="1"/>
  <c r="L996" i="1"/>
  <c r="K996" i="1"/>
  <c r="M995" i="1"/>
  <c r="L995" i="1"/>
  <c r="K995" i="1"/>
  <c r="M994" i="1"/>
  <c r="L994" i="1"/>
  <c r="K994" i="1"/>
  <c r="M993" i="1"/>
  <c r="L993" i="1"/>
  <c r="K993" i="1"/>
  <c r="M992" i="1"/>
  <c r="L992" i="1"/>
  <c r="K992" i="1"/>
  <c r="M991" i="1"/>
  <c r="L991" i="1"/>
  <c r="K991" i="1"/>
  <c r="M990" i="1"/>
  <c r="L990" i="1"/>
  <c r="K990" i="1"/>
  <c r="M989" i="1"/>
  <c r="L989" i="1"/>
  <c r="K989" i="1"/>
  <c r="M988" i="1"/>
  <c r="L988" i="1"/>
  <c r="K988" i="1"/>
  <c r="M987" i="1"/>
  <c r="L987" i="1"/>
  <c r="K987" i="1"/>
  <c r="M986" i="1"/>
  <c r="L986" i="1"/>
  <c r="K986" i="1"/>
  <c r="M985" i="1"/>
  <c r="L985" i="1"/>
  <c r="K985" i="1"/>
  <c r="M984" i="1"/>
  <c r="L984" i="1"/>
  <c r="K984" i="1"/>
  <c r="M983" i="1"/>
  <c r="K983" i="1"/>
  <c r="M982" i="1"/>
  <c r="K982" i="1"/>
  <c r="M981" i="1"/>
  <c r="K981" i="1"/>
  <c r="M980" i="1"/>
  <c r="K980" i="1"/>
  <c r="M979" i="1"/>
  <c r="K979" i="1"/>
  <c r="M978" i="1"/>
  <c r="K978" i="1"/>
  <c r="M977" i="1"/>
  <c r="K977" i="1"/>
  <c r="M976" i="1"/>
  <c r="K976" i="1"/>
  <c r="K975" i="1"/>
  <c r="M968" i="1"/>
  <c r="L968" i="1"/>
  <c r="K968" i="1"/>
  <c r="M967" i="1"/>
  <c r="L967" i="1"/>
  <c r="K967" i="1"/>
  <c r="M966" i="1"/>
  <c r="L966" i="1"/>
  <c r="K966" i="1"/>
  <c r="M965" i="1"/>
  <c r="L965" i="1"/>
  <c r="K965" i="1"/>
  <c r="M964" i="1"/>
  <c r="L964" i="1"/>
  <c r="K964" i="1"/>
  <c r="M963" i="1"/>
  <c r="L963" i="1"/>
  <c r="K963" i="1"/>
  <c r="M962" i="1"/>
  <c r="L962" i="1"/>
  <c r="K962" i="1"/>
  <c r="M961" i="1"/>
  <c r="L961" i="1"/>
  <c r="K961" i="1"/>
  <c r="M960" i="1"/>
  <c r="L960" i="1"/>
  <c r="K960" i="1"/>
  <c r="M959" i="1"/>
  <c r="L959" i="1"/>
  <c r="K959" i="1"/>
  <c r="M958" i="1"/>
  <c r="L958" i="1"/>
  <c r="K958" i="1"/>
  <c r="M957" i="1"/>
  <c r="L957" i="1"/>
  <c r="K957" i="1"/>
  <c r="M956" i="1"/>
  <c r="L956" i="1"/>
  <c r="K956" i="1"/>
  <c r="M955" i="1"/>
  <c r="L955" i="1"/>
  <c r="K955" i="1"/>
  <c r="M954" i="1"/>
  <c r="L954" i="1"/>
  <c r="K954" i="1"/>
  <c r="M953" i="1"/>
  <c r="L953" i="1"/>
  <c r="K953" i="1"/>
  <c r="M952" i="1"/>
  <c r="L952" i="1"/>
  <c r="K952" i="1"/>
  <c r="M951" i="1"/>
  <c r="L951" i="1"/>
  <c r="K951" i="1"/>
  <c r="M950" i="1"/>
  <c r="L950" i="1"/>
  <c r="K950" i="1"/>
  <c r="M949" i="1"/>
  <c r="L949" i="1"/>
  <c r="K949" i="1"/>
  <c r="M948" i="1"/>
  <c r="L948" i="1"/>
  <c r="K948" i="1"/>
  <c r="M947" i="1"/>
  <c r="L947" i="1"/>
  <c r="K947" i="1"/>
  <c r="M946" i="1"/>
  <c r="L946" i="1"/>
  <c r="K946" i="1"/>
  <c r="M945" i="1"/>
  <c r="L945" i="1"/>
  <c r="K945" i="1"/>
  <c r="M944" i="1"/>
  <c r="L944" i="1"/>
  <c r="K944" i="1"/>
  <c r="M943" i="1"/>
  <c r="L943" i="1"/>
  <c r="K943" i="1"/>
  <c r="M942" i="1"/>
  <c r="L942" i="1"/>
  <c r="K942" i="1"/>
  <c r="M941" i="1"/>
  <c r="L941" i="1"/>
  <c r="K941" i="1"/>
  <c r="M940" i="1"/>
  <c r="L940" i="1"/>
  <c r="K940" i="1"/>
  <c r="M939" i="1"/>
  <c r="L939" i="1"/>
  <c r="K939" i="1"/>
  <c r="M938" i="1"/>
  <c r="L938" i="1"/>
  <c r="K938" i="1"/>
  <c r="M937" i="1"/>
  <c r="L937" i="1"/>
  <c r="K937" i="1"/>
  <c r="M936" i="1"/>
  <c r="L936" i="1"/>
  <c r="K936" i="1"/>
  <c r="M935" i="1"/>
  <c r="L935" i="1"/>
  <c r="K935" i="1"/>
  <c r="M934" i="1"/>
  <c r="L934" i="1"/>
  <c r="K934" i="1"/>
  <c r="M933" i="1"/>
  <c r="L933" i="1"/>
  <c r="K933" i="1"/>
  <c r="M932" i="1"/>
  <c r="L932" i="1"/>
  <c r="K932" i="1"/>
  <c r="M931" i="1"/>
  <c r="L931" i="1"/>
  <c r="K931" i="1"/>
  <c r="M930" i="1"/>
  <c r="L930" i="1"/>
  <c r="K930" i="1"/>
  <c r="M929" i="1"/>
  <c r="L929" i="1"/>
  <c r="K929" i="1"/>
  <c r="M928" i="1"/>
  <c r="L928" i="1"/>
  <c r="K928" i="1"/>
  <c r="M927" i="1"/>
  <c r="L927" i="1"/>
  <c r="K927" i="1"/>
  <c r="M926" i="1"/>
  <c r="L926" i="1"/>
  <c r="K926" i="1"/>
  <c r="M925" i="1"/>
  <c r="L925" i="1"/>
  <c r="K925" i="1"/>
  <c r="M924" i="1"/>
  <c r="L924" i="1"/>
  <c r="K924" i="1"/>
  <c r="M923" i="1"/>
  <c r="L923" i="1"/>
  <c r="K923" i="1"/>
  <c r="M922" i="1"/>
  <c r="L922" i="1"/>
  <c r="K922" i="1"/>
  <c r="M921" i="1"/>
  <c r="L921" i="1"/>
  <c r="K921" i="1"/>
  <c r="M920" i="1"/>
  <c r="L920" i="1"/>
  <c r="K920" i="1"/>
  <c r="M919" i="1"/>
  <c r="L919" i="1"/>
  <c r="K919" i="1"/>
  <c r="M918" i="1"/>
  <c r="K918" i="1"/>
  <c r="M917" i="1"/>
  <c r="K917" i="1"/>
  <c r="M916" i="1"/>
  <c r="K916" i="1"/>
  <c r="M915" i="1"/>
  <c r="K915" i="1"/>
  <c r="M914" i="1"/>
  <c r="K914" i="1"/>
  <c r="M913" i="1"/>
  <c r="K913" i="1"/>
  <c r="M912" i="1"/>
  <c r="K912" i="1"/>
  <c r="M911" i="1"/>
  <c r="K911" i="1"/>
  <c r="M910" i="1"/>
  <c r="K910" i="1"/>
  <c r="M909" i="1"/>
  <c r="K909" i="1"/>
  <c r="M908" i="1"/>
  <c r="K908" i="1"/>
  <c r="M907" i="1"/>
  <c r="K907" i="1"/>
  <c r="M906" i="1"/>
  <c r="K906" i="1"/>
  <c r="M905" i="1"/>
  <c r="K905" i="1"/>
  <c r="M904" i="1"/>
  <c r="K904" i="1"/>
  <c r="M903" i="1"/>
  <c r="K903" i="1"/>
  <c r="M902" i="1"/>
  <c r="K902" i="1"/>
  <c r="M901" i="1"/>
  <c r="K901" i="1"/>
  <c r="M900" i="1"/>
  <c r="K900" i="1"/>
  <c r="M899" i="1"/>
  <c r="K899" i="1"/>
  <c r="M898" i="1"/>
  <c r="K898" i="1"/>
  <c r="M897" i="1"/>
  <c r="K897" i="1"/>
  <c r="M896" i="1"/>
  <c r="K896" i="1"/>
  <c r="K895" i="1"/>
  <c r="M894" i="1"/>
  <c r="K894" i="1"/>
  <c r="M893" i="1"/>
  <c r="K893" i="1"/>
  <c r="M892" i="1"/>
  <c r="K892" i="1"/>
  <c r="M891" i="1"/>
  <c r="K891" i="1"/>
  <c r="M890" i="1"/>
  <c r="K890" i="1"/>
  <c r="M889" i="1"/>
  <c r="K889" i="1"/>
  <c r="M888" i="1"/>
  <c r="K888" i="1"/>
  <c r="M887" i="1"/>
  <c r="K887" i="1"/>
  <c r="K886" i="1"/>
  <c r="M885" i="1"/>
  <c r="L885" i="1"/>
  <c r="K885" i="1"/>
  <c r="M884" i="1"/>
  <c r="L884" i="1"/>
  <c r="K884" i="1"/>
  <c r="M883" i="1"/>
  <c r="L883" i="1"/>
  <c r="K883" i="1"/>
  <c r="M882" i="1"/>
  <c r="L882" i="1"/>
  <c r="K882" i="1"/>
  <c r="M881" i="1"/>
  <c r="L881" i="1"/>
  <c r="K881" i="1"/>
  <c r="M880" i="1"/>
  <c r="L880" i="1"/>
  <c r="K880" i="1"/>
  <c r="M879" i="1"/>
  <c r="L879" i="1"/>
  <c r="K879" i="1"/>
  <c r="M878" i="1"/>
  <c r="L878" i="1"/>
  <c r="K878" i="1"/>
  <c r="M877" i="1"/>
  <c r="L877" i="1"/>
  <c r="K877" i="1"/>
  <c r="M876" i="1"/>
  <c r="L876" i="1"/>
  <c r="K876" i="1"/>
  <c r="M875" i="1"/>
  <c r="L875" i="1"/>
  <c r="K875" i="1"/>
  <c r="M874" i="1"/>
  <c r="L874" i="1"/>
  <c r="K874" i="1"/>
  <c r="M873" i="1"/>
  <c r="K873" i="1"/>
  <c r="M872" i="1"/>
  <c r="K872" i="1"/>
  <c r="M871" i="1"/>
  <c r="K871" i="1"/>
  <c r="M870" i="1"/>
  <c r="K870" i="1"/>
  <c r="M869" i="1"/>
  <c r="K869" i="1"/>
  <c r="M868" i="1"/>
  <c r="K868" i="1"/>
  <c r="M867" i="1"/>
  <c r="K867" i="1"/>
  <c r="M866" i="1"/>
  <c r="K866" i="1"/>
  <c r="M865" i="1"/>
  <c r="K865" i="1"/>
  <c r="K864" i="1"/>
  <c r="M863" i="1"/>
  <c r="L863" i="1"/>
  <c r="K863" i="1"/>
  <c r="M862" i="1"/>
  <c r="L862" i="1"/>
  <c r="K862" i="1"/>
  <c r="M861" i="1"/>
  <c r="L861" i="1"/>
  <c r="K861" i="1"/>
  <c r="M860" i="1"/>
  <c r="L860" i="1"/>
  <c r="K860" i="1"/>
  <c r="M859" i="1"/>
  <c r="L859" i="1"/>
  <c r="K859" i="1"/>
  <c r="M858" i="1"/>
  <c r="L858" i="1"/>
  <c r="K858" i="1"/>
  <c r="M857" i="1"/>
  <c r="L857" i="1"/>
  <c r="K857" i="1"/>
  <c r="M856" i="1"/>
  <c r="L856" i="1"/>
  <c r="K856" i="1"/>
  <c r="M855" i="1"/>
  <c r="L855" i="1"/>
  <c r="K855" i="1"/>
  <c r="M854" i="1"/>
  <c r="L854" i="1"/>
  <c r="K854" i="1"/>
  <c r="M853" i="1"/>
  <c r="L853" i="1"/>
  <c r="K853" i="1"/>
  <c r="M852" i="1"/>
  <c r="L852" i="1"/>
  <c r="K852" i="1"/>
  <c r="M851" i="1"/>
  <c r="L851" i="1"/>
  <c r="K851" i="1"/>
  <c r="M850" i="1"/>
  <c r="L850" i="1"/>
  <c r="K850" i="1"/>
  <c r="M849" i="1"/>
  <c r="L849" i="1"/>
  <c r="K849" i="1"/>
  <c r="M848" i="1"/>
  <c r="L848" i="1"/>
  <c r="K848" i="1"/>
  <c r="M847" i="1"/>
  <c r="L847" i="1"/>
  <c r="K847" i="1"/>
  <c r="M846" i="1"/>
  <c r="L846" i="1"/>
  <c r="K846" i="1"/>
  <c r="M845" i="1"/>
  <c r="L845" i="1"/>
  <c r="K845" i="1"/>
  <c r="M844" i="1"/>
  <c r="L844" i="1"/>
  <c r="K844" i="1"/>
  <c r="M843" i="1"/>
  <c r="K843" i="1"/>
  <c r="M842" i="1"/>
  <c r="K842" i="1"/>
  <c r="M841" i="1"/>
  <c r="K841" i="1"/>
  <c r="M840" i="1"/>
  <c r="K840" i="1"/>
  <c r="M839" i="1"/>
  <c r="K839" i="1"/>
  <c r="M838" i="1"/>
  <c r="K838" i="1"/>
  <c r="M837" i="1"/>
  <c r="K837" i="1"/>
  <c r="M836" i="1"/>
  <c r="K836" i="1"/>
  <c r="M835" i="1"/>
  <c r="K835" i="1"/>
  <c r="M834" i="1"/>
  <c r="K834" i="1"/>
  <c r="M833" i="1"/>
  <c r="K833" i="1"/>
  <c r="M832" i="1"/>
  <c r="K832" i="1"/>
  <c r="M831" i="1"/>
  <c r="K831" i="1"/>
  <c r="K830" i="1"/>
  <c r="M829" i="1"/>
  <c r="K829" i="1"/>
  <c r="M828" i="1"/>
  <c r="K828" i="1"/>
  <c r="M827" i="1"/>
  <c r="K827" i="1"/>
  <c r="M826" i="1"/>
  <c r="K826" i="1"/>
  <c r="M825" i="1"/>
  <c r="K825" i="1"/>
  <c r="M824" i="1"/>
  <c r="K824" i="1"/>
  <c r="M823" i="1"/>
  <c r="K823" i="1"/>
  <c r="M822" i="1"/>
  <c r="K822" i="1"/>
  <c r="M821" i="1"/>
  <c r="K821" i="1"/>
  <c r="M820" i="1"/>
  <c r="K820" i="1"/>
  <c r="M819" i="1"/>
  <c r="K819" i="1"/>
  <c r="M818" i="1"/>
  <c r="K818" i="1"/>
  <c r="M817" i="1"/>
  <c r="K817" i="1"/>
  <c r="M816" i="1"/>
  <c r="K816" i="1"/>
  <c r="M815" i="1"/>
  <c r="K815" i="1"/>
  <c r="M814" i="1"/>
  <c r="K814" i="1"/>
  <c r="M813" i="1"/>
  <c r="K813" i="1"/>
  <c r="M812" i="1"/>
  <c r="K812" i="1"/>
  <c r="M811" i="1"/>
  <c r="K811" i="1"/>
  <c r="M810" i="1"/>
  <c r="K810" i="1"/>
  <c r="M809" i="1"/>
  <c r="K809" i="1"/>
  <c r="K808" i="1"/>
  <c r="M807" i="1"/>
  <c r="L807" i="1"/>
  <c r="K807" i="1"/>
  <c r="M806" i="1"/>
  <c r="L806" i="1"/>
  <c r="K806" i="1"/>
  <c r="M805" i="1"/>
  <c r="L805" i="1"/>
  <c r="K805" i="1"/>
  <c r="M804" i="1"/>
  <c r="L804" i="1"/>
  <c r="K804" i="1"/>
  <c r="M803" i="1"/>
  <c r="L803" i="1"/>
  <c r="K803" i="1"/>
  <c r="M802" i="1"/>
  <c r="L802" i="1"/>
  <c r="K802" i="1"/>
  <c r="M801" i="1"/>
  <c r="L801" i="1"/>
  <c r="K801" i="1"/>
  <c r="M800" i="1"/>
  <c r="L800" i="1"/>
  <c r="K800" i="1"/>
  <c r="M799" i="1"/>
  <c r="L799" i="1"/>
  <c r="K799" i="1"/>
  <c r="M798" i="1"/>
  <c r="L798" i="1"/>
  <c r="K798" i="1"/>
  <c r="M797" i="1"/>
  <c r="L797" i="1"/>
  <c r="K797" i="1"/>
  <c r="M796" i="1"/>
  <c r="L796" i="1"/>
  <c r="K796" i="1"/>
  <c r="M795" i="1"/>
  <c r="L795" i="1"/>
  <c r="K795" i="1"/>
  <c r="M794" i="1"/>
  <c r="L794" i="1"/>
  <c r="K794" i="1"/>
  <c r="M793" i="1"/>
  <c r="L793" i="1"/>
  <c r="K793" i="1"/>
  <c r="M792" i="1"/>
  <c r="L792" i="1"/>
  <c r="K792" i="1"/>
  <c r="M791" i="1"/>
  <c r="L791" i="1"/>
  <c r="K791" i="1"/>
  <c r="M790" i="1"/>
  <c r="L790" i="1"/>
  <c r="K790" i="1"/>
  <c r="M789" i="1"/>
  <c r="L789" i="1"/>
  <c r="K789" i="1"/>
  <c r="M788" i="1"/>
  <c r="L788" i="1"/>
  <c r="K788" i="1"/>
  <c r="M787" i="1"/>
  <c r="L787" i="1"/>
  <c r="K787" i="1"/>
  <c r="M786" i="1"/>
  <c r="L786" i="1"/>
  <c r="K786" i="1"/>
  <c r="M785" i="1"/>
  <c r="L785" i="1"/>
  <c r="K785" i="1"/>
  <c r="M784" i="1"/>
  <c r="L784" i="1"/>
  <c r="K784" i="1"/>
  <c r="M783" i="1"/>
  <c r="L783" i="1"/>
  <c r="K783" i="1"/>
  <c r="M782" i="1"/>
  <c r="L782" i="1"/>
  <c r="K782" i="1"/>
  <c r="M781" i="1"/>
  <c r="L781" i="1"/>
  <c r="K781" i="1"/>
  <c r="M780" i="1"/>
  <c r="L780" i="1"/>
  <c r="K780" i="1"/>
  <c r="M779" i="1"/>
  <c r="L779" i="1"/>
  <c r="K779" i="1"/>
  <c r="M778" i="1"/>
  <c r="L778" i="1"/>
  <c r="K778" i="1"/>
  <c r="M777" i="1"/>
  <c r="K777" i="1"/>
  <c r="M776" i="1"/>
  <c r="K776" i="1"/>
  <c r="M775" i="1"/>
  <c r="K775" i="1"/>
  <c r="M774" i="1"/>
  <c r="K774" i="1"/>
  <c r="M773" i="1"/>
  <c r="K773" i="1"/>
  <c r="M772" i="1"/>
  <c r="K772" i="1"/>
  <c r="M771" i="1"/>
  <c r="K771" i="1"/>
  <c r="K770" i="1"/>
  <c r="M769" i="1"/>
  <c r="K769" i="1"/>
  <c r="M768" i="1"/>
  <c r="K768" i="1"/>
  <c r="M767" i="1"/>
  <c r="K767" i="1"/>
  <c r="M766" i="1"/>
  <c r="K766" i="1"/>
  <c r="M765" i="1"/>
  <c r="K765" i="1"/>
  <c r="M764" i="1"/>
  <c r="K764" i="1"/>
  <c r="M763" i="1"/>
  <c r="K763" i="1"/>
  <c r="M762" i="1"/>
  <c r="K762" i="1"/>
  <c r="M761" i="1"/>
  <c r="K761" i="1"/>
  <c r="M760" i="1"/>
  <c r="K760" i="1"/>
  <c r="M759" i="1"/>
  <c r="K759" i="1"/>
  <c r="M758" i="1"/>
  <c r="K758" i="1"/>
  <c r="M757" i="1"/>
  <c r="K757" i="1"/>
  <c r="M756" i="1"/>
  <c r="K756" i="1"/>
  <c r="M755" i="1"/>
  <c r="K755" i="1"/>
  <c r="M754" i="1"/>
  <c r="K754" i="1"/>
  <c r="M753" i="1"/>
  <c r="K753" i="1"/>
  <c r="M752" i="1"/>
  <c r="K752" i="1"/>
  <c r="M751" i="1"/>
  <c r="K751" i="1"/>
  <c r="M750" i="1"/>
  <c r="K750" i="1"/>
  <c r="K749" i="1"/>
  <c r="M745" i="1"/>
  <c r="L745" i="1"/>
  <c r="K745" i="1"/>
  <c r="M744" i="1"/>
  <c r="L744" i="1"/>
  <c r="K744" i="1"/>
  <c r="M743" i="1"/>
  <c r="L743" i="1"/>
  <c r="K743" i="1"/>
  <c r="M742" i="1"/>
  <c r="L742" i="1"/>
  <c r="K742" i="1"/>
  <c r="M741" i="1"/>
  <c r="L741" i="1"/>
  <c r="K741" i="1"/>
  <c r="M740" i="1"/>
  <c r="L740" i="1"/>
  <c r="K740" i="1"/>
  <c r="M739" i="1"/>
  <c r="L739" i="1"/>
  <c r="K739" i="1"/>
  <c r="M738" i="1"/>
  <c r="L738" i="1"/>
  <c r="K738" i="1"/>
  <c r="M737" i="1"/>
  <c r="L737" i="1"/>
  <c r="K737" i="1"/>
  <c r="M736" i="1"/>
  <c r="L736" i="1"/>
  <c r="K736" i="1"/>
  <c r="M735" i="1"/>
  <c r="L735" i="1"/>
  <c r="K735" i="1"/>
  <c r="M734" i="1"/>
  <c r="L734" i="1"/>
  <c r="K734" i="1"/>
  <c r="M733" i="1"/>
  <c r="L733" i="1"/>
  <c r="K733" i="1"/>
  <c r="M732" i="1"/>
  <c r="L732" i="1"/>
  <c r="K732" i="1"/>
  <c r="M731" i="1"/>
  <c r="L731" i="1"/>
  <c r="K731" i="1"/>
  <c r="M730" i="1"/>
  <c r="L730" i="1"/>
  <c r="K730" i="1"/>
  <c r="M729" i="1"/>
  <c r="L729" i="1"/>
  <c r="K729" i="1"/>
  <c r="M728" i="1"/>
  <c r="L728" i="1"/>
  <c r="K728" i="1"/>
  <c r="M727" i="1"/>
  <c r="L727" i="1"/>
  <c r="K727" i="1"/>
  <c r="M726" i="1"/>
  <c r="L726" i="1"/>
  <c r="K726" i="1"/>
  <c r="M725" i="1"/>
  <c r="L725" i="1"/>
  <c r="K725" i="1"/>
  <c r="M724" i="1"/>
  <c r="L724" i="1"/>
  <c r="K724" i="1"/>
  <c r="M723" i="1"/>
  <c r="L723" i="1"/>
  <c r="K723" i="1"/>
  <c r="M722" i="1"/>
  <c r="L722" i="1"/>
  <c r="K722" i="1"/>
  <c r="M721" i="1"/>
  <c r="L721" i="1"/>
  <c r="K721" i="1"/>
  <c r="M720" i="1"/>
  <c r="L720" i="1"/>
  <c r="K720" i="1"/>
  <c r="M719" i="1"/>
  <c r="L719" i="1"/>
  <c r="K719" i="1"/>
  <c r="M718" i="1"/>
  <c r="L718" i="1"/>
  <c r="K718" i="1"/>
  <c r="M717" i="1"/>
  <c r="L717" i="1"/>
  <c r="K717" i="1"/>
  <c r="M716" i="1"/>
  <c r="L716" i="1"/>
  <c r="K716" i="1"/>
  <c r="M715" i="1"/>
  <c r="L715" i="1"/>
  <c r="K715" i="1"/>
  <c r="M714" i="1"/>
  <c r="L714" i="1"/>
  <c r="K714" i="1"/>
  <c r="M713" i="1"/>
  <c r="L713" i="1"/>
  <c r="K713" i="1"/>
  <c r="M712" i="1"/>
  <c r="L712" i="1"/>
  <c r="K712" i="1"/>
  <c r="M711" i="1"/>
  <c r="L711" i="1"/>
  <c r="K711" i="1"/>
  <c r="M710" i="1"/>
  <c r="L710" i="1"/>
  <c r="K710" i="1"/>
  <c r="M709" i="1"/>
  <c r="L709" i="1"/>
  <c r="K709" i="1"/>
  <c r="M708" i="1"/>
  <c r="L708" i="1"/>
  <c r="K708" i="1"/>
  <c r="M707" i="1"/>
  <c r="L707" i="1"/>
  <c r="K707" i="1"/>
  <c r="M706" i="1"/>
  <c r="L706" i="1"/>
  <c r="K706" i="1"/>
  <c r="M705" i="1"/>
  <c r="L705" i="1"/>
  <c r="K705" i="1"/>
  <c r="M704" i="1"/>
  <c r="L704" i="1"/>
  <c r="K704" i="1"/>
  <c r="M703" i="1"/>
  <c r="L703" i="1"/>
  <c r="K703" i="1"/>
  <c r="M702" i="1"/>
  <c r="L702" i="1"/>
  <c r="K702" i="1"/>
  <c r="M701" i="1"/>
  <c r="K701" i="1"/>
  <c r="M700" i="1"/>
  <c r="K700" i="1"/>
  <c r="M699" i="1"/>
  <c r="K699" i="1"/>
  <c r="M698" i="1"/>
  <c r="K698" i="1"/>
  <c r="M697" i="1"/>
  <c r="K697" i="1"/>
  <c r="M696" i="1"/>
  <c r="K696" i="1"/>
  <c r="M695" i="1"/>
  <c r="K695" i="1"/>
  <c r="M694" i="1"/>
  <c r="K694"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77" i="1"/>
  <c r="L677" i="1"/>
  <c r="K677" i="1"/>
  <c r="M676" i="1"/>
  <c r="L676" i="1"/>
  <c r="K676" i="1"/>
  <c r="M675" i="1"/>
  <c r="L675" i="1"/>
  <c r="K675" i="1"/>
  <c r="M674" i="1"/>
  <c r="L674" i="1"/>
  <c r="K674" i="1"/>
  <c r="M673" i="1"/>
  <c r="L673" i="1"/>
  <c r="K673" i="1"/>
  <c r="M672" i="1"/>
  <c r="L672" i="1"/>
  <c r="K672" i="1"/>
  <c r="M671" i="1"/>
  <c r="L671" i="1"/>
  <c r="K671" i="1"/>
  <c r="M670" i="1"/>
  <c r="L670" i="1"/>
  <c r="K670" i="1"/>
  <c r="M669" i="1"/>
  <c r="L669" i="1"/>
  <c r="K669" i="1"/>
  <c r="M668" i="1"/>
  <c r="L668" i="1"/>
  <c r="K668" i="1"/>
  <c r="M667" i="1"/>
  <c r="L667" i="1"/>
  <c r="K667" i="1"/>
  <c r="M666" i="1"/>
  <c r="L666" i="1"/>
  <c r="K666" i="1"/>
  <c r="M665" i="1"/>
  <c r="L665" i="1"/>
  <c r="K665" i="1"/>
  <c r="M664" i="1"/>
  <c r="L664" i="1"/>
  <c r="K664" i="1"/>
  <c r="M663" i="1"/>
  <c r="L663" i="1"/>
  <c r="K663" i="1"/>
  <c r="M662" i="1"/>
  <c r="L662" i="1"/>
  <c r="K662" i="1"/>
  <c r="M661" i="1"/>
  <c r="L661" i="1"/>
  <c r="K661" i="1"/>
  <c r="M660" i="1"/>
  <c r="L660" i="1"/>
  <c r="K660" i="1"/>
  <c r="M659" i="1"/>
  <c r="L659" i="1"/>
  <c r="K659" i="1"/>
  <c r="M658" i="1"/>
  <c r="L658" i="1"/>
  <c r="K658" i="1"/>
  <c r="M657" i="1"/>
  <c r="L657" i="1"/>
  <c r="K657" i="1"/>
  <c r="M656" i="1"/>
  <c r="L656" i="1"/>
  <c r="K656" i="1"/>
  <c r="M655" i="1"/>
  <c r="L655" i="1"/>
  <c r="K655" i="1"/>
  <c r="M654" i="1"/>
  <c r="L654" i="1"/>
  <c r="K654" i="1"/>
  <c r="M653" i="1"/>
  <c r="L653" i="1"/>
  <c r="K653" i="1"/>
  <c r="M652" i="1"/>
  <c r="L652" i="1"/>
  <c r="K652" i="1"/>
  <c r="M651" i="1"/>
  <c r="L651" i="1"/>
  <c r="K651" i="1"/>
  <c r="M650" i="1"/>
  <c r="L650" i="1"/>
  <c r="K650" i="1"/>
  <c r="M649" i="1"/>
  <c r="L649" i="1"/>
  <c r="K649" i="1"/>
  <c r="M648" i="1"/>
  <c r="L648" i="1"/>
  <c r="K648" i="1"/>
  <c r="M647" i="1"/>
  <c r="L647" i="1"/>
  <c r="K647" i="1"/>
  <c r="M646" i="1"/>
  <c r="L646" i="1"/>
  <c r="K646" i="1"/>
  <c r="M645" i="1"/>
  <c r="L645" i="1"/>
  <c r="K645" i="1"/>
  <c r="M644" i="1"/>
  <c r="L644" i="1"/>
  <c r="K644" i="1"/>
  <c r="M643" i="1"/>
  <c r="L643" i="1"/>
  <c r="K643" i="1"/>
  <c r="M642" i="1"/>
  <c r="L642" i="1"/>
  <c r="K642" i="1"/>
  <c r="M641" i="1"/>
  <c r="L641" i="1"/>
  <c r="K641" i="1"/>
  <c r="M640" i="1"/>
  <c r="L640" i="1"/>
  <c r="K640" i="1"/>
  <c r="M639" i="1"/>
  <c r="L639" i="1"/>
  <c r="K639" i="1"/>
  <c r="M638" i="1"/>
  <c r="L638" i="1"/>
  <c r="K638" i="1"/>
  <c r="M637" i="1"/>
  <c r="L637" i="1"/>
  <c r="K637" i="1"/>
  <c r="M636" i="1"/>
  <c r="L636" i="1"/>
  <c r="K636" i="1"/>
  <c r="M635" i="1"/>
  <c r="L635" i="1"/>
  <c r="K635" i="1"/>
  <c r="M634" i="1"/>
  <c r="L634" i="1"/>
  <c r="K634" i="1"/>
  <c r="M633" i="1"/>
  <c r="L633" i="1"/>
  <c r="K633" i="1"/>
  <c r="M632" i="1"/>
  <c r="L632" i="1"/>
  <c r="K632" i="1"/>
  <c r="M631" i="1"/>
  <c r="L631" i="1"/>
  <c r="K631" i="1"/>
  <c r="M630" i="1"/>
  <c r="L630" i="1"/>
  <c r="K630" i="1"/>
  <c r="M629" i="1"/>
  <c r="L629" i="1"/>
  <c r="K629" i="1"/>
  <c r="M628" i="1"/>
  <c r="L628" i="1"/>
  <c r="K628" i="1"/>
  <c r="M627" i="1"/>
  <c r="L627" i="1"/>
  <c r="K627" i="1"/>
  <c r="M626" i="1"/>
  <c r="L626" i="1"/>
  <c r="K626" i="1"/>
  <c r="M625" i="1"/>
  <c r="L625" i="1"/>
  <c r="K625" i="1"/>
  <c r="M624" i="1"/>
  <c r="L624" i="1"/>
  <c r="K624" i="1"/>
  <c r="M623" i="1"/>
  <c r="L623" i="1"/>
  <c r="K623" i="1"/>
  <c r="M622" i="1"/>
  <c r="L622" i="1"/>
  <c r="K622" i="1"/>
  <c r="M621" i="1"/>
  <c r="L621" i="1"/>
  <c r="K621" i="1"/>
  <c r="M620" i="1"/>
  <c r="L620" i="1"/>
  <c r="K620" i="1"/>
  <c r="M619" i="1"/>
  <c r="L619" i="1"/>
  <c r="K619" i="1"/>
  <c r="M618" i="1"/>
  <c r="L618" i="1"/>
  <c r="K618" i="1"/>
  <c r="M617" i="1"/>
  <c r="L617" i="1"/>
  <c r="K617" i="1"/>
  <c r="M616" i="1"/>
  <c r="L616" i="1"/>
  <c r="K616" i="1"/>
  <c r="M615" i="1"/>
  <c r="L615" i="1"/>
  <c r="K615" i="1"/>
  <c r="M614" i="1"/>
  <c r="K614" i="1"/>
  <c r="M613" i="1"/>
  <c r="K613" i="1"/>
  <c r="M612" i="1"/>
  <c r="K612" i="1"/>
  <c r="M611" i="1"/>
  <c r="K611" i="1"/>
  <c r="M610" i="1"/>
  <c r="K610" i="1"/>
  <c r="M609" i="1"/>
  <c r="K609" i="1"/>
  <c r="M608" i="1"/>
  <c r="K608" i="1"/>
  <c r="M607" i="1"/>
  <c r="K607" i="1"/>
  <c r="M606" i="1"/>
  <c r="K606" i="1"/>
  <c r="M605" i="1"/>
  <c r="K605" i="1"/>
  <c r="M604" i="1"/>
  <c r="K604" i="1"/>
  <c r="M603" i="1"/>
  <c r="K603" i="1"/>
  <c r="K602" i="1"/>
  <c r="M601" i="1"/>
  <c r="K601" i="1"/>
  <c r="M600" i="1"/>
  <c r="K600" i="1"/>
  <c r="M599" i="1"/>
  <c r="K599" i="1"/>
  <c r="M598" i="1"/>
  <c r="K598" i="1"/>
  <c r="M597" i="1"/>
  <c r="K597" i="1"/>
  <c r="M596" i="1"/>
  <c r="K596" i="1"/>
  <c r="M595" i="1"/>
  <c r="K595" i="1"/>
  <c r="M594" i="1"/>
  <c r="K594" i="1"/>
  <c r="M593" i="1"/>
  <c r="K593" i="1"/>
  <c r="M592" i="1"/>
  <c r="K592" i="1"/>
  <c r="M591" i="1"/>
  <c r="K591" i="1"/>
  <c r="M590" i="1"/>
  <c r="K590" i="1"/>
  <c r="M589" i="1"/>
  <c r="K589" i="1"/>
  <c r="M588" i="1"/>
  <c r="K588" i="1"/>
  <c r="M587" i="1"/>
  <c r="K587" i="1"/>
  <c r="M586" i="1"/>
  <c r="K586" i="1"/>
  <c r="M585" i="1"/>
  <c r="K585" i="1"/>
  <c r="M584" i="1"/>
  <c r="K584" i="1"/>
  <c r="M583" i="1"/>
  <c r="K583" i="1"/>
  <c r="K582" i="1"/>
  <c r="M581" i="1"/>
  <c r="L581" i="1"/>
  <c r="K581" i="1"/>
  <c r="M580" i="1"/>
  <c r="L580" i="1"/>
  <c r="K580" i="1"/>
  <c r="M579" i="1"/>
  <c r="L579" i="1"/>
  <c r="K579" i="1"/>
  <c r="M578" i="1"/>
  <c r="L578" i="1"/>
  <c r="K578" i="1"/>
  <c r="M577" i="1"/>
  <c r="L577" i="1"/>
  <c r="K577" i="1"/>
  <c r="M576" i="1"/>
  <c r="K576" i="1"/>
  <c r="M575" i="1"/>
  <c r="K575" i="1"/>
  <c r="M574" i="1"/>
  <c r="K574" i="1"/>
  <c r="M573" i="1"/>
  <c r="K573" i="1"/>
  <c r="M572" i="1"/>
  <c r="K572" i="1"/>
  <c r="M571" i="1"/>
  <c r="K571" i="1"/>
  <c r="M570" i="1"/>
  <c r="K570" i="1"/>
  <c r="M569" i="1"/>
  <c r="K569" i="1"/>
  <c r="M568" i="1"/>
  <c r="K568" i="1"/>
  <c r="M567" i="1"/>
  <c r="K567" i="1"/>
  <c r="M566" i="1"/>
  <c r="K566" i="1"/>
  <c r="M565" i="1"/>
  <c r="K565" i="1"/>
  <c r="M564" i="1"/>
  <c r="K564" i="1"/>
  <c r="K563" i="1"/>
  <c r="M562" i="1"/>
  <c r="K562" i="1"/>
  <c r="M561" i="1"/>
  <c r="K561" i="1"/>
  <c r="M560" i="1"/>
  <c r="K560" i="1"/>
  <c r="M559" i="1"/>
  <c r="K559" i="1"/>
  <c r="M558" i="1"/>
  <c r="K558" i="1"/>
  <c r="M557" i="1"/>
  <c r="K557" i="1"/>
  <c r="M556" i="1"/>
  <c r="K556" i="1"/>
  <c r="M555" i="1"/>
  <c r="K555" i="1"/>
  <c r="M554" i="1"/>
  <c r="K554" i="1"/>
  <c r="M553" i="1"/>
  <c r="K553" i="1"/>
  <c r="M552" i="1"/>
  <c r="K552" i="1"/>
  <c r="M551" i="1"/>
  <c r="K551" i="1"/>
  <c r="M550" i="1"/>
  <c r="K550" i="1"/>
  <c r="K549" i="1"/>
  <c r="M548" i="1"/>
  <c r="K548" i="1"/>
  <c r="M547" i="1"/>
  <c r="K547" i="1"/>
  <c r="K546" i="1"/>
  <c r="M545" i="1"/>
  <c r="L545" i="1"/>
  <c r="K545" i="1"/>
  <c r="M544" i="1"/>
  <c r="L544" i="1"/>
  <c r="K544" i="1"/>
  <c r="M543" i="1"/>
  <c r="L543" i="1"/>
  <c r="K543" i="1"/>
  <c r="M542" i="1"/>
  <c r="L542" i="1"/>
  <c r="K542" i="1"/>
  <c r="M541" i="1"/>
  <c r="L541" i="1"/>
  <c r="K541" i="1"/>
  <c r="M540" i="1"/>
  <c r="L540" i="1"/>
  <c r="K540" i="1"/>
  <c r="M539" i="1"/>
  <c r="L539" i="1"/>
  <c r="K539" i="1"/>
  <c r="M538" i="1"/>
  <c r="L538" i="1"/>
  <c r="K538" i="1"/>
  <c r="M537" i="1"/>
  <c r="L537" i="1"/>
  <c r="K537" i="1"/>
  <c r="M536" i="1"/>
  <c r="L536" i="1"/>
  <c r="K536" i="1"/>
  <c r="M535" i="1"/>
  <c r="L535" i="1"/>
  <c r="K535" i="1"/>
  <c r="M534" i="1"/>
  <c r="L534" i="1"/>
  <c r="K534" i="1"/>
  <c r="M533" i="1"/>
  <c r="L533" i="1"/>
  <c r="K533" i="1"/>
  <c r="M532" i="1"/>
  <c r="L532" i="1"/>
  <c r="K532" i="1"/>
  <c r="M531" i="1"/>
  <c r="L531" i="1"/>
  <c r="K531" i="1"/>
  <c r="M530" i="1"/>
  <c r="L530" i="1"/>
  <c r="K530" i="1"/>
  <c r="M529" i="1"/>
  <c r="L529" i="1"/>
  <c r="K529" i="1"/>
  <c r="M528" i="1"/>
  <c r="L528" i="1"/>
  <c r="K528" i="1"/>
  <c r="M527" i="1"/>
  <c r="L527" i="1"/>
  <c r="K527" i="1"/>
  <c r="M526" i="1"/>
  <c r="L526" i="1"/>
  <c r="K526" i="1"/>
  <c r="M525" i="1"/>
  <c r="L525" i="1"/>
  <c r="K525" i="1"/>
  <c r="M524" i="1"/>
  <c r="L524" i="1"/>
  <c r="K524" i="1"/>
  <c r="M523" i="1"/>
  <c r="L523" i="1"/>
  <c r="K523" i="1"/>
  <c r="M522" i="1"/>
  <c r="L522" i="1"/>
  <c r="K522" i="1"/>
  <c r="M521" i="1"/>
  <c r="L521" i="1"/>
  <c r="K521" i="1"/>
  <c r="M520" i="1"/>
  <c r="L520" i="1"/>
  <c r="K520" i="1"/>
  <c r="M519" i="1"/>
  <c r="L519" i="1"/>
  <c r="K519" i="1"/>
  <c r="M518" i="1"/>
  <c r="L518" i="1"/>
  <c r="K518" i="1"/>
  <c r="M517" i="1"/>
  <c r="L517" i="1"/>
  <c r="K517" i="1"/>
  <c r="M516" i="1"/>
  <c r="L516" i="1"/>
  <c r="K516" i="1"/>
  <c r="M515" i="1"/>
  <c r="L515" i="1"/>
  <c r="K515" i="1"/>
  <c r="M514" i="1"/>
  <c r="L514" i="1"/>
  <c r="K514" i="1"/>
  <c r="M513" i="1"/>
  <c r="L513" i="1"/>
  <c r="K513" i="1"/>
  <c r="M512" i="1"/>
  <c r="L512" i="1"/>
  <c r="K512" i="1"/>
  <c r="M511" i="1"/>
  <c r="L511" i="1"/>
  <c r="K511" i="1"/>
  <c r="M510" i="1"/>
  <c r="L510" i="1"/>
  <c r="K510" i="1"/>
  <c r="M509" i="1"/>
  <c r="L509" i="1"/>
  <c r="K509" i="1"/>
  <c r="M508" i="1"/>
  <c r="L508" i="1"/>
  <c r="K508" i="1"/>
  <c r="M507" i="1"/>
  <c r="L507" i="1"/>
  <c r="K507" i="1"/>
  <c r="M506" i="1"/>
  <c r="L506" i="1"/>
  <c r="K506" i="1"/>
  <c r="M505" i="1"/>
  <c r="L505" i="1"/>
  <c r="K505" i="1"/>
  <c r="M504" i="1"/>
  <c r="L504" i="1"/>
  <c r="K504" i="1"/>
  <c r="M503" i="1"/>
  <c r="L503" i="1"/>
  <c r="K503" i="1"/>
  <c r="M502" i="1"/>
  <c r="L502" i="1"/>
  <c r="K502" i="1"/>
  <c r="M501" i="1"/>
  <c r="L501" i="1"/>
  <c r="K501" i="1"/>
  <c r="M500" i="1"/>
  <c r="L500" i="1"/>
  <c r="K500" i="1"/>
  <c r="M499" i="1"/>
  <c r="L499" i="1"/>
  <c r="K499" i="1"/>
  <c r="M498" i="1"/>
  <c r="L498" i="1"/>
  <c r="K498" i="1"/>
  <c r="M497" i="1"/>
  <c r="L497" i="1"/>
  <c r="K497" i="1"/>
  <c r="M496" i="1"/>
  <c r="L496" i="1"/>
  <c r="K496" i="1"/>
  <c r="M495" i="1"/>
  <c r="L495" i="1"/>
  <c r="K495" i="1"/>
  <c r="M494" i="1"/>
  <c r="L494" i="1"/>
  <c r="K494" i="1"/>
  <c r="M493" i="1"/>
  <c r="L493" i="1"/>
  <c r="K493" i="1"/>
  <c r="M492" i="1"/>
  <c r="L492" i="1"/>
  <c r="K492" i="1"/>
  <c r="M491" i="1"/>
  <c r="L491" i="1"/>
  <c r="K491" i="1"/>
  <c r="M490" i="1"/>
  <c r="L490" i="1"/>
  <c r="K490" i="1"/>
  <c r="M489" i="1"/>
  <c r="L489" i="1"/>
  <c r="K489" i="1"/>
  <c r="M488" i="1"/>
  <c r="L488" i="1"/>
  <c r="K488" i="1"/>
  <c r="M487" i="1"/>
  <c r="L487" i="1"/>
  <c r="K487" i="1"/>
  <c r="M486" i="1"/>
  <c r="L486" i="1"/>
  <c r="K486" i="1"/>
  <c r="M485" i="1"/>
  <c r="L485" i="1"/>
  <c r="K485" i="1"/>
  <c r="M484" i="1"/>
  <c r="L484" i="1"/>
  <c r="K484" i="1"/>
  <c r="M483" i="1"/>
  <c r="L483" i="1"/>
  <c r="K483" i="1"/>
  <c r="M482" i="1"/>
  <c r="L482" i="1"/>
  <c r="K482" i="1"/>
  <c r="M481" i="1"/>
  <c r="L481" i="1"/>
  <c r="K481" i="1"/>
  <c r="M480" i="1"/>
  <c r="L480" i="1"/>
  <c r="K480" i="1"/>
  <c r="M479" i="1"/>
  <c r="L479" i="1"/>
  <c r="K479" i="1"/>
  <c r="M478" i="1"/>
  <c r="L478" i="1"/>
  <c r="K478" i="1"/>
  <c r="M477" i="1"/>
  <c r="L477" i="1"/>
  <c r="K477" i="1"/>
  <c r="M476" i="1"/>
  <c r="L476" i="1"/>
  <c r="K476" i="1"/>
  <c r="M475" i="1"/>
  <c r="L475" i="1"/>
  <c r="K475" i="1"/>
  <c r="M474" i="1"/>
  <c r="L474" i="1"/>
  <c r="K474" i="1"/>
  <c r="M473" i="1"/>
  <c r="L473" i="1"/>
  <c r="K473" i="1"/>
  <c r="M472" i="1"/>
  <c r="L472" i="1"/>
  <c r="K472" i="1"/>
  <c r="M471" i="1"/>
  <c r="L471" i="1"/>
  <c r="K471" i="1"/>
  <c r="M470" i="1"/>
  <c r="L470" i="1"/>
  <c r="K470" i="1"/>
  <c r="M469" i="1"/>
  <c r="L469" i="1"/>
  <c r="K469" i="1"/>
  <c r="M468" i="1"/>
  <c r="L468" i="1"/>
  <c r="K468" i="1"/>
  <c r="M467" i="1"/>
  <c r="L467" i="1"/>
  <c r="K467" i="1"/>
  <c r="M466" i="1"/>
  <c r="L466" i="1"/>
  <c r="K466" i="1"/>
  <c r="M465" i="1"/>
  <c r="L465" i="1"/>
  <c r="K465" i="1"/>
  <c r="M464" i="1"/>
  <c r="L464" i="1"/>
  <c r="K464" i="1"/>
  <c r="M463" i="1"/>
  <c r="L463" i="1"/>
  <c r="K463" i="1"/>
  <c r="M462" i="1"/>
  <c r="L462" i="1"/>
  <c r="K462" i="1"/>
  <c r="M461" i="1"/>
  <c r="L461" i="1"/>
  <c r="K461" i="1"/>
  <c r="M460" i="1"/>
  <c r="L460" i="1"/>
  <c r="K460" i="1"/>
  <c r="M459" i="1"/>
  <c r="L459" i="1"/>
  <c r="K459" i="1"/>
  <c r="M458" i="1"/>
  <c r="L458" i="1"/>
  <c r="K458" i="1"/>
  <c r="M457" i="1"/>
  <c r="L457" i="1"/>
  <c r="K457" i="1"/>
  <c r="M456" i="1"/>
  <c r="L456" i="1"/>
  <c r="K456" i="1"/>
  <c r="M455" i="1"/>
  <c r="L455" i="1"/>
  <c r="K455" i="1"/>
  <c r="M454" i="1"/>
  <c r="L454" i="1"/>
  <c r="K454" i="1"/>
  <c r="M453" i="1"/>
  <c r="L453" i="1"/>
  <c r="K453" i="1"/>
  <c r="M452" i="1"/>
  <c r="L452" i="1"/>
  <c r="K452" i="1"/>
  <c r="M451" i="1"/>
  <c r="L451" i="1"/>
  <c r="K451" i="1"/>
  <c r="M450" i="1"/>
  <c r="L450" i="1"/>
  <c r="K450" i="1"/>
  <c r="M449" i="1"/>
  <c r="L449" i="1"/>
  <c r="K449" i="1"/>
  <c r="M448" i="1"/>
  <c r="L448" i="1"/>
  <c r="K448" i="1"/>
  <c r="M447" i="1"/>
  <c r="L447" i="1"/>
  <c r="K447" i="1"/>
  <c r="M446" i="1"/>
  <c r="L446" i="1"/>
  <c r="K446" i="1"/>
  <c r="M445" i="1"/>
  <c r="L445" i="1"/>
  <c r="K445" i="1"/>
  <c r="M444" i="1"/>
  <c r="L444" i="1"/>
  <c r="K444" i="1"/>
  <c r="M443" i="1"/>
  <c r="L443" i="1"/>
  <c r="K443" i="1"/>
  <c r="M442" i="1"/>
  <c r="L442" i="1"/>
  <c r="K442" i="1"/>
  <c r="M441" i="1"/>
  <c r="L441" i="1"/>
  <c r="K441" i="1"/>
  <c r="M440" i="1"/>
  <c r="L440" i="1"/>
  <c r="K440" i="1"/>
  <c r="M439" i="1"/>
  <c r="L439" i="1"/>
  <c r="K439" i="1"/>
  <c r="M438" i="1"/>
  <c r="L438" i="1"/>
  <c r="K438" i="1"/>
  <c r="M437" i="1"/>
  <c r="L437" i="1"/>
  <c r="K437" i="1"/>
  <c r="M436" i="1"/>
  <c r="L436" i="1"/>
  <c r="K436" i="1"/>
  <c r="M435" i="1"/>
  <c r="L435" i="1"/>
  <c r="K435" i="1"/>
  <c r="M434" i="1"/>
  <c r="L434" i="1"/>
  <c r="K434" i="1"/>
  <c r="M433" i="1"/>
  <c r="L433" i="1"/>
  <c r="K433" i="1"/>
  <c r="M432" i="1"/>
  <c r="L432" i="1"/>
  <c r="K432" i="1"/>
  <c r="M431" i="1"/>
  <c r="L431" i="1"/>
  <c r="K431" i="1"/>
  <c r="M430" i="1"/>
  <c r="L430" i="1"/>
  <c r="K430" i="1"/>
  <c r="M429" i="1"/>
  <c r="L429" i="1"/>
  <c r="K429" i="1"/>
  <c r="M428" i="1"/>
  <c r="L428" i="1"/>
  <c r="K428" i="1"/>
  <c r="M427" i="1"/>
  <c r="L427" i="1"/>
  <c r="K427" i="1"/>
  <c r="M426" i="1"/>
  <c r="L426" i="1"/>
  <c r="K426" i="1"/>
  <c r="M425" i="1"/>
  <c r="L425" i="1"/>
  <c r="K425" i="1"/>
  <c r="M424" i="1"/>
  <c r="L424" i="1"/>
  <c r="K424" i="1"/>
  <c r="M423" i="1"/>
  <c r="L423" i="1"/>
  <c r="K423" i="1"/>
  <c r="M422" i="1"/>
  <c r="L422" i="1"/>
  <c r="K422" i="1"/>
  <c r="M421" i="1"/>
  <c r="L421" i="1"/>
  <c r="K421" i="1"/>
  <c r="M420" i="1"/>
  <c r="L420" i="1"/>
  <c r="K420" i="1"/>
  <c r="M419" i="1"/>
  <c r="L419" i="1"/>
  <c r="K419" i="1"/>
  <c r="M418" i="1"/>
  <c r="L418" i="1"/>
  <c r="K418" i="1"/>
  <c r="M417" i="1"/>
  <c r="L417" i="1"/>
  <c r="K417" i="1"/>
  <c r="M416" i="1"/>
  <c r="L416" i="1"/>
  <c r="K416" i="1"/>
  <c r="M415" i="1"/>
  <c r="L415" i="1"/>
  <c r="K415" i="1"/>
  <c r="M414" i="1"/>
  <c r="L414" i="1"/>
  <c r="K414" i="1"/>
  <c r="M413" i="1"/>
  <c r="L413" i="1"/>
  <c r="K413" i="1"/>
  <c r="M412" i="1"/>
  <c r="L412" i="1"/>
  <c r="K412" i="1"/>
  <c r="M411" i="1"/>
  <c r="L411" i="1"/>
  <c r="K411" i="1"/>
  <c r="M410" i="1"/>
  <c r="L410" i="1"/>
  <c r="K410" i="1"/>
  <c r="M409" i="1"/>
  <c r="L409" i="1"/>
  <c r="K409" i="1"/>
  <c r="M408" i="1"/>
  <c r="L408" i="1"/>
  <c r="K408" i="1"/>
  <c r="M407" i="1"/>
  <c r="L407" i="1"/>
  <c r="K407" i="1"/>
  <c r="M406" i="1"/>
  <c r="L406" i="1"/>
  <c r="K406" i="1"/>
  <c r="M405" i="1"/>
  <c r="L405" i="1"/>
  <c r="K405" i="1"/>
  <c r="M404" i="1"/>
  <c r="L404" i="1"/>
  <c r="K404" i="1"/>
  <c r="M403" i="1"/>
  <c r="L403" i="1"/>
  <c r="K403" i="1"/>
  <c r="M402" i="1"/>
  <c r="L402" i="1"/>
  <c r="K402" i="1"/>
  <c r="M401" i="1"/>
  <c r="L401" i="1"/>
  <c r="K401" i="1"/>
  <c r="M400" i="1"/>
  <c r="L400" i="1"/>
  <c r="K400" i="1"/>
  <c r="M399" i="1"/>
  <c r="L399" i="1"/>
  <c r="K399" i="1"/>
  <c r="M398" i="1"/>
  <c r="L398" i="1"/>
  <c r="K398" i="1"/>
  <c r="M397" i="1"/>
  <c r="L397" i="1"/>
  <c r="K397" i="1"/>
  <c r="M396" i="1"/>
  <c r="L396" i="1"/>
  <c r="K396" i="1"/>
  <c r="M395" i="1"/>
  <c r="L395" i="1"/>
  <c r="K395" i="1"/>
  <c r="M394" i="1"/>
  <c r="L394" i="1"/>
  <c r="K394" i="1"/>
  <c r="M393" i="1"/>
  <c r="L393" i="1"/>
  <c r="K393" i="1"/>
  <c r="M392" i="1"/>
  <c r="L392" i="1"/>
  <c r="K392" i="1"/>
  <c r="M391" i="1"/>
  <c r="L391" i="1"/>
  <c r="K391" i="1"/>
  <c r="M390" i="1"/>
  <c r="L390" i="1"/>
  <c r="K390" i="1"/>
  <c r="M389" i="1"/>
  <c r="L389" i="1"/>
  <c r="K389" i="1"/>
  <c r="M388" i="1"/>
  <c r="L388" i="1"/>
  <c r="K388" i="1"/>
  <c r="M387" i="1"/>
  <c r="L387" i="1"/>
  <c r="K387" i="1"/>
  <c r="M386" i="1"/>
  <c r="L386" i="1"/>
  <c r="K386" i="1"/>
  <c r="M385" i="1"/>
  <c r="L385" i="1"/>
  <c r="K385" i="1"/>
  <c r="M384" i="1"/>
  <c r="L384" i="1"/>
  <c r="K384" i="1"/>
  <c r="M383" i="1"/>
  <c r="L383" i="1"/>
  <c r="K383" i="1"/>
  <c r="M382" i="1"/>
  <c r="L382" i="1"/>
  <c r="K382" i="1"/>
  <c r="M381" i="1"/>
  <c r="L381" i="1"/>
  <c r="K381" i="1"/>
  <c r="M380" i="1"/>
  <c r="L380" i="1"/>
  <c r="K380" i="1"/>
  <c r="M379" i="1"/>
  <c r="L379" i="1"/>
  <c r="K379" i="1"/>
  <c r="M378" i="1"/>
  <c r="L378" i="1"/>
  <c r="K378" i="1"/>
  <c r="M377" i="1"/>
  <c r="L377" i="1"/>
  <c r="K377" i="1"/>
  <c r="M376" i="1"/>
  <c r="L376" i="1"/>
  <c r="K376" i="1"/>
  <c r="M375" i="1"/>
  <c r="L375" i="1"/>
  <c r="K375" i="1"/>
  <c r="M374" i="1"/>
  <c r="L374" i="1"/>
  <c r="K374" i="1"/>
  <c r="M373" i="1"/>
  <c r="L373" i="1"/>
  <c r="K373" i="1"/>
  <c r="M372" i="1"/>
  <c r="L372" i="1"/>
  <c r="K372" i="1"/>
  <c r="M371" i="1"/>
  <c r="L371" i="1"/>
  <c r="K371" i="1"/>
  <c r="M370" i="1"/>
  <c r="L370" i="1"/>
  <c r="K370" i="1"/>
  <c r="M369" i="1"/>
  <c r="L369" i="1"/>
  <c r="K369" i="1"/>
  <c r="M368" i="1"/>
  <c r="L368" i="1"/>
  <c r="K368" i="1"/>
  <c r="M367" i="1"/>
  <c r="L367" i="1"/>
  <c r="K367" i="1"/>
  <c r="M366" i="1"/>
  <c r="L366" i="1"/>
  <c r="K366" i="1"/>
  <c r="M365" i="1"/>
  <c r="L365" i="1"/>
  <c r="K365" i="1"/>
  <c r="M364" i="1"/>
  <c r="L364" i="1"/>
  <c r="K364" i="1"/>
  <c r="M363" i="1"/>
  <c r="L363" i="1"/>
  <c r="K363" i="1"/>
  <c r="M362" i="1"/>
  <c r="L362" i="1"/>
  <c r="K362" i="1"/>
  <c r="M361" i="1"/>
  <c r="L361" i="1"/>
  <c r="K361" i="1"/>
  <c r="M360" i="1"/>
  <c r="L360" i="1"/>
  <c r="K360" i="1"/>
  <c r="M359" i="1"/>
  <c r="L359" i="1"/>
  <c r="K359" i="1"/>
  <c r="M358" i="1"/>
  <c r="L358" i="1"/>
  <c r="K358" i="1"/>
  <c r="M357" i="1"/>
  <c r="L357" i="1"/>
  <c r="K357" i="1"/>
  <c r="M356" i="1"/>
  <c r="L356" i="1"/>
  <c r="K356" i="1"/>
  <c r="M355" i="1"/>
  <c r="L355" i="1"/>
  <c r="K355" i="1"/>
  <c r="M354" i="1"/>
  <c r="L354" i="1"/>
  <c r="K354" i="1"/>
  <c r="M353" i="1"/>
  <c r="L353" i="1"/>
  <c r="K353" i="1"/>
  <c r="M352" i="1"/>
  <c r="L352" i="1"/>
  <c r="K352" i="1"/>
  <c r="M351" i="1"/>
  <c r="L351" i="1"/>
  <c r="K351" i="1"/>
  <c r="M350" i="1"/>
  <c r="L350" i="1"/>
  <c r="K350" i="1"/>
  <c r="M349" i="1"/>
  <c r="L349" i="1"/>
  <c r="K349" i="1"/>
  <c r="M348" i="1"/>
  <c r="L348" i="1"/>
  <c r="K348" i="1"/>
  <c r="M347" i="1"/>
  <c r="L347" i="1"/>
  <c r="K347" i="1"/>
  <c r="M346" i="1"/>
  <c r="L346" i="1"/>
  <c r="K346" i="1"/>
  <c r="M345" i="1"/>
  <c r="L345" i="1"/>
  <c r="K345" i="1"/>
  <c r="M344" i="1"/>
  <c r="K344" i="1"/>
  <c r="M343" i="1"/>
  <c r="K343" i="1"/>
  <c r="M342" i="1"/>
  <c r="K342" i="1"/>
  <c r="M341" i="1"/>
  <c r="K341" i="1"/>
  <c r="M340" i="1"/>
  <c r="K340" i="1"/>
  <c r="M339" i="1"/>
  <c r="K339" i="1"/>
  <c r="M338" i="1"/>
  <c r="K338" i="1"/>
  <c r="M337" i="1"/>
  <c r="K337" i="1"/>
  <c r="M336" i="1"/>
  <c r="K336" i="1"/>
  <c r="M335" i="1"/>
  <c r="K335" i="1"/>
  <c r="M334" i="1"/>
  <c r="K334" i="1"/>
  <c r="M333" i="1"/>
  <c r="K333" i="1"/>
  <c r="M332" i="1"/>
  <c r="K332" i="1"/>
  <c r="M331" i="1"/>
  <c r="K331" i="1"/>
  <c r="M330" i="1"/>
  <c r="K330" i="1"/>
  <c r="M329" i="1"/>
  <c r="K329" i="1"/>
  <c r="M328" i="1"/>
  <c r="K328" i="1"/>
  <c r="M327" i="1"/>
  <c r="K327" i="1"/>
  <c r="M326" i="1"/>
  <c r="K326" i="1"/>
  <c r="M325" i="1"/>
  <c r="K325" i="1"/>
  <c r="M324" i="1"/>
  <c r="K324" i="1"/>
  <c r="M323" i="1"/>
  <c r="K323" i="1"/>
  <c r="M322" i="1"/>
  <c r="K322" i="1"/>
  <c r="K321" i="1"/>
  <c r="M320" i="1"/>
  <c r="L320" i="1"/>
  <c r="K320" i="1"/>
  <c r="M319" i="1"/>
  <c r="L319" i="1"/>
  <c r="K319" i="1"/>
  <c r="M318" i="1"/>
  <c r="L318" i="1"/>
  <c r="K318" i="1"/>
  <c r="M317" i="1"/>
  <c r="L317" i="1"/>
  <c r="K317" i="1"/>
  <c r="M316" i="1"/>
  <c r="L316" i="1"/>
  <c r="K316" i="1"/>
  <c r="M315" i="1"/>
  <c r="L315" i="1"/>
  <c r="K315" i="1"/>
  <c r="M314" i="1"/>
  <c r="L314" i="1"/>
  <c r="K314" i="1"/>
  <c r="M313" i="1"/>
  <c r="L313" i="1"/>
  <c r="K313" i="1"/>
  <c r="M312" i="1"/>
  <c r="L312" i="1"/>
  <c r="K312" i="1"/>
  <c r="M311" i="1"/>
  <c r="L311" i="1"/>
  <c r="K311" i="1"/>
  <c r="M310" i="1"/>
  <c r="L310" i="1"/>
  <c r="K310" i="1"/>
  <c r="M309" i="1"/>
  <c r="L309" i="1"/>
  <c r="K309" i="1"/>
  <c r="M308" i="1"/>
  <c r="L308" i="1"/>
  <c r="K308" i="1"/>
  <c r="M307" i="1"/>
  <c r="L307" i="1"/>
  <c r="K307" i="1"/>
  <c r="M306" i="1"/>
  <c r="L306" i="1"/>
  <c r="K306" i="1"/>
  <c r="M305" i="1"/>
  <c r="L305" i="1"/>
  <c r="K305" i="1"/>
  <c r="M304" i="1"/>
  <c r="L304" i="1"/>
  <c r="K304" i="1"/>
  <c r="M303" i="1"/>
  <c r="L303" i="1"/>
  <c r="K303" i="1"/>
  <c r="M302" i="1"/>
  <c r="L302" i="1"/>
  <c r="K302" i="1"/>
  <c r="M301" i="1"/>
  <c r="L301" i="1"/>
  <c r="K301" i="1"/>
  <c r="M300" i="1"/>
  <c r="L300" i="1"/>
  <c r="K300" i="1"/>
  <c r="M299" i="1"/>
  <c r="L299" i="1"/>
  <c r="K299" i="1"/>
  <c r="M298" i="1"/>
  <c r="L298" i="1"/>
  <c r="K298" i="1"/>
  <c r="M297" i="1"/>
  <c r="L297" i="1"/>
  <c r="K297" i="1"/>
  <c r="M296" i="1"/>
  <c r="L296" i="1"/>
  <c r="K296" i="1"/>
  <c r="M295" i="1"/>
  <c r="L295" i="1"/>
  <c r="K295" i="1"/>
  <c r="M294" i="1"/>
  <c r="L294" i="1"/>
  <c r="K294" i="1"/>
  <c r="M293" i="1"/>
  <c r="L293" i="1"/>
  <c r="K293" i="1"/>
  <c r="M292" i="1"/>
  <c r="L292" i="1"/>
  <c r="K292" i="1"/>
  <c r="M291" i="1"/>
  <c r="L291" i="1"/>
  <c r="K291" i="1"/>
  <c r="M290" i="1"/>
  <c r="L290" i="1"/>
  <c r="K290" i="1"/>
  <c r="M289" i="1"/>
  <c r="L289" i="1"/>
  <c r="K289" i="1"/>
  <c r="M288" i="1"/>
  <c r="L288" i="1"/>
  <c r="K288" i="1"/>
  <c r="M287" i="1"/>
  <c r="L287" i="1"/>
  <c r="K287" i="1"/>
  <c r="M286" i="1"/>
  <c r="L286" i="1"/>
  <c r="K286" i="1"/>
  <c r="M285" i="1"/>
  <c r="L285" i="1"/>
  <c r="K285" i="1"/>
  <c r="M284" i="1"/>
  <c r="L284" i="1"/>
  <c r="K284" i="1"/>
  <c r="M283" i="1"/>
  <c r="L283" i="1"/>
  <c r="K283" i="1"/>
  <c r="M282" i="1"/>
  <c r="L282" i="1"/>
  <c r="K282" i="1"/>
  <c r="M281" i="1"/>
  <c r="L281" i="1"/>
  <c r="K281" i="1"/>
  <c r="M280" i="1"/>
  <c r="L280" i="1"/>
  <c r="K280" i="1"/>
  <c r="M279" i="1"/>
  <c r="L279" i="1"/>
  <c r="K279" i="1"/>
  <c r="M278" i="1"/>
  <c r="L278" i="1"/>
  <c r="K278" i="1"/>
  <c r="M277" i="1"/>
  <c r="L277" i="1"/>
  <c r="K277" i="1"/>
  <c r="M276" i="1"/>
  <c r="L276" i="1"/>
  <c r="K276" i="1"/>
  <c r="M275" i="1"/>
  <c r="L275" i="1"/>
  <c r="K275" i="1"/>
  <c r="M274" i="1"/>
  <c r="L274" i="1"/>
  <c r="K274" i="1"/>
  <c r="M273" i="1"/>
  <c r="L273" i="1"/>
  <c r="K273" i="1"/>
  <c r="M272" i="1"/>
  <c r="L272" i="1"/>
  <c r="K272" i="1"/>
  <c r="M271" i="1"/>
  <c r="L271" i="1"/>
  <c r="K271" i="1"/>
  <c r="M270" i="1"/>
  <c r="L270" i="1"/>
  <c r="K270" i="1"/>
  <c r="M269" i="1"/>
  <c r="L269" i="1"/>
  <c r="K269" i="1"/>
  <c r="M268" i="1"/>
  <c r="L268" i="1"/>
  <c r="K268" i="1"/>
  <c r="M267" i="1"/>
  <c r="L267" i="1"/>
  <c r="K267" i="1"/>
  <c r="M266" i="1"/>
  <c r="L266" i="1"/>
  <c r="K266" i="1"/>
  <c r="M265" i="1"/>
  <c r="L265" i="1"/>
  <c r="K265" i="1"/>
  <c r="M264" i="1"/>
  <c r="L264" i="1"/>
  <c r="K264" i="1"/>
  <c r="M263" i="1"/>
  <c r="L263" i="1"/>
  <c r="K263" i="1"/>
  <c r="M262" i="1"/>
  <c r="L262" i="1"/>
  <c r="K262" i="1"/>
  <c r="M261" i="1"/>
  <c r="L261" i="1"/>
  <c r="K261" i="1"/>
  <c r="M260" i="1"/>
  <c r="L260" i="1"/>
  <c r="K260" i="1"/>
  <c r="M259" i="1"/>
  <c r="L259" i="1"/>
  <c r="K259" i="1"/>
  <c r="M258" i="1"/>
  <c r="L258" i="1"/>
  <c r="K258" i="1"/>
  <c r="M257" i="1"/>
  <c r="L257" i="1"/>
  <c r="K257" i="1"/>
  <c r="M256" i="1"/>
  <c r="L256" i="1"/>
  <c r="K256" i="1"/>
  <c r="M255" i="1"/>
  <c r="L255" i="1"/>
  <c r="K255" i="1"/>
  <c r="M254" i="1"/>
  <c r="L254" i="1"/>
  <c r="K254" i="1"/>
  <c r="M253" i="1"/>
  <c r="L253" i="1"/>
  <c r="K253" i="1"/>
  <c r="M252" i="1"/>
  <c r="L252" i="1"/>
  <c r="K252" i="1"/>
  <c r="M251" i="1"/>
  <c r="L251" i="1"/>
  <c r="K251" i="1"/>
  <c r="M250" i="1"/>
  <c r="L250" i="1"/>
  <c r="K250" i="1"/>
  <c r="M249" i="1"/>
  <c r="L249" i="1"/>
  <c r="K249" i="1"/>
  <c r="M248" i="1"/>
  <c r="L248" i="1"/>
  <c r="K248" i="1"/>
  <c r="M247" i="1"/>
  <c r="L247" i="1"/>
  <c r="K247" i="1"/>
  <c r="M246" i="1"/>
  <c r="L246" i="1"/>
  <c r="K246" i="1"/>
  <c r="M245" i="1"/>
  <c r="L245" i="1"/>
  <c r="K245" i="1"/>
  <c r="M244" i="1"/>
  <c r="L244" i="1"/>
  <c r="K244" i="1"/>
  <c r="M243" i="1"/>
  <c r="L243" i="1"/>
  <c r="K243" i="1"/>
  <c r="M242" i="1"/>
  <c r="L242" i="1"/>
  <c r="K242" i="1"/>
  <c r="M241" i="1"/>
  <c r="L241" i="1"/>
  <c r="K241" i="1"/>
  <c r="M240" i="1"/>
  <c r="L240" i="1"/>
  <c r="K240" i="1"/>
  <c r="M239" i="1"/>
  <c r="L239" i="1"/>
  <c r="K239" i="1"/>
  <c r="M238" i="1"/>
  <c r="L238" i="1"/>
  <c r="K238" i="1"/>
  <c r="M237" i="1"/>
  <c r="L237" i="1"/>
  <c r="K237" i="1"/>
  <c r="M236" i="1"/>
  <c r="L236" i="1"/>
  <c r="K236" i="1"/>
  <c r="M235" i="1"/>
  <c r="L235" i="1"/>
  <c r="K235" i="1"/>
  <c r="M234" i="1"/>
  <c r="L234" i="1"/>
  <c r="K234" i="1"/>
  <c r="M233" i="1"/>
  <c r="L233" i="1"/>
  <c r="K233" i="1"/>
  <c r="M232" i="1"/>
  <c r="L232" i="1"/>
  <c r="K232" i="1"/>
  <c r="M231" i="1"/>
  <c r="L231" i="1"/>
  <c r="K231" i="1"/>
  <c r="M230" i="1"/>
  <c r="L230" i="1"/>
  <c r="K230" i="1"/>
  <c r="M229" i="1"/>
  <c r="L229" i="1"/>
  <c r="K229" i="1"/>
  <c r="M228" i="1"/>
  <c r="L228" i="1"/>
  <c r="K228" i="1"/>
  <c r="M227" i="1"/>
  <c r="K227" i="1"/>
  <c r="K226" i="1"/>
  <c r="M225" i="1"/>
  <c r="L225" i="1"/>
  <c r="K225" i="1"/>
  <c r="M224" i="1"/>
  <c r="L224" i="1"/>
  <c r="K224" i="1"/>
  <c r="M223" i="1"/>
  <c r="L223" i="1"/>
  <c r="K223" i="1"/>
  <c r="M222" i="1"/>
  <c r="L222" i="1"/>
  <c r="K222" i="1"/>
  <c r="M221" i="1"/>
  <c r="L221" i="1"/>
  <c r="K221" i="1"/>
  <c r="M220" i="1"/>
  <c r="L220" i="1"/>
  <c r="K220" i="1"/>
  <c r="M219" i="1"/>
  <c r="L219" i="1"/>
  <c r="K219" i="1"/>
  <c r="M218" i="1"/>
  <c r="L218" i="1"/>
  <c r="K218" i="1"/>
  <c r="M217" i="1"/>
  <c r="K217" i="1"/>
  <c r="M216" i="1"/>
  <c r="K216" i="1"/>
  <c r="M215" i="1"/>
  <c r="K215" i="1"/>
  <c r="K214" i="1"/>
  <c r="M213" i="1"/>
  <c r="L213" i="1"/>
  <c r="K213" i="1"/>
  <c r="M212" i="1"/>
  <c r="L212" i="1"/>
  <c r="K212" i="1"/>
  <c r="M211" i="1"/>
  <c r="L211" i="1"/>
  <c r="K211" i="1"/>
  <c r="M210" i="1"/>
  <c r="L210" i="1"/>
  <c r="K210" i="1"/>
  <c r="M209" i="1"/>
  <c r="L209" i="1"/>
  <c r="K209" i="1"/>
  <c r="M208" i="1"/>
  <c r="L208" i="1"/>
  <c r="K208" i="1"/>
  <c r="M207" i="1"/>
  <c r="L207" i="1"/>
  <c r="K207" i="1"/>
  <c r="M206" i="1"/>
  <c r="L206" i="1"/>
  <c r="K206" i="1"/>
  <c r="M205" i="1"/>
  <c r="L205" i="1"/>
  <c r="K205" i="1"/>
  <c r="M204" i="1"/>
  <c r="L204" i="1"/>
  <c r="K204" i="1"/>
  <c r="M203" i="1"/>
  <c r="L203" i="1"/>
  <c r="K203" i="1"/>
  <c r="M202" i="1"/>
  <c r="L202" i="1"/>
  <c r="K202" i="1"/>
  <c r="M201" i="1"/>
  <c r="L201" i="1"/>
  <c r="K201" i="1"/>
  <c r="M200" i="1"/>
  <c r="L200" i="1"/>
  <c r="K200" i="1"/>
  <c r="M199" i="1"/>
  <c r="L199" i="1"/>
  <c r="K199" i="1"/>
  <c r="M198" i="1"/>
  <c r="L198" i="1"/>
  <c r="K198" i="1"/>
  <c r="M197" i="1"/>
  <c r="L197" i="1"/>
  <c r="K197" i="1"/>
  <c r="M196" i="1"/>
  <c r="L196" i="1"/>
  <c r="K196" i="1"/>
  <c r="M195" i="1"/>
  <c r="L195" i="1"/>
  <c r="K195" i="1"/>
  <c r="M194" i="1"/>
  <c r="L194" i="1"/>
  <c r="K194" i="1"/>
  <c r="M193" i="1"/>
  <c r="L193" i="1"/>
  <c r="K193" i="1"/>
  <c r="M192" i="1"/>
  <c r="L192" i="1"/>
  <c r="K192" i="1"/>
  <c r="M191" i="1"/>
  <c r="L191" i="1"/>
  <c r="K191" i="1"/>
  <c r="M190" i="1"/>
  <c r="L190" i="1"/>
  <c r="K190" i="1"/>
  <c r="M189" i="1"/>
  <c r="L189" i="1"/>
  <c r="K189" i="1"/>
  <c r="M188" i="1"/>
  <c r="L188" i="1"/>
  <c r="K188" i="1"/>
  <c r="M187" i="1"/>
  <c r="L187" i="1"/>
  <c r="K187" i="1"/>
  <c r="M186" i="1"/>
  <c r="L186" i="1"/>
  <c r="K186" i="1"/>
  <c r="M185" i="1"/>
  <c r="L185" i="1"/>
  <c r="K185" i="1"/>
  <c r="M184" i="1"/>
  <c r="L184" i="1"/>
  <c r="K184" i="1"/>
  <c r="M183" i="1"/>
  <c r="L183" i="1"/>
  <c r="K183" i="1"/>
  <c r="M182" i="1"/>
  <c r="L182" i="1"/>
  <c r="K182" i="1"/>
  <c r="M181" i="1"/>
  <c r="L181" i="1"/>
  <c r="K181" i="1"/>
  <c r="M180" i="1"/>
  <c r="L180" i="1"/>
  <c r="K180" i="1"/>
  <c r="M179" i="1"/>
  <c r="L179" i="1"/>
  <c r="K179" i="1"/>
  <c r="M178" i="1"/>
  <c r="L178" i="1"/>
  <c r="K178" i="1"/>
  <c r="M177" i="1"/>
  <c r="L177" i="1"/>
  <c r="K177" i="1"/>
  <c r="M176" i="1"/>
  <c r="L176" i="1"/>
  <c r="K176" i="1"/>
  <c r="M175" i="1"/>
  <c r="L175" i="1"/>
  <c r="K175" i="1"/>
  <c r="M174" i="1"/>
  <c r="L174" i="1"/>
  <c r="K174" i="1"/>
  <c r="M173" i="1"/>
  <c r="L173" i="1"/>
  <c r="K173" i="1"/>
  <c r="M172" i="1"/>
  <c r="L172" i="1"/>
  <c r="K172" i="1"/>
  <c r="M171" i="1"/>
  <c r="L171" i="1"/>
  <c r="K171" i="1"/>
  <c r="M170" i="1"/>
  <c r="L170" i="1"/>
  <c r="K170" i="1"/>
  <c r="M169" i="1"/>
  <c r="L169" i="1"/>
  <c r="K169" i="1"/>
  <c r="M168" i="1"/>
  <c r="L168" i="1"/>
  <c r="K168" i="1"/>
  <c r="M167" i="1"/>
  <c r="L167" i="1"/>
  <c r="K167" i="1"/>
  <c r="M166" i="1"/>
  <c r="L166" i="1"/>
  <c r="K166" i="1"/>
  <c r="M165" i="1"/>
  <c r="L165" i="1"/>
  <c r="K165" i="1"/>
  <c r="M164" i="1"/>
  <c r="L164" i="1"/>
  <c r="K164" i="1"/>
  <c r="M163" i="1"/>
  <c r="L163" i="1"/>
  <c r="K163" i="1"/>
  <c r="M162" i="1"/>
  <c r="L162" i="1"/>
  <c r="K162" i="1"/>
  <c r="M161" i="1"/>
  <c r="L161" i="1"/>
  <c r="K161" i="1"/>
  <c r="M160" i="1"/>
  <c r="L160" i="1"/>
  <c r="K160" i="1"/>
  <c r="M159" i="1"/>
  <c r="L159" i="1"/>
  <c r="K159" i="1"/>
  <c r="M158" i="1"/>
  <c r="L158" i="1"/>
  <c r="K158" i="1"/>
  <c r="M157" i="1"/>
  <c r="L157" i="1"/>
  <c r="K157" i="1"/>
  <c r="M156" i="1"/>
  <c r="L156" i="1"/>
  <c r="K156" i="1"/>
  <c r="M155" i="1"/>
  <c r="L155" i="1"/>
  <c r="K155" i="1"/>
  <c r="M154" i="1"/>
  <c r="L154" i="1"/>
  <c r="K154" i="1"/>
  <c r="M153" i="1"/>
  <c r="L153" i="1"/>
  <c r="K153" i="1"/>
  <c r="M152" i="1"/>
  <c r="L152" i="1"/>
  <c r="K152" i="1"/>
  <c r="M151" i="1"/>
  <c r="L151" i="1"/>
  <c r="K151" i="1"/>
  <c r="M150" i="1"/>
  <c r="L150" i="1"/>
  <c r="K150" i="1"/>
  <c r="M149" i="1"/>
  <c r="L149" i="1"/>
  <c r="K149" i="1"/>
  <c r="M148" i="1"/>
  <c r="L148" i="1"/>
  <c r="K148" i="1"/>
  <c r="M147" i="1"/>
  <c r="L147" i="1"/>
  <c r="K147" i="1"/>
  <c r="M146" i="1"/>
  <c r="L146" i="1"/>
  <c r="K146" i="1"/>
  <c r="M145" i="1"/>
  <c r="L145" i="1"/>
  <c r="K145" i="1"/>
  <c r="M144" i="1"/>
  <c r="L144" i="1"/>
  <c r="K144" i="1"/>
  <c r="M143" i="1"/>
  <c r="L143" i="1"/>
  <c r="K143" i="1"/>
  <c r="M142" i="1"/>
  <c r="L142" i="1"/>
  <c r="K142" i="1"/>
  <c r="M141" i="1"/>
  <c r="L141" i="1"/>
  <c r="K141" i="1"/>
  <c r="M140" i="1"/>
  <c r="L140" i="1"/>
  <c r="K140" i="1"/>
  <c r="M139" i="1"/>
  <c r="L139" i="1"/>
  <c r="K139" i="1"/>
  <c r="M138" i="1"/>
  <c r="L138" i="1"/>
  <c r="K138" i="1"/>
  <c r="M137" i="1"/>
  <c r="L137" i="1"/>
  <c r="K137" i="1"/>
  <c r="M136" i="1"/>
  <c r="L136" i="1"/>
  <c r="K136" i="1"/>
  <c r="M135" i="1"/>
  <c r="L135" i="1"/>
  <c r="K135" i="1"/>
  <c r="M134" i="1"/>
  <c r="L134" i="1"/>
  <c r="K134" i="1"/>
  <c r="M133" i="1"/>
  <c r="L133" i="1"/>
  <c r="K133" i="1"/>
  <c r="M132" i="1"/>
  <c r="L132" i="1"/>
  <c r="K132" i="1"/>
  <c r="M131" i="1"/>
  <c r="L131" i="1"/>
  <c r="K131" i="1"/>
  <c r="M130" i="1"/>
  <c r="L130" i="1"/>
  <c r="K130" i="1"/>
  <c r="M129" i="1"/>
  <c r="L129" i="1"/>
  <c r="K129" i="1"/>
  <c r="M128" i="1"/>
  <c r="L128" i="1"/>
  <c r="K128" i="1"/>
  <c r="M127" i="1"/>
  <c r="L127" i="1"/>
  <c r="K127" i="1"/>
  <c r="M126" i="1"/>
  <c r="L126" i="1"/>
  <c r="K126" i="1"/>
  <c r="M125" i="1"/>
  <c r="L125" i="1"/>
  <c r="K125" i="1"/>
  <c r="M124" i="1"/>
  <c r="L124" i="1"/>
  <c r="K124" i="1"/>
  <c r="M123" i="1"/>
  <c r="L123" i="1"/>
  <c r="K123" i="1"/>
  <c r="M122" i="1"/>
  <c r="L122" i="1"/>
  <c r="K122" i="1"/>
  <c r="M121" i="1"/>
  <c r="L121" i="1"/>
  <c r="K121" i="1"/>
  <c r="M120" i="1"/>
  <c r="L120" i="1"/>
  <c r="K120" i="1"/>
  <c r="M119" i="1"/>
  <c r="L119" i="1"/>
  <c r="K119" i="1"/>
  <c r="M118" i="1"/>
  <c r="L118" i="1"/>
  <c r="K118" i="1"/>
  <c r="M117" i="1"/>
  <c r="L117" i="1"/>
  <c r="K117" i="1"/>
  <c r="M116" i="1"/>
  <c r="L116" i="1"/>
  <c r="K116" i="1"/>
  <c r="M115" i="1"/>
  <c r="L115" i="1"/>
  <c r="K115" i="1"/>
  <c r="M114" i="1"/>
  <c r="L114" i="1"/>
  <c r="K114" i="1"/>
  <c r="M113" i="1"/>
  <c r="L113" i="1"/>
  <c r="K113" i="1"/>
  <c r="M112" i="1"/>
  <c r="L112" i="1"/>
  <c r="K112" i="1"/>
  <c r="M111" i="1"/>
  <c r="L111" i="1"/>
  <c r="K111" i="1"/>
  <c r="M110" i="1"/>
  <c r="L110" i="1"/>
  <c r="K110" i="1"/>
  <c r="M109" i="1"/>
  <c r="L109" i="1"/>
  <c r="K109" i="1"/>
  <c r="M108" i="1"/>
  <c r="L108" i="1"/>
  <c r="K108" i="1"/>
  <c r="M107" i="1"/>
  <c r="L107" i="1"/>
  <c r="K107" i="1"/>
  <c r="M106" i="1"/>
  <c r="L106" i="1"/>
  <c r="K106" i="1"/>
  <c r="M105" i="1"/>
  <c r="L105" i="1"/>
  <c r="K105" i="1"/>
  <c r="M104" i="1"/>
  <c r="L104" i="1"/>
  <c r="K104" i="1"/>
  <c r="M103" i="1"/>
  <c r="K103" i="1"/>
  <c r="M102" i="1"/>
  <c r="K102" i="1"/>
  <c r="M101" i="1"/>
  <c r="K101" i="1"/>
  <c r="M100" i="1"/>
  <c r="K100" i="1"/>
  <c r="M99" i="1"/>
  <c r="K99" i="1"/>
  <c r="M98" i="1"/>
  <c r="K98" i="1"/>
  <c r="M97" i="1"/>
  <c r="K97" i="1"/>
  <c r="M96" i="1"/>
  <c r="K96" i="1"/>
  <c r="M95" i="1"/>
  <c r="K95" i="1"/>
  <c r="K94" i="1"/>
  <c r="M93" i="1"/>
  <c r="L93" i="1"/>
  <c r="K93" i="1"/>
  <c r="M92" i="1"/>
  <c r="L92" i="1"/>
  <c r="K92" i="1"/>
  <c r="M91" i="1"/>
  <c r="L91" i="1"/>
  <c r="K91" i="1"/>
  <c r="M90" i="1"/>
  <c r="L90" i="1"/>
  <c r="K90" i="1"/>
  <c r="M89" i="1"/>
  <c r="L89" i="1"/>
  <c r="K89" i="1"/>
  <c r="M88" i="1"/>
  <c r="L88" i="1"/>
  <c r="K88" i="1"/>
  <c r="M87" i="1"/>
  <c r="L87" i="1"/>
  <c r="K87" i="1"/>
  <c r="M86" i="1"/>
  <c r="L86" i="1"/>
  <c r="K86" i="1"/>
  <c r="M85" i="1"/>
  <c r="L85" i="1"/>
  <c r="K85" i="1"/>
  <c r="M84" i="1"/>
  <c r="L84" i="1"/>
  <c r="K84" i="1"/>
  <c r="M83" i="1"/>
  <c r="L83" i="1"/>
  <c r="K83" i="1"/>
  <c r="M82" i="1"/>
  <c r="L82" i="1"/>
  <c r="K82" i="1"/>
  <c r="M81" i="1"/>
  <c r="L81" i="1"/>
  <c r="K81" i="1"/>
  <c r="M80" i="1"/>
  <c r="L80" i="1"/>
  <c r="K80" i="1"/>
  <c r="M79" i="1"/>
  <c r="L79" i="1"/>
  <c r="K79" i="1"/>
  <c r="M78" i="1"/>
  <c r="L78" i="1"/>
  <c r="K78" i="1"/>
  <c r="M77" i="1"/>
  <c r="L77" i="1"/>
  <c r="K77" i="1"/>
  <c r="M76" i="1"/>
  <c r="L76" i="1"/>
  <c r="K76" i="1"/>
  <c r="M75" i="1"/>
  <c r="L75" i="1"/>
  <c r="K75" i="1"/>
  <c r="M74" i="1"/>
  <c r="L74" i="1"/>
  <c r="K74" i="1"/>
  <c r="M73" i="1"/>
  <c r="L73" i="1"/>
  <c r="K73" i="1"/>
  <c r="M72" i="1"/>
  <c r="L72" i="1"/>
  <c r="K72" i="1"/>
  <c r="M71" i="1"/>
  <c r="L71" i="1"/>
  <c r="K71" i="1"/>
  <c r="M70" i="1"/>
  <c r="L70" i="1"/>
  <c r="K70" i="1"/>
  <c r="M69" i="1"/>
  <c r="L69" i="1"/>
  <c r="K69" i="1"/>
  <c r="M68" i="1"/>
  <c r="L68" i="1"/>
  <c r="K68" i="1"/>
  <c r="M67" i="1"/>
  <c r="L67" i="1"/>
  <c r="K67" i="1"/>
  <c r="M66" i="1"/>
  <c r="L66" i="1"/>
  <c r="K66" i="1"/>
  <c r="M65" i="1"/>
  <c r="L65" i="1"/>
  <c r="K65" i="1"/>
  <c r="M64" i="1"/>
  <c r="L64" i="1"/>
  <c r="K64" i="1"/>
  <c r="M63" i="1"/>
  <c r="L63" i="1"/>
  <c r="K63" i="1"/>
  <c r="M62" i="1"/>
  <c r="L62" i="1"/>
  <c r="K62" i="1"/>
  <c r="M61" i="1"/>
  <c r="L61" i="1"/>
  <c r="K61" i="1"/>
  <c r="M60" i="1"/>
  <c r="L60" i="1"/>
  <c r="K60" i="1"/>
  <c r="M59" i="1"/>
  <c r="L59" i="1"/>
  <c r="K59" i="1"/>
  <c r="M58" i="1"/>
  <c r="L58" i="1"/>
  <c r="K58" i="1"/>
  <c r="M57" i="1"/>
  <c r="L57" i="1"/>
  <c r="K57" i="1"/>
  <c r="M56" i="1"/>
  <c r="L56" i="1"/>
  <c r="K56" i="1"/>
  <c r="M55" i="1"/>
  <c r="L55" i="1"/>
  <c r="K55" i="1"/>
  <c r="M54" i="1"/>
  <c r="L54" i="1"/>
  <c r="K54" i="1"/>
  <c r="M53" i="1"/>
  <c r="L53" i="1"/>
  <c r="K53" i="1"/>
  <c r="M52" i="1"/>
  <c r="L52" i="1"/>
  <c r="K52" i="1"/>
  <c r="M51" i="1"/>
  <c r="L51" i="1"/>
  <c r="K51" i="1"/>
  <c r="M50" i="1"/>
  <c r="L50" i="1"/>
  <c r="K50" i="1"/>
  <c r="M49" i="1"/>
  <c r="L49" i="1"/>
  <c r="K49" i="1"/>
  <c r="M48" i="1"/>
  <c r="L48" i="1"/>
  <c r="K48" i="1"/>
  <c r="M47" i="1"/>
  <c r="K47" i="1"/>
  <c r="M46" i="1"/>
  <c r="K46" i="1"/>
  <c r="M45" i="1"/>
  <c r="K45" i="1"/>
  <c r="M44" i="1"/>
  <c r="K44" i="1"/>
  <c r="M43" i="1"/>
  <c r="K43" i="1"/>
  <c r="M42" i="1"/>
  <c r="K42" i="1"/>
  <c r="M41" i="1"/>
  <c r="K41" i="1"/>
  <c r="M40" i="1"/>
  <c r="K40" i="1"/>
  <c r="M39" i="1"/>
  <c r="K39" i="1"/>
  <c r="M38" i="1"/>
  <c r="K38" i="1"/>
  <c r="M37" i="1"/>
  <c r="K37" i="1"/>
  <c r="M36" i="1"/>
  <c r="K36" i="1"/>
  <c r="M35" i="1"/>
  <c r="K35" i="1"/>
  <c r="M34" i="1"/>
  <c r="K34" i="1"/>
  <c r="M33" i="1"/>
  <c r="K33" i="1"/>
  <c r="M32" i="1"/>
  <c r="K32" i="1"/>
  <c r="M31" i="1"/>
  <c r="K31" i="1"/>
  <c r="M30" i="1"/>
  <c r="K30" i="1"/>
  <c r="M29" i="1"/>
  <c r="K29" i="1"/>
  <c r="M28" i="1"/>
  <c r="K28" i="1"/>
  <c r="M27" i="1"/>
  <c r="K27" i="1"/>
  <c r="M26" i="1"/>
  <c r="K26" i="1"/>
  <c r="M25" i="1"/>
  <c r="K25" i="1"/>
  <c r="M24" i="1"/>
  <c r="K24" i="1"/>
  <c r="M23" i="1"/>
  <c r="K23" i="1"/>
  <c r="M22" i="1"/>
  <c r="K22" i="1"/>
  <c r="M21" i="1"/>
  <c r="K21" i="1"/>
  <c r="K20" i="1"/>
  <c r="M19" i="1"/>
  <c r="K19" i="1"/>
  <c r="M18" i="1"/>
  <c r="K18" i="1"/>
  <c r="M17" i="1"/>
  <c r="K17" i="1"/>
  <c r="M16" i="1"/>
  <c r="K16" i="1"/>
  <c r="M15" i="1"/>
  <c r="K15" i="1"/>
  <c r="M14" i="1"/>
  <c r="K14" i="1"/>
  <c r="M13" i="1"/>
  <c r="K13" i="1"/>
  <c r="M12" i="1"/>
  <c r="K12" i="1"/>
  <c r="M11" i="1"/>
  <c r="K11" i="1"/>
  <c r="M10" i="1"/>
  <c r="K10" i="1"/>
  <c r="M9" i="1"/>
  <c r="K9" i="1"/>
  <c r="M8" i="1"/>
  <c r="K8" i="1"/>
  <c r="M7" i="1"/>
  <c r="K7" i="1"/>
  <c r="M6" i="1"/>
  <c r="K6" i="1"/>
  <c r="M5" i="1"/>
  <c r="K5" i="1"/>
  <c r="M4" i="1"/>
  <c r="K4" i="1"/>
  <c r="M3" i="1"/>
  <c r="K3" i="1"/>
  <c r="K2" i="1"/>
  <c r="L680" i="1" l="1"/>
  <c r="L679" i="1"/>
  <c r="L678" i="1"/>
  <c r="M678" i="1" s="1"/>
  <c r="L747" i="1"/>
  <c r="L746" i="1"/>
  <c r="M746" i="1" s="1"/>
  <c r="L748" i="1"/>
  <c r="L970" i="1"/>
  <c r="L974" i="1"/>
  <c r="L972" i="1"/>
  <c r="L2952" i="1"/>
  <c r="L973" i="1"/>
  <c r="L971" i="1"/>
  <c r="L969" i="1"/>
  <c r="M969" i="1" s="1"/>
  <c r="L1415" i="1"/>
  <c r="L1414" i="1"/>
  <c r="M1414" i="1" s="1"/>
  <c r="L1616" i="1"/>
  <c r="L1614" i="1"/>
  <c r="L1612" i="1"/>
  <c r="L1610" i="1"/>
  <c r="L1615" i="1"/>
  <c r="L1613" i="1"/>
  <c r="L1611" i="1"/>
  <c r="L1609" i="1"/>
  <c r="L1608" i="1"/>
  <c r="M1608" i="1" s="1"/>
  <c r="L2663" i="1"/>
  <c r="L2661" i="1"/>
  <c r="L2659" i="1"/>
  <c r="L2657" i="1"/>
  <c r="L2655" i="1"/>
  <c r="L2653" i="1"/>
  <c r="L2652" i="1"/>
  <c r="M2652" i="1" s="1"/>
  <c r="L2662" i="1"/>
  <c r="L2660" i="1"/>
  <c r="L2658" i="1"/>
  <c r="L2656" i="1"/>
  <c r="L2654" i="1"/>
  <c r="L2900" i="1"/>
  <c r="L2898" i="1"/>
  <c r="L2896" i="1"/>
  <c r="L2895" i="1"/>
  <c r="L2893" i="1"/>
  <c r="L2891" i="1"/>
  <c r="L2889" i="1"/>
  <c r="L2887" i="1"/>
  <c r="L2885" i="1"/>
  <c r="L2883" i="1"/>
  <c r="L2899" i="1"/>
  <c r="L2897" i="1"/>
  <c r="L2894" i="1"/>
  <c r="L2892" i="1"/>
  <c r="L2890" i="1"/>
  <c r="L2888" i="1"/>
  <c r="L2886" i="1"/>
  <c r="L2884" i="1"/>
  <c r="L2882" i="1"/>
  <c r="M2882" i="1" s="1"/>
  <c r="L2960" i="1"/>
  <c r="L2951" i="1"/>
  <c r="M2951" i="1" s="1"/>
  <c r="L2958" i="1"/>
  <c r="L2957" i="1"/>
  <c r="L2961" i="1"/>
  <c r="L2972" i="1"/>
  <c r="L2968" i="1"/>
  <c r="L2967" i="1"/>
  <c r="L2973" i="1"/>
  <c r="B2" i="2"/>
  <c r="L99" i="1"/>
  <c r="L15" i="1"/>
  <c r="L22" i="1"/>
  <c r="L26" i="1"/>
  <c r="L29" i="1"/>
  <c r="L33" i="1"/>
  <c r="L37" i="1"/>
  <c r="L41" i="1"/>
  <c r="L45" i="1"/>
  <c r="L322" i="1"/>
  <c r="L326" i="1"/>
  <c r="L330" i="1"/>
  <c r="L337" i="1"/>
  <c r="L341" i="1"/>
  <c r="L343" i="1"/>
  <c r="L584" i="1"/>
  <c r="L586" i="1"/>
  <c r="L588" i="1"/>
  <c r="L590" i="1"/>
  <c r="L592" i="1"/>
  <c r="L594" i="1"/>
  <c r="L596" i="1"/>
  <c r="L598" i="1"/>
  <c r="L600" i="1"/>
  <c r="L602" i="1"/>
  <c r="M602" i="1" s="1"/>
  <c r="L749" i="1"/>
  <c r="M749" i="1" s="1"/>
  <c r="L830" i="1"/>
  <c r="M830" i="1" s="1"/>
  <c r="L833" i="1"/>
  <c r="L835" i="1"/>
  <c r="L837" i="1"/>
  <c r="L839" i="1"/>
  <c r="L841" i="1"/>
  <c r="L843" i="1"/>
  <c r="L910" i="1"/>
  <c r="L96" i="1"/>
  <c r="L101" i="1"/>
  <c r="L24" i="1"/>
  <c r="L27" i="1"/>
  <c r="L31" i="1"/>
  <c r="L35" i="1"/>
  <c r="L39" i="1"/>
  <c r="L43" i="1"/>
  <c r="L47" i="1"/>
  <c r="L324" i="1"/>
  <c r="L328" i="1"/>
  <c r="L332" i="1"/>
  <c r="L335" i="1"/>
  <c r="L339" i="1"/>
  <c r="L4" i="1"/>
  <c r="L17" i="1"/>
  <c r="L19" i="1"/>
  <c r="L565" i="1"/>
  <c r="L567" i="1"/>
  <c r="L569" i="1"/>
  <c r="L572" i="1"/>
  <c r="L574" i="1"/>
  <c r="L576" i="1"/>
  <c r="L582" i="1"/>
  <c r="M582" i="1" s="1"/>
  <c r="L695" i="1"/>
  <c r="L697" i="1"/>
  <c r="L699" i="1"/>
  <c r="L701" i="1"/>
  <c r="L809" i="1"/>
  <c r="L811" i="1"/>
  <c r="L813" i="1"/>
  <c r="L815" i="1"/>
  <c r="L817" i="1"/>
  <c r="L819" i="1"/>
  <c r="L821" i="1"/>
  <c r="L823" i="1"/>
  <c r="L825" i="1"/>
  <c r="L827" i="1"/>
  <c r="L829" i="1"/>
  <c r="L895" i="1"/>
  <c r="M895" i="1" s="1"/>
  <c r="L908" i="1"/>
  <c r="L4286" i="1"/>
  <c r="L4284" i="1"/>
  <c r="L4282" i="1"/>
  <c r="L4280" i="1"/>
  <c r="L4278" i="1"/>
  <c r="L4276" i="1"/>
  <c r="L4274" i="1"/>
  <c r="L4272" i="1"/>
  <c r="L4270" i="1"/>
  <c r="L4268" i="1"/>
  <c r="L4266" i="1"/>
  <c r="L4264" i="1"/>
  <c r="L4262" i="1"/>
  <c r="L4260" i="1"/>
  <c r="M4260" i="1" s="1"/>
  <c r="L4259" i="1"/>
  <c r="L4257" i="1"/>
  <c r="L4255" i="1"/>
  <c r="L4253" i="1"/>
  <c r="L4251" i="1"/>
  <c r="L4249" i="1"/>
  <c r="L4247" i="1"/>
  <c r="M4247" i="1" s="1"/>
  <c r="L4245" i="1"/>
  <c r="L4243" i="1"/>
  <c r="M4243" i="1" s="1"/>
  <c r="L4241" i="1"/>
  <c r="L4219" i="1"/>
  <c r="M4219" i="1" s="1"/>
  <c r="L4167" i="1"/>
  <c r="L4165" i="1"/>
  <c r="L4163" i="1"/>
  <c r="L4145" i="1"/>
  <c r="L4143" i="1"/>
  <c r="L4127" i="1"/>
  <c r="L4125" i="1"/>
  <c r="L4123" i="1"/>
  <c r="L4121" i="1"/>
  <c r="L4119" i="1"/>
  <c r="L4117" i="1"/>
  <c r="L4116" i="1"/>
  <c r="L4114" i="1"/>
  <c r="L4112" i="1"/>
  <c r="L4110" i="1"/>
  <c r="L4108" i="1"/>
  <c r="L4106" i="1"/>
  <c r="L4104" i="1"/>
  <c r="L4102" i="1"/>
  <c r="L4089" i="1"/>
  <c r="L4055" i="1"/>
  <c r="L4053" i="1"/>
  <c r="L4051" i="1"/>
  <c r="L4049" i="1"/>
  <c r="L4047" i="1"/>
  <c r="L4045" i="1"/>
  <c r="L4043" i="1"/>
  <c r="L4041" i="1"/>
  <c r="L4039" i="1"/>
  <c r="L4017" i="1"/>
  <c r="L4015" i="1"/>
  <c r="L4013" i="1"/>
  <c r="L4011" i="1"/>
  <c r="L3981" i="1"/>
  <c r="L3979" i="1"/>
  <c r="L3977" i="1"/>
  <c r="L3976" i="1"/>
  <c r="L3974" i="1"/>
  <c r="L3972" i="1"/>
  <c r="L3970" i="1"/>
  <c r="L3967" i="1"/>
  <c r="L3965" i="1"/>
  <c r="L3963" i="1"/>
  <c r="M3963" i="1" s="1"/>
  <c r="L3961" i="1"/>
  <c r="L3959" i="1"/>
  <c r="L3957" i="1"/>
  <c r="L3955" i="1"/>
  <c r="L3953" i="1"/>
  <c r="L3951" i="1"/>
  <c r="L3949" i="1"/>
  <c r="L14" i="1"/>
  <c r="L9" i="1"/>
  <c r="L4287" i="1"/>
  <c r="L4285" i="1"/>
  <c r="L4283" i="1"/>
  <c r="L4281" i="1"/>
  <c r="L4279" i="1"/>
  <c r="L4277" i="1"/>
  <c r="L4275" i="1"/>
  <c r="L4273" i="1"/>
  <c r="M4273" i="1" s="1"/>
  <c r="L4271" i="1"/>
  <c r="L4269" i="1"/>
  <c r="L4267" i="1"/>
  <c r="L4265" i="1"/>
  <c r="L4263" i="1"/>
  <c r="M4263" i="1" s="1"/>
  <c r="L4261" i="1"/>
  <c r="L4258" i="1"/>
  <c r="L4256" i="1"/>
  <c r="L4254" i="1"/>
  <c r="L4252" i="1"/>
  <c r="L4250" i="1"/>
  <c r="L4248" i="1"/>
  <c r="L4246" i="1"/>
  <c r="L4244" i="1"/>
  <c r="L4242" i="1"/>
  <c r="L4240" i="1"/>
  <c r="M4240" i="1" s="1"/>
  <c r="L4222" i="1"/>
  <c r="L4221" i="1"/>
  <c r="L4220" i="1"/>
  <c r="L4168" i="1"/>
  <c r="L4166" i="1"/>
  <c r="L4164" i="1"/>
  <c r="L4162" i="1"/>
  <c r="M4162" i="1" s="1"/>
  <c r="L4144" i="1"/>
  <c r="L4142" i="1"/>
  <c r="M4142" i="1" s="1"/>
  <c r="L4128" i="1"/>
  <c r="L4126" i="1"/>
  <c r="L4124" i="1"/>
  <c r="L4122" i="1"/>
  <c r="L4120" i="1"/>
  <c r="L4118" i="1"/>
  <c r="L4115" i="1"/>
  <c r="L4113" i="1"/>
  <c r="L4111" i="1"/>
  <c r="L4109" i="1"/>
  <c r="M4109" i="1" s="1"/>
  <c r="L4107" i="1"/>
  <c r="L4105" i="1"/>
  <c r="L4103" i="1"/>
  <c r="L4101" i="1"/>
  <c r="M4101" i="1" s="1"/>
  <c r="L4090" i="1"/>
  <c r="L4088" i="1"/>
  <c r="M4088" i="1" s="1"/>
  <c r="L4054" i="1"/>
  <c r="L4052" i="1"/>
  <c r="L4050" i="1"/>
  <c r="L4048" i="1"/>
  <c r="L4046" i="1"/>
  <c r="L4044" i="1"/>
  <c r="L4042" i="1"/>
  <c r="L4040" i="1"/>
  <c r="L4038" i="1"/>
  <c r="M4038" i="1" s="1"/>
  <c r="L4018" i="1"/>
  <c r="L4016" i="1"/>
  <c r="L4014" i="1"/>
  <c r="L4012" i="1"/>
  <c r="L4010" i="1"/>
  <c r="M4010" i="1" s="1"/>
  <c r="L3982" i="1"/>
  <c r="L3980" i="1"/>
  <c r="L3978" i="1"/>
  <c r="L3975" i="1"/>
  <c r="L3973" i="1"/>
  <c r="L3971" i="1"/>
  <c r="L3969" i="1"/>
  <c r="M3969" i="1" s="1"/>
  <c r="L3968" i="1"/>
  <c r="L3966" i="1"/>
  <c r="M3966" i="1" s="1"/>
  <c r="L3964" i="1"/>
  <c r="L3962" i="1"/>
  <c r="L3960" i="1"/>
  <c r="L3958" i="1"/>
  <c r="L3956" i="1"/>
  <c r="L10" i="1"/>
  <c r="L6" i="1"/>
  <c r="L3906" i="1"/>
  <c r="L3904" i="1"/>
  <c r="M3904" i="1" s="1"/>
  <c r="L3864" i="1"/>
  <c r="L3824" i="1"/>
  <c r="L3822" i="1"/>
  <c r="L3797" i="1"/>
  <c r="L3795" i="1"/>
  <c r="L3754" i="1"/>
  <c r="L3731" i="1"/>
  <c r="L3702" i="1"/>
  <c r="L3700" i="1"/>
  <c r="L3636" i="1"/>
  <c r="M3636" i="1" s="1"/>
  <c r="L3620" i="1"/>
  <c r="L3619" i="1"/>
  <c r="L3592" i="1"/>
  <c r="L3590" i="1"/>
  <c r="L3565" i="1"/>
  <c r="L3563" i="1"/>
  <c r="M3563" i="1" s="1"/>
  <c r="L3540" i="1"/>
  <c r="L3538" i="1"/>
  <c r="L3536" i="1"/>
  <c r="L3465" i="1"/>
  <c r="L3463" i="1"/>
  <c r="L3426" i="1"/>
  <c r="M3426" i="1" s="1"/>
  <c r="L3424" i="1"/>
  <c r="L3422" i="1"/>
  <c r="L3420" i="1"/>
  <c r="L3418" i="1"/>
  <c r="M3418" i="1" s="1"/>
  <c r="L3378" i="1"/>
  <c r="M3378" i="1" s="1"/>
  <c r="L3377" i="1"/>
  <c r="L3375" i="1"/>
  <c r="M3375" i="1" s="1"/>
  <c r="L3373" i="1"/>
  <c r="L3371" i="1"/>
  <c r="L3369" i="1"/>
  <c r="L3367" i="1"/>
  <c r="L3365" i="1"/>
  <c r="L3363" i="1"/>
  <c r="M3363" i="1" s="1"/>
  <c r="L3361" i="1"/>
  <c r="L3307" i="1"/>
  <c r="L3306" i="1"/>
  <c r="L3139" i="1"/>
  <c r="L3138" i="1"/>
  <c r="L2950" i="1"/>
  <c r="L2948" i="1"/>
  <c r="L2946" i="1"/>
  <c r="L2944" i="1"/>
  <c r="L2942" i="1"/>
  <c r="L2940" i="1"/>
  <c r="L2938" i="1"/>
  <c r="L2935" i="1"/>
  <c r="L2843" i="1"/>
  <c r="M2843" i="1" s="1"/>
  <c r="L2841" i="1"/>
  <c r="L2839" i="1"/>
  <c r="L2837" i="1"/>
  <c r="L2835" i="1"/>
  <c r="L2833" i="1"/>
  <c r="L2831" i="1"/>
  <c r="L2829" i="1"/>
  <c r="M2829" i="1" s="1"/>
  <c r="L2828" i="1"/>
  <c r="L2826" i="1"/>
  <c r="L2824" i="1"/>
  <c r="L2822" i="1"/>
  <c r="L3914" i="1"/>
  <c r="L3912" i="1"/>
  <c r="L3910" i="1"/>
  <c r="L3909" i="1"/>
  <c r="L3907" i="1"/>
  <c r="M3907" i="1" s="1"/>
  <c r="L3871" i="1"/>
  <c r="L3869" i="1"/>
  <c r="L3867" i="1"/>
  <c r="L3865" i="1"/>
  <c r="M3865" i="1" s="1"/>
  <c r="L3827" i="1"/>
  <c r="L3802" i="1"/>
  <c r="L3800" i="1"/>
  <c r="L3785" i="1"/>
  <c r="M3785" i="1" s="1"/>
  <c r="L3783" i="1"/>
  <c r="L3781" i="1"/>
  <c r="L3779" i="1"/>
  <c r="L3777" i="1"/>
  <c r="L3775" i="1"/>
  <c r="L3773" i="1"/>
  <c r="L3740" i="1"/>
  <c r="M3740" i="1" s="1"/>
  <c r="L3738" i="1"/>
  <c r="L3736" i="1"/>
  <c r="L3734" i="1"/>
  <c r="L3715" i="1"/>
  <c r="L3713" i="1"/>
  <c r="L3711" i="1"/>
  <c r="L3709" i="1"/>
  <c r="L3707" i="1"/>
  <c r="L3705" i="1"/>
  <c r="L3670" i="1"/>
  <c r="M3670" i="1" s="1"/>
  <c r="L3648" i="1"/>
  <c r="L3646" i="1"/>
  <c r="L3644" i="1"/>
  <c r="L3642" i="1"/>
  <c r="L3640" i="1"/>
  <c r="L3638" i="1"/>
  <c r="L3596" i="1"/>
  <c r="L3593" i="1"/>
  <c r="M3593" i="1" s="1"/>
  <c r="L3571" i="1"/>
  <c r="M3571" i="1" s="1"/>
  <c r="L3569" i="1"/>
  <c r="L3567" i="1"/>
  <c r="M3567" i="1" s="1"/>
  <c r="L3544" i="1"/>
  <c r="M3544" i="1" s="1"/>
  <c r="L3542" i="1"/>
  <c r="L3502" i="1"/>
  <c r="M3502" i="1" s="1"/>
  <c r="L3476" i="1"/>
  <c r="L3429" i="1"/>
  <c r="L3427" i="1"/>
  <c r="L3380" i="1"/>
  <c r="L3236" i="1"/>
  <c r="M3236" i="1" s="1"/>
  <c r="L3201" i="1"/>
  <c r="L3199" i="1"/>
  <c r="L3197" i="1"/>
  <c r="L3195" i="1"/>
  <c r="L3193" i="1"/>
  <c r="L3191" i="1"/>
  <c r="L3189" i="1"/>
  <c r="L3187" i="1"/>
  <c r="L2975" i="1"/>
  <c r="L2971" i="1"/>
  <c r="L2969" i="1"/>
  <c r="L2965" i="1"/>
  <c r="L2963" i="1"/>
  <c r="L2956" i="1"/>
  <c r="L2954" i="1"/>
  <c r="L3946" i="1"/>
  <c r="M3946" i="1" s="1"/>
  <c r="L3916" i="1"/>
  <c r="M3916" i="1" s="1"/>
  <c r="L3877" i="1"/>
  <c r="M3877" i="1" s="1"/>
  <c r="L3875" i="1"/>
  <c r="L3873" i="1"/>
  <c r="L3849" i="1"/>
  <c r="M3849" i="1" s="1"/>
  <c r="L3806" i="1"/>
  <c r="L3804" i="1"/>
  <c r="L3789" i="1"/>
  <c r="L3787" i="1"/>
  <c r="L3746" i="1"/>
  <c r="L3744" i="1"/>
  <c r="L3742" i="1"/>
  <c r="L3725" i="1"/>
  <c r="L3723" i="1"/>
  <c r="L3721" i="1"/>
  <c r="L3719" i="1"/>
  <c r="L3611" i="1"/>
  <c r="L3609" i="1"/>
  <c r="M3609" i="1" s="1"/>
  <c r="L3586" i="1"/>
  <c r="M3586" i="1" s="1"/>
  <c r="L3580" i="1"/>
  <c r="L3578" i="1"/>
  <c r="L3575" i="1"/>
  <c r="L3573" i="1"/>
  <c r="L3555" i="1"/>
  <c r="M3555" i="1" s="1"/>
  <c r="L3510" i="1"/>
  <c r="L3508" i="1"/>
  <c r="L3506" i="1"/>
  <c r="L3504" i="1"/>
  <c r="L3457" i="1"/>
  <c r="L3455" i="1"/>
  <c r="L3415" i="1"/>
  <c r="M3415" i="1" s="1"/>
  <c r="L3405" i="1"/>
  <c r="L3403" i="1"/>
  <c r="L3402" i="1"/>
  <c r="L3400" i="1"/>
  <c r="L3398" i="1"/>
  <c r="L3297" i="1"/>
  <c r="L3295" i="1"/>
  <c r="L3293" i="1"/>
  <c r="L3291" i="1"/>
  <c r="L3289" i="1"/>
  <c r="M3289" i="1" s="1"/>
  <c r="L3288" i="1"/>
  <c r="L3286" i="1"/>
  <c r="L3284" i="1"/>
  <c r="L3282" i="1"/>
  <c r="L3280" i="1"/>
  <c r="L3278" i="1"/>
  <c r="L3277" i="1"/>
  <c r="M3277" i="1" s="1"/>
  <c r="L3275" i="1"/>
  <c r="L3255" i="1"/>
  <c r="L3253" i="1"/>
  <c r="L3251" i="1"/>
  <c r="L3248" i="1"/>
  <c r="L3246" i="1"/>
  <c r="L3244" i="1"/>
  <c r="L3242" i="1"/>
  <c r="L3240" i="1"/>
  <c r="L3238" i="1"/>
  <c r="L3948" i="1"/>
  <c r="L3890" i="1"/>
  <c r="L3888" i="1"/>
  <c r="L3886" i="1"/>
  <c r="L3884" i="1"/>
  <c r="L3882" i="1"/>
  <c r="L3880" i="1"/>
  <c r="L3879" i="1"/>
  <c r="L3862" i="1"/>
  <c r="L3821" i="1"/>
  <c r="M3821" i="1" s="1"/>
  <c r="L3807" i="1"/>
  <c r="M3807" i="1" s="1"/>
  <c r="L3792" i="1"/>
  <c r="L3752" i="1"/>
  <c r="M3752" i="1" s="1"/>
  <c r="L3750" i="1"/>
  <c r="L3748" i="1"/>
  <c r="L3729" i="1"/>
  <c r="L3727" i="1"/>
  <c r="L3699" i="1"/>
  <c r="M3699" i="1" s="1"/>
  <c r="L3697" i="1"/>
  <c r="L3695" i="1"/>
  <c r="L3693" i="1"/>
  <c r="L3691" i="1"/>
  <c r="L3616" i="1"/>
  <c r="L3614" i="1"/>
  <c r="L3612" i="1"/>
  <c r="M3612" i="1" s="1"/>
  <c r="L3589" i="1"/>
  <c r="M3589" i="1" s="1"/>
  <c r="L3588" i="1"/>
  <c r="L3557" i="1"/>
  <c r="L3513" i="1"/>
  <c r="L3511" i="1"/>
  <c r="M3511" i="1" s="1"/>
  <c r="L3460" i="1"/>
  <c r="L3458" i="1"/>
  <c r="M3458" i="1" s="1"/>
  <c r="L3417" i="1"/>
  <c r="L3304" i="1"/>
  <c r="M3304" i="1" s="1"/>
  <c r="L3302" i="1"/>
  <c r="L3300" i="1"/>
  <c r="L3134" i="1"/>
  <c r="L3131" i="1"/>
  <c r="L3129" i="1"/>
  <c r="L3950" i="1"/>
  <c r="L3905" i="1"/>
  <c r="L3863" i="1"/>
  <c r="M3863" i="1" s="1"/>
  <c r="L3825" i="1"/>
  <c r="L3823" i="1"/>
  <c r="L3798" i="1"/>
  <c r="L3796" i="1"/>
  <c r="L3771" i="1"/>
  <c r="M3771" i="1" s="1"/>
  <c r="L3753" i="1"/>
  <c r="L3732" i="1"/>
  <c r="L3730" i="1"/>
  <c r="M3730" i="1" s="1"/>
  <c r="L3703" i="1"/>
  <c r="L3701" i="1"/>
  <c r="L3621" i="1"/>
  <c r="L3618" i="1"/>
  <c r="L3591" i="1"/>
  <c r="L3566" i="1"/>
  <c r="L3564" i="1"/>
  <c r="L3539" i="1"/>
  <c r="L3537" i="1"/>
  <c r="L3535" i="1"/>
  <c r="L3534" i="1"/>
  <c r="M3534" i="1" s="1"/>
  <c r="L3464" i="1"/>
  <c r="L3462" i="1"/>
  <c r="M3462" i="1" s="1"/>
  <c r="L3425" i="1"/>
  <c r="L3423" i="1"/>
  <c r="L3421" i="1"/>
  <c r="L3419" i="1"/>
  <c r="L3376" i="1"/>
  <c r="L3374" i="1"/>
  <c r="L3372" i="1"/>
  <c r="L3370" i="1"/>
  <c r="L3368" i="1"/>
  <c r="L3366" i="1"/>
  <c r="L3364" i="1"/>
  <c r="L3362" i="1"/>
  <c r="L3360" i="1"/>
  <c r="L3359" i="1"/>
  <c r="M3359" i="1" s="1"/>
  <c r="L3305" i="1"/>
  <c r="L3140" i="1"/>
  <c r="L3137" i="1"/>
  <c r="L2949" i="1"/>
  <c r="L2947" i="1"/>
  <c r="L2945" i="1"/>
  <c r="L2943" i="1"/>
  <c r="L2941" i="1"/>
  <c r="L2939" i="1"/>
  <c r="L2937" i="1"/>
  <c r="M2937" i="1" s="1"/>
  <c r="L2936" i="1"/>
  <c r="L2934" i="1"/>
  <c r="M2934" i="1" s="1"/>
  <c r="L2842" i="1"/>
  <c r="L2840" i="1"/>
  <c r="L2838" i="1"/>
  <c r="L2836" i="1"/>
  <c r="L2834" i="1"/>
  <c r="L2832" i="1"/>
  <c r="L2830" i="1"/>
  <c r="L2827" i="1"/>
  <c r="L2825" i="1"/>
  <c r="L2823" i="1"/>
  <c r="L2821" i="1"/>
  <c r="M2821" i="1" s="1"/>
  <c r="L2783" i="1"/>
  <c r="L2781" i="1"/>
  <c r="L2779" i="1"/>
  <c r="L2777" i="1"/>
  <c r="L2775" i="1"/>
  <c r="M2775" i="1" s="1"/>
  <c r="L2773" i="1"/>
  <c r="L2771" i="1"/>
  <c r="L3952" i="1"/>
  <c r="L3915" i="1"/>
  <c r="L3913" i="1"/>
  <c r="L3911" i="1"/>
  <c r="L3908" i="1"/>
  <c r="L3872" i="1"/>
  <c r="M3872" i="1" s="1"/>
  <c r="L3870" i="1"/>
  <c r="L3868" i="1"/>
  <c r="L3866" i="1"/>
  <c r="L3828" i="1"/>
  <c r="L3826" i="1"/>
  <c r="M3826" i="1" s="1"/>
  <c r="L3803" i="1"/>
  <c r="M3803" i="1" s="1"/>
  <c r="L3801" i="1"/>
  <c r="L3799" i="1"/>
  <c r="M3799" i="1" s="1"/>
  <c r="L3784" i="1"/>
  <c r="L3782" i="1"/>
  <c r="L3780" i="1"/>
  <c r="L3778" i="1"/>
  <c r="L3776" i="1"/>
  <c r="L3774" i="1"/>
  <c r="L3772" i="1"/>
  <c r="L3739" i="1"/>
  <c r="L3737" i="1"/>
  <c r="L3735" i="1"/>
  <c r="L3733" i="1"/>
  <c r="M3733" i="1" s="1"/>
  <c r="L3716" i="1"/>
  <c r="L3714" i="1"/>
  <c r="L3712" i="1"/>
  <c r="L3710" i="1"/>
  <c r="L3708" i="1"/>
  <c r="L3706" i="1"/>
  <c r="L3704" i="1"/>
  <c r="M3704" i="1" s="1"/>
  <c r="L3649" i="1"/>
  <c r="L3647" i="1"/>
  <c r="L3645" i="1"/>
  <c r="L3643" i="1"/>
  <c r="L3641" i="1"/>
  <c r="L3639" i="1"/>
  <c r="L3637" i="1"/>
  <c r="L3595" i="1"/>
  <c r="L3594" i="1"/>
  <c r="L3570" i="1"/>
  <c r="L3568" i="1"/>
  <c r="L3543" i="1"/>
  <c r="L3541" i="1"/>
  <c r="M3541" i="1" s="1"/>
  <c r="L3477" i="1"/>
  <c r="L3475" i="1"/>
  <c r="M3475" i="1" s="1"/>
  <c r="L3454" i="1"/>
  <c r="M3454" i="1" s="1"/>
  <c r="L3428" i="1"/>
  <c r="L3397" i="1"/>
  <c r="M3397" i="1" s="1"/>
  <c r="L3381" i="1"/>
  <c r="L3379" i="1"/>
  <c r="L3200" i="1"/>
  <c r="L3198" i="1"/>
  <c r="L3196" i="1"/>
  <c r="L3194" i="1"/>
  <c r="L3192" i="1"/>
  <c r="M3192" i="1" s="1"/>
  <c r="L3190" i="1"/>
  <c r="L3188" i="1"/>
  <c r="L3186" i="1"/>
  <c r="L3185" i="1"/>
  <c r="M3185" i="1" s="1"/>
  <c r="L2984" i="1"/>
  <c r="M2984" i="1" s="1"/>
  <c r="L2974" i="1"/>
  <c r="L2970" i="1"/>
  <c r="L2966" i="1"/>
  <c r="L2964" i="1"/>
  <c r="L2962" i="1"/>
  <c r="L2959" i="1"/>
  <c r="L2955" i="1"/>
  <c r="L2953" i="1"/>
  <c r="M2953" i="1" s="1"/>
  <c r="L2881" i="1"/>
  <c r="L2879" i="1"/>
  <c r="L2877" i="1"/>
  <c r="L2876" i="1"/>
  <c r="L2874" i="1"/>
  <c r="M2874" i="1" s="1"/>
  <c r="L2846" i="1"/>
  <c r="L2844" i="1"/>
  <c r="L3954" i="1"/>
  <c r="L3917" i="1"/>
  <c r="L3876" i="1"/>
  <c r="L3874" i="1"/>
  <c r="L3850" i="1"/>
  <c r="L3805" i="1"/>
  <c r="L3790" i="1"/>
  <c r="L3788" i="1"/>
  <c r="L3786" i="1"/>
  <c r="L3747" i="1"/>
  <c r="M3747" i="1" s="1"/>
  <c r="L3745" i="1"/>
  <c r="L3743" i="1"/>
  <c r="L3741" i="1"/>
  <c r="L3726" i="1"/>
  <c r="M3726" i="1" s="1"/>
  <c r="L3724" i="1"/>
  <c r="L3722" i="1"/>
  <c r="L3720" i="1"/>
  <c r="L3718" i="1"/>
  <c r="L3717" i="1"/>
  <c r="M3717" i="1" s="1"/>
  <c r="L3671" i="1"/>
  <c r="L3610" i="1"/>
  <c r="L3579" i="1"/>
  <c r="L3577" i="1"/>
  <c r="L3576" i="1"/>
  <c r="L3574" i="1"/>
  <c r="L3572" i="1"/>
  <c r="L3546" i="1"/>
  <c r="L3545" i="1"/>
  <c r="L3509" i="1"/>
  <c r="L3507" i="1"/>
  <c r="L3505" i="1"/>
  <c r="L3503" i="1"/>
  <c r="L3456" i="1"/>
  <c r="L3404" i="1"/>
  <c r="L3401" i="1"/>
  <c r="L3399" i="1"/>
  <c r="L3298" i="1"/>
  <c r="L3296" i="1"/>
  <c r="L3294" i="1"/>
  <c r="L3292" i="1"/>
  <c r="L3290" i="1"/>
  <c r="L3287" i="1"/>
  <c r="L3285" i="1"/>
  <c r="L3283" i="1"/>
  <c r="L3281" i="1"/>
  <c r="L3279" i="1"/>
  <c r="L3276" i="1"/>
  <c r="L3274" i="1"/>
  <c r="M3274" i="1" s="1"/>
  <c r="L3254" i="1"/>
  <c r="L3252" i="1"/>
  <c r="L3250" i="1"/>
  <c r="M3250" i="1" s="1"/>
  <c r="L3249" i="1"/>
  <c r="L3247" i="1"/>
  <c r="L3245" i="1"/>
  <c r="L3243" i="1"/>
  <c r="L3241" i="1"/>
  <c r="L3239" i="1"/>
  <c r="L3947" i="1"/>
  <c r="L3891" i="1"/>
  <c r="L3889" i="1"/>
  <c r="L3887" i="1"/>
  <c r="L3885" i="1"/>
  <c r="L3883" i="1"/>
  <c r="L3881" i="1"/>
  <c r="L3878" i="1"/>
  <c r="L3861" i="1"/>
  <c r="M3861" i="1" s="1"/>
  <c r="L3808" i="1"/>
  <c r="L3794" i="1"/>
  <c r="M3794" i="1" s="1"/>
  <c r="L3793" i="1"/>
  <c r="L3791" i="1"/>
  <c r="M3791" i="1" s="1"/>
  <c r="L3751" i="1"/>
  <c r="L3749" i="1"/>
  <c r="L3728" i="1"/>
  <c r="L3698" i="1"/>
  <c r="L3696" i="1"/>
  <c r="L3694" i="1"/>
  <c r="L3692" i="1"/>
  <c r="L3690" i="1"/>
  <c r="M3690" i="1" s="1"/>
  <c r="L3617" i="1"/>
  <c r="M3617" i="1" s="1"/>
  <c r="L3615" i="1"/>
  <c r="L3613" i="1"/>
  <c r="L3587" i="1"/>
  <c r="L3558" i="1"/>
  <c r="L3556" i="1"/>
  <c r="L3512" i="1"/>
  <c r="L3461" i="1"/>
  <c r="L3459" i="1"/>
  <c r="L3416" i="1"/>
  <c r="L3303" i="1"/>
  <c r="L3301" i="1"/>
  <c r="L3299" i="1"/>
  <c r="M3299" i="1" s="1"/>
  <c r="L3237" i="1"/>
  <c r="L3127" i="1"/>
  <c r="L3125" i="1"/>
  <c r="L3123" i="1"/>
  <c r="L3121" i="1"/>
  <c r="L3119" i="1"/>
  <c r="L3110" i="1"/>
  <c r="L3108" i="1"/>
  <c r="L3106" i="1"/>
  <c r="L3104" i="1"/>
  <c r="L3078" i="1"/>
  <c r="L3076" i="1"/>
  <c r="L3074" i="1"/>
  <c r="L3073" i="1"/>
  <c r="M3073" i="1" s="1"/>
  <c r="L3072" i="1"/>
  <c r="L3070" i="1"/>
  <c r="L3068" i="1"/>
  <c r="L3066" i="1"/>
  <c r="L2933" i="1"/>
  <c r="L2931" i="1"/>
  <c r="M2931" i="1" s="1"/>
  <c r="L2880" i="1"/>
  <c r="L2778" i="1"/>
  <c r="L2769" i="1"/>
  <c r="L2767" i="1"/>
  <c r="M2767" i="1" s="1"/>
  <c r="L2743" i="1"/>
  <c r="M2743" i="1" s="1"/>
  <c r="L2676" i="1"/>
  <c r="L2674" i="1"/>
  <c r="L2672" i="1"/>
  <c r="L2669" i="1"/>
  <c r="L2543" i="1"/>
  <c r="M2543" i="1" s="1"/>
  <c r="L2501" i="1"/>
  <c r="L2499" i="1"/>
  <c r="L2462" i="1"/>
  <c r="L2460" i="1"/>
  <c r="L2458" i="1"/>
  <c r="L2457" i="1"/>
  <c r="L2454" i="1"/>
  <c r="M2454" i="1" s="1"/>
  <c r="L2429" i="1"/>
  <c r="M2429" i="1" s="1"/>
  <c r="L2259" i="1"/>
  <c r="L2257" i="1"/>
  <c r="L2255" i="1"/>
  <c r="M2255" i="1" s="1"/>
  <c r="L2133" i="1"/>
  <c r="L2131" i="1"/>
  <c r="L2129" i="1"/>
  <c r="L2127" i="1"/>
  <c r="L2125" i="1"/>
  <c r="L2123" i="1"/>
  <c r="L2121" i="1"/>
  <c r="L2119" i="1"/>
  <c r="M2119" i="1" s="1"/>
  <c r="L2031" i="1"/>
  <c r="L2029" i="1"/>
  <c r="L2027" i="1"/>
  <c r="L2025" i="1"/>
  <c r="L2023" i="1"/>
  <c r="L2022" i="1"/>
  <c r="L1825" i="1"/>
  <c r="M1825" i="1" s="1"/>
  <c r="L1805" i="1"/>
  <c r="L1803" i="1"/>
  <c r="L1801" i="1"/>
  <c r="L1799" i="1"/>
  <c r="L1797" i="1"/>
  <c r="L1795" i="1"/>
  <c r="L981" i="1"/>
  <c r="L917" i="1"/>
  <c r="L911" i="1"/>
  <c r="L907" i="1"/>
  <c r="L899" i="1"/>
  <c r="L894" i="1"/>
  <c r="L888" i="1"/>
  <c r="L3128" i="1"/>
  <c r="L3006" i="1"/>
  <c r="M3006" i="1" s="1"/>
  <c r="L2986" i="1"/>
  <c r="L2985" i="1"/>
  <c r="L2845" i="1"/>
  <c r="L2780" i="1"/>
  <c r="L2747" i="1"/>
  <c r="M2747" i="1" s="1"/>
  <c r="L2745" i="1"/>
  <c r="L2713" i="1"/>
  <c r="L2711" i="1"/>
  <c r="L2709" i="1"/>
  <c r="L2706" i="1"/>
  <c r="L2704" i="1"/>
  <c r="L2702" i="1"/>
  <c r="L2700" i="1"/>
  <c r="L2698" i="1"/>
  <c r="L2696" i="1"/>
  <c r="L2545" i="1"/>
  <c r="L2474" i="1"/>
  <c r="L2472" i="1"/>
  <c r="L2470" i="1"/>
  <c r="L2468" i="1"/>
  <c r="L2466" i="1"/>
  <c r="L2464" i="1"/>
  <c r="L1890" i="1"/>
  <c r="M1890" i="1" s="1"/>
  <c r="L1858" i="1"/>
  <c r="L1856" i="1"/>
  <c r="L1854" i="1"/>
  <c r="L1852" i="1"/>
  <c r="L1850" i="1"/>
  <c r="L1848" i="1"/>
  <c r="L1846" i="1"/>
  <c r="L1844" i="1"/>
  <c r="L1842" i="1"/>
  <c r="M1842" i="1" s="1"/>
  <c r="L1837" i="1"/>
  <c r="L1835" i="1"/>
  <c r="L1833" i="1"/>
  <c r="L1832" i="1"/>
  <c r="L1831" i="1"/>
  <c r="L1829" i="1"/>
  <c r="L1827" i="1"/>
  <c r="L1291" i="1"/>
  <c r="L1289" i="1"/>
  <c r="M1289" i="1" s="1"/>
  <c r="L1287" i="1"/>
  <c r="L1285" i="1"/>
  <c r="L1283" i="1"/>
  <c r="L1281" i="1"/>
  <c r="L1279" i="1"/>
  <c r="L1277" i="1"/>
  <c r="M1277" i="1" s="1"/>
  <c r="L3130" i="1"/>
  <c r="L3018" i="1"/>
  <c r="M3018" i="1" s="1"/>
  <c r="L3016" i="1"/>
  <c r="L3014" i="1"/>
  <c r="L3012" i="1"/>
  <c r="L3010" i="1"/>
  <c r="L3008" i="1"/>
  <c r="L2901" i="1"/>
  <c r="M2901" i="1" s="1"/>
  <c r="L2782" i="1"/>
  <c r="L2753" i="1"/>
  <c r="M2753" i="1" s="1"/>
  <c r="L2751" i="1"/>
  <c r="L2749" i="1"/>
  <c r="L2723" i="1"/>
  <c r="L2721" i="1"/>
  <c r="L2719" i="1"/>
  <c r="L2717" i="1"/>
  <c r="L2715" i="1"/>
  <c r="L2635" i="1"/>
  <c r="M2635" i="1" s="1"/>
  <c r="L2625" i="1"/>
  <c r="L2599" i="1"/>
  <c r="L2581" i="1"/>
  <c r="L2579" i="1"/>
  <c r="L2577" i="1"/>
  <c r="L2575" i="1"/>
  <c r="M2575" i="1" s="1"/>
  <c r="L2487" i="1"/>
  <c r="L2485" i="1"/>
  <c r="L2483" i="1"/>
  <c r="M2483" i="1" s="1"/>
  <c r="L2481" i="1"/>
  <c r="L2479" i="1"/>
  <c r="L2477" i="1"/>
  <c r="L1925" i="1"/>
  <c r="L1924" i="1"/>
  <c r="L1892" i="1"/>
  <c r="L1420" i="1"/>
  <c r="L1418" i="1"/>
  <c r="L1416" i="1"/>
  <c r="M1416" i="1" s="1"/>
  <c r="L3132" i="1"/>
  <c r="L3021" i="1"/>
  <c r="L3020" i="1"/>
  <c r="L2929" i="1"/>
  <c r="L2927" i="1"/>
  <c r="L2784" i="1"/>
  <c r="L2765" i="1"/>
  <c r="L2763" i="1"/>
  <c r="L2761" i="1"/>
  <c r="L2759" i="1"/>
  <c r="L2757" i="1"/>
  <c r="L2755" i="1"/>
  <c r="M2755" i="1" s="1"/>
  <c r="L2740" i="1"/>
  <c r="L2738" i="1"/>
  <c r="L2736" i="1"/>
  <c r="L2734" i="1"/>
  <c r="L2732" i="1"/>
  <c r="M2732" i="1" s="1"/>
  <c r="L2731" i="1"/>
  <c r="L2729" i="1"/>
  <c r="L2727" i="1"/>
  <c r="L2725" i="1"/>
  <c r="L2668" i="1"/>
  <c r="M2668" i="1" s="1"/>
  <c r="L2666" i="1"/>
  <c r="L2664" i="1"/>
  <c r="M2664" i="1" s="1"/>
  <c r="L2651" i="1"/>
  <c r="L2649" i="1"/>
  <c r="L2638" i="1"/>
  <c r="L2636" i="1"/>
  <c r="L2497" i="1"/>
  <c r="L2495" i="1"/>
  <c r="L2493" i="1"/>
  <c r="L2491" i="1"/>
  <c r="L2489" i="1"/>
  <c r="L2021" i="1"/>
  <c r="M2021" i="1" s="1"/>
  <c r="L1985" i="1"/>
  <c r="L1984" i="1"/>
  <c r="L1602" i="1"/>
  <c r="L1600" i="1"/>
  <c r="L1599" i="1"/>
  <c r="L1598" i="1"/>
  <c r="M1598" i="1" s="1"/>
  <c r="L1524" i="1"/>
  <c r="L1522" i="1"/>
  <c r="L1520" i="1"/>
  <c r="L1518" i="1"/>
  <c r="L1516" i="1"/>
  <c r="L1514" i="1"/>
  <c r="L1512" i="1"/>
  <c r="L12" i="1"/>
  <c r="L8" i="1"/>
  <c r="L982" i="1"/>
  <c r="L3133" i="1"/>
  <c r="L3126" i="1"/>
  <c r="L3124" i="1"/>
  <c r="L3122" i="1"/>
  <c r="L3120" i="1"/>
  <c r="L3118" i="1"/>
  <c r="M3118" i="1" s="1"/>
  <c r="L3112" i="1"/>
  <c r="L3111" i="1"/>
  <c r="L3109" i="1"/>
  <c r="L3107" i="1"/>
  <c r="L3105" i="1"/>
  <c r="L3103" i="1"/>
  <c r="M3103" i="1" s="1"/>
  <c r="L3077" i="1"/>
  <c r="L3075" i="1"/>
  <c r="L3071" i="1"/>
  <c r="L3069" i="1"/>
  <c r="L3067" i="1"/>
  <c r="L3065" i="1"/>
  <c r="L2932" i="1"/>
  <c r="L2770" i="1"/>
  <c r="L2768" i="1"/>
  <c r="L2742" i="1"/>
  <c r="L2741" i="1"/>
  <c r="M2741" i="1" s="1"/>
  <c r="L2695" i="1"/>
  <c r="M2695" i="1" s="1"/>
  <c r="L2675" i="1"/>
  <c r="L2673" i="1"/>
  <c r="L2671" i="1"/>
  <c r="L2670" i="1"/>
  <c r="L2500" i="1"/>
  <c r="L2498" i="1"/>
  <c r="M2498" i="1" s="1"/>
  <c r="L2463" i="1"/>
  <c r="M2463" i="1" s="1"/>
  <c r="L2461" i="1"/>
  <c r="L2459" i="1"/>
  <c r="L2456" i="1"/>
  <c r="L2455" i="1"/>
  <c r="L2431" i="1"/>
  <c r="L2430" i="1"/>
  <c r="L2260" i="1"/>
  <c r="L2258" i="1"/>
  <c r="L2256" i="1"/>
  <c r="L2134" i="1"/>
  <c r="L2132" i="1"/>
  <c r="L2130" i="1"/>
  <c r="L2128" i="1"/>
  <c r="L2126" i="1"/>
  <c r="L2124" i="1"/>
  <c r="L2122" i="1"/>
  <c r="L2120" i="1"/>
  <c r="L2030" i="1"/>
  <c r="L2028" i="1"/>
  <c r="L2026" i="1"/>
  <c r="L2024" i="1"/>
  <c r="L1806" i="1"/>
  <c r="L1804" i="1"/>
  <c r="L1802" i="1"/>
  <c r="L1800" i="1"/>
  <c r="L1798" i="1"/>
  <c r="L1796" i="1"/>
  <c r="L3135" i="1"/>
  <c r="L2987" i="1"/>
  <c r="L2875" i="1"/>
  <c r="L2772" i="1"/>
  <c r="L2746" i="1"/>
  <c r="L2744" i="1"/>
  <c r="L2714" i="1"/>
  <c r="M2714" i="1" s="1"/>
  <c r="L2712" i="1"/>
  <c r="L2710" i="1"/>
  <c r="L2708" i="1"/>
  <c r="L2707" i="1"/>
  <c r="L2705" i="1"/>
  <c r="L2703" i="1"/>
  <c r="L2701" i="1"/>
  <c r="L2699" i="1"/>
  <c r="L2697" i="1"/>
  <c r="L2546" i="1"/>
  <c r="L2544" i="1"/>
  <c r="L2476" i="1"/>
  <c r="M2476" i="1" s="1"/>
  <c r="L2475" i="1"/>
  <c r="L2473" i="1"/>
  <c r="L2471" i="1"/>
  <c r="L2469" i="1"/>
  <c r="L2467" i="1"/>
  <c r="L2465" i="1"/>
  <c r="L1859" i="1"/>
  <c r="L1857" i="1"/>
  <c r="L1855" i="1"/>
  <c r="L1853" i="1"/>
  <c r="L1851" i="1"/>
  <c r="L1849" i="1"/>
  <c r="L1847" i="1"/>
  <c r="L1845" i="1"/>
  <c r="L1843" i="1"/>
  <c r="L1836" i="1"/>
  <c r="L1834" i="1"/>
  <c r="L1830" i="1"/>
  <c r="L1828" i="1"/>
  <c r="L1826" i="1"/>
  <c r="L1290" i="1"/>
  <c r="L1288" i="1"/>
  <c r="L1286" i="1"/>
  <c r="L1284" i="1"/>
  <c r="L1282" i="1"/>
  <c r="L1280" i="1"/>
  <c r="L1278" i="1"/>
  <c r="L3136" i="1"/>
  <c r="M3136" i="1" s="1"/>
  <c r="L3017" i="1"/>
  <c r="L3015" i="1"/>
  <c r="L3013" i="1"/>
  <c r="L3011" i="1"/>
  <c r="L3009" i="1"/>
  <c r="L3007" i="1"/>
  <c r="L2926" i="1"/>
  <c r="M2926" i="1" s="1"/>
  <c r="L2774" i="1"/>
  <c r="L2752" i="1"/>
  <c r="L2750" i="1"/>
  <c r="L2748" i="1"/>
  <c r="L2724" i="1"/>
  <c r="M2724" i="1" s="1"/>
  <c r="L2722" i="1"/>
  <c r="L2720" i="1"/>
  <c r="L2718" i="1"/>
  <c r="L2716" i="1"/>
  <c r="L2624" i="1"/>
  <c r="M2624" i="1" s="1"/>
  <c r="L2598" i="1"/>
  <c r="M2598" i="1" s="1"/>
  <c r="L2582" i="1"/>
  <c r="L2580" i="1"/>
  <c r="L2578" i="1"/>
  <c r="L2576" i="1"/>
  <c r="L2488" i="1"/>
  <c r="M2488" i="1" s="1"/>
  <c r="L2486" i="1"/>
  <c r="L2484" i="1"/>
  <c r="L2482" i="1"/>
  <c r="L2480" i="1"/>
  <c r="L2478" i="1"/>
  <c r="L1923" i="1"/>
  <c r="M1923" i="1" s="1"/>
  <c r="L1891" i="1"/>
  <c r="L1511" i="1"/>
  <c r="M1511" i="1" s="1"/>
  <c r="L1421" i="1"/>
  <c r="L1419" i="1"/>
  <c r="L1417" i="1"/>
  <c r="L13" i="1"/>
  <c r="L3" i="1"/>
  <c r="L1523" i="1"/>
  <c r="L1519" i="1"/>
  <c r="L1515" i="1"/>
  <c r="L983" i="1"/>
  <c r="L975" i="1"/>
  <c r="M975" i="1" s="1"/>
  <c r="L915" i="1"/>
  <c r="L905" i="1"/>
  <c r="L901" i="1"/>
  <c r="L890" i="1"/>
  <c r="L887" i="1"/>
  <c r="L3064" i="1"/>
  <c r="M3064" i="1" s="1"/>
  <c r="L3019" i="1"/>
  <c r="L2930" i="1"/>
  <c r="L2928" i="1"/>
  <c r="L2878" i="1"/>
  <c r="L2776" i="1"/>
  <c r="L2766" i="1"/>
  <c r="L2764" i="1"/>
  <c r="L2762" i="1"/>
  <c r="L2760" i="1"/>
  <c r="L2758" i="1"/>
  <c r="L2756" i="1"/>
  <c r="L2754" i="1"/>
  <c r="L2739" i="1"/>
  <c r="L2737" i="1"/>
  <c r="L2735" i="1"/>
  <c r="L2733" i="1"/>
  <c r="L2730" i="1"/>
  <c r="L2728" i="1"/>
  <c r="L2726" i="1"/>
  <c r="L2667" i="1"/>
  <c r="L2665" i="1"/>
  <c r="L2650" i="1"/>
  <c r="L2648" i="1"/>
  <c r="L2647" i="1"/>
  <c r="M2647" i="1" s="1"/>
  <c r="L2637" i="1"/>
  <c r="L2496" i="1"/>
  <c r="L2494" i="1"/>
  <c r="L2492" i="1"/>
  <c r="L2490" i="1"/>
  <c r="L1983" i="1"/>
  <c r="M1983" i="1" s="1"/>
  <c r="L1794" i="1"/>
  <c r="M1794" i="1" s="1"/>
  <c r="L1603" i="1"/>
  <c r="L1601" i="1"/>
  <c r="L1521" i="1"/>
  <c r="L1517" i="1"/>
  <c r="L1513" i="1"/>
  <c r="L11" i="1"/>
  <c r="L2" i="1"/>
  <c r="M2" i="1" s="1"/>
  <c r="L979" i="1"/>
  <c r="L977" i="1"/>
  <c r="L913" i="1"/>
  <c r="L909" i="1"/>
  <c r="L903" i="1"/>
  <c r="L897" i="1"/>
  <c r="L892" i="1"/>
  <c r="L7" i="1"/>
  <c r="L217" i="1"/>
  <c r="L226" i="1"/>
  <c r="M226" i="1" s="1"/>
  <c r="L551" i="1"/>
  <c r="L553" i="1"/>
  <c r="L555" i="1"/>
  <c r="L557" i="1"/>
  <c r="L559" i="1"/>
  <c r="L561" i="1"/>
  <c r="L563" i="1"/>
  <c r="M563" i="1" s="1"/>
  <c r="L693" i="1"/>
  <c r="M693" i="1" s="1"/>
  <c r="L771" i="1"/>
  <c r="L773" i="1"/>
  <c r="L775" i="1"/>
  <c r="L777" i="1"/>
  <c r="L893" i="1"/>
  <c r="L906" i="1"/>
  <c r="L100" i="1"/>
  <c r="L547" i="1"/>
  <c r="L549" i="1"/>
  <c r="M549" i="1" s="1"/>
  <c r="L603" i="1"/>
  <c r="L605" i="1"/>
  <c r="L607" i="1"/>
  <c r="L609" i="1"/>
  <c r="L611" i="1"/>
  <c r="L613" i="1"/>
  <c r="L750" i="1"/>
  <c r="L752" i="1"/>
  <c r="L754" i="1"/>
  <c r="L756" i="1"/>
  <c r="L758" i="1"/>
  <c r="L760" i="1"/>
  <c r="L762" i="1"/>
  <c r="L765" i="1"/>
  <c r="L767" i="1"/>
  <c r="L769" i="1"/>
  <c r="L868" i="1"/>
  <c r="L870" i="1"/>
  <c r="L872" i="1"/>
  <c r="L891" i="1"/>
  <c r="L904" i="1"/>
  <c r="L95" i="1"/>
  <c r="L214" i="1"/>
  <c r="M214" i="1" s="1"/>
  <c r="L23" i="1"/>
  <c r="L28" i="1"/>
  <c r="L32" i="1"/>
  <c r="L36" i="1"/>
  <c r="L40" i="1"/>
  <c r="L44" i="1"/>
  <c r="L94" i="1"/>
  <c r="M94" i="1" s="1"/>
  <c r="L325" i="1"/>
  <c r="L329" i="1"/>
  <c r="L333" i="1"/>
  <c r="L336" i="1"/>
  <c r="L340" i="1"/>
  <c r="L344" i="1"/>
  <c r="L583" i="1"/>
  <c r="L585" i="1"/>
  <c r="L587" i="1"/>
  <c r="L589" i="1"/>
  <c r="L591" i="1"/>
  <c r="L593" i="1"/>
  <c r="L595" i="1"/>
  <c r="L597" i="1"/>
  <c r="L599" i="1"/>
  <c r="L601" i="1"/>
  <c r="L831" i="1"/>
  <c r="L832" i="1"/>
  <c r="L834" i="1"/>
  <c r="L836" i="1"/>
  <c r="L838" i="1"/>
  <c r="L840" i="1"/>
  <c r="L842" i="1"/>
  <c r="L864" i="1"/>
  <c r="M864" i="1" s="1"/>
  <c r="L889" i="1"/>
  <c r="L902" i="1"/>
  <c r="L918" i="1"/>
  <c r="L980" i="1"/>
  <c r="L102" i="1"/>
  <c r="L21" i="1"/>
  <c r="L30" i="1"/>
  <c r="L34" i="1"/>
  <c r="L38" i="1"/>
  <c r="L42" i="1"/>
  <c r="L46" i="1"/>
  <c r="L323" i="1"/>
  <c r="L327" i="1"/>
  <c r="L331" i="1"/>
  <c r="L334" i="1"/>
  <c r="L338" i="1"/>
  <c r="L342" i="1"/>
  <c r="L546" i="1"/>
  <c r="M546" i="1" s="1"/>
  <c r="L16" i="1"/>
  <c r="L18" i="1"/>
  <c r="L20" i="1"/>
  <c r="M20" i="1" s="1"/>
  <c r="L227" i="1"/>
  <c r="L321" i="1"/>
  <c r="M321" i="1" s="1"/>
  <c r="L564" i="1"/>
  <c r="L566" i="1"/>
  <c r="L568" i="1"/>
  <c r="L570" i="1"/>
  <c r="L571" i="1"/>
  <c r="L573" i="1"/>
  <c r="L575" i="1"/>
  <c r="L694" i="1"/>
  <c r="L696" i="1"/>
  <c r="L698" i="1"/>
  <c r="L700" i="1"/>
  <c r="L810" i="1"/>
  <c r="L812" i="1"/>
  <c r="L814" i="1"/>
  <c r="L816" i="1"/>
  <c r="L818" i="1"/>
  <c r="L820" i="1"/>
  <c r="L822" i="1"/>
  <c r="L824" i="1"/>
  <c r="L826" i="1"/>
  <c r="L828" i="1"/>
  <c r="L900" i="1"/>
  <c r="L916" i="1"/>
  <c r="L978" i="1"/>
  <c r="L98" i="1"/>
  <c r="L25" i="1"/>
  <c r="L5" i="1"/>
  <c r="L215" i="1"/>
  <c r="L216" i="1"/>
  <c r="L550" i="1"/>
  <c r="L552" i="1"/>
  <c r="L554" i="1"/>
  <c r="L556" i="1"/>
  <c r="L558" i="1"/>
  <c r="L560" i="1"/>
  <c r="L562" i="1"/>
  <c r="L772" i="1"/>
  <c r="L774" i="1"/>
  <c r="L776" i="1"/>
  <c r="L808" i="1"/>
  <c r="M808" i="1" s="1"/>
  <c r="L886" i="1"/>
  <c r="M886" i="1" s="1"/>
  <c r="L898" i="1"/>
  <c r="L914" i="1"/>
  <c r="L976" i="1"/>
  <c r="L97" i="1"/>
  <c r="L103" i="1"/>
  <c r="L548" i="1"/>
  <c r="L604" i="1"/>
  <c r="L606" i="1"/>
  <c r="L608" i="1"/>
  <c r="L610" i="1"/>
  <c r="L612" i="1"/>
  <c r="L614" i="1"/>
  <c r="L751" i="1"/>
  <c r="L753" i="1"/>
  <c r="L755" i="1"/>
  <c r="L757" i="1"/>
  <c r="L759" i="1"/>
  <c r="L761" i="1"/>
  <c r="L763" i="1"/>
  <c r="L764" i="1"/>
  <c r="L766" i="1"/>
  <c r="L768" i="1"/>
  <c r="L770" i="1"/>
  <c r="M770" i="1" s="1"/>
  <c r="L865" i="1"/>
  <c r="L866" i="1"/>
  <c r="L867" i="1"/>
  <c r="L869" i="1"/>
  <c r="L871" i="1"/>
  <c r="L873" i="1"/>
  <c r="L896" i="1"/>
  <c r="L912" i="1"/>
  <c r="B3" i="2" l="1"/>
  <c r="B4" i="2" l="1"/>
  <c r="B5" i="2" l="1"/>
</calcChain>
</file>

<file path=xl/sharedStrings.xml><?xml version="1.0" encoding="utf-8"?>
<sst xmlns="http://schemas.openxmlformats.org/spreadsheetml/2006/main" count="18950" uniqueCount="5632">
  <si>
    <t>id</t>
  </si>
  <si>
    <t>technique</t>
  </si>
  <si>
    <t>full_text</t>
  </si>
  <si>
    <t>original_inner_text</t>
  </si>
  <si>
    <t>is_taken</t>
  </si>
  <si>
    <t>augmented_text</t>
  </si>
  <si>
    <t>id_order</t>
  </si>
  <si>
    <t>أقل تكرار لهذا id</t>
  </si>
  <si>
    <t>القيمة (مرة واحدة لكل id)</t>
  </si>
  <si>
    <t>Loaded Language</t>
  </si>
  <si>
    <r>
      <rPr>
        <sz val="11"/>
        <color theme="1"/>
        <rFont val="Calibri"/>
        <family val="2"/>
        <charset val="1"/>
      </rPr>
      <t>#</t>
    </r>
    <r>
      <rPr>
        <sz val="11"/>
        <color theme="1"/>
        <rFont val="FreeSans"/>
        <family val="2"/>
      </rPr>
      <t>تحالف</t>
    </r>
    <r>
      <rPr>
        <sz val="11"/>
        <color theme="1"/>
        <rFont val="Calibri"/>
        <family val="2"/>
        <charset val="1"/>
      </rPr>
      <t>_</t>
    </r>
    <r>
      <rPr>
        <sz val="11"/>
        <color theme="1"/>
        <rFont val="FreeSans"/>
        <family val="2"/>
      </rPr>
      <t>دعم</t>
    </r>
    <r>
      <rPr>
        <sz val="11"/>
        <color theme="1"/>
        <rFont val="Calibri"/>
        <family val="2"/>
        <charset val="1"/>
      </rPr>
      <t>_</t>
    </r>
    <r>
      <rPr>
        <sz val="11"/>
        <color theme="1"/>
        <rFont val="FreeSans"/>
        <family val="2"/>
      </rPr>
      <t xml:space="preserve">الشرعية في </t>
    </r>
    <r>
      <rPr>
        <sz val="11"/>
        <color theme="1"/>
        <rFont val="Calibri"/>
        <family val="2"/>
        <charset val="1"/>
      </rPr>
      <t>#</t>
    </r>
    <r>
      <rPr>
        <sz val="11"/>
        <color theme="1"/>
        <rFont val="FreeSans"/>
        <family val="2"/>
      </rPr>
      <t>اليمن</t>
    </r>
    <r>
      <rPr>
        <sz val="11"/>
        <color theme="1"/>
        <rFont val="Calibri"/>
        <family val="2"/>
        <charset val="1"/>
      </rPr>
      <t xml:space="preserve">: </t>
    </r>
    <r>
      <rPr>
        <sz val="11"/>
        <color theme="1"/>
        <rFont val="FreeSans"/>
        <family val="2"/>
      </rPr>
      <t xml:space="preserve">ميليشيا </t>
    </r>
    <r>
      <rPr>
        <sz val="11"/>
        <color theme="1"/>
        <rFont val="Calibri"/>
        <family val="2"/>
        <charset val="1"/>
      </rPr>
      <t>#</t>
    </r>
    <r>
      <rPr>
        <sz val="11"/>
        <color theme="1"/>
        <rFont val="FreeSans"/>
        <family val="2"/>
      </rPr>
      <t xml:space="preserve">الحوثي تتخذ </t>
    </r>
    <r>
      <rPr>
        <sz val="11"/>
        <color theme="1"/>
        <rFont val="Calibri"/>
        <family val="2"/>
        <charset val="1"/>
      </rPr>
      <t>#</t>
    </r>
    <r>
      <rPr>
        <sz val="11"/>
        <color theme="1"/>
        <rFont val="FreeSans"/>
        <family val="2"/>
      </rPr>
      <t>اتفاق</t>
    </r>
    <r>
      <rPr>
        <sz val="11"/>
        <color theme="1"/>
        <rFont val="Calibri"/>
        <family val="2"/>
        <charset val="1"/>
      </rPr>
      <t>_</t>
    </r>
    <r>
      <rPr>
        <sz val="11"/>
        <color theme="1"/>
        <rFont val="FreeSans"/>
        <family val="2"/>
      </rPr>
      <t xml:space="preserve">ستوكهولم مظلة لإطلاق الهجمات العدائية من </t>
    </r>
    <r>
      <rPr>
        <sz val="11"/>
        <color theme="1"/>
        <rFont val="Calibri"/>
        <family val="2"/>
        <charset val="1"/>
      </rPr>
      <t>#</t>
    </r>
    <r>
      <rPr>
        <sz val="11"/>
        <color theme="1"/>
        <rFont val="FreeSans"/>
        <family val="2"/>
      </rPr>
      <t xml:space="preserve">الحديدة </t>
    </r>
    <r>
      <rPr>
        <sz val="11"/>
        <color theme="1"/>
        <rFont val="Calibri"/>
        <family val="2"/>
        <charset val="1"/>
      </rPr>
      <t>https://ara.tv/wcmaf #</t>
    </r>
    <r>
      <rPr>
        <sz val="11"/>
        <color theme="1"/>
        <rFont val="FreeSans"/>
        <family val="2"/>
      </rPr>
      <t>العربية</t>
    </r>
  </si>
  <si>
    <t>ميليشيا</t>
  </si>
  <si>
    <t>تشكيل عسكري</t>
  </si>
  <si>
    <t>جيش خاص</t>
  </si>
  <si>
    <t>ميليشيات</t>
  </si>
  <si>
    <t>سرايا</t>
  </si>
  <si>
    <t>Name calling/Labeling</t>
  </si>
  <si>
    <t>ميليشيا #الحوثي</t>
  </si>
  <si>
    <t>عصابات حوثي</t>
  </si>
  <si>
    <t>عصابة منتفض</t>
  </si>
  <si>
    <t>ميليشيا متمرّد</t>
  </si>
  <si>
    <t>نسبة المقبول</t>
  </si>
  <si>
    <t>الهجمات العدائية</t>
  </si>
  <si>
    <t>الإغارات عدوان</t>
  </si>
  <si>
    <t>الهجمات هجومية</t>
  </si>
  <si>
    <t>الهجمات صدام</t>
  </si>
  <si>
    <t>التوغلات خصومة</t>
  </si>
  <si>
    <t>الهجمات قتال</t>
  </si>
  <si>
    <t>الاجتياحات ضراوة</t>
  </si>
  <si>
    <t>الغارات مقاتلة</t>
  </si>
  <si>
    <t>الانقضاضات مقاتلة</t>
  </si>
  <si>
    <t>الهجمات ضارية</t>
  </si>
  <si>
    <t>الضربات قسوة</t>
  </si>
  <si>
    <t>الغارات عدائية</t>
  </si>
  <si>
    <t>مشاهد وكلمات حزينة لسكان #غزة من أطلال ذكرياتهم التي تدمرت من القصف.. تاجر خسر محله في برج الشروق المدمر يختصر مأساة أهل القطاع #العربية</t>
  </si>
  <si>
    <t>مشاهد وكلمات حزينة</t>
  </si>
  <si>
    <t>مشاهد مفردات مُحْتَضَرَة</t>
  </si>
  <si>
    <t>مشاهدات كِتابة حزينة</t>
  </si>
  <si>
    <t>مشاهدَة مصطلحات حُزْن</t>
  </si>
  <si>
    <t>مشاهد وكلمات كَئِيبة</t>
  </si>
  <si>
    <t>مشاهدَ مرئية عبارات حزينة</t>
  </si>
  <si>
    <t>حزينة</t>
  </si>
  <si>
    <t>مُتَوَحِشَةٌ</t>
  </si>
  <si>
    <t>مُغتَمَّةٌ</t>
  </si>
  <si>
    <t>مُكَدَّرَةٌ</t>
  </si>
  <si>
    <t>أطلال ذكرياتهم</t>
  </si>
  <si>
    <t>أطلال خَلَواتهم</t>
  </si>
  <si>
    <t>رَمِيم مَرآهم</t>
  </si>
  <si>
    <t>هَامِدَة مَرآهم</t>
  </si>
  <si>
    <t>رَبَذَات سِنِيّهم</t>
  </si>
  <si>
    <t>تدمرت من القصف</t>
  </si>
  <si>
    <t>انْهَارَت من قمع</t>
  </si>
  <si>
    <t>دُمِّرَت من قصف</t>
  </si>
  <si>
    <t>دُكَّت من تدمير شامل</t>
  </si>
  <si>
    <t>مُحَطَّمَة من قصف</t>
  </si>
  <si>
    <t>تدمرت من تدمير شامل</t>
  </si>
  <si>
    <t>المدمر</t>
  </si>
  <si>
    <t>المُفَكِّك</t>
  </si>
  <si>
    <t>المُدَحْرِج</t>
  </si>
  <si>
    <t>المُحَقِّر</t>
  </si>
  <si>
    <t>المُبيد</t>
  </si>
  <si>
    <t>المُدَمِّر</t>
  </si>
  <si>
    <t>مأساة</t>
  </si>
  <si>
    <t>نَكْبَة</t>
  </si>
  <si>
    <t>كَارِثَة</t>
  </si>
  <si>
    <t>رَزِيَّة</t>
  </si>
  <si>
    <t>مَحْنَة</t>
  </si>
  <si>
    <t>مَصْرَعَة</t>
  </si>
  <si>
    <t>نَكْسَة</t>
  </si>
  <si>
    <t>Smears</t>
  </si>
  <si>
    <t>قائد حركة الجهاد شكر جهوده و إسماعيل هنية عده شهيداً .. من هو قاسم سليماني الذي قامت ميليشياته الطائفية بارتكاب مجازر مروعة بحق السوريين والعراقيين واليمنيين وشرد الملايين من العرب؟ #العربية</t>
  </si>
  <si>
    <t>قائد حركة الجهاد شكر جهوده و إسماعيل هنية عده شهيداً .. من هو قاسم سليماني الذي قامت ميليشياته الطائفية بارتكاب مجازر مروعة بحق السوريين والعراقيين واليمنيين وشرد الملايين من العرب؟</t>
  </si>
  <si>
    <t>رئيس حركة جهاد جزاء جهوده و مُنيب غبطة حَاجَتُهُ شهيدا من هو مُجَزِّئ سليماني ذي قامت ميليشياته طائفية إرتكابًا مجازر جماعية مرعبة حقيقةً سوريين حضريين واليمنيين وشرد ملايين من عرب؟</t>
  </si>
  <si>
    <t>مُنَظِّم حركة شهادة شكر مساعدة و إسماعيل هنية مُؤَنُهُ مُضَحٍّ من هو قاسم حَلْمُوس ذي تصاعدت عصاباته طائفية إرتكاز مجازر جماعية مروعة جدًا علويين حضريين أقيال بدّد ثروة عظيمة من عدنانيون</t>
  </si>
  <si>
    <t>قائد دينامية ثبات اعتداد عمله و إسماعيل لذة احْتِيَاطُهُ مُضَحٍّ من هو قاسم سَاجِد ذي تعالت أنصاره مذهبية إقدامًا مجازر جماعية مُبَهرة في حقيقة فينيقين والعراقيين بدو شتت ملايين من عرب؟</t>
  </si>
  <si>
    <t>شهيداً</t>
  </si>
  <si>
    <t>مُناضلاً</t>
  </si>
  <si>
    <t>شهما</t>
  </si>
  <si>
    <t>بطلًا</t>
  </si>
  <si>
    <t>مُضحيًا</t>
  </si>
  <si>
    <t>ميليشياته الطائفية</t>
  </si>
  <si>
    <t>ميليشياته قَبْلية</t>
  </si>
  <si>
    <t>جنوده غير نظاميين مذهبية</t>
  </si>
  <si>
    <t>حرسه طائفية</t>
  </si>
  <si>
    <t>المناصرون طائفية</t>
  </si>
  <si>
    <t>مجازر مروعة</t>
  </si>
  <si>
    <t>مذابح مُفزِحة</t>
  </si>
  <si>
    <t>سفك مرعبة</t>
  </si>
  <si>
    <t>تقتيل مُفجعة</t>
  </si>
  <si>
    <t>مجازر مرعبة</t>
  </si>
  <si>
    <t>شرد الملايين</t>
  </si>
  <si>
    <t>شرد أموالٌ مهولة</t>
  </si>
  <si>
    <t>وزع أموالٌ مهولة</t>
  </si>
  <si>
    <t>شتت ثروات ضخمة</t>
  </si>
  <si>
    <t>وزع ملايير</t>
  </si>
  <si>
    <t>Exaggeration/Minimisation</t>
  </si>
  <si>
    <t>الملايين</t>
  </si>
  <si>
    <t>الكثرون</t>
  </si>
  <si>
    <t>الألوف</t>
  </si>
  <si>
    <t>الجم غفير</t>
  </si>
  <si>
    <t>الكم هائل</t>
  </si>
  <si>
    <t>الأف</t>
  </si>
  <si>
    <t>الكثرة</t>
  </si>
  <si>
    <t>بمشاركة ممثل #حماس في #طهران.. احتفال بعنوان "الانتصار على القصف الإسرائيلي" أمام قبر #قاسم_سليماني بمدينة كرمان جنوب شرق #إيران https://ara.tv/56gmd #العربية</t>
  </si>
  <si>
    <t>بمشاركة ممثل #حماس في #طهران.. احتفال بعنوان "الانتصار على القصف الإسرائيلي" أمام قبر #قاسم_سليماني بمدينة كرمان جنوب شرق #إيران</t>
  </si>
  <si>
    <t>بمشاركة أديب حماس في دار خلافة احتفال مبهج في مقدمة انتصار على قصف بني إسرائيل أمام مهاد قاسم سوداني بمدينة عَود جنوب أُفق إيران</t>
  </si>
  <si>
    <t>تعاون فنان إصرار في دار ملك تكريم تيجان انتصار على رمي إسرائيلي أمام قبر قاسم زنجي قلعة عطر جَنُوبِيَّة فجر بلاد فرس</t>
  </si>
  <si>
    <t>مساعدة بليغ زخم في حاضرة بلاد احتفالية في ظل تمكين على انقضاض إسرائيلي أمام لحد قاسم عسلي عاصمة كرمان مَغْرِب أُفق إيران</t>
  </si>
  <si>
    <t>مساعدة ممثل جد في عاصمة سرور تتويج انتصار على قذف عبرانيين أمام مهاد مُتَقَاسِم سوداني وسط نَجْد وَرَاء بزوغ أرض فارس</t>
  </si>
  <si>
    <t>الانتصار</t>
  </si>
  <si>
    <t>الظفر</t>
  </si>
  <si>
    <t>الفلاح</t>
  </si>
  <si>
    <t>الغلبة</t>
  </si>
  <si>
    <t>الظهور</t>
  </si>
  <si>
    <t>القصف</t>
  </si>
  <si>
    <t>السحق</t>
  </si>
  <si>
    <t>التكسير</t>
  </si>
  <si>
    <t>التدمير</t>
  </si>
  <si>
    <t>الرجم</t>
  </si>
  <si>
    <t>القصف الإسرائيلي</t>
  </si>
  <si>
    <t>الهدم يعقوبي</t>
  </si>
  <si>
    <t>القصف عهدي</t>
  </si>
  <si>
    <t>التدمير يهودي</t>
  </si>
  <si>
    <t>القصف موسوي</t>
  </si>
  <si>
    <t xml:space="preserve">هدوء حذر في القدس إثر محاولة مستوطنين إسرائيليين اقتحام المسجد الأقصى </t>
  </si>
  <si>
    <t>مستوطنين إسرائيليين</t>
  </si>
  <si>
    <t>رُحّحَن أبناء إسحاق</t>
  </si>
  <si>
    <t>مقيمين قبائل إسرائيل</t>
  </si>
  <si>
    <t>متوطنين بني إسرائيل</t>
  </si>
  <si>
    <t>مقامين أبناء إسحاق</t>
  </si>
  <si>
    <t>اقتحام المسجد</t>
  </si>
  <si>
    <t>اقتحامٌ مباغت مسجد</t>
  </si>
  <si>
    <t>هجوم مصلى</t>
  </si>
  <si>
    <t>اقتحامٌ عنيف مصلى</t>
  </si>
  <si>
    <t>تدفق مسجد</t>
  </si>
  <si>
    <t>انقضاض مسجد</t>
  </si>
  <si>
    <t>اجتياح مسجد</t>
  </si>
  <si>
    <t>الفصـائل في غـزة تهدد بالرد على أي تصعيد</t>
  </si>
  <si>
    <t>تهدد</t>
  </si>
  <si>
    <t>هاجـم</t>
  </si>
  <si>
    <t>توعد</t>
  </si>
  <si>
    <t>هدد</t>
  </si>
  <si>
    <t>أنذر</t>
  </si>
  <si>
    <t>حذر</t>
  </si>
  <si>
    <t>Appeal to fear/prejudice</t>
  </si>
  <si>
    <t>تهدد بالرد على أي تصعيد</t>
  </si>
  <si>
    <t>تهدد رجع على أي تهييجٌ</t>
  </si>
  <si>
    <t>وَعَّر بالرد على أي احتقانٌ</t>
  </si>
  <si>
    <t>تهدد ردة على أي إشعالٌ</t>
  </si>
  <si>
    <t>وَعَّر ردة على أي تصعيد</t>
  </si>
  <si>
    <t>تهدد رداء على أي تصعيد: تصعيدٌ</t>
  </si>
  <si>
    <t>خطب اليوم رئيس #حماس من #الدوحة، ووزعت #قطر اليوم مال على أسر #غزة لمساعدتهم على مواجهة حصار #إسرائيل، وكذلك #الجزيرة عكس إعلام الأخرين نقلت للعالم مأساة #فلسطين.. تحية لشعب قطر وأمير قطر \n @TamimBinHamad\n وأتمنى أن تعود #السعودية و #مصر و #المغرب لقطار مساندة #فلسطين\n #فلسطين_تنتصر</t>
  </si>
  <si>
    <t>الجزيرة عكس إعلام الأخرين نقلت للعالم مأساة #فلسطين</t>
  </si>
  <si>
    <t>الجزيرة عكس إعلام سواك حكى سَّادَة مَحْنَةٌ فلسطين</t>
  </si>
  <si>
    <t>بَلْدَة مخالفٌ إعلان أخرين روت فَذُّ نَازِلَةٌ رَضْوَى</t>
  </si>
  <si>
    <t>الجزيرة مُتباين توضيح أخرين نقلت للعالم مأساة فلسطين</t>
  </si>
  <si>
    <t>الجزيرة عكس تعريف مختلف نقل للعالم مأساة سَعْدُ</t>
  </si>
  <si>
    <t>نَازِلَةٌ</t>
  </si>
  <si>
    <t>بَلِيَّةٌ</t>
  </si>
  <si>
    <t>مَصْطَرَمَةٌ</t>
  </si>
  <si>
    <t>مَلْحَمَةٌ</t>
  </si>
  <si>
    <t>Glittering generalities (Virtue)</t>
  </si>
  <si>
    <t>تحية لشعب قطر وأمير قطر</t>
  </si>
  <si>
    <t>تحية رعاع قطر حَاكِم قطر</t>
  </si>
  <si>
    <t>إكرام رعية قطر وأمير قطر</t>
  </si>
  <si>
    <t>تحية لشعب رذاذ زعيم قطر</t>
  </si>
  <si>
    <t>تحية سلام لشعب قطرات رَبُّ نقط</t>
  </si>
  <si>
    <t>Slogans</t>
  </si>
  <si>
    <t>فلسطين_تنتصر</t>
  </si>
  <si>
    <t>كَنْعَانُ تنتصر</t>
  </si>
  <si>
    <t>السَّلِيلَةُ تَقْهَرُ</t>
  </si>
  <si>
    <t>فلسطين تَغْلِبُ</t>
  </si>
  <si>
    <t>جَنَّةُ شَّرْقِ تَقْهَرُ</t>
  </si>
  <si>
    <t>Appeal to authority</t>
  </si>
  <si>
    <r>
      <rPr>
        <sz val="11"/>
        <color theme="1"/>
        <rFont val="Calibri"/>
        <family val="2"/>
        <charset val="1"/>
      </rPr>
      <t>#</t>
    </r>
    <r>
      <rPr>
        <sz val="11"/>
        <color theme="1"/>
        <rFont val="FreeSans"/>
        <family val="2"/>
      </rPr>
      <t xml:space="preserve">جمرة يوثق خيانات </t>
    </r>
    <r>
      <rPr>
        <sz val="11"/>
        <color theme="1"/>
        <rFont val="Calibri"/>
        <family val="2"/>
        <charset val="1"/>
      </rPr>
      <t>#</t>
    </r>
    <r>
      <rPr>
        <sz val="11"/>
        <color theme="1"/>
        <rFont val="FreeSans"/>
        <family val="2"/>
      </rPr>
      <t xml:space="preserve">قطر ل </t>
    </r>
    <r>
      <rPr>
        <sz val="11"/>
        <color theme="1"/>
        <rFont val="Calibri"/>
        <family val="2"/>
        <charset val="1"/>
      </rPr>
      <t>#</t>
    </r>
    <r>
      <rPr>
        <sz val="11"/>
        <color theme="1"/>
        <rFont val="FreeSans"/>
        <family val="2"/>
      </rPr>
      <t xml:space="preserve">الشرعية،وتعاونها مع </t>
    </r>
    <r>
      <rPr>
        <sz val="11"/>
        <color theme="1"/>
        <rFont val="Calibri"/>
        <family val="2"/>
        <charset val="1"/>
      </rPr>
      <t>#</t>
    </r>
    <r>
      <rPr>
        <sz val="11"/>
        <color theme="1"/>
        <rFont val="FreeSans"/>
        <family val="2"/>
      </rPr>
      <t>ميليشيا</t>
    </r>
    <r>
      <rPr>
        <sz val="11"/>
        <color theme="1"/>
        <rFont val="Calibri"/>
        <family val="2"/>
        <charset val="1"/>
      </rPr>
      <t>_</t>
    </r>
    <r>
      <rPr>
        <sz val="11"/>
        <color theme="1"/>
        <rFont val="FreeSans"/>
        <family val="2"/>
      </rPr>
      <t xml:space="preserve">الحوثي و </t>
    </r>
    <r>
      <rPr>
        <sz val="11"/>
        <color theme="1"/>
        <rFont val="Calibri"/>
        <family val="2"/>
        <charset val="1"/>
      </rPr>
      <t>#</t>
    </r>
    <r>
      <rPr>
        <sz val="11"/>
        <color theme="1"/>
        <rFont val="FreeSans"/>
        <family val="2"/>
      </rPr>
      <t>قناة</t>
    </r>
    <r>
      <rPr>
        <sz val="11"/>
        <color theme="1"/>
        <rFont val="Calibri"/>
        <family val="2"/>
        <charset val="1"/>
      </rPr>
      <t>_</t>
    </r>
    <r>
      <rPr>
        <sz val="11"/>
        <color theme="1"/>
        <rFont val="FreeSans"/>
        <family val="2"/>
      </rPr>
      <t xml:space="preserve">الجزيرة تبصم، </t>
    </r>
    <r>
      <rPr>
        <sz val="11"/>
        <color theme="1"/>
        <rFont val="Calibri"/>
        <family val="2"/>
        <charset val="1"/>
      </rPr>
      <t>#</t>
    </r>
    <r>
      <rPr>
        <sz val="11"/>
        <color theme="1"/>
        <rFont val="FreeSans"/>
        <family val="2"/>
      </rPr>
      <t xml:space="preserve">قطر بهذا التحالف تحولت رسميا من دعم للإرهاب ل </t>
    </r>
    <r>
      <rPr>
        <sz val="11"/>
        <color theme="1"/>
        <rFont val="Calibri"/>
        <family val="2"/>
        <charset val="1"/>
      </rPr>
      <t>#</t>
    </r>
    <r>
      <rPr>
        <sz val="11"/>
        <color theme="1"/>
        <rFont val="FreeSans"/>
        <family val="2"/>
      </rPr>
      <t>قطر الارهابية،تصنيفها دولةإرهابية وفرض حصار اقتصادي ومنع تسلح مهم جدا،وعلى الدول المتضررة المطالبة بذلك رسميا في مجلس الأمن،</t>
    </r>
  </si>
  <si>
    <r>
      <rPr>
        <sz val="11"/>
        <color theme="1"/>
        <rFont val="Calibri"/>
        <family val="2"/>
        <charset val="1"/>
      </rPr>
      <t>#</t>
    </r>
    <r>
      <rPr>
        <sz val="11"/>
        <color theme="1"/>
        <rFont val="FreeSans"/>
        <family val="2"/>
      </rPr>
      <t xml:space="preserve">جمرة يوثق خيانات </t>
    </r>
    <r>
      <rPr>
        <sz val="11"/>
        <color theme="1"/>
        <rFont val="Calibri"/>
        <family val="2"/>
        <charset val="1"/>
      </rPr>
      <t>#</t>
    </r>
    <r>
      <rPr>
        <sz val="11"/>
        <color theme="1"/>
        <rFont val="FreeSans"/>
        <family val="2"/>
      </rPr>
      <t xml:space="preserve">قطر ل </t>
    </r>
    <r>
      <rPr>
        <sz val="11"/>
        <color theme="1"/>
        <rFont val="Calibri"/>
        <family val="2"/>
        <charset val="1"/>
      </rPr>
      <t>#</t>
    </r>
    <r>
      <rPr>
        <sz val="11"/>
        <color theme="1"/>
        <rFont val="FreeSans"/>
        <family val="2"/>
      </rPr>
      <t xml:space="preserve">الشرعية،وتعاونها مع </t>
    </r>
    <r>
      <rPr>
        <sz val="11"/>
        <color theme="1"/>
        <rFont val="Calibri"/>
        <family val="2"/>
        <charset val="1"/>
      </rPr>
      <t>#</t>
    </r>
    <r>
      <rPr>
        <sz val="11"/>
        <color theme="1"/>
        <rFont val="FreeSans"/>
        <family val="2"/>
      </rPr>
      <t>ميليشيا</t>
    </r>
    <r>
      <rPr>
        <sz val="11"/>
        <color theme="1"/>
        <rFont val="Calibri"/>
        <family val="2"/>
        <charset val="1"/>
      </rPr>
      <t>_</t>
    </r>
    <r>
      <rPr>
        <sz val="11"/>
        <color theme="1"/>
        <rFont val="FreeSans"/>
        <family val="2"/>
      </rPr>
      <t xml:space="preserve">الحوثي و </t>
    </r>
    <r>
      <rPr>
        <sz val="11"/>
        <color theme="1"/>
        <rFont val="Calibri"/>
        <family val="2"/>
        <charset val="1"/>
      </rPr>
      <t>#</t>
    </r>
    <r>
      <rPr>
        <sz val="11"/>
        <color theme="1"/>
        <rFont val="FreeSans"/>
        <family val="2"/>
      </rPr>
      <t>قناة</t>
    </r>
    <r>
      <rPr>
        <sz val="11"/>
        <color theme="1"/>
        <rFont val="Calibri"/>
        <family val="2"/>
        <charset val="1"/>
      </rPr>
      <t>_</t>
    </r>
    <r>
      <rPr>
        <sz val="11"/>
        <color theme="1"/>
        <rFont val="FreeSans"/>
        <family val="2"/>
      </rPr>
      <t xml:space="preserve">الجزيرة تبصم، </t>
    </r>
    <r>
      <rPr>
        <sz val="11"/>
        <color theme="1"/>
        <rFont val="Calibri"/>
        <family val="2"/>
        <charset val="1"/>
      </rPr>
      <t>#</t>
    </r>
    <r>
      <rPr>
        <sz val="11"/>
        <color theme="1"/>
        <rFont val="FreeSans"/>
        <family val="2"/>
      </rPr>
      <t xml:space="preserve">قطر بهذا التحالف تحولت رسميا من دعم للإرهاب ل </t>
    </r>
    <r>
      <rPr>
        <sz val="11"/>
        <color theme="1"/>
        <rFont val="Calibri"/>
        <family val="2"/>
        <charset val="1"/>
      </rPr>
      <t>#</t>
    </r>
    <r>
      <rPr>
        <sz val="11"/>
        <color theme="1"/>
        <rFont val="FreeSans"/>
        <family val="2"/>
      </rPr>
      <t>قطر الارهابية</t>
    </r>
  </si>
  <si>
    <t>جمرة يثبت انتهاكات نبع ل صحيحة مع كتيبة حوثي و أنبوب خَلَصَاءُ شَرط قطرة بهذا تضافر تحولت رسميا من نصرة فَزْعٌ جَماعِيٌّ ل رذاذ عنفية</t>
  </si>
  <si>
    <t>جمرة يَعْقِد خذوع قطرة ل دستورية مع عصابة ثائر و قناة جزيرة خَرَط فيض بهذا تحالف تموضعت رسميًّا من معاضدة رعب ل قطر قاتلة</t>
  </si>
  <si>
    <t>توهج يَعْقِد موبقات قطر ل شرعية،وتعاونها مع ميليشيا ثائر و معبر جَرْزَةٌ تبصم، نبع بهذا تحالف تحولت رسميًّا من مساندة للإرهاب ل قطر معتدية</t>
  </si>
  <si>
    <t>نار يُثبِّط خيانات سكب ل رسمية مع ميليشيا مارق و نفق نَجْدَةٌ أَمْضى قطر بهذا شراكة تردت قانونيًا من دعم للإرهاب ل قطر ارهابية</t>
  </si>
  <si>
    <t>خيانات</t>
  </si>
  <si>
    <t>حِيَل</t>
  </si>
  <si>
    <t>خسارات</t>
  </si>
  <si>
    <t>غدروم</t>
  </si>
  <si>
    <t>مُفاضات</t>
  </si>
  <si>
    <t>ميليشيا_الحوثي</t>
  </si>
  <si>
    <t>قوة غير نظامية متكسب</t>
  </si>
  <si>
    <t>ميليشيا معتدي</t>
  </si>
  <si>
    <t>مقاتلين غير نظاميين حوث</t>
  </si>
  <si>
    <t>عصابة حوثي</t>
  </si>
  <si>
    <r>
      <rPr>
        <sz val="11"/>
        <color theme="1"/>
        <rFont val="Calibri"/>
        <family val="2"/>
        <charset val="1"/>
      </rPr>
      <t>#</t>
    </r>
    <r>
      <rPr>
        <sz val="11"/>
        <color theme="1"/>
        <rFont val="FreeSans"/>
        <family val="2"/>
      </rPr>
      <t xml:space="preserve">قطر بهذا التحالف تحولت رسميا من دعم للإرهاب ل </t>
    </r>
    <r>
      <rPr>
        <sz val="11"/>
        <color theme="1"/>
        <rFont val="Calibri"/>
        <family val="2"/>
        <charset val="1"/>
      </rPr>
      <t>#</t>
    </r>
    <r>
      <rPr>
        <sz val="11"/>
        <color theme="1"/>
        <rFont val="FreeSans"/>
        <family val="2"/>
      </rPr>
      <t>قطر الارهابية</t>
    </r>
  </si>
  <si>
    <t>سيلان بهذا تعاهد تَغَيَّرت رسميا من مساعدة للإرهاب ل قطر تخريبية</t>
  </si>
  <si>
    <t>قطر بهذا تحالف تَمَرْكَزت رسميًا من مؤازرة تَرْعُبٌ ل قطرة ارهابية</t>
  </si>
  <si>
    <t>ندف بهذا ائتلاف تحولت رسمية من دعم فَزْعٌ ل قطر ارهابية</t>
  </si>
  <si>
    <t>قطر بهذا اتحاد تحوّرت رسميا من سند رُعُونَةٌ ل سيلان ارهابية</t>
  </si>
  <si>
    <t>قطر الارهابية</t>
  </si>
  <si>
    <t>رذاذ همجية</t>
  </si>
  <si>
    <t>سكب شرسة</t>
  </si>
  <si>
    <t>رذاذ شريرة</t>
  </si>
  <si>
    <t>انسياب ارهابية</t>
  </si>
  <si>
    <t>الارهابية</t>
  </si>
  <si>
    <t>الْإِجْرَامِيَّة</t>
  </si>
  <si>
    <t>الْإِبَادِيَّة</t>
  </si>
  <si>
    <t>الْعُنْفِيَّة</t>
  </si>
  <si>
    <t>الْمُتَطَرِّفَة</t>
  </si>
  <si>
    <t>دولةإرهابية</t>
  </si>
  <si>
    <t>إمارة شرِّيرة</t>
  </si>
  <si>
    <t>كيان إرهابي</t>
  </si>
  <si>
    <t>حكومة ظلامية</t>
  </si>
  <si>
    <t>إرهابية</t>
  </si>
  <si>
    <t>شرسة</t>
  </si>
  <si>
    <t>دموية</t>
  </si>
  <si>
    <t>تخريبية</t>
  </si>
  <si>
    <t>همجية</t>
  </si>
  <si>
    <r>
      <rPr>
        <sz val="11"/>
        <color theme="1"/>
        <rFont val="Calibri"/>
        <family val="2"/>
        <charset val="1"/>
      </rPr>
      <t>"#</t>
    </r>
    <r>
      <rPr>
        <sz val="11"/>
        <color theme="1"/>
        <rFont val="FreeSans"/>
        <family val="2"/>
      </rPr>
      <t>الإمارات</t>
    </r>
    <r>
      <rPr>
        <sz val="11"/>
        <color theme="1"/>
        <rFont val="Calibri"/>
        <family val="2"/>
        <charset val="1"/>
      </rPr>
      <t xml:space="preserve">.. </t>
    </r>
    <r>
      <rPr>
        <sz val="11"/>
        <color theme="1"/>
        <rFont val="FreeSans"/>
        <family val="2"/>
      </rPr>
      <t xml:space="preserve">وسم يحمل غضبا خليجيا وعربيا بعد كشف فوكس نيوز عن عرقلة أبو ظبي اتفاقا ينهي حصار </t>
    </r>
    <r>
      <rPr>
        <sz val="11"/>
        <color theme="1"/>
        <rFont val="Calibri"/>
        <family val="2"/>
        <charset val="1"/>
      </rPr>
      <t>#</t>
    </r>
    <r>
      <rPr>
        <sz val="11"/>
        <color theme="1"/>
        <rFont val="FreeSans"/>
        <family val="2"/>
      </rPr>
      <t xml:space="preserve">قطر بوساطة أمريكية </t>
    </r>
    <r>
      <rPr>
        <sz val="11"/>
        <color theme="1"/>
        <rFont val="Calibri"/>
        <family val="2"/>
        <charset val="1"/>
      </rPr>
      <t>\n#</t>
    </r>
    <r>
      <rPr>
        <sz val="11"/>
        <color theme="1"/>
        <rFont val="FreeSans"/>
        <family val="2"/>
      </rPr>
      <t>نشرتكم</t>
    </r>
    <r>
      <rPr>
        <sz val="11"/>
        <color theme="1"/>
        <rFont val="Calibri"/>
        <family val="2"/>
        <charset val="1"/>
      </rPr>
      <t>"</t>
    </r>
  </si>
  <si>
    <t>غضبا خليجيا وعربيا</t>
  </si>
  <si>
    <t>غضبا مَدْيُونِيٌّ وعربيا</t>
  </si>
  <si>
    <t>عَتَبا بَحْرُونِيٌّ بأسلوب عربيّ</t>
  </si>
  <si>
    <t>سخطا خليجيا لفظاً عربيّاً</t>
  </si>
  <si>
    <t>حِدّة خليجيا عربياً</t>
  </si>
  <si>
    <t>غَيظا مُسْتَعْمَرٌ تعبيراً عربيّاً</t>
  </si>
  <si>
    <t>سخطا مَدْيُونِيٌّ بأسلوب عربيّ</t>
  </si>
  <si>
    <t>حِقْدًا بَحْرِيٌّ عربياً</t>
  </si>
  <si>
    <t>غضبا بَحْرُنِيٌّ بلسانٍ عربيٍّ</t>
  </si>
  <si>
    <t>سَخَطًا بَحْرُنِيٌّ ألفاظٌ عربيّة</t>
  </si>
  <si>
    <t>غضبا سَاحُلِيٌّ لفظاً عربيّاً</t>
  </si>
  <si>
    <t>غَيْظًا بَحْرِيٌّ وعربيا</t>
  </si>
  <si>
    <t>حِقْدًا خليجيا وعربيا</t>
  </si>
  <si>
    <t>انزعاجا سعودي وعربيا</t>
  </si>
  <si>
    <t>امتعاضا إماراتي وعربيا</t>
  </si>
  <si>
    <t>غضبا سعودي عربيّةً عربيّة</t>
  </si>
  <si>
    <t>غضبا يمني لفظاً عربيّاً</t>
  </si>
  <si>
    <t>غضبا خليجيا مفردات عربيّة</t>
  </si>
  <si>
    <t>تجهمًا خليجيا وعربيا</t>
  </si>
  <si>
    <t>الإمارات.. وسم يحمل غضبا خليجيا وعربيا بعد كشف فوكس نيوز عن عرقلة أبو ظبي اتفاقا ينهي حصار #قطر بوساطة أمريكية</t>
  </si>
  <si>
    <t>أطراف خَتْمٌ يَحمِل على عاتقه غَيْظًا بَوْحريًا مفردات بعد عرّى فوكس حوادث عن عرقلة أبو أَرْهَب تضافرًا إِتَمَامُهُ تَطْويق رشف توسط أَمْزْجَةٌ</t>
  </si>
  <si>
    <t>مشيخات خَتْمٌ يَسحَب غَيْجًا بَحريًا لغتنا بعد أبان مُتَأَهِّب نيوز عن إجهاض أبو ظبي اتفاقا ينهي إحاطة قطر وساع أَمْرِيكَاوِيَّةٌ</t>
  </si>
  <si>
    <t>الإمارات نَقْشٌ يحوي انْزِعاجًا رَواقِيًا مفردات بعد انكشفت خَبِيث أخبار عن إحباط أبو ظبي اتفاقا إِبْطالٌ تَسْيِيج نهز توفيق أَمْزْجَةٌ</t>
  </si>
  <si>
    <t>دويلات تَعْيِيْنٌ يَسحَب غضبا سَاحِليًا وعربيا بعد كشف مُنْتَبِه أنباء عن إعسار أبو نَبْع اتفاقيةً إِتَمَامُهُ طَوْق قطرة بوساطة جَنُوبِيَّةٌ</t>
  </si>
  <si>
    <t>أطراف نَقْشٌ يحمل غَيْجًا مَحْليًا وعجميا بعد أبان رَصَد تقارير عن حَجْر أبو نَبْع توافق إِقْرار حصار قطر بوساطة جَنُوبِيَّةٌ</t>
  </si>
  <si>
    <t>استهجان شعبي لموقف رئيس وفد #قطر لـ #قمم_مكة الذي عرض صوره واقفاً امام الكعبة ومعلناً رفضه أداء العمرة. حكومة قطر أيضاً حجبت جميع الروابط التي خصصتها السعودية للقطريين الراغبين التسجيل وأداء العمرة</t>
  </si>
  <si>
    <t>استهجان</t>
  </si>
  <si>
    <t>استغراب</t>
  </si>
  <si>
    <t>استنكار</t>
  </si>
  <si>
    <t>استهزاء</t>
  </si>
  <si>
    <t>سخرية</t>
  </si>
  <si>
    <t>استهجان شعبي</t>
  </si>
  <si>
    <t>احتقار شَعبيّة</t>
  </si>
  <si>
    <t>تهكّم شعبي</t>
  </si>
  <si>
    <t>احتقار شعبي</t>
  </si>
  <si>
    <t>تعجّب دارج</t>
  </si>
  <si>
    <t>معلناً</t>
  </si>
  <si>
    <t>علنا</t>
  </si>
  <si>
    <t>علانيةً</t>
  </si>
  <si>
    <t>مُبَاهاةً</t>
  </si>
  <si>
    <t>عَلانِيَةً</t>
  </si>
  <si>
    <t>استنكار شائع منزلة مُخطِّط وفاض قطيرة لـ تَلال مكة ذي عرضة صوره ثابتا امام كعبة كُشِفَ رفضه أداء عمرة معتمرة سيطرة رذاذ أيضا سترت جميع عروة تي حَددتُها أرض حرم للقطريين مُقبِلون تسجيل صوتي أداء طاعة</t>
  </si>
  <si>
    <t>تعجّب شعبي موقع مُنظِّم جماعة سكب لـ رُبوَة بكة ذي عرض محاكاة رافعا امام بيت مجيد صِيحَ رفضه تأدية عمرة سلطة قطيرة أيضا أسرّت جميع روابط تي خصَّصَت لها سامرة عرب سكان راغبين تصوير إتمام طاعة</t>
  </si>
  <si>
    <t>احتقار شعبي وضع مُخطِّط وفادة سكب لـ قمم مكة ذي ظاهر نمط واقفا امام حرم مكي جَهرًا رفضه قضاء زيارة حكومة سيلان أيضا حجبت جميع حبال تي خصصتها مملكة للقطريين مُقبِلون تدوين وأداء عمرة</t>
  </si>
  <si>
    <t>استهجان منتشر موقع مُنظِّم زُمر نقط لـ قمم أم قرى ذي عرض تصوير واقفا امام كعبة أُذيعَ رفضه أداء عمرة حكومة قطر أيضا أخفت جميع صلات تي خصصتها مهد إسلام للقطريين راغبين تسجيل صوتي قضاء عمرة</t>
  </si>
  <si>
    <r>
      <rPr>
        <sz val="11"/>
        <color theme="1"/>
        <rFont val="Calibri"/>
        <family val="2"/>
        <charset val="1"/>
      </rPr>
      <t>#</t>
    </r>
    <r>
      <rPr>
        <sz val="11"/>
        <color theme="1"/>
        <rFont val="FreeSans"/>
        <family val="2"/>
      </rPr>
      <t>فوق</t>
    </r>
    <r>
      <rPr>
        <sz val="11"/>
        <color theme="1"/>
        <rFont val="Calibri"/>
        <family val="2"/>
        <charset val="1"/>
      </rPr>
      <t>_</t>
    </r>
    <r>
      <rPr>
        <sz val="11"/>
        <color theme="1"/>
        <rFont val="FreeSans"/>
        <family val="2"/>
      </rPr>
      <t xml:space="preserve">السلطة </t>
    </r>
    <r>
      <rPr>
        <sz val="11"/>
        <color theme="1"/>
        <rFont val="Calibri"/>
        <family val="2"/>
        <charset val="1"/>
      </rPr>
      <t xml:space="preserve">- </t>
    </r>
    <r>
      <rPr>
        <sz val="11"/>
        <color theme="1"/>
        <rFont val="FreeSans"/>
        <family val="2"/>
      </rPr>
      <t>الإمارات تهنىء إيران برمضان وإسرائيل بالنكبة</t>
    </r>
  </si>
  <si>
    <t>الإمارات تهنىء إيران برمضان وإسرائيل بالنكبة</t>
  </si>
  <si>
    <t>إماراتيات تَيمّن أرض أريانة برمضان بَيْتُ مَقْدِس يوم أسود</t>
  </si>
  <si>
    <t>أمم تهنأ إيران أيام فطار إسرائيل نكسة</t>
  </si>
  <si>
    <t>أمم تَيمّن إيران شهر صائمين وإسرائيل يوم أسود</t>
  </si>
  <si>
    <t>دوليات تَيمّن أريان شهر صوم وإسرائيل بالنكبة</t>
  </si>
  <si>
    <t>Whataboutism</t>
  </si>
  <si>
    <t>دول تبارك بلاد فارس شهر صائمين فِلَسطينُ نقة</t>
  </si>
  <si>
    <t>بلاد تهنىء أريامنة أيام فلاح هَيكَل مصيبة</t>
  </si>
  <si>
    <t>الإمارات تُسعَد إيران شهر خير أورشليم بالنكبة</t>
  </si>
  <si>
    <t>ممالك تفخر أريامنة برمضان زُحلُوق بالنكبة</t>
  </si>
  <si>
    <t>النكبة</t>
  </si>
  <si>
    <t>النَازَة</t>
  </si>
  <si>
    <t>الكارِثَة</t>
  </si>
  <si>
    <t>الفَاجِعَة</t>
  </si>
  <si>
    <t>الرَزِيَّة</t>
  </si>
  <si>
    <r>
      <rPr>
        <sz val="11"/>
        <color theme="1"/>
        <rFont val="Calibri"/>
        <family val="2"/>
        <charset val="1"/>
      </rPr>
      <t>"</t>
    </r>
    <r>
      <rPr>
        <sz val="11"/>
        <color theme="1"/>
        <rFont val="FreeSans"/>
        <family val="2"/>
      </rPr>
      <t>خلال اتصال هاتفي مع الرئيس عبد الفتاح السيسي</t>
    </r>
    <r>
      <rPr>
        <sz val="11"/>
        <color theme="1"/>
        <rFont val="Calibri"/>
        <family val="2"/>
        <charset val="1"/>
      </rPr>
      <t xml:space="preserve">.. </t>
    </r>
    <r>
      <rPr>
        <sz val="11"/>
        <color theme="1"/>
        <rFont val="FreeSans"/>
        <family val="2"/>
      </rPr>
      <t xml:space="preserve">الشيخ محمد بن زايد يعرب عن دعم </t>
    </r>
    <r>
      <rPr>
        <sz val="11"/>
        <color theme="1"/>
        <rFont val="Calibri"/>
        <family val="2"/>
        <charset val="1"/>
      </rPr>
      <t>#</t>
    </r>
    <r>
      <rPr>
        <sz val="11"/>
        <color theme="1"/>
        <rFont val="FreeSans"/>
        <family val="2"/>
      </rPr>
      <t xml:space="preserve">الإمارات لجهود </t>
    </r>
    <r>
      <rPr>
        <sz val="11"/>
        <color theme="1"/>
        <rFont val="Calibri"/>
        <family val="2"/>
        <charset val="1"/>
      </rPr>
      <t>#</t>
    </r>
    <r>
      <rPr>
        <sz val="11"/>
        <color theme="1"/>
        <rFont val="FreeSans"/>
        <family val="2"/>
      </rPr>
      <t>مصر لتحقيق الأمن والاستقرار في المنطقة</t>
    </r>
    <r>
      <rPr>
        <sz val="11"/>
        <color theme="1"/>
        <rFont val="Calibri"/>
        <family val="2"/>
        <charset val="1"/>
      </rPr>
      <t>\n#</t>
    </r>
    <r>
      <rPr>
        <sz val="11"/>
        <color theme="1"/>
        <rFont val="FreeSans"/>
        <family val="2"/>
      </rPr>
      <t>العربية</t>
    </r>
    <r>
      <rPr>
        <sz val="11"/>
        <color theme="1"/>
        <rFont val="Calibri"/>
        <family val="2"/>
        <charset val="1"/>
      </rPr>
      <t>"</t>
    </r>
  </si>
  <si>
    <t>الأمن والاستقرار</t>
  </si>
  <si>
    <t>الأمن سكون</t>
  </si>
  <si>
    <t>الاطمئنان هدوء</t>
  </si>
  <si>
    <t>العافية استقرار</t>
  </si>
  <si>
    <t>الهدوء جمود</t>
  </si>
  <si>
    <t>الكاتب الصحفي أشرف العشري: جهد مصري سعودي أردني تمكن من إقرار هدنة في قطاع #غزة.. وزيارة بلينكن للمنطقة محاولة لإقناع إسرائيل والفلسطينيين بالعودة للمفاوضات \n#العربية</t>
  </si>
  <si>
    <t>جهد مصري سعودي أردني</t>
  </si>
  <si>
    <t>جهد مصري مدني أَعْرَمِيّ</t>
  </si>
  <si>
    <t>جهد نِيلِي حجازي أردني</t>
  </si>
  <si>
    <t>تَضَرُّع أهلي سعودي أَخْضَرُ</t>
  </si>
  <si>
    <t>تَعَب قاهري سعودي أردني</t>
  </si>
  <si>
    <t>الكاتب الصحفي أشرف العشري: جهد مصري سعودي أردني تمكن من إقرار هدنة في قطاع #غزة.. وزيارة بلينكن للمنطقة محاولة لإقناع إسرائيل والفلسطينيين بالعودة للمفاوضات</t>
  </si>
  <si>
    <t>خَطّاط كَاتِب أسمى مِفْرَد جهد مصري يماني أردني أحرز من قبول هدنة مؤقتة في فِئَة غزة وزيارة لمعان مجال تجربة تبرير يَهُودِيَّةٌ فِلَسْطِينِيُّونَ رَحْلةً مباحثات</t>
  </si>
  <si>
    <t>مبدع مُعَدِّ نَبَأ أجلّ مِئِينِيّ جهد مَصْرِيّ خليجي أُرْدُنيّ تمكن من اعتراف سكون في قطاع غزة وزيارة بلينكن نطاق محاولة تبيين إسرائيل والفلسطينيين رجعةً مساومات</t>
  </si>
  <si>
    <t>مُؤَرّخ نَاقِل أشرف تَاسِع جهد بَوَّاب مكي أردني أسرع من إقرار هدنة في مَجْتَمَع معقل مقابلة بلينكن ناحية تجربة إقناع بَيْتُ الْمَقْدِسِ فِلَسْطِينِيُّونَ انْتِقَالًا مماحكات</t>
  </si>
  <si>
    <t>مُؤَرّخ مُرَاسِل أطهر عشري جهد أَزْهَري يماني أردني أحكم من إجازة صلح في قطاع عزة وزيارة بلينكن للمنطقة محاولة لإقناع جَلِيلُ أَصْحَابُ أَرْضِ رجعةً مباحثات</t>
  </si>
  <si>
    <t>خَطّاط مُعَدِّ نَبَأ أشرف عشري جَدْع بَوَّاب بدوي أَرْدِيّ سيطر من إقرار هدنة عسكرية في قطاع غزة مراجعة إشراق للمنطقة محاولة حمل على قبول يَهُودِيَّةٌ عَرَبُ فِلَسْطِينِيُّونَ انْتِقَالًا للمفاوضات</t>
  </si>
  <si>
    <t>قلم صحفي أجلّ عشري مَئونة حِنْطِي نجدي أَرْدَانِيّ أمسك من اعتراف ركود في حَيِّز قلعة تذوق إضاءة حيّ محاولة تبيين إِسْرَائِيلُ أَهْلُ فِلَسْطِينَ انْتِقَالًا مطارحات</t>
  </si>
  <si>
    <r>
      <rPr>
        <sz val="11"/>
        <color theme="1"/>
        <rFont val="Calibri"/>
        <family val="2"/>
        <charset val="1"/>
      </rPr>
      <t>"</t>
    </r>
    <r>
      <rPr>
        <sz val="11"/>
        <color theme="1"/>
        <rFont val="FreeSans"/>
        <family val="2"/>
      </rPr>
      <t>أستاذ العلاقات الدولية سالم اليامي</t>
    </r>
    <r>
      <rPr>
        <sz val="11"/>
        <color theme="1"/>
        <rFont val="Calibri"/>
        <family val="2"/>
        <charset val="1"/>
      </rPr>
      <t xml:space="preserve">: </t>
    </r>
    <r>
      <rPr>
        <sz val="11"/>
        <color theme="1"/>
        <rFont val="FreeSans"/>
        <family val="2"/>
      </rPr>
      <t>السعودية واقفة بوضوح مع الشعب الفلسطيني وخياراته</t>
    </r>
    <r>
      <rPr>
        <sz val="11"/>
        <color theme="1"/>
        <rFont val="Calibri"/>
        <family val="2"/>
        <charset val="1"/>
      </rPr>
      <t xml:space="preserve">.. </t>
    </r>
    <r>
      <rPr>
        <sz val="11"/>
        <color theme="1"/>
        <rFont val="FreeSans"/>
        <family val="2"/>
      </rPr>
      <t>وعلى المجتمع الدولي عدم السكوت على قتل الأطفال الفلسطينيين على يد إسرائيل</t>
    </r>
    <r>
      <rPr>
        <sz val="11"/>
        <color theme="1"/>
        <rFont val="Calibri"/>
        <family val="2"/>
        <charset val="1"/>
      </rPr>
      <t>\n#</t>
    </r>
    <r>
      <rPr>
        <sz val="11"/>
        <color theme="1"/>
        <rFont val="FreeSans"/>
        <family val="2"/>
      </rPr>
      <t>العربية</t>
    </r>
    <r>
      <rPr>
        <sz val="11"/>
        <color theme="1"/>
        <rFont val="Calibri"/>
        <family val="2"/>
        <charset val="1"/>
      </rPr>
      <t>"</t>
    </r>
  </si>
  <si>
    <t>أستاذ العلاقات الدولية سالم اليامي: السعودية واقفة بوضوح مع الشعب الفلسطيني وخياراته.. وعلى المجتمع الدولي عدم السكوت على قتل الأطفال الفلسطينيين على يد إسرائيل</t>
  </si>
  <si>
    <t>محنَّك عُرى بين دول زَاهِر يامي نجد والحجاز ثباتة ظَاهر مع شعب فلسطيني قراراته وعلى عشيرة شامل عدم سكينة على أزال أولاد كنعانيون على يد إسرائيل</t>
  </si>
  <si>
    <t>أستاذ عُرى دولية سالم يامي ديار ثباتة جَليّ مع رعية فلسطيني أفضلياته وعلى كيان كوني عدم صمت على قتل صغيرات عبريون على يد إسرائيل</t>
  </si>
  <si>
    <t>أستاذ علاقات كونية سالم حلكة سعودية سكونة بوضوح مع حشود قَدسي انتقاءاته وعلى جمع دولي عدم سُستْر على انقرض غلمان فلسطينيون قدامى على يد أُورُشَلِيمُ</t>
  </si>
  <si>
    <t>مربٍّ أواصر شاملة سالم دجى مملكة ركود بَيِّن مع جماهير فلسطيني قراراته وعلى شعب فسيح عدم سكوت على قتل صغيرات فلسطينيين على يد إِسْرَائِيلُ</t>
  </si>
  <si>
    <t>قتل الأطفال</t>
  </si>
  <si>
    <t>قتل يافعين</t>
  </si>
  <si>
    <t>إعدام صغار</t>
  </si>
  <si>
    <t>إبادة يتع</t>
  </si>
  <si>
    <t>قتل أولاد</t>
  </si>
  <si>
    <t>Black-and-white Fallacy/Dictatorship</t>
  </si>
  <si>
    <t>وعلى المجتمع الدولي عدم السكوت على قتل الأطفال الفلسطينيين على يد إسرائيل</t>
  </si>
  <si>
    <t>وعلى مجتمع دوليّ نطاق عدم إصغاء على قتلُ أطفال سّاحليون على يد إِسْرَائِيلُ</t>
  </si>
  <si>
    <t>وعلى رأي عام دوليّ نطاق عدم سكوت على إهلاك أطفال فلسطينيين على يد بَيْتُ إِسْرَائِيلَ</t>
  </si>
  <si>
    <t>وعلى جماعة دولي عدم سكوت على قتل غِلمان فلّسطينيون على يد الْخَلِيلُ</t>
  </si>
  <si>
    <t>وعلى مجتمع فسيح عدم سكون على إنهاء رُّضَّع حيفاويون على يد إِسْرَائِيلُ</t>
  </si>
  <si>
    <t>قُتِل وأصيب 39 مدنيًا بينهم 18 طفلًا وامرأة، بنيران ميليشيا #الحوثي، المدعومة إيرانيًا، في أقل من شهرين في مناطق الساحل الغربي اليمني.  https://ara.tv/6jcej #العربية</t>
  </si>
  <si>
    <t>قُتِل وأصيب</t>
  </si>
  <si>
    <t>أَمَاتَ وأصيب</t>
  </si>
  <si>
    <t>أَفْنَى وأصيب</t>
  </si>
  <si>
    <t>أَفْنَى حقق</t>
  </si>
  <si>
    <t>قتل أدرك</t>
  </si>
  <si>
    <t>قتل أصاب</t>
  </si>
  <si>
    <t>مرتزقة</t>
  </si>
  <si>
    <t>عصابة قتلة</t>
  </si>
  <si>
    <t>جماعة مسلحة</t>
  </si>
  <si>
    <t>حشد مسلح</t>
  </si>
  <si>
    <t>عصابة مسلحة</t>
  </si>
  <si>
    <t>قُتِل وأصيب 39 مدنيًا بينهم 18 طفلًا وامرأة، بنيران ميليشيا #الحوثي، المدعومة إيرانيًا</t>
  </si>
  <si>
    <t>قتل نَجَحَ إنساني بَيْنَ حَشْدِهِم فتى إمرأة تفحّمًا ميليشيا زيدي مدعومة إيرانويّاً</t>
  </si>
  <si>
    <t>أَفْنَى أحرز راقٍ بَيْنَ جُمْلَةِ الْأَمْر يافعا إمرأة تألقًا ميليشيا حوثي، مدعومة إيرانيا</t>
  </si>
  <si>
    <t>أَفْنَى حَاز إجتماعي بَيْنَ جُمْلَةِ الْأَمْر طفلا بنية تصاعدًا جماعة مسلحة رافضي مدعومة بهلوياً</t>
  </si>
  <si>
    <t>فَنَى أحرز حضاري فِي جَمَاعَة طفلا وامرأة، تألقًا ميليشيات متطرّف مسنودة درفشياً</t>
  </si>
  <si>
    <t>قتل عَرَفَ إجتماعي إِلَيْهِم طفلا وامرأة، بنيران ميليشيا شيعي مؤيدة بهلوياً</t>
  </si>
  <si>
    <t>فَنَى فَاز عالمي بَيْنَ أَظْهُرِهِم طفلا وامرأة، تأوهًا جيش خاص زيدي مقوية أريانياً</t>
  </si>
  <si>
    <t>جناح عسكري منتفض</t>
  </si>
  <si>
    <t>عصابات مسلحة محارب</t>
  </si>
  <si>
    <t>فيلق حوثي</t>
  </si>
  <si>
    <r>
      <rPr>
        <sz val="11"/>
        <color theme="1"/>
        <rFont val="Calibri"/>
        <family val="2"/>
        <charset val="1"/>
      </rPr>
      <t>#</t>
    </r>
    <r>
      <rPr>
        <sz val="11"/>
        <color theme="1"/>
        <rFont val="FreeSans"/>
        <family val="2"/>
      </rPr>
      <t xml:space="preserve">إيران تزيد دعمها لـ </t>
    </r>
    <r>
      <rPr>
        <sz val="11"/>
        <color theme="1"/>
        <rFont val="Calibri"/>
        <family val="2"/>
        <charset val="1"/>
      </rPr>
      <t>#</t>
    </r>
    <r>
      <rPr>
        <sz val="11"/>
        <color theme="1"/>
        <rFont val="FreeSans"/>
        <family val="2"/>
      </rPr>
      <t xml:space="preserve">حماس إلى </t>
    </r>
    <r>
      <rPr>
        <sz val="11"/>
        <color theme="1"/>
        <rFont val="Calibri"/>
        <family val="2"/>
        <charset val="1"/>
      </rPr>
      <t xml:space="preserve">30 </t>
    </r>
    <r>
      <rPr>
        <sz val="11"/>
        <color theme="1"/>
        <rFont val="FreeSans"/>
        <family val="2"/>
      </rPr>
      <t>مليون دولار</t>
    </r>
    <r>
      <rPr>
        <sz val="11"/>
        <color theme="1"/>
        <rFont val="Calibri"/>
        <family val="2"/>
        <charset val="1"/>
      </rPr>
      <t xml:space="preserve">.. </t>
    </r>
    <r>
      <rPr>
        <sz val="11"/>
        <color theme="1"/>
        <rFont val="FreeSans"/>
        <family val="2"/>
      </rPr>
      <t>والعاروري</t>
    </r>
    <r>
      <rPr>
        <sz val="11"/>
        <color theme="1"/>
        <rFont val="Calibri"/>
        <family val="2"/>
        <charset val="1"/>
      </rPr>
      <t xml:space="preserve">: </t>
    </r>
    <r>
      <rPr>
        <sz val="11"/>
        <color theme="1"/>
        <rFont val="FreeSans"/>
        <family val="2"/>
      </rPr>
      <t xml:space="preserve">الحركة تقف في الخط الأمامي بالدفاع عن طهران ضد أي اعتداء أميركي أو صهيوني </t>
    </r>
    <r>
      <rPr>
        <sz val="11"/>
        <color theme="1"/>
        <rFont val="Calibri"/>
        <family val="2"/>
        <charset val="1"/>
      </rPr>
      <t>https://ara.tv/gxrna #</t>
    </r>
    <r>
      <rPr>
        <sz val="11"/>
        <color theme="1"/>
        <rFont val="FreeSans"/>
        <family val="2"/>
      </rPr>
      <t>العربية</t>
    </r>
  </si>
  <si>
    <t>اعتداء</t>
  </si>
  <si>
    <t>تجاوز</t>
  </si>
  <si>
    <t>غزو</t>
  </si>
  <si>
    <t>اعتداءٌ</t>
  </si>
  <si>
    <t>انتهاك</t>
  </si>
  <si>
    <t>اعتداء أميركي أو صهيوني</t>
  </si>
  <si>
    <t>تجاوز يَنْحَازُ لِلْكِتَابِ أَسْمَانِجِيِّ أو مُتَطَرِّف</t>
  </si>
  <si>
    <t>اعتداءٌ أميركي أو صِهْرِيّ</t>
  </si>
  <si>
    <t>عدوان يَنْحَازُ لِلْكِتَابِ أَسْمَانِجِيِّ أو صِهْرِيّ</t>
  </si>
  <si>
    <t>انتهاك يَنْحَازُ لِلْكِتَابِ أَسْمَانِجِيِّ أو احتلالي</t>
  </si>
  <si>
    <t>تعدٍّ شِمَالِيّ أو صهيوني</t>
  </si>
  <si>
    <t>العاروري: الحركة تقف في الخط الأمامي بالدفاع عن طهران ضد أي اعتداء أميركي أو صهيوني</t>
  </si>
  <si>
    <t>المستورد ترحال تتوقف في مسيرة أمامي حصن عن بلد ضد أي عدوان أميركي أو مُتَكَبِّر</t>
  </si>
  <si>
    <t>الدخيل نقل تتوقف في كتابة تمهيدي حماية عن مدينة ضد أي هجوم أُورُبِّي أو قَمْصَان</t>
  </si>
  <si>
    <t>المنقول انتقال دائم تتجمد في اتجاه أولي حذر عن طهران ضد أي اعتداء أَعْلَمِي أو مُسْتَعْمِر</t>
  </si>
  <si>
    <t>العاروري مسافة تقف في طريق مقدّم حراسة عن إقليمية ضد أي اعتوار أَمْرِيكِي أو صهيوني</t>
  </si>
  <si>
    <t>العاروري انتقال دائم تقف في رسم أمامي حراسة عن مدينة ضد أي تعدٍّ أميركي أو مُتَكَبِّر</t>
  </si>
  <si>
    <t>إيران تزيد دعمها لـ #حماس إلى 30 مليون دولار.. والعاروري: الحركة تقف في الخط الأمامي بالدفاع عن طهران ضد أي اعتداء أميركي أو صهيوني</t>
  </si>
  <si>
    <t>بلاد فرس تضاعف دعمها لـ شجاعة إلى مليون دولار دخيل تغيير أرجف في طريقة حَضْرِيّ صد عن مركز ضد أي تجاوز أميركي أو مُتَبَنٍّ للصهيونية</t>
  </si>
  <si>
    <t>فارس تعاظم دعمها لـ حماس إلى مليون دولار والعاروري مسير وقف في خط أمامي حصانة عن مدينة ضد أي سَطْو انْتِقَالِي أو صهيوني</t>
  </si>
  <si>
    <t>فارس تزيد نصّرها لـ نشاط إلى مليون دولار مستعار تنقل أخمد في مسلك صدري حراسة عن طهران ضد أي اعتداء مُتَحَدٍّ أو مُتَصَهْيِن</t>
  </si>
  <si>
    <t>أريانة تعاظم عاضدها لـ إقدام إلى مليون دولار زائف حركة أرجف في خط قُدّامي بالدفاع عن حاضرة ضد أي اعتداء وَشْمِي أو صهيوني</t>
  </si>
  <si>
    <t>برسيا ارتقاء عضدها لـ غيرة إلى مليون دولار والعاروري سير ثبّت في نمط قُدّامي بالدفاع عن مدينة ضد أي اقتحام مُتَحَدٍّ أو صِهْري</t>
  </si>
  <si>
    <t>Doubt</t>
  </si>
  <si>
    <t>مراكز أبحاث عالمية تناقش طرح جرعة إضافية ومعززة من اللقاحات.. فهل نحن بحاجة إليها؟ #صباح_سكاي</t>
  </si>
  <si>
    <t>فهل نحن بحاجة إليها؟</t>
  </si>
  <si>
    <t>حق نحن مُسْتَلزم لَدَيْهَا</t>
  </si>
  <si>
    <t>صدق نحن احتياجيّة إليها؟</t>
  </si>
  <si>
    <t>حقيقة نحن احتياجيّة مَوْضِعُهَا</t>
  </si>
  <si>
    <t>فهل نحن مُقتضى مَحَلُّهَا</t>
  </si>
  <si>
    <t>فهل نحن اِحْتِمال نَحْوَهَا</t>
  </si>
  <si>
    <r>
      <rPr>
        <sz val="11"/>
        <color theme="1"/>
        <rFont val="Calibri"/>
        <family val="2"/>
        <charset val="1"/>
      </rPr>
      <t>#</t>
    </r>
    <r>
      <rPr>
        <sz val="11"/>
        <color theme="1"/>
        <rFont val="FreeSans"/>
        <family val="2"/>
      </rPr>
      <t xml:space="preserve">مصر تبدأ تصنيع </t>
    </r>
    <r>
      <rPr>
        <sz val="11"/>
        <color theme="1"/>
        <rFont val="Calibri"/>
        <family val="2"/>
        <charset val="1"/>
      </rPr>
      <t>#</t>
    </r>
    <r>
      <rPr>
        <sz val="11"/>
        <color theme="1"/>
        <rFont val="FreeSans"/>
        <family val="2"/>
      </rPr>
      <t xml:space="preserve">سينوفارم </t>
    </r>
    <r>
      <rPr>
        <sz val="11"/>
        <color theme="1"/>
        <rFont val="Calibri"/>
        <family val="2"/>
        <charset val="1"/>
      </rPr>
      <t xml:space="preserve">.. </t>
    </r>
    <r>
      <rPr>
        <sz val="11"/>
        <color theme="1"/>
        <rFont val="FreeSans"/>
        <family val="2"/>
      </rPr>
      <t xml:space="preserve">هل نجحت خطط التعايش مع </t>
    </r>
    <r>
      <rPr>
        <sz val="11"/>
        <color theme="1"/>
        <rFont val="Calibri"/>
        <family val="2"/>
        <charset val="1"/>
      </rPr>
      <t>#</t>
    </r>
    <r>
      <rPr>
        <sz val="11"/>
        <color theme="1"/>
        <rFont val="FreeSans"/>
        <family val="2"/>
      </rPr>
      <t>كورونا؟</t>
    </r>
  </si>
  <si>
    <t>هل نجحت خطط التعايش مع #كورونا؟</t>
  </si>
  <si>
    <t>هل سَدَدت خطط تلاحم مع تاجه</t>
  </si>
  <si>
    <t>هل يَسَّرت خطط تلاحم مع هالات</t>
  </si>
  <si>
    <t>هل بلغت دبر تقارب مع أكليل</t>
  </si>
  <si>
    <t>هل نجحت خطط تشاركية مع تاج</t>
  </si>
  <si>
    <r>
      <rPr>
        <sz val="11"/>
        <color theme="1"/>
        <rFont val="Calibri"/>
        <family val="2"/>
        <charset val="1"/>
      </rPr>
      <t>#</t>
    </r>
    <r>
      <rPr>
        <sz val="11"/>
        <color theme="1"/>
        <rFont val="FreeSans"/>
        <family val="2"/>
      </rPr>
      <t>كورونا ثم إعصار مدمر</t>
    </r>
    <r>
      <rPr>
        <sz val="11"/>
        <color theme="1"/>
        <rFont val="Calibri"/>
        <family val="2"/>
        <charset val="1"/>
      </rPr>
      <t xml:space="preserve">.. </t>
    </r>
    <r>
      <rPr>
        <sz val="11"/>
        <color theme="1"/>
        <rFont val="FreeSans"/>
        <family val="2"/>
      </rPr>
      <t xml:space="preserve">مصائب </t>
    </r>
    <r>
      <rPr>
        <sz val="11"/>
        <color theme="1"/>
        <rFont val="Calibri"/>
        <family val="2"/>
        <charset val="1"/>
      </rPr>
      <t>#</t>
    </r>
    <r>
      <rPr>
        <sz val="11"/>
        <color theme="1"/>
        <rFont val="FreeSans"/>
        <family val="2"/>
      </rPr>
      <t xml:space="preserve">الهند لا تأتي فرادى </t>
    </r>
    <r>
      <rPr>
        <sz val="11"/>
        <color theme="1"/>
        <rFont val="Calibri"/>
        <family val="2"/>
        <charset val="1"/>
      </rPr>
      <t>#</t>
    </r>
    <r>
      <rPr>
        <sz val="11"/>
        <color theme="1"/>
        <rFont val="FreeSans"/>
        <family val="2"/>
      </rPr>
      <t>شاهد</t>
    </r>
    <r>
      <rPr>
        <sz val="11"/>
        <color theme="1"/>
        <rFont val="Calibri"/>
        <family val="2"/>
        <charset val="1"/>
      </rPr>
      <t>_</t>
    </r>
    <r>
      <rPr>
        <sz val="11"/>
        <color theme="1"/>
        <rFont val="FreeSans"/>
        <family val="2"/>
      </rPr>
      <t>سكاي</t>
    </r>
    <r>
      <rPr>
        <sz val="11"/>
        <color theme="1"/>
        <rFont val="Calibri"/>
        <family val="2"/>
        <charset val="1"/>
      </rPr>
      <t>_</t>
    </r>
    <r>
      <rPr>
        <sz val="11"/>
        <color theme="1"/>
        <rFont val="FreeSans"/>
        <family val="2"/>
      </rPr>
      <t>فيديو</t>
    </r>
  </si>
  <si>
    <t>مدمر</t>
  </si>
  <si>
    <t>مُدَحْرِج</t>
  </si>
  <si>
    <t>مُحِيق</t>
  </si>
  <si>
    <t>مُبَيد</t>
  </si>
  <si>
    <t>مُخَرِّب</t>
  </si>
  <si>
    <t>مصائب</t>
  </si>
  <si>
    <t>كوارث</t>
  </si>
  <si>
    <t>محن</t>
  </si>
  <si>
    <t>نكبات</t>
  </si>
  <si>
    <t>نوائب</t>
  </si>
  <si>
    <t>مصائب #الهند لا تأتي فرادى</t>
  </si>
  <si>
    <t>مصائب هند لا تَجَلَّى فرادى</t>
  </si>
  <si>
    <t>مصائب أَرْضُ دِّيكِ لا تأتي فرادى</t>
  </si>
  <si>
    <t>بلايا هند لا انْبَرَط فرادى</t>
  </si>
  <si>
    <t>مَحَن هند لا أَقْبَل فرادى</t>
  </si>
  <si>
    <t>انزلقت أول مركبة فضائية صينية على المريخ من منصة هبوطها وهي تتجول الآن على سطح الكوكب الأحمر.. #الصين تلحق بأميركا في عالم المغامرات والإنجازات الفضائية #العربية</t>
  </si>
  <si>
    <t>الصين تلحق بأميركا في عالم المغامرات والإنجازات الفضائية</t>
  </si>
  <si>
    <t>مَمْلَكَةُ تِّيجَان تلحق بإمريكا في مُنبّه مغامرات إنجازات فسيحة</t>
  </si>
  <si>
    <t>الصين تدرُج في في بصير حروب والإنجازات ساحقة</t>
  </si>
  <si>
    <t>الصين تلحق بأميركا في عالم سير مَعالم سماوية علياء</t>
  </si>
  <si>
    <t>Obfuscation, Intentional vagueness, Confusion</t>
  </si>
  <si>
    <t>انزلقت أول مركبة فضائية صينية على المريخ من منصة هبوطها وهي تتجول الآن على سطح الكوكب الأحمر</t>
  </si>
  <si>
    <t>انحدرت أول مركبة عالمية صينية على الْجَارُ الْقَرِيبُ من مِنْطَحَة هبوطٌ حاد وهي تّسيّح آن على سطح جَرْمُ سَّماوِيُّ قرمزي</t>
  </si>
  <si>
    <t>انزلقت أول طائرة جويّة صحن عميق على الْكَوْكَبُ الْمُتَوَسِّطُ من مُسْتَوًى انحطاطها وهي تتجول آن على صفحة أرض فاقع</t>
  </si>
  <si>
    <t>تعثّرت أول دبابة فضائية صينية على أَخْضَر من مِنْطَحَة هبوطها وهي تّنقّل آن على سطح جَزيرة أَزْرَقْراق</t>
  </si>
  <si>
    <t>مسؤول لدى نظام الأسد : أهالي دمشق وريفها يستهلكون المياه بشكل غير منطقي</t>
  </si>
  <si>
    <t>يستهلكون المياه بشكل غير منطقي</t>
  </si>
  <si>
    <t>يَسْتَخْدِمُون رقراق بشكل غير مرجح</t>
  </si>
  <si>
    <t>يستهلكون رقراق بشكل غير واقعي</t>
  </si>
  <si>
    <t>يستهلكون سائل بشكل غير حكيم</t>
  </si>
  <si>
    <t>يَأْكُلُون يم بشكل غير معقول</t>
  </si>
  <si>
    <t>يَسْتَخْدِمُون مياه بشكل غير حصيف</t>
  </si>
  <si>
    <t>نظام الأسد</t>
  </si>
  <si>
    <t>منهجية أَسْمَنْد</t>
  </si>
  <si>
    <t>تراتيب أسد</t>
  </si>
  <si>
    <t>تسلسل هرمي سبع</t>
  </si>
  <si>
    <t>انتظام أَيْسَم</t>
  </si>
  <si>
    <t>رصاص وقنابل .. الشبيحة يرعبون السكان خلال احتفالاتهم بمسرحية الانتخابات (فيديو)</t>
  </si>
  <si>
    <t>رصاص وقنابل</t>
  </si>
  <si>
    <t>قَذَافِلِزُجَاجُقِيدُحَجَرُمَرْمَرُصَفْحَةُحَدِيدُقَصَبَةُنَحَاسُطَلْقَةُبَارُودُمِسْكَتُ هجمات</t>
  </si>
  <si>
    <t>قَذَافِلِزُجَاجُقِيدُحَجَرُمَرْمَرُصَفْحَةُحَدِيدُقَصَبَةُنَحَاسُطَلْقَةُبَارُودُمِسْكَتُ انفجارات</t>
  </si>
  <si>
    <t>قَذَافِلِزُجَاجُقِيدُحَجَرُمَرْمَرُصَفْحَةُحَدِيدُقَصَبَةُنَحَاسُطَلْقَةُبَارُودُمِسْكَتُ صواريخ</t>
  </si>
  <si>
    <t>رصاص انفجارات</t>
  </si>
  <si>
    <t>قَذَافِلِزُجَاجُقِيدُحَجَرُمَرْمَرُصَفْحَةُحَدِيدُقَصَبَةُنَحَاسُطَلْقَةُبَارُودُمِسْكَتُ وقنابل</t>
  </si>
  <si>
    <t>رصاص قذائف</t>
  </si>
  <si>
    <t>الشبيحة</t>
  </si>
  <si>
    <t>العَصَبات</t>
  </si>
  <si>
    <t>العَسَّاسِين</t>
  </si>
  <si>
    <t>العِصَاب</t>
  </si>
  <si>
    <t>النِّظَام</t>
  </si>
  <si>
    <t>البلطجية</t>
  </si>
  <si>
    <t>يرعبون</t>
  </si>
  <si>
    <t>يُرعِبون</t>
  </si>
  <si>
    <t>إرهابيون</t>
  </si>
  <si>
    <t>بمسرحية الانتخابات</t>
  </si>
  <si>
    <t>عرض مسرائي مسابقات</t>
  </si>
  <si>
    <t>بمسرحية استفتاءات</t>
  </si>
  <si>
    <t>تمثيلية اختبارات</t>
  </si>
  <si>
    <t>بمسرحية مسابقات</t>
  </si>
  <si>
    <t>في عرض مسرحي اختبارات</t>
  </si>
  <si>
    <t>بمسرحيات مسابقات</t>
  </si>
  <si>
    <t>السَّوْط</t>
  </si>
  <si>
    <t>الزبانية</t>
  </si>
  <si>
    <t>القَطَّاعُون</t>
  </si>
  <si>
    <t>الشُّرذمَة</t>
  </si>
  <si>
    <t>خبير يعتبر اختبار الأسلحة الروسية الحديثة على أجساد السوريين "خطوة طبيعية"</t>
  </si>
  <si>
    <t>الأسلحة</t>
  </si>
  <si>
    <t>الأَهْدَاب</t>
  </si>
  <si>
    <t>السِّلاح</t>
  </si>
  <si>
    <t>البَوارِك</t>
  </si>
  <si>
    <t>المَعدات</t>
  </si>
  <si>
    <t>الأسلحة الروسية</t>
  </si>
  <si>
    <t>اللُّجَم جليدية</t>
  </si>
  <si>
    <t>المَتاع متجمدة</t>
  </si>
  <si>
    <t>الأسلحة متجمدة</t>
  </si>
  <si>
    <t>التجهيزات جليدية</t>
  </si>
  <si>
    <t>خطوة طبيعية</t>
  </si>
  <si>
    <t>خطّ طبيعية</t>
  </si>
  <si>
    <t>مسيرة طبيعية</t>
  </si>
  <si>
    <t>خطّاط اعتيادية</t>
  </si>
  <si>
    <t>خطّة عادية</t>
  </si>
  <si>
    <t>خبير يُتخذ اختبار أدوات روسية ـحـديثـة  |  ـعـصـريـة  |  ـمـعـاصـرة  |  ـجـديـدة  |  ـمـتـجـددة  |  ـمـتـطـورة  |  ـمـتـقـدمـة  |  ـمـثـيـرة  |  ـراقـيـة  |  ـمـبـدعـة  |  ـحـديـثـة  طـرزًا  |  ـمـبـهرة على أَشْكَال علويين مشوار بسيطة</t>
  </si>
  <si>
    <t>محنك يُنظر إليه اختبارُ جَوْدة آليات صقيعية ـحـديثـة  |  ـعـصـريـة  |  ـمـعـاصـرة  |  ـجـديـدة  |  ـمـتـجـددة  |  ـمـتـطـورة  |  ـمـتـقـدمـة  |  ـمـثـيـرة  |  ـراقـيـة  |  ـمـبـدعـة  |  ـحـديـثـة  طـرزًا  |  ـمـبـهرة على خَلْق سوريين مسيرة سويّة</t>
  </si>
  <si>
    <t>مجرب يعتبر اختبار أسلحة شقراء حديثة على أَحْيَاء حمويين مشية واضحة</t>
  </si>
  <si>
    <t>فاحص يعتبر امتحان أدوات شتوية حديثة على أجساد دروز مشية تلقائية</t>
  </si>
  <si>
    <t>تصل لنصف مليون ليرة .. النظام يرفع ضريبة تشغيل الهواتف .. وموالون غاضبون "أفسدت فرحتنا" ..!!</t>
  </si>
  <si>
    <t>تصل لنصف مليون ليرة</t>
  </si>
  <si>
    <t>تَبَلُّغ مِقدار مليون ليرة</t>
  </si>
  <si>
    <t>تصل مِقدار مليون ليرة</t>
  </si>
  <si>
    <t>تصل مُناصفة مليون ليرة</t>
  </si>
  <si>
    <t>انْتِهَاء لنصف مليون ليرة</t>
  </si>
  <si>
    <t>غاضبون</t>
  </si>
  <si>
    <t>مُتضجرون</t>
  </si>
  <si>
    <t>مُحتقنون</t>
  </si>
  <si>
    <t>مُتذمرون</t>
  </si>
  <si>
    <t>مُتهيجون</t>
  </si>
  <si>
    <t>أفسدت فرحتنا</t>
  </si>
  <si>
    <t>أهدرت غبطنا</t>
  </si>
  <si>
    <t>نقضت بهجتنا</t>
  </si>
  <si>
    <t>أخلدت فرحتنا</t>
  </si>
  <si>
    <t>أفسدت غبطنا</t>
  </si>
  <si>
    <t>موالون غاضبون</t>
  </si>
  <si>
    <t>مناصرون غاضبون</t>
  </si>
  <si>
    <t>مؤيدون مُستَيْقِظون</t>
  </si>
  <si>
    <t>مخلصون مُتَحَنِّقُون</t>
  </si>
  <si>
    <t>موالون مُحتقِنون</t>
  </si>
  <si>
    <t>انتخبوا من دمرها #لاشرعية_للاسد_وانتخاباته⁩ #TheIllegitimateSyrianElection</t>
  </si>
  <si>
    <t>انتخبوا من دمرها</t>
  </si>
  <si>
    <t>اختبار من هدمها</t>
  </si>
  <si>
    <t>انتخبوا من أزالها</t>
  </si>
  <si>
    <t>اختاروا من دكّها</t>
  </si>
  <si>
    <t>اختاروا بدقة من احتلها</t>
  </si>
  <si>
    <t>انتخَذوا من قضاء عليها</t>
  </si>
  <si>
    <t>انتقَوا من أحالها ركاماً</t>
  </si>
  <si>
    <t>انتقَوا من دمرها</t>
  </si>
  <si>
    <t>انتقوا من خرّبها</t>
  </si>
  <si>
    <t xml:space="preserve">دمرها </t>
  </si>
  <si>
    <t>أزالها</t>
  </si>
  <si>
    <t>قصفها</t>
  </si>
  <si>
    <t>حطمها</t>
  </si>
  <si>
    <t>دكها</t>
  </si>
  <si>
    <t xml:space="preserve">لاشرعية_للاسد_وانتخاباته? </t>
  </si>
  <si>
    <t>غير شرعية ذياب خياراته</t>
  </si>
  <si>
    <t>مزاجية كاسر وانتخاباته</t>
  </si>
  <si>
    <t>لاشرعية فهد وانتخاباته</t>
  </si>
  <si>
    <t>غير نظامية مهيب وانتخاباته</t>
  </si>
  <si>
    <t>مُحرمة للاسد قراراته</t>
  </si>
  <si>
    <t>مُحظورة أسد مفضلاته</t>
  </si>
  <si>
    <t>لاشرعية للاسد خياراته</t>
  </si>
  <si>
    <t>غير قانونية للاسد وانتخاباته</t>
  </si>
  <si>
    <t>روسيا تعاود تسويق الكذب وتتهم "تحرير- الشام" و "الخوذ البيضاء" بالتحضير لاستفزاز كيماوي مزعوم</t>
  </si>
  <si>
    <t>روسيا تداولتها تَعْمِير تزييف وتتهم إطلاق سراح أُرْدُن و أغطية مضيئة تخطيط استفزاز كيماوي مُسْتَبْدَع</t>
  </si>
  <si>
    <t>روسيا تجددت تَصْرِيف إفك تُنْسَبُ تخليص شام و خوذ باهية تهيئة استفزاز خَلْطي مُزَاعَمٌ</t>
  </si>
  <si>
    <t>الاتحاد سوفييتي تعاود تسويق مين وتتهم تحرير نص شام و خوذ بيضاء تنظيم استمالة مُعَدِّل مُدَّعَى</t>
  </si>
  <si>
    <t>روسية بوتين تبادلت تسويق إفك تُحْمَلُ تحرير دمشق و قلانس نقية بالتحضير استنطاق سُمّي مُزْعَمٌ</t>
  </si>
  <si>
    <t>روسيا تداولتها تَبْليغ زور تُسْتَنْبَطُ إطلاق عِراقُ عَجْب و قلانس نقية تمكين إثارة مُبيد مزعوم</t>
  </si>
  <si>
    <t>تسويق الكذب</t>
  </si>
  <si>
    <t>ترويج سلع كذب</t>
  </si>
  <si>
    <t>تسويق افتراء</t>
  </si>
  <si>
    <t>تعميم كذب</t>
  </si>
  <si>
    <t>توزيع ضلال</t>
  </si>
  <si>
    <t>تعميم إفك</t>
  </si>
  <si>
    <t>الكذب وتتهم</t>
  </si>
  <si>
    <t>البهتان وتتهم</t>
  </si>
  <si>
    <t>الخيانة وتُنسب خطأً</t>
  </si>
  <si>
    <t>الكذب وتُسند</t>
  </si>
  <si>
    <t>المين وتتهم</t>
  </si>
  <si>
    <t>الكذب وتُزعم</t>
  </si>
  <si>
    <t>الخداع تُحَمَّلُ</t>
  </si>
  <si>
    <t>المخاتلة تُحَمَّلُ</t>
  </si>
  <si>
    <t>الكذب تُنْسَبُ</t>
  </si>
  <si>
    <t>التدليس تُوَجَّهُ</t>
  </si>
  <si>
    <t>الافتراء وتتهم</t>
  </si>
  <si>
    <t>الخوذ البيضاء</t>
  </si>
  <si>
    <t>خُمُر وضاءة</t>
  </si>
  <si>
    <t>خُمُر لماع</t>
  </si>
  <si>
    <t>وِقَاية ناصعة</t>
  </si>
  <si>
    <t>أَوْزار بيضاء</t>
  </si>
  <si>
    <t>الخوذ ناصعة</t>
  </si>
  <si>
    <t>مزعوم</t>
  </si>
  <si>
    <t>ملفّق</t>
  </si>
  <si>
    <t>مُفترض</t>
  </si>
  <si>
    <t>مدّعى</t>
  </si>
  <si>
    <t>مُزيف</t>
  </si>
  <si>
    <t>مُختلق</t>
  </si>
  <si>
    <t>تهديدات علنية بالقتل وتباهي بنشر الإرهاب .. شخصيات موالية تنتقد اعتراض داعمي الأسد في لبنان</t>
  </si>
  <si>
    <t>تهديدات</t>
  </si>
  <si>
    <t>تهديدات مبطنه</t>
  </si>
  <si>
    <t>إنذار</t>
  </si>
  <si>
    <t>إرهاصات</t>
  </si>
  <si>
    <t>وعيد</t>
  </si>
  <si>
    <t>تلويح</t>
  </si>
  <si>
    <t>وعيد واضحة قتل تفاخر إصلاح تنكيل نُحُت مُقَرَّبَة أنكرت مناوأة مؤازر غضنفر في جنان عرب</t>
  </si>
  <si>
    <t>تهديدات مبطنّة مكشوفة فناء وتباهي تغيير فزع شخصيّات بارزة موالية جرحت اعتراض مشارك أسد في أمان</t>
  </si>
  <si>
    <t>تحذير جهرية قضاء تَفَاخَرَ تبديل إطار إرهاب رموز صَدِيقَة جرحت مناوأة داعمي أسد في جنان عرب</t>
  </si>
  <si>
    <t>تهديدات مكشوفة هلاك تَفَاخَرَ تبديل بطش رموز حَمِيمَة تنتقد تنحي مساعد ليث في كنان</t>
  </si>
  <si>
    <t>إنذار جلية فناء تفاخر إصلاح قهر صور موالية تنتقد اعتراض مشجّع سبع في أرزة</t>
  </si>
  <si>
    <t>بالقتل</t>
  </si>
  <si>
    <t>القتل</t>
  </si>
  <si>
    <t>الفتك</t>
  </si>
  <si>
    <t>الإبادة</t>
  </si>
  <si>
    <t>الإعدام</t>
  </si>
  <si>
    <t xml:space="preserve">تباهي بنشر الإرهاب </t>
  </si>
  <si>
    <t>تَرَفُّعٌ إصلاح وحشية</t>
  </si>
  <si>
    <t>تباهي إصلاح ترهيب</t>
  </si>
  <si>
    <t>إِفْرَاطٌ فِي الْعُجْبِ بنشر قمع</t>
  </si>
  <si>
    <t>تباهي تصليح تسلط</t>
  </si>
  <si>
    <t>تَعَالٍ إصلاح إرهاب</t>
  </si>
  <si>
    <t>الإرهاب</t>
  </si>
  <si>
    <t>عنف</t>
  </si>
  <si>
    <t>رُعْبٌ عظيم</t>
  </si>
  <si>
    <t>ترويع</t>
  </si>
  <si>
    <t>تَهْديد</t>
  </si>
  <si>
    <t>موالية</t>
  </si>
  <si>
    <t>مُتَعَلِّقَةٌ</t>
  </si>
  <si>
    <t>صَادِقَةٌ</t>
  </si>
  <si>
    <t>مُطِيعَةٌ</t>
  </si>
  <si>
    <t>وَفِيَّةٌ</t>
  </si>
  <si>
    <t>داعمي الأسد</t>
  </si>
  <si>
    <t>مسند أسد</t>
  </si>
  <si>
    <t>مساند أَسْيَد</t>
  </si>
  <si>
    <t>مشجع صَيْدْق</t>
  </si>
  <si>
    <t>مشارك سبع</t>
  </si>
  <si>
    <t>معين ليث</t>
  </si>
  <si>
    <r>
      <rPr>
        <sz val="11"/>
        <color theme="1"/>
        <rFont val="Calibri"/>
        <family val="2"/>
        <charset val="1"/>
      </rPr>
      <t>#</t>
    </r>
    <r>
      <rPr>
        <sz val="11"/>
        <color theme="1"/>
        <rFont val="FreeSans"/>
        <family val="2"/>
      </rPr>
      <t xml:space="preserve">شام </t>
    </r>
    <r>
      <rPr>
        <sz val="11"/>
        <color theme="1"/>
        <rFont val="Calibri"/>
        <family val="2"/>
        <charset val="1"/>
      </rPr>
      <t xml:space="preserve">| </t>
    </r>
    <r>
      <rPr>
        <sz val="11"/>
        <color theme="1"/>
        <rFont val="FreeSans"/>
        <family val="2"/>
      </rPr>
      <t>الأحرار في مدينة ادلب يتظاهرون تأكيداً على عدم شرعية الأسد وانتخاباته</t>
    </r>
    <r>
      <rPr>
        <sz val="11"/>
        <color theme="1"/>
        <rFont val="Calibri"/>
        <family val="2"/>
        <charset val="1"/>
      </rPr>
      <t>. #</t>
    </r>
    <r>
      <rPr>
        <sz val="11"/>
        <color theme="1"/>
        <rFont val="FreeSans"/>
        <family val="2"/>
      </rPr>
      <t>لاشرعية</t>
    </r>
    <r>
      <rPr>
        <sz val="11"/>
        <color theme="1"/>
        <rFont val="Calibri"/>
        <family val="2"/>
        <charset val="1"/>
      </rPr>
      <t>_</t>
    </r>
    <r>
      <rPr>
        <sz val="11"/>
        <color theme="1"/>
        <rFont val="FreeSans"/>
        <family val="2"/>
      </rPr>
      <t>للاسد</t>
    </r>
    <r>
      <rPr>
        <sz val="11"/>
        <color theme="1"/>
        <rFont val="Calibri"/>
        <family val="2"/>
        <charset val="1"/>
      </rPr>
      <t>_</t>
    </r>
    <r>
      <rPr>
        <sz val="11"/>
        <color theme="1"/>
        <rFont val="FreeSans"/>
        <family val="2"/>
      </rPr>
      <t xml:space="preserve">وانتخاباته </t>
    </r>
    <r>
      <rPr>
        <sz val="11"/>
        <color theme="1"/>
        <rFont val="Calibri"/>
        <family val="2"/>
        <charset val="1"/>
      </rPr>
      <t>#TheIllegitimateSyrianElection</t>
    </r>
  </si>
  <si>
    <t>الأحرار</t>
  </si>
  <si>
    <t>الفُضَلاء</t>
  </si>
  <si>
    <t>الكِرام</t>
  </si>
  <si>
    <t>السَّادَة</t>
  </si>
  <si>
    <t>النبلاء</t>
  </si>
  <si>
    <t>العظام</t>
  </si>
  <si>
    <t>الفضلاء</t>
  </si>
  <si>
    <t>يتظاهرون</t>
  </si>
  <si>
    <t>يعلنون</t>
  </si>
  <si>
    <t>يدّعون</t>
  </si>
  <si>
    <t>يظهرون</t>
  </si>
  <si>
    <t>لاشرعية_للاسد_وانتخاباته</t>
  </si>
  <si>
    <t>غير قانونية أسد منتقياته</t>
  </si>
  <si>
    <t>لاشرعية أَسْعَد قراراته</t>
  </si>
  <si>
    <t>ملغاة شِبل وانتخاباته</t>
  </si>
  <si>
    <t>احتفالات بالنصر في #غزة فيما سكانها يئنون تحت أنقاض الدمار الذي سببته صواريخ #حماس العبثية الإرهابية والتي ارجعتهم سنوات إلى الوراء. مضحك!! قال نصر قال #نصر_المهزومين</t>
  </si>
  <si>
    <t>احتفالات بالنصر في نُغْبُوقة بين سكانها يئنون تحت أنقاض خراب وبوار ذي سببته صواريخ نشاط لامبالاة إرهابية والتي نَقَلَتْهم سنوات إلى غد ممتع قال ظفر قال انْتِصَار منهزم</t>
  </si>
  <si>
    <t>ليالٍ مُبتهجة فخر في غزة داخل أهلها تَتَأَوَّهُ تحت خَرَاب فساد ذي ألمّته صواريخ جو جو حمية عبثية فظيعة والتي ارجعتهم سنوات إلى وراء مضحك قال تَقَدُّم قال ظفر منهزم</t>
  </si>
  <si>
    <t>احتفالات ظفر في غزة فيما مقيمون بها تَرْثِي تحت مُخَرَّبَة هلاك ذي أتعسه مقذوفات عزم عبثية وحشية والتي صَدّتهم سنوات إلى آخر ساخر قال سُؤْدُد قال فوز مكسور</t>
  </si>
  <si>
    <t>أفراح فلاح في عَزَّة حول قاطنوها تَئِنُّ تحت أنقاض دمار ذي أحزنه قذائف هاون إحراز تبلد إرهابية والتي أَحضَرتهم سنوات إلى مؤخر ساخر قال نصر قال فوز مكسور</t>
  </si>
  <si>
    <t>مراسيم تمكين في غزة فيما سكانها تَئِنُّ تحت خَرَاب دمار ذي أنزل به أذى صواريخ همة فوضوية متطرفة والتي أعدّتهم سنوات إلى عقب ظُرفاء قال سُؤْدُد قال نصر مهزومين</t>
  </si>
  <si>
    <t>احتفالات رسمية بالنصر في غَزَّة بين سكانها يئنون تحت أنقاض خراب وبوار ذي سببته صواريخ جدية تبلد إرهابية والتي ارجعتهم سنوات إلى وراء بهيج قال غلب قال نصر مهزومين</t>
  </si>
  <si>
    <t>سكانها يئنون</t>
  </si>
  <si>
    <t>قاطنيها تندب</t>
  </si>
  <si>
    <t>أهل ديار يئنون</t>
  </si>
  <si>
    <t>ساكنوها يئنون</t>
  </si>
  <si>
    <t>السكان أصليون تَحِنُّ</t>
  </si>
  <si>
    <t>المقيمون بها يئنون</t>
  </si>
  <si>
    <t>أنقاض الدمار</t>
  </si>
  <si>
    <t>مُهجَرَة خراب</t>
  </si>
  <si>
    <t>حُطام دمار</t>
  </si>
  <si>
    <t>أنقاض هزيمة</t>
  </si>
  <si>
    <t>أنقاض عطب</t>
  </si>
  <si>
    <t>مُدَمَّر فناء</t>
  </si>
  <si>
    <t>مُخَرَّبَة هدم</t>
  </si>
  <si>
    <t>رُكام إهلاك</t>
  </si>
  <si>
    <t>أنقاض دمار شامل</t>
  </si>
  <si>
    <t>خَراب هدم</t>
  </si>
  <si>
    <t>صواريخ</t>
  </si>
  <si>
    <t>مقذوفات</t>
  </si>
  <si>
    <t>رُماح</t>
  </si>
  <si>
    <t>رمح</t>
  </si>
  <si>
    <t>سهام</t>
  </si>
  <si>
    <t>صواريخ #حماس العبثية الإرهابية</t>
  </si>
  <si>
    <t>صواريخ أرض جو حِرص عبثية إرهابية</t>
  </si>
  <si>
    <t>قذائف جو أرض إرادة عبثية مجنونة وحشية</t>
  </si>
  <si>
    <t>صواريخ عزم فوضى قاتلة</t>
  </si>
  <si>
    <t>صواريخ إصرار عبثية شرير</t>
  </si>
  <si>
    <t>صواريخ حِرص عبثية قاتلة</t>
  </si>
  <si>
    <t>صواريخ أرض جو جدية سخافة إرهابية</t>
  </si>
  <si>
    <t xml:space="preserve">العبثية الإرهابية </t>
  </si>
  <si>
    <t>العبث دموية</t>
  </si>
  <si>
    <t>الهزل وحشية</t>
  </si>
  <si>
    <t>الهرج تطرفية</t>
  </si>
  <si>
    <t>الهزل فتاكة</t>
  </si>
  <si>
    <t>الهرج إرهابية</t>
  </si>
  <si>
    <t>العبث إرهابية</t>
  </si>
  <si>
    <t>Repetition</t>
  </si>
  <si>
    <t>اليوم يعيش لبنان ومحور #المقاولة كذبة اسمها #يوم_التحرير_والمقاومة، كذبة هدفها ترسيخ سيطرة #حزب_الله على لبنان وتعزيز نفوذ #إيران. الوجه الحقيقي لهذه الكذبة اسمها تنفيذ جيش الدفاع #القرار_الدولي رقم 425 والذي نفذ بشكل أحادي الجانب لعدم احترام الأطراف الأخرى القرارات الدولية..يتبع</t>
  </si>
  <si>
    <t>كذبة</t>
  </si>
  <si>
    <t>زور</t>
  </si>
  <si>
    <t>افتراء</t>
  </si>
  <si>
    <t>دجل</t>
  </si>
  <si>
    <t>مُزَيَّف</t>
  </si>
  <si>
    <t>مَينَة</t>
  </si>
  <si>
    <t>احتيال</t>
  </si>
  <si>
    <t>يوم_التحرير_والمقاومة</t>
  </si>
  <si>
    <t>يوم تحرر والمقاومة</t>
  </si>
  <si>
    <t>يوم تنوير مُحَارَبَةُ</t>
  </si>
  <si>
    <t>يوم تحرير مُجَاهَدَةُ</t>
  </si>
  <si>
    <t>يوم تحرير مُنَاوَشَةُ</t>
  </si>
  <si>
    <t>مراء</t>
  </si>
  <si>
    <t>تلفيق</t>
  </si>
  <si>
    <t>اختلاق</t>
  </si>
  <si>
    <t>محتال</t>
  </si>
  <si>
    <t>تعزيز نفوذ</t>
  </si>
  <si>
    <t>تقوية تأثير</t>
  </si>
  <si>
    <t>تأكيد سحر</t>
  </si>
  <si>
    <t>تعزيز سُلّم</t>
  </si>
  <si>
    <t>تدعيم تأثير</t>
  </si>
  <si>
    <t>تقوية نفوذ</t>
  </si>
  <si>
    <t>الكذبة</t>
  </si>
  <si>
    <t>الخُرافةُ</t>
  </si>
  <si>
    <t>المَكْرُوهَةُ</t>
  </si>
  <si>
    <t>الأَكذوبةُ</t>
  </si>
  <si>
    <t>المُفَارَقَةُ</t>
  </si>
  <si>
    <t>الرئيس يصدم العراقيين.. 150 مليار خرجت من #العراق #منصات #شاهد_سكاي</t>
  </si>
  <si>
    <t>يصدم</t>
  </si>
  <si>
    <t>يُنبهر</t>
  </si>
  <si>
    <t>يُشوش</t>
  </si>
  <si>
    <t>يُذهِض</t>
  </si>
  <si>
    <t>في مشهد مُدهش، عاصفة قوية تضرب #الجزائر #شاهد_سكاي</t>
  </si>
  <si>
    <t>مُدهش</t>
  </si>
  <si>
    <t>مُحَيِّر</t>
  </si>
  <si>
    <t>رَائِع</t>
  </si>
  <si>
    <t>مُنْبَهِم</t>
  </si>
  <si>
    <t>خَارِق</t>
  </si>
  <si>
    <t>مُبْهِر</t>
  </si>
  <si>
    <t>عَجِيب</t>
  </si>
  <si>
    <t>مُثِير</t>
  </si>
  <si>
    <t>قوية</t>
  </si>
  <si>
    <t>عظيمة</t>
  </si>
  <si>
    <t>قاهرة</t>
  </si>
  <si>
    <t>شديدة</t>
  </si>
  <si>
    <t>فذة</t>
  </si>
  <si>
    <t>السلام عليكم، لإنجاح عملية السلام يجب إقامة دولة فلسطينية على حدود العام 67وعودة اللاجئين أما الجولات والمسكنات فهي دعم لجرائم العدوان الإسرائيلي.</t>
  </si>
  <si>
    <t>لجرائم</t>
  </si>
  <si>
    <t>السيئات</t>
  </si>
  <si>
    <t>الفواحش</t>
  </si>
  <si>
    <t>الموبقات</t>
  </si>
  <si>
    <t>الجنح</t>
  </si>
  <si>
    <t>المخالفات</t>
  </si>
  <si>
    <t>الحوب</t>
  </si>
  <si>
    <t>العدوان الإسرائيلي</t>
  </si>
  <si>
    <t>الاعتداء فلَسطي</t>
  </si>
  <si>
    <t>العدوان تلمودي</t>
  </si>
  <si>
    <t>السلب عهدي</t>
  </si>
  <si>
    <t>العدوان</t>
  </si>
  <si>
    <t>الاعتداء</t>
  </si>
  <si>
    <t>الوحشية</t>
  </si>
  <si>
    <t>الغزو</t>
  </si>
  <si>
    <t>الإيذاء</t>
  </si>
  <si>
    <t>الضراوة</t>
  </si>
  <si>
    <r>
      <rPr>
        <sz val="11"/>
        <color theme="1"/>
        <rFont val="Calibri"/>
        <family val="2"/>
        <charset val="1"/>
      </rPr>
      <t>#</t>
    </r>
    <r>
      <rPr>
        <sz val="11"/>
        <color theme="1"/>
        <rFont val="FreeSans"/>
        <family val="2"/>
      </rPr>
      <t>عيد</t>
    </r>
    <r>
      <rPr>
        <sz val="11"/>
        <color theme="1"/>
        <rFont val="Calibri"/>
        <family val="2"/>
        <charset val="1"/>
      </rPr>
      <t>_</t>
    </r>
    <r>
      <rPr>
        <sz val="11"/>
        <color theme="1"/>
        <rFont val="FreeSans"/>
        <family val="2"/>
      </rPr>
      <t>المقاومه</t>
    </r>
    <r>
      <rPr>
        <sz val="11"/>
        <color theme="1"/>
        <rFont val="Calibri"/>
        <family val="2"/>
        <charset val="1"/>
      </rPr>
      <t>_</t>
    </r>
    <r>
      <rPr>
        <sz val="11"/>
        <color theme="1"/>
        <rFont val="FreeSans"/>
        <family val="2"/>
      </rPr>
      <t xml:space="preserve">والتحرير وتزامنه مع انتصار المقاومة في </t>
    </r>
    <r>
      <rPr>
        <sz val="11"/>
        <color theme="1"/>
        <rFont val="Calibri"/>
        <family val="2"/>
        <charset val="1"/>
      </rPr>
      <t>#</t>
    </r>
    <r>
      <rPr>
        <sz val="11"/>
        <color theme="1"/>
        <rFont val="FreeSans"/>
        <family val="2"/>
      </rPr>
      <t xml:space="preserve">غزة كيف تبدو المعادلات الإقليمية والمتغيرات الدولية بين الانتصارين؟ أي رسائل يحملها الميدان؟ وأي قواعد اشتباك تتشكل؟ </t>
    </r>
    <r>
      <rPr>
        <sz val="11"/>
        <color theme="1"/>
        <rFont val="Calibri"/>
        <family val="2"/>
        <charset val="1"/>
      </rPr>
      <t>#</t>
    </r>
    <r>
      <rPr>
        <sz val="11"/>
        <color theme="1"/>
        <rFont val="FreeSans"/>
        <family val="2"/>
      </rPr>
      <t>بالحبر</t>
    </r>
    <r>
      <rPr>
        <sz val="11"/>
        <color theme="1"/>
        <rFont val="Calibri"/>
        <family val="2"/>
        <charset val="1"/>
      </rPr>
      <t>_</t>
    </r>
    <r>
      <rPr>
        <sz val="11"/>
        <color theme="1"/>
        <rFont val="FreeSans"/>
        <family val="2"/>
      </rPr>
      <t xml:space="preserve">الجديد يأتيكم يومياً الساعة </t>
    </r>
    <r>
      <rPr>
        <sz val="11"/>
        <color theme="1"/>
        <rFont val="Calibri"/>
        <family val="2"/>
        <charset val="1"/>
      </rPr>
      <t xml:space="preserve">11:00 </t>
    </r>
    <r>
      <rPr>
        <sz val="11"/>
        <color theme="1"/>
        <rFont val="FreeSans"/>
        <family val="2"/>
      </rPr>
      <t xml:space="preserve">بتوقيت </t>
    </r>
    <r>
      <rPr>
        <sz val="11"/>
        <color theme="1"/>
        <rFont val="Calibri"/>
        <family val="2"/>
        <charset val="1"/>
      </rPr>
      <t>#</t>
    </r>
    <r>
      <rPr>
        <sz val="11"/>
        <color theme="1"/>
        <rFont val="FreeSans"/>
        <family val="2"/>
      </rPr>
      <t xml:space="preserve">القدس الشريف على شاشة </t>
    </r>
    <r>
      <rPr>
        <sz val="11"/>
        <color theme="1"/>
        <rFont val="Calibri"/>
        <family val="2"/>
        <charset val="1"/>
      </rPr>
      <t>#</t>
    </r>
    <r>
      <rPr>
        <sz val="11"/>
        <color theme="1"/>
        <rFont val="FreeSans"/>
        <family val="2"/>
      </rPr>
      <t>الميادين</t>
    </r>
    <r>
      <rPr>
        <sz val="11"/>
        <color theme="1"/>
        <rFont val="Calibri"/>
        <family val="2"/>
        <charset val="1"/>
      </rPr>
      <t>.</t>
    </r>
  </si>
  <si>
    <t>عيد_المقاومه_والتحرير</t>
  </si>
  <si>
    <t>عيد مجابهة استقلال</t>
  </si>
  <si>
    <t>فرحة مجابهة فكاك</t>
  </si>
  <si>
    <t>عيد ثبات فكاك</t>
  </si>
  <si>
    <t>يوم عُرس مجابهة تحرير</t>
  </si>
  <si>
    <t>حفلة مقاومه والتحرير</t>
  </si>
  <si>
    <t>في أول دعوى قضائية ضد الجرائم الإسرائيلية في قطاع #غزة، يخوض جدٌ حربه القانونية بعدما استهدفت غارة إسرائيلية منزلهم الكائن في حي الشيخ زايد شمال قطاع غزة واستشهدت عائلته المؤلفة من 6 أفراد بكاملها.</t>
  </si>
  <si>
    <t>الجرائم</t>
  </si>
  <si>
    <t>الشرور</t>
  </si>
  <si>
    <t>القبائح</t>
  </si>
  <si>
    <t>المنكرات</t>
  </si>
  <si>
    <t>الجرائم الإسرائيلية</t>
  </si>
  <si>
    <t>الجرائم ـيَهُودِيَّة</t>
  </si>
  <si>
    <t>المنكرات إسرائيلية</t>
  </si>
  <si>
    <t>المُحرمات إسرائيلية</t>
  </si>
  <si>
    <t>المنكرات عِبرِيَّة</t>
  </si>
  <si>
    <t>السيئات عِبرِيَّة</t>
  </si>
  <si>
    <t>استشهدت عائلته المؤلفة من 6 أفراد بكاملها</t>
  </si>
  <si>
    <t>ضحّت عائلته مصنوعة من مُتَفَرِّقون مجملها</t>
  </si>
  <si>
    <t>استشهدت عائلته مؤلفة من خُلَّص جميعها</t>
  </si>
  <si>
    <t>زُهقت ذويه مؤلفة من أفراد كلها</t>
  </si>
  <si>
    <t>ضحّت أهله مُخترعة من مُنفردين تامة</t>
  </si>
  <si>
    <t>ضحّت نسبه مُصاغة من أفراد بكاملها</t>
  </si>
  <si>
    <t>استشهدت عائلته مؤلفة من رَعَاع بتمامها</t>
  </si>
  <si>
    <t>غارة إسرائيلية</t>
  </si>
  <si>
    <t>غارة أَشْكَنَازِيَّة</t>
  </si>
  <si>
    <t>هجمة عِبرِيَّة</t>
  </si>
  <si>
    <t>غزوة أَشْكَنَازِيَّة</t>
  </si>
  <si>
    <t>اجتياح قَبَطِيَّة</t>
  </si>
  <si>
    <t>معركة #إسرائيل عبر الإنترنت تتراجع.. كيف نجح الفلسطينيون في نشر روايتهم وتفنيد مزاعم الاحتلال؟</t>
  </si>
  <si>
    <t>مزاعم</t>
  </si>
  <si>
    <t>افتراءات</t>
  </si>
  <si>
    <t>ادعاءاتٌ</t>
  </si>
  <si>
    <t>دعاوى</t>
  </si>
  <si>
    <t>أكاذيب</t>
  </si>
  <si>
    <t>معركة #إسرائيل</t>
  </si>
  <si>
    <t>مشاحنة بَنُو إِسْرَائِيل</t>
  </si>
  <si>
    <t>معركة أُمَّةٌ مِنَ الْمُتَعَبِّدِينَ</t>
  </si>
  <si>
    <t>نزال إِسْرَائِيل</t>
  </si>
  <si>
    <t>مشاجرة أَرْضُ الْمَوْعِدِ</t>
  </si>
  <si>
    <t>صدام يَهُود</t>
  </si>
  <si>
    <t>معركة أَرْضُ الْمَوْعِدِ</t>
  </si>
  <si>
    <t>مزاعم الاحتلال</t>
  </si>
  <si>
    <t>ادعاءات ضم</t>
  </si>
  <si>
    <t>إملى ضم</t>
  </si>
  <si>
    <t>مزاعم إخضاع</t>
  </si>
  <si>
    <t>إثيوبيا تقول إنّ العقوبات التي فرضتها واشنطن بسبب "الفظائع في إقليم تيغراي" لن تردعها، وترفض التدخل في شؤونها</t>
  </si>
  <si>
    <t>الفظائع</t>
  </si>
  <si>
    <t>الرّزايـا</t>
  </si>
  <si>
    <t>المُقْتَحَمَـات</t>
  </si>
  <si>
    <t>العَظَائِـم</t>
  </si>
  <si>
    <t>الفَواحِش</t>
  </si>
  <si>
    <t>حبَشِيَّة تَشرَح إن عقوبات تي أملاها واقع لِيْتِل وَاشِنْطُن بسبب مَفاسد في أجزاء فهد لن أبعدتْها وتتهرّب تَّعَرُّض في مُستجداتها</t>
  </si>
  <si>
    <t>حبشة تقول إن انتقامات تي فرضتها واشنطن بسبب مَآسي في إقليم رَبْع لن قيّدتها وتستكبّر تَّعَرُّض في شؤونها</t>
  </si>
  <si>
    <t>حبشة تقول إن عقاب تي لزمتها بَلْتِمُور بسبب شَّنائع في أقاليم رَبْع لن أخرستها وترفض تَّدَخُّل في قضاياها</t>
  </si>
  <si>
    <t>إثيوبيا تَنطِق إن عقوبات تي فُرضت قسراً واشنطن بسبب وَحشيات في ناحية أسد لن أبعدتْها وتنأى تدخل في مُستجداتها</t>
  </si>
  <si>
    <t>صورهم أبكت الملايين.. ظروف قاسية يعيشها أطفال مغاربة بمراكز الاحتجاز في سبتة الخاضعة لسيطرة #إسبانيا</t>
  </si>
  <si>
    <t>أبكت الملايين</t>
  </si>
  <si>
    <t>أفجعت أجفال</t>
  </si>
  <si>
    <t>أبكت ملاّ</t>
  </si>
  <si>
    <t>أبكت وفود</t>
  </si>
  <si>
    <t>أشقيت جموع</t>
  </si>
  <si>
    <t>أدمعت ملايين</t>
  </si>
  <si>
    <t>رثت جموع</t>
  </si>
  <si>
    <t>رثت رهط</t>
  </si>
  <si>
    <t>أبكت جمهور</t>
  </si>
  <si>
    <t xml:space="preserve">ظروف قاسية </t>
  </si>
  <si>
    <t>علل صلبة</t>
  </si>
  <si>
    <t>ظروف قاهرة فظة</t>
  </si>
  <si>
    <t>ملابسات شديدة</t>
  </si>
  <si>
    <t>ظروف شديدة</t>
  </si>
  <si>
    <t>الاحتجاز</t>
  </si>
  <si>
    <t>الربط</t>
  </si>
  <si>
    <t>الحصر</t>
  </si>
  <si>
    <t>التوقيف</t>
  </si>
  <si>
    <t>الحجز</t>
  </si>
  <si>
    <r>
      <rPr>
        <sz val="11"/>
        <color theme="1"/>
        <rFont val="Calibri"/>
        <family val="2"/>
        <charset val="1"/>
      </rPr>
      <t>#</t>
    </r>
    <r>
      <rPr>
        <sz val="11"/>
        <color theme="1"/>
        <rFont val="FreeSans"/>
        <family val="2"/>
      </rPr>
      <t xml:space="preserve">عاجل </t>
    </r>
    <r>
      <rPr>
        <sz val="11"/>
        <color theme="1"/>
        <rFont val="Calibri"/>
        <family val="2"/>
        <charset val="1"/>
      </rPr>
      <t xml:space="preserve">| </t>
    </r>
    <r>
      <rPr>
        <sz val="11"/>
        <color theme="1"/>
        <rFont val="FreeSans"/>
        <family val="2"/>
      </rPr>
      <t>البيت الأبيض</t>
    </r>
    <r>
      <rPr>
        <sz val="11"/>
        <color theme="1"/>
        <rFont val="Calibri"/>
        <family val="2"/>
        <charset val="1"/>
      </rPr>
      <t>: #</t>
    </r>
    <r>
      <rPr>
        <sz val="11"/>
        <color theme="1"/>
        <rFont val="FreeSans"/>
        <family val="2"/>
      </rPr>
      <t xml:space="preserve">بايدن في اتصال مع </t>
    </r>
    <r>
      <rPr>
        <sz val="11"/>
        <color theme="1"/>
        <rFont val="Calibri"/>
        <family val="2"/>
        <charset val="1"/>
      </rPr>
      <t>#</t>
    </r>
    <r>
      <rPr>
        <sz val="11"/>
        <color theme="1"/>
        <rFont val="FreeSans"/>
        <family val="2"/>
      </rPr>
      <t xml:space="preserve">السيسي يشكر </t>
    </r>
    <r>
      <rPr>
        <sz val="11"/>
        <color theme="1"/>
        <rFont val="Calibri"/>
        <family val="2"/>
        <charset val="1"/>
      </rPr>
      <t>#</t>
    </r>
    <r>
      <rPr>
        <sz val="11"/>
        <color theme="1"/>
        <rFont val="FreeSans"/>
        <family val="2"/>
      </rPr>
      <t>مصر على الدبلوماسية الناجحة لإنهاء المواجهات بين إسرائيل وغزة</t>
    </r>
  </si>
  <si>
    <t>حَال بيت مشرب رئيس في مضافاة مع مهيب عرفان مصر على دبلوماسية مرادفات عشرة: إتماما مدافعات بين سَعَر زَبْزَبَة</t>
  </si>
  <si>
    <t>قَرِيب حِمى ثلجي مدبر في تجانس مع قائد مدح مصرية على دبلوماسية ناجحة لإنهاء مساجلات بين أورشليم زَيْغَة</t>
  </si>
  <si>
    <t>قَرِيب حِمى ضارب للصفرة راعٍ في اتصال مع رئيس شكر أرض كنانة على احتياط فَائِقَة لإنهاء مدافعات بين أرض ميعاد وغزة</t>
  </si>
  <si>
    <t>سريع مأوى مشرب حاكم في اندماج مع قائد تقدير جنة شرق على احتياط فَذَّة لإنهاء مصارحات بين صهيون وغزة</t>
  </si>
  <si>
    <t>أسوشييتد برس قالت إن 17 صحفياً من #غزة أكّدوا أن حساباتهم على تطبيق واتساب جرى حظرها منذ الجمعة الماضية، ما يزيد الشكوك حول استهداف التطبيق وشركة #فيسبوك المالكة له للفلسطينيين</t>
  </si>
  <si>
    <t xml:space="preserve"> ما يزيد الشكوك حول استهداف التطبيق وشركة #فيسبوك المالكة له للفلسطينيين</t>
  </si>
  <si>
    <t xml:space="preserve"> ما يُضاعِف شكوك حول إصابة هدف تنفيذ تعاونية منبر إعلامي سيدة له للفلسطينيين</t>
  </si>
  <si>
    <t xml:space="preserve"> ما يَفُوق ريْبُ حول اجتلاب تنفيذ وشركة منصة سيدة أولى له مُنَاضِلُونَ فِلَسْطِينِيُّونَ</t>
  </si>
  <si>
    <t xml:space="preserve"> ما يَتَضاعَف شكوك حول استهداف تطبيق وشركة منبر إعلامي مالكة له مُقَاوِمُونَ فِلَسْطِينِيُّونَ</t>
  </si>
  <si>
    <t xml:space="preserve"> ما يَعْظُم ريْبُ حول استهداف أداء شراكة شبكة اجتماعية سيدة أولى له مُنَاضِلُونَ فِلَسْطِينِيُّونَ</t>
  </si>
  <si>
    <t>مدير عام منظمة الصحة العالمية يعرب عن أسفه لسيطرة مجموعة صغيرة من الدول على اللقاحات المضادة لفيروس #كورونا</t>
  </si>
  <si>
    <t>سيطرة مجموعة صغيرة من الدول على اللقاحات المضادة لفيروس #كورونا</t>
  </si>
  <si>
    <t>سيطرة كَوكَب حَقْوَة من دول على مناعات رادة لفيروس إكليل</t>
  </si>
  <si>
    <t>سُلْطَة خَلاصة صغيرة من دول على مُبَيِّدات معارضة عدوى هالة</t>
  </si>
  <si>
    <t>غَلَبَة مجموع صغيرة من دول على مُعَدِّيات ضد لفيروس كورونا</t>
  </si>
  <si>
    <t>شركة "أريس" التركية المتخصصة في صناعة الزوارق البحرية تحقق نجاحاً كبيراً باجتياز زورقها محلي الصنع، المخصص لقوات خفر السواحل، الاختبارات الأولى بنجاح، استعداداً لحماية مياه "الوطن الأزرق".</t>
  </si>
  <si>
    <t>نجاحاً كبيراً</t>
  </si>
  <si>
    <t>سدادا جليلًا</t>
  </si>
  <si>
    <t>فلاحا عظيما</t>
  </si>
  <si>
    <t>بلوغا كبيرا</t>
  </si>
  <si>
    <t>تحقيقًا جسيما</t>
  </si>
  <si>
    <t>سدادا كبيرا</t>
  </si>
  <si>
    <t>نجاحا رائعا</t>
  </si>
  <si>
    <t>الوطن الأزرق</t>
  </si>
  <si>
    <t>الدَّيَارُ فضي</t>
  </si>
  <si>
    <t>المَوْطِنُ رصاصي</t>
  </si>
  <si>
    <t>الدَّيَارُ بَحري</t>
  </si>
  <si>
    <t>الحِمَى أزرق</t>
  </si>
  <si>
    <t>شركة أريس تركية متخصصة في إنشاء سفن محيط تحقق فوزا كبيرا تخطى مركبها محلي صنع</t>
  </si>
  <si>
    <t>اتحاد واضح تركية متخصصة في إنتاج أشرعة مِيَاه فَعَل تحقيقًا عريضا اجتيازاً شراعها محلي ـصـيـاغـة فرد جيش خفر الْحَرْف تدقيق صدارة فوز استعدادا رعاية مياه/ ماء/ سوائل/ أمواه/ مائات/ مرق/ سائل/ رطوبات/ مُطرة/ غمر/ فيضان رَحِم زُرْقـــة</t>
  </si>
  <si>
    <t>تجارية سافر تركية فَطِنَة في حِرفة مطايا بحرية تحقّق نجاحا عريضا قَطَع حاملتها قرويّ صنع</t>
  </si>
  <si>
    <t>جماعة مشرق رَحَّبِيَّة متخصصة في إنتاج أشرعة بحرية فَعَل إصابةً عظيما باجتياز سفينتها محلي ـصـيـاغـة مخصص جنود خفر الْمَخَاوِض مراقبة مقدمة بنجاح</t>
  </si>
  <si>
    <t>الأَوْطَانُ رمادي</t>
  </si>
  <si>
    <t>الدَّارُ بَحري</t>
  </si>
  <si>
    <t>المَنْشَأُ ضبابي</t>
  </si>
  <si>
    <t>المَنْشَأُ ياقوتي</t>
  </si>
  <si>
    <t>المَوْلِدُ رمادي</t>
  </si>
  <si>
    <t>الغرب يريد معاقبة روسيا على حادثة رحلة Ryanair في مينسك</t>
  </si>
  <si>
    <t>معاقبة</t>
  </si>
  <si>
    <t>عقابٌ أليم</t>
  </si>
  <si>
    <t>تأديب</t>
  </si>
  <si>
    <t>قصاص</t>
  </si>
  <si>
    <t>مراسلتنا: مقتل شاب فلسطيني في رام الله برصاص قوات خاصة إسرائيلية</t>
  </si>
  <si>
    <t>مقتل</t>
  </si>
  <si>
    <t>خسارة</t>
  </si>
  <si>
    <t>هلعة</t>
  </si>
  <si>
    <t>مصيبة</t>
  </si>
  <si>
    <t>فناء</t>
  </si>
  <si>
    <t>مراسيط مقتل مُراهِق كَفَاحِيّ في مُبتغٍ مُدبر قذائف فرق خاصة إسرائيلية</t>
  </si>
  <si>
    <t>مراسلتنا مقتل فَتيّ فِلَسْطِينِيّ في ملتمس له عيارات جيوش خاصة إسرائيلية</t>
  </si>
  <si>
    <t>مراجعة مَوت يافع فلسطيني في محب له قذائف كتائب خاصة صهيونية</t>
  </si>
  <si>
    <t>مخابرة مقتل حدَث فلسطيني في مُفْتَتَنٌ له عيارات مجموعات خاصة يافاوية</t>
  </si>
  <si>
    <t>مكاتبتنا حتف فتى حُرٌّ في عاشق خالق طلقات فرقعات خاصة إسرائيلية</t>
  </si>
  <si>
    <t>مراسَم هلاكة شاب فِلَسْطِينِيّ في مُفْتَتَنٌ مُصوّر برصاص قوات خاصة إسرائيلية</t>
  </si>
  <si>
    <r>
      <rPr>
        <sz val="11"/>
        <color theme="1"/>
        <rFont val="Calibri"/>
        <family val="2"/>
        <charset val="1"/>
      </rPr>
      <t xml:space="preserve">500 </t>
    </r>
    <r>
      <rPr>
        <sz val="11"/>
        <color theme="1"/>
        <rFont val="FreeSans"/>
        <family val="2"/>
      </rPr>
      <t>ديمقراطي يوقعون رسالة تحث بايدن على محاسبة إسرائيل وحماية الفلسطينيين</t>
    </r>
  </si>
  <si>
    <t>محاسبة</t>
  </si>
  <si>
    <t>مُقَابَلَة</t>
  </si>
  <si>
    <t>مُحاسَبِيَّة</t>
  </si>
  <si>
    <t>مُطَالَبَة</t>
  </si>
  <si>
    <t>حماية</t>
  </si>
  <si>
    <t>كفالة</t>
  </si>
  <si>
    <t>رعاية</t>
  </si>
  <si>
    <t>دفاع</t>
  </si>
  <si>
    <t>حفظ</t>
  </si>
  <si>
    <t>ستر</t>
  </si>
  <si>
    <t>حصانة</t>
  </si>
  <si>
    <t>الولايات المتحدة تحتل غرينلاند وتهدد روسيا في القطب الشمالي</t>
  </si>
  <si>
    <t>تحتل</t>
  </si>
  <si>
    <t>سَيْطَرَت</t>
  </si>
  <si>
    <t>استولت على</t>
  </si>
  <si>
    <t>تَغَلْبَة</t>
  </si>
  <si>
    <t>خَاضَعَت</t>
  </si>
  <si>
    <t>الجهات مجتمعة تحتل قَفْرَة تزعزع روسيا في مركز أصلي</t>
  </si>
  <si>
    <t>النيابات متحدة سَرَقَت زُمَرُّدَة ارعب موسكو في محور أصلي</t>
  </si>
  <si>
    <t>الناحيات متحدة سَرَقَت فِضِّيَّة هدد اتحاد سوفييتي في اتجـاه أول</t>
  </si>
  <si>
    <t>الولايات متضامنة تحتل إسقُطَنْسُر توعّد قيصرية روسية في قطب شمالي</t>
  </si>
  <si>
    <t>الولايات المتحدة تحتل غرينلاند</t>
  </si>
  <si>
    <t>الولايات متحدة تحتل جَزَائِرُ الْقُطْبِ شِّمَالِي</t>
  </si>
  <si>
    <t>الديار متحدة تغزو غرينلاند</t>
  </si>
  <si>
    <t>الولايات مجتمعة تعمر أَخْضَرُ الْعَالَمِ</t>
  </si>
  <si>
    <t>المناطق متوافقة تستأثر غرينلاند</t>
  </si>
  <si>
    <t>هل تعتقد أمريكا أنها تستطيع النجاة اذا انتقلوا الى غرينلاند قبل انفجار يلوستون؟ هل لديهم تأكيد إلهي او علمي بأن غرينلاند آمنة؟ البداية الصفرية غير متاحة للأسف.</t>
  </si>
  <si>
    <t>تأكيد إلهي</t>
  </si>
  <si>
    <t>تحقق إلهي</t>
  </si>
  <si>
    <t>تقرير واحد</t>
  </si>
  <si>
    <t>تصديقًا مولاي</t>
  </si>
  <si>
    <t>تثبيت علي</t>
  </si>
  <si>
    <t>جزم واحد</t>
  </si>
  <si>
    <t>هل تعتقد أمريكا أنها تستطيع النجاة اذا انتقلوا الى غرينلاند قبل انفجار يلوستون</t>
  </si>
  <si>
    <t>هل تعتقد أميركا شمالية أنها تستطيع نجاة اذا مروا ى عَشْبِيَّة قبل اندفاع مشرقة</t>
  </si>
  <si>
    <t>هل يُقدِّر يانكيلاند أنها يستطيع يُسر اذا انتقلِ ى غرينلاند قبل تطاير يلوستون</t>
  </si>
  <si>
    <t>هل تعتقد قارة أمريكا أنها تستطيع نجاة اذا انطلقوا ى لازُورد قبل اندفاع صفراء</t>
  </si>
  <si>
    <t>هل يَعتقد اعتقادًا ولايات متحدة أمريكية أنها يستطيع خلاص اذا انتقلوا ى غرينلاند قبل انطلاق مشعة</t>
  </si>
  <si>
    <t>Thought-terminating cliché</t>
  </si>
  <si>
    <t>البداية الصفرية غير متاحة للأسف</t>
  </si>
  <si>
    <t>المستهل فَقْر غير مُنْكَشِفَة آسفون</t>
  </si>
  <si>
    <t>انبثاق إِمْسَاك غير متاحة أسيف</t>
  </si>
  <si>
    <t>انبثاق صفرية غير مُتَوَفِّرة أسيف</t>
  </si>
  <si>
    <t>مستهل إِقْبَال غير مُتَعَهْدَة قهّ</t>
  </si>
  <si>
    <t>البدايات إِقْبَال غير مُيسَّرَة وجع</t>
  </si>
  <si>
    <t>البداية صفرية غير مُبَاحَة آسفون</t>
  </si>
  <si>
    <t>هل تعتقد أمريكا أنها تستطيع النجاة اذا انتقلوا الى غرينلاند قبل انفجار يلوستون؟ هل لديهم تأكيد إلهي او علمي بأن غرينلاند آمنة؟ البداية الصفرية غير متاحة للأسف</t>
  </si>
  <si>
    <t>هل يُقدِّر أمريكا أنها تستطيع نجاة اذا انتقلوا ى غرينلاند قبل انفلات براقة هل يقتنونها تدعيم إلهي او فكري بأن بَلْدَةُ مُتجَمِّدَة سالمة بداية صفرية غير ممكّزة للأسف</t>
  </si>
  <si>
    <t>هل يَستنتج ولايات متحدة أنها يُمكنه نجاة اذا ارتحلوا ى غرينلاند قبل انفجار يلوستون؟ هل يقتنونها إثبات ربّي او علمي بأن غرينلاند سالمة انطلاقة صفرية غير موجودة مرارة</t>
  </si>
  <si>
    <t>هل يَرى يانكيلاند أنها يقدر خلاص اذا تغيروا ى غرينلاند قبل تفاقم لامعة هل لديهم تثبيت إلـــهي او دراسي بأن أَرْضُ عَجَائِبِ بَارِدَة هادئة بداية صفرية غير ممكنة أسى</t>
  </si>
  <si>
    <t>هل يُقدِّر أمريكا أنها يقدر سداد اذا تنحوا ى غرينلاند قبل انفجار مضيئة هل لديهم تعزيز مدبري او عقلي بأن أَرْضُ جَليدية آمنة بداية خاوية غير موجودة أسفا شديدا</t>
  </si>
  <si>
    <t>هل يَرى رأيًا ولايات متحدة أنها تستطيع فوز اذا انتقلوا ى غرينلاند قبل تطاير يلوستون؟ هل متاحٌ لهم تثبيت خالقــي او عقلي بأن إسقُطَند آمنة؟ انطلاقة عدم غير قابلة للتوافر ندما</t>
  </si>
  <si>
    <t>موسكو: البنتاغون تجاوز الحد المسموح به من الأسلحة الهجومية الاستراتيجية بمقدار 101 قطعة</t>
  </si>
  <si>
    <t>زَعِيمَة مُسَدَّس مرّ قطع مسموح به من عدة غدر سياسة بمقدار قطعة</t>
  </si>
  <si>
    <t>بَلْقَان بنتاغون تجاوزت منتهى مُعْتَمَد به من عدة حدة منهجية قَدر قطعة</t>
  </si>
  <si>
    <t>قَائِدَة بنتاغون تعدى قطع مَقْبُول به من أَرمَحة هجومية استراتيجية قَسط قطعة</t>
  </si>
  <si>
    <t>رُومَانُوف مَبْنَى بِنْتَاغُون تجنب نهاية مُعْتَمَد به من أَرمَحة اقتحام سياسة حَسب نَصيب</t>
  </si>
  <si>
    <t>البنتاغون تجاوز الحد المسموح به من الأسلحة الهجومية الاستراتيجية بمقدار 101 قطعة</t>
  </si>
  <si>
    <t>القَلْعَة تعدّى حد حد جائز به من تَّسليح هجومية مقاربة مناظر قطع</t>
  </si>
  <si>
    <t>المَرْكَز تعدّى حد حد مَوْعُود به من تَّسليح شراسة استراتيجية موازٍ لُقْمة</t>
  </si>
  <si>
    <t>الدَّارُ كُبْرَى تعدّى حد حد مسموح به من خَرَدَة هجومية سياسة مناظر لُقْمة</t>
  </si>
  <si>
    <t>المَعْقِل تجاوزها تقاطع مَوْسُوع به من أَداة هجومية استراتيجية موافق قطعة</t>
  </si>
  <si>
    <t>بعد أشهر من وجودهم فيه بعد اقتحامه من أنصار ترامب.. عناصر الحرس الوطني الأمريكي يستعدون لمغادرة مبنى الكابيتول</t>
  </si>
  <si>
    <t>اقتحامه</t>
  </si>
  <si>
    <t>انقضاضـه</t>
  </si>
  <si>
    <t>دخـولـه</t>
  </si>
  <si>
    <t>اقتحـام</t>
  </si>
  <si>
    <t>قوات الاحتلال الإسرائيلي تعتدي على المصلين في المسجد الأقصى تزامناً مع اقتحام مستوطنين باحاته وسط إدانات واسعة</t>
  </si>
  <si>
    <t>اقتحام</t>
  </si>
  <si>
    <t>إقتحام عسكري</t>
  </si>
  <si>
    <t>إحتلال</t>
  </si>
  <si>
    <t>إجتياز</t>
  </si>
  <si>
    <t>إجتياح</t>
  </si>
  <si>
    <t>قوات الاحتلال الإسرائيلي</t>
  </si>
  <si>
    <t>إِمْكَانات احتلال فلسطيني</t>
  </si>
  <si>
    <t>طَاقَات هيمنة هَارُوني</t>
  </si>
  <si>
    <t>جَمَاعَات استحواذ عبري</t>
  </si>
  <si>
    <t>سُلُطَات هيمنة إسرائيلي</t>
  </si>
  <si>
    <t>قوات قهر لاوي</t>
  </si>
  <si>
    <t>طَاقَات إخضاع إسرائيلي</t>
  </si>
  <si>
    <t>تعتدي على المصلين في المسجد الأقصى</t>
  </si>
  <si>
    <t>الإذلال على وَاقِفِينَ بِالصَّلَاةِ في حرم أقصى</t>
  </si>
  <si>
    <t>تعتدي على وَاقِفِينَ بِالصَّلَاةِ في بيت له أقصى غايات</t>
  </si>
  <si>
    <t>البطش على مُسَلِّمِينَ في مكان سجود أبعدُ مدى</t>
  </si>
  <si>
    <t>الإذلال على عَاكِفِينَ في بيت صلاة أبعدُ معنىً</t>
  </si>
  <si>
    <t>إدانات واسعة</t>
  </si>
  <si>
    <t>عتاب واسعة أرجاء</t>
  </si>
  <si>
    <t>إدانات رحبة</t>
  </si>
  <si>
    <t>تجريمات فسيحة</t>
  </si>
  <si>
    <t>عتاب واسعة</t>
  </si>
  <si>
    <t>تجريمات واسعة أرجاء</t>
  </si>
  <si>
    <t>زجر سعة</t>
  </si>
  <si>
    <t>كاميرات مراقبة تظهر تحرش عناصر الشرطة الإسرائيلية بشاب فلسطيني من دون سبب، والاعتداء عليه في أثناء اعتقالها شاباً آخر.</t>
  </si>
  <si>
    <t>تحرش</t>
  </si>
  <si>
    <t>تحرّم</t>
  </si>
  <si>
    <t>تعدّى</t>
  </si>
  <si>
    <t>استفزّ</t>
  </si>
  <si>
    <t>التنكيل</t>
  </si>
  <si>
    <t>الهجوم</t>
  </si>
  <si>
    <t>الاقتحام</t>
  </si>
  <si>
    <t>تلوُّث كبرى البحيرات الصناعية في #لبنان يدقّ ناقوس الخطر وينذر بكارثة بيئية</t>
  </si>
  <si>
    <t>بكارثة</t>
  </si>
  <si>
    <t>نَكْبَةً</t>
  </si>
  <si>
    <t>شَرًّا</t>
  </si>
  <si>
    <t>مَصْرَعَةً</t>
  </si>
  <si>
    <t>رَزِيَّةً</t>
  </si>
  <si>
    <t>دَاهِيَةً</t>
  </si>
  <si>
    <t>يدقّ ناقوس الخطر وينذر بكارثة بيئية</t>
  </si>
  <si>
    <t>يَصدمُ دَنْدَنَة فتنة وينذر وَاقِعَة وسطية</t>
  </si>
  <si>
    <t>يَصدمُ ناقوس زوال إنذار فَاجِعَة إحيائية</t>
  </si>
  <si>
    <t>يَصطدمُ ناقوس تهلكة وينذر نَازِلَة بيئية</t>
  </si>
  <si>
    <t>يَنقرُ صَنْج فناء وينذر مُصَاب حياة</t>
  </si>
  <si>
    <t>يَطرُقُ دَنْدَنَة هلاك وينذر بكارثة بيئية</t>
  </si>
  <si>
    <t>يُزَيِّنُ جرس خطر تُبَيِّن بُؤْسًا طبيعية</t>
  </si>
  <si>
    <t>يَخْتَرِقُ صنج تهديد تهدد هَلاَكَةً خضراء</t>
  </si>
  <si>
    <t>يَحْفِرُ صَلصلة وعيد تُنبيء بُؤْسًا مناخية</t>
  </si>
  <si>
    <t>يَبْرِي ناقوس مجازفة وينذر بَلِيَّةً بيئية</t>
  </si>
  <si>
    <t>ناقوس الخطر</t>
  </si>
  <si>
    <t>ناقوس فناء</t>
  </si>
  <si>
    <t>مِطْرَقَة هلاك</t>
  </si>
  <si>
    <t>صَنْج مهلكة</t>
  </si>
  <si>
    <t>صَنْج وعيد</t>
  </si>
  <si>
    <t>قُلْبَان هلاكة</t>
  </si>
  <si>
    <t>رَجَّاج خطر</t>
  </si>
  <si>
    <t>قرع خطر</t>
  </si>
  <si>
    <t>ناقوس شر</t>
  </si>
  <si>
    <t>ناقوس تهديد</t>
  </si>
  <si>
    <t>جرس شر</t>
  </si>
  <si>
    <t>يدقّ ناقوس الخطر</t>
  </si>
  <si>
    <t>يدق رنين زوال</t>
  </si>
  <si>
    <t>يُومئ رنين فناء</t>
  </si>
  <si>
    <t>يُومئ قعقاع هلاكة</t>
  </si>
  <si>
    <t>يدق ناقوس شر</t>
  </si>
  <si>
    <t>يُشير صدى خطر</t>
  </si>
  <si>
    <t>أطفال فلسطينيون يقفون فوق ركام منزل عائلة أبو حطب في قطاع غزة، ويشعلون الشموع تنديداً بالمجزرة التي ارتكبتها إسرائيل بقتل 10 من أفراد العائلة، بينهم أطفال، خلال الغارات الجوية على غزة.</t>
  </si>
  <si>
    <t>تنديداً</t>
  </si>
  <si>
    <t>إدانة</t>
  </si>
  <si>
    <t>توبيخ</t>
  </si>
  <si>
    <t>الغارات</t>
  </si>
  <si>
    <t>الهجمات</t>
  </si>
  <si>
    <t>المُنقضات</t>
  </si>
  <si>
    <t>المغاورات</t>
  </si>
  <si>
    <t>بقتل 10 من أفراد العائلة</t>
  </si>
  <si>
    <t xml:space="preserve"> بينهم أطفال</t>
  </si>
  <si>
    <t>المجزرة</t>
  </si>
  <si>
    <t>المذبحة</t>
  </si>
  <si>
    <t>الابادة جماعية</t>
  </si>
  <si>
    <t>المقتلة</t>
  </si>
  <si>
    <t>ركام</t>
  </si>
  <si>
    <t>مُنْهَدِم</t>
  </si>
  <si>
    <t>حُثالة</t>
  </si>
  <si>
    <t>خَرِبَة</t>
  </si>
  <si>
    <t>مَهْمَل</t>
  </si>
  <si>
    <t>أَثَر</t>
  </si>
  <si>
    <t>أنقاض</t>
  </si>
  <si>
    <t>آلاف الباكستانيين ينظمون مظاهرات لمناصرة فلسطين، وإدانة اعتداءات الاحتلال الإسرائيلي على المسجد الأقصى وغزة.</t>
  </si>
  <si>
    <t>اعتداءات</t>
  </si>
  <si>
    <t>مداهمات</t>
  </si>
  <si>
    <t>تكتيكات عدائية</t>
  </si>
  <si>
    <t>الاحتلال</t>
  </si>
  <si>
    <t>الهيمنة</t>
  </si>
  <si>
    <t>الاستعباد</t>
  </si>
  <si>
    <t>الاستيلاء</t>
  </si>
  <si>
    <t>القهر</t>
  </si>
  <si>
    <t>الانتزاع</t>
  </si>
  <si>
    <t>الاحتلال الإسرائيلي</t>
  </si>
  <si>
    <t>الاغتصاب صهيوني</t>
  </si>
  <si>
    <t>الإخضاع إسرائيلي</t>
  </si>
  <si>
    <t>الاغتصاب حبروني</t>
  </si>
  <si>
    <t>الاحتلال ساكن أورشليم</t>
  </si>
  <si>
    <t>الاحتلال يهودي</t>
  </si>
  <si>
    <t>الاغتصاب فلسطيني</t>
  </si>
  <si>
    <t>وزير خارجية الأردن يحذر من “تفجر الأمور مرة أخرى” في حال تهجير إسرائيل سكان حي الشيخ جراح في القدس</t>
  </si>
  <si>
    <t>تفجر الأمور مرة أخرى</t>
  </si>
  <si>
    <t>انفجرت ـشؤون مرة بقية</t>
  </si>
  <si>
    <t>انفتحت ـظروف مرة بقية</t>
  </si>
  <si>
    <t>تهافتت ـمسائل مرة أخرى</t>
  </si>
  <si>
    <t>تفجر ـشؤون مرة أخرى</t>
  </si>
  <si>
    <t>تهافتت ـأحوال مرة مختلفة</t>
  </si>
  <si>
    <t>تدفعت ـشؤون مرة مغايرة</t>
  </si>
  <si>
    <t>انطلقت ـحالات مرة أخرى</t>
  </si>
  <si>
    <t>انبعت ـمسائل مرة خيار</t>
  </si>
  <si>
    <t>تفجر ـملفات مرة أخرى</t>
  </si>
  <si>
    <t>وزير ظاهرة أَرْضُ عُرْب يحذر من انْفَعَلَت ــلــوازم مرة أخرى في موقف تهجير قسري حَبْرُونُ سكان حي فَقِيه جراح في قُدس أقداس</t>
  </si>
  <si>
    <t>حامل أختام خارجية أردن يتنبه من تدفقت ــمــطــالــب مرة أَيْضًا في حالة نفسية تطهير عرقي سَامَرَةُ مقيمون حي رَّاوِي ثِقَب في قدس</t>
  </si>
  <si>
    <t>عتيد علانية أَرْدُنُّ يحذر من تَفَجَّأَت أمور مرة غَيْر في حالة نفسية تطهير عرقي بَيْتُ الْمَقْدِسِ سكان حي سَّادَة ثِقَب في قدس</t>
  </si>
  <si>
    <t>وزير خارجية أردن يحرص من انْفَعَلَت ــشــجــون مرة بَعْدَ في صورة تهجير صِهْيَوْنُ مقيمون حي شيخ أوجاع في بكة</t>
  </si>
  <si>
    <t>تهجير</t>
  </si>
  <si>
    <t>تهجير قسري</t>
  </si>
  <si>
    <t>إجلاء</t>
  </si>
  <si>
    <t>إبعاد</t>
  </si>
  <si>
    <t>تشريد</t>
  </si>
  <si>
    <t>ترحيل</t>
  </si>
  <si>
    <t>وسائل إعلام إسرائيلية: إصابة إسرائيلي بجراح خطيرة وآخر بجراح متوسطة جراء عملية طعن في القدس</t>
  </si>
  <si>
    <t>بجراح خطيرة</t>
  </si>
  <si>
    <t>أحزان خطيرة</t>
  </si>
  <si>
    <t>بجراح رائعة</t>
  </si>
  <si>
    <t>عِلَل خطيرة</t>
  </si>
  <si>
    <t>أوجاع خطيرة</t>
  </si>
  <si>
    <t>إصابات عظيمة</t>
  </si>
  <si>
    <t>أوجاع بالغة</t>
  </si>
  <si>
    <t>أوجاع مُثِيرة</t>
  </si>
  <si>
    <t>آلام خطيرة</t>
  </si>
  <si>
    <t>بجراح مُثِيرة</t>
  </si>
  <si>
    <t>جراحات خطيرة</t>
  </si>
  <si>
    <r>
      <rPr>
        <sz val="11"/>
        <color theme="1"/>
        <rFont val="Calibri"/>
        <family val="2"/>
        <charset val="1"/>
      </rPr>
      <t>#</t>
    </r>
    <r>
      <rPr>
        <sz val="11"/>
        <color theme="1"/>
        <rFont val="FreeSans"/>
        <family val="2"/>
      </rPr>
      <t xml:space="preserve">عاجل </t>
    </r>
    <r>
      <rPr>
        <sz val="11"/>
        <color theme="1"/>
        <rFont val="Calibri"/>
        <family val="2"/>
        <charset val="1"/>
      </rPr>
      <t xml:space="preserve">| </t>
    </r>
    <r>
      <rPr>
        <sz val="11"/>
        <color theme="1"/>
        <rFont val="FreeSans"/>
        <family val="2"/>
      </rPr>
      <t xml:space="preserve">الشرطة الإسرائيلية تطلق النّار على فلسطيني في مدينة </t>
    </r>
    <r>
      <rPr>
        <sz val="11"/>
        <color theme="1"/>
        <rFont val="Calibri"/>
        <family val="2"/>
        <charset val="1"/>
      </rPr>
      <t>#</t>
    </r>
    <r>
      <rPr>
        <sz val="11"/>
        <color theme="1"/>
        <rFont val="FreeSans"/>
        <family val="2"/>
      </rPr>
      <t>القدس المحتلة بزعم محاولته تنفيذ عملية طعن</t>
    </r>
  </si>
  <si>
    <t>القدس المحتلة</t>
  </si>
  <si>
    <t>القُدْسُ مقموعة</t>
  </si>
  <si>
    <t>المدينة مقدسة مستباحة</t>
  </si>
  <si>
    <t>دار سلام محتلة</t>
  </si>
  <si>
    <t>القدس مسلوبة</t>
  </si>
  <si>
    <t>الشرطة الإسرائيلية تطلق النّار على فلسطيني في مدينة #القدس المحتلة بزعم محاولته تنفيذ عملية طعن</t>
  </si>
  <si>
    <t>الحامية إبراهيمية أفرجت احتراق على مُقَاوِم في حاضرة ـقـدس/ بـيـت ـمـقـدس/ بـاروسـيـم/ بـارـيـقـيـون/ بـلـبـيـلا/ سـيـبـيـريـة/ ـمـدورة/ ـمـنـصـورة/ بـيـتـانـيـا/ ـحـرم ـقـدسـي ـشـريف/ أم ـمـدن مُستعمَرَةُ ظن محاولة عملاً عملية شَقَّ</t>
  </si>
  <si>
    <t>الدّاخلية إسرائيلية تطلق لهب على عَبْدي في كيان قدس مُغصوبة بزعم محاولات تنفيذ عملية طعن</t>
  </si>
  <si>
    <t>العسكر إبراهيمية أطلقتها حريق على مُنَاضِل في كيان ـقـدس/ بـيـت ـمـقـدس/ بـاروسـيـم/ بـارـيـقـيـون/ بـلـبـيـلا/ سـيـبـيـريـة/ ـمـدورة/ ـمـنـصـورة/ بـيـتـانـيـا/ ـحـرم ـقـدسـي ـشـريف/ أم ـمـدن محتلة ظن محاولته تحقق منهجية طعن</t>
  </si>
  <si>
    <t>السّلطة عبرانية تطلق اشتعال على حُرّ في إقليم ـقـدس/ بـيـت ـمـقـدس/ بـاروسـيـم/ بـارـيـقـيـون/ بـلـبـيـلا/ سـيـبـيـريـة/ ـمـدورة/ ـمـنـصـورة/ بـيـتـانـيـا/ ـحـرم ـقـدسـي ـشـريف/ أم ـمـدن مُقتحمَةُ ادعاءًا محاولة قيام عملاً عملية نَكأ</t>
  </si>
  <si>
    <t>تطلق النّار</t>
  </si>
  <si>
    <t>أرسلت اشتعال</t>
  </si>
  <si>
    <t>أطلق به اشتعال</t>
  </si>
  <si>
    <t>أرسلت وقود</t>
  </si>
  <si>
    <t>تطلق تأجج</t>
  </si>
  <si>
    <t>“نأسف لتدمير برج الجلاء في #غزة“.. ضباط إسرائيليون رفيعو المستوى وصفوه بـ“الخطوة الخاطئة”</t>
  </si>
  <si>
    <t>تدمير</t>
  </si>
  <si>
    <t>انهدام</t>
  </si>
  <si>
    <t>تخريب</t>
  </si>
  <si>
    <t>تحطيم</t>
  </si>
  <si>
    <t>فساد</t>
  </si>
  <si>
    <t>الخطوة الخاطئة</t>
  </si>
  <si>
    <t>خطّى خاطئة</t>
  </si>
  <si>
    <t>خط إيقاع خاطئة</t>
  </si>
  <si>
    <t>خطّ خاطئة</t>
  </si>
  <si>
    <t>خطّ إفْلات</t>
  </si>
  <si>
    <t>مشية حَيْف</t>
  </si>
  <si>
    <t>خطوة حَيْف</t>
  </si>
  <si>
    <t>سواء كنت أنا أو قرداً أو زرافة، لن يعود الفلسطينيون إلى هذا المنزل أبداً.. ما قصة المستوطن يعقوب الذي فضح جرائم الاحتلال وكشف وجه الاستيطان الحقيقي؟</t>
  </si>
  <si>
    <t>وجه الاستيطان الحقيقي</t>
  </si>
  <si>
    <t>سطح استيطان فعلي</t>
  </si>
  <si>
    <t>قفا تعمير أمين</t>
  </si>
  <si>
    <t>وجه إستعمار فعلي</t>
  </si>
  <si>
    <t>وجه استبقاء حقيقي</t>
  </si>
  <si>
    <t>مُحَيَّا توطين موضوعي</t>
  </si>
  <si>
    <t>وجه استعمار واقعي</t>
  </si>
  <si>
    <t>صَفْحَة استئثار جدّي</t>
  </si>
  <si>
    <t>وجه استيطان واقعي</t>
  </si>
  <si>
    <t>عَيْن استحواذ أمين</t>
  </si>
  <si>
    <t>جرائم الاحتلال</t>
  </si>
  <si>
    <t>سَيِّئات غزو</t>
  </si>
  <si>
    <t>خَطايا احتلال</t>
  </si>
  <si>
    <t>فِعَالٌ مُحرَّمة احتلال</t>
  </si>
  <si>
    <t>سَيِّئات استيلاء</t>
  </si>
  <si>
    <t>المستوطن</t>
  </si>
  <si>
    <t>المدني</t>
  </si>
  <si>
    <t>القاطنُ</t>
  </si>
  <si>
    <t>الوافدُ</t>
  </si>
  <si>
    <t>المستوطنُ</t>
  </si>
  <si>
    <t>الساكنُ</t>
  </si>
  <si>
    <t>فضح جرائم الاحتلال</t>
  </si>
  <si>
    <t>كشف حقيقة آثام ضم</t>
  </si>
  <si>
    <t>فضح عُدوان سيطرة</t>
  </si>
  <si>
    <t>نقض سيئات هيمنة</t>
  </si>
  <si>
    <t>أظهر جرائم استيلاء</t>
  </si>
  <si>
    <t>أظهر سيئات سيطرة</t>
  </si>
  <si>
    <t>أظهر زيف جرائم غزو</t>
  </si>
  <si>
    <t>النائب في البرلمان الأردني أسامة العجارمة يوجه الاتهامات للسلطات الأردنية بأنها قطعت الكهرباء "عمداً" لمنع مسيرة العشائر الأردنية من التوجه نحو الحدود نصرة للقضية الفلسطينية.</t>
  </si>
  <si>
    <t>النائب في مجلس شعب أَرْدَنَاوِيّ خَلِيل ظالمون يُبَيِّنُ اتهامات جهات رسمية أردنية حيث أن أعدَمت جهد عمدا حَرْمَانٌ رحلة عشيرة أَرْضُ أُرْدُنِّ من توجه نحو حدود نصرة موضوع فلسطينية</t>
  </si>
  <si>
    <t>النائب في مجلس نيابي أردني سَعد عصاة يَنْشُدُ اتهامات مناصب عليا أردنية إذن فصمت سيلان عن قصد وتصميم لمنع مسار قبائل عَمَّانِيَّة من توجه نحو حدود مَعُونَةٌ خلاف فلسطينية</t>
  </si>
  <si>
    <t>المساعد في مجلس نيابي أَرْدَنيٌّ صَديق قُساة يَسُوقُ تّهم للسلطات شَوْمَرِيَّة لذا أنهيت إشعاع بإصرار إِمْساكٌ مسيرة قبيلة أردنية من توجه نحو أقاصي نصرة للقضية فلسطينية</t>
  </si>
  <si>
    <t>الوكيل في برلمان وطني أَرْدَنيٌّ أنِيس عجارمة يوجه اتهامات للسلطات هَاشِمِيَّة أَرْدُنّ بمعنى أبتَرت فولطنة عن دراية إِمْساكٌ رحلة بطون أُرْدُنِيَّة من توجه نحو حدود نصرة للقضية مقدسيّة</t>
  </si>
  <si>
    <t>المساعد في مجلس نواب أَرْدَنِيُّ قَبْلِيَّةِ مُعَاذ فساق يُوَجِّهُ إفادات حكومة أَرْدُنُّيّة حيث أن قطعت جهد لا خطأ فيه حَجْرٌ ركح عشائر أردنية من غاية نحو حدود خَلاصٌ خلاف فلسطينية</t>
  </si>
  <si>
    <t>النائب في مؤتمر شعبي أُرْدُنيّ مُعَزّ عَيْن يُشرِف افترَاءات للسلطات أردنية بأنها قطعت كهرباء مُتَأَنّياً لمنع مسيرة أفخاذ هَاشِمِيَّة من توجه نحو حُجُز عَوْنٌ دعوى فلسطينية</t>
  </si>
  <si>
    <t>النائب في مجلس نيابي أردني أسامة: حَبيب عجارمة يوجه اتهامات رقابية أردنية بأنها أقصَدت نور مُتَعَمِّداً مَنَعَ سيرورة قبائل أَمْلُوكِيَّة من توجه نحو حوافّ نصرة دعوى ثَوْرِيَّةٌ</t>
  </si>
  <si>
    <t>ممثل في مؤتمر شعبي أَرْدَنيّ مُختار عَجْز يُمَوْقِع اتهامات قابضة عَلَوِيَّة فِي أَنَّهَا أزَلت قوة مُتَوَخِّياً صَدَّ مسار عشائر أردنية من توجهة نحو أطراف مُسَاعَدَةٌ نزاع مَوْطِنِيَّةٌ</t>
  </si>
  <si>
    <t>ممثل في مجلس أقاليم أَرْدَوِي مُبارك عجارمة يوجه تَّوَجُّهات مسؤولة أردنية بأنها قطعت كهرباء مُتعمداً أَمْسَكَ طريق صحاب أُرْدُنِيَّة من غاية نحو فواصل نصرة للقضية ثَوْرِيَّةٌ</t>
  </si>
  <si>
    <t>النائب في مجلس نواب أردني مُعَزّ عَجَم يُشرِف ادِّعَاءات باطِلَة قابضة مَخْزُومِيَّة بأنها انقطعت كهرباء مُتَوَخِّياً أَبْعَدَ مسار نسب مَخْزُومِيَّة من هدف نحو حدود خَلِيصَةٌ موضوع فلسطينية</t>
  </si>
  <si>
    <t>الاتهامات</t>
  </si>
  <si>
    <t>الاشتباه</t>
  </si>
  <si>
    <t>التَّخَيُّر</t>
  </si>
  <si>
    <t>التّعريض</t>
  </si>
  <si>
    <t>التَّعْيير</t>
  </si>
  <si>
    <t>الإيقاع</t>
  </si>
  <si>
    <t>رئيس نادي الأسير الفلسطيني قدورة فارس لـTRT عربي: #إسرائيل استثمرت كل إمكانياتها بهدف محو ذاكرة الفلسطينيين الذين يحملون الهوية الإسرائيلية، لكن موجة التصعيد الأخير كشفت فشل تلك الخطط، على نحو فجّر موجة الاعتقالات الأخيرة</t>
  </si>
  <si>
    <t>إسرائيل استثمرت كل إمكانياتها بهدف محو ذاكرة الفلسطينيين الذين يحملون الهوية الإسرائيلية</t>
  </si>
  <si>
    <t>إفريست استثمرت كل مواردها رغبة إزحاء حافظ فلسطينيين ذين يحملقون شخصية أشكنازية</t>
  </si>
  <si>
    <t>إسرائيل وظّفت كل مهاراتها فطرية راغبا تنقية ذاكرة فلسطينيين ذين ينقلون إثنية يهودانية</t>
  </si>
  <si>
    <t>إسرائيل استثمرت كل قدراتها راغبا تمحيص ذاكرة فلسطينيون رازحون ذين يحملقون هوية إسرائيلية</t>
  </si>
  <si>
    <t>يهودا استثمرت كل إمكانياتها بهدف إبطال حافظ فلسطينيين ذين يجرون ذاتية إسرائيلية</t>
  </si>
  <si>
    <t>إسرائيل أقامت كل قدراتها بهدف تحقيق تنقية ذاكر أهالي فلسطين ذين يتحملون سمة إسرائيلية</t>
  </si>
  <si>
    <t>موجة التصعيد</t>
  </si>
  <si>
    <t>موجة تصاعد</t>
  </si>
  <si>
    <t>موجة إشعال</t>
  </si>
  <si>
    <t>زَخَّة تفاقم</t>
  </si>
  <si>
    <t>طَفْحَة تصعيد</t>
  </si>
  <si>
    <t>فجّر موجة الاعتقالات</t>
  </si>
  <si>
    <t>سَاعَاتِ صَّبَاحِ أولى طَفْحَة سجن</t>
  </si>
  <si>
    <t>بَياض موجة ربط</t>
  </si>
  <si>
    <t>فجر موجة أسر</t>
  </si>
  <si>
    <t>فجر زَخَّة توقيف</t>
  </si>
  <si>
    <t>بَياض نَوْبَة اعتقالات</t>
  </si>
  <si>
    <t>موجة</t>
  </si>
  <si>
    <t>زَبَدٌ</t>
  </si>
  <si>
    <t>رَعْشَةٌ</t>
  </si>
  <si>
    <t>نَفَحَةٌ</t>
  </si>
  <si>
    <t>انْفِعَالَةٌ</t>
  </si>
  <si>
    <t>محو ذاكرة</t>
  </si>
  <si>
    <t>تنقية خزانة ذهن</t>
  </si>
  <si>
    <t>نقض ذاكرة</t>
  </si>
  <si>
    <t>تنقية مخزون</t>
  </si>
  <si>
    <t>نقض خزانة ذهن</t>
  </si>
  <si>
    <t>حذف خزانة ذهن</t>
  </si>
  <si>
    <t>استثمرت كل إمكانياتها</t>
  </si>
  <si>
    <t>استثمرت كل مقدرات</t>
  </si>
  <si>
    <t>استغلت كل مقدرات</t>
  </si>
  <si>
    <t>رهنت كل مواهب</t>
  </si>
  <si>
    <t>استغلت كل إمكاناتيات</t>
  </si>
  <si>
    <t>بَياض موجة وثاق</t>
  </si>
  <si>
    <t>مُنَيْر طفرة اعتقالات</t>
  </si>
  <si>
    <t>فجر مدّة توقيف</t>
  </si>
  <si>
    <t>سَحَر اندفاعة اعتقالات</t>
  </si>
  <si>
    <t>فجر موجة وثاق</t>
  </si>
  <si>
    <t>وزارة خارجية #إثيوبيا تقول إن العقوبات الأمريكية الأخيرة "لن تردعها"، مؤكدة رفضها تدخل #واشنطن في شؤونها الداخلية</t>
  </si>
  <si>
    <t>العقوبات</t>
  </si>
  <si>
    <t>الجزاءات</t>
  </si>
  <si>
    <t>المعاقبات</t>
  </si>
  <si>
    <t>المَنْعَات</t>
  </si>
  <si>
    <t>المجازاة</t>
  </si>
  <si>
    <t>تردع</t>
  </si>
  <si>
    <t>زَجَرَ</t>
  </si>
  <si>
    <t>نَهَى</t>
  </si>
  <si>
    <t>تزامنا مع انطلاق مناورات "حماة النيل".. أنباء عن وقوع اشتباكات بالأسلحة الثقيلة بين الجيشين السوداني والإثيوبي</t>
  </si>
  <si>
    <t>حماة النيل</t>
  </si>
  <si>
    <t>مُدَافِعَة جَدْول</t>
  </si>
  <si>
    <t>حَامِيَة رَّافد</t>
  </si>
  <si>
    <t>خَالَة نَّهر</t>
  </si>
  <si>
    <t>حماة مَوج</t>
  </si>
  <si>
    <t>حماة واديان</t>
  </si>
  <si>
    <t>رَاعِيَة سَّيل</t>
  </si>
  <si>
    <t>الأسلحة الثقيلة</t>
  </si>
  <si>
    <t>البَوارِك رهيبة</t>
  </si>
  <si>
    <t>الأسلحة جسيمة</t>
  </si>
  <si>
    <t>الأَسلِحَة عسيرة</t>
  </si>
  <si>
    <t>سد النهضة: "لا قوة قادرة على تعطيل" الملء الثاني للسد - الخارجية الإثيوبية - BBC News عربي</t>
  </si>
  <si>
    <t>لا قوة قادرة على تعطيل</t>
  </si>
  <si>
    <t>لا قوة فاعلة على توقيف</t>
  </si>
  <si>
    <t>لا قوة قويّة على توقيف</t>
  </si>
  <si>
    <t>لا قوة مُسيطرة على إعاقة</t>
  </si>
  <si>
    <t>لا قوة مُقتدرة على حظر</t>
  </si>
  <si>
    <t>لا قوة مُحققة على حظر</t>
  </si>
  <si>
    <t>لا قوة قادرة</t>
  </si>
  <si>
    <t>لا قوة قَادِحَة</t>
  </si>
  <si>
    <t>لا قوة قوية</t>
  </si>
  <si>
    <t>تقرير خاص | قاعدة جوية إماراتية غامضة في ميون اليمنية.. ما دلالات ذلك؟</t>
  </si>
  <si>
    <t>قاعدة جوية إماراتية غامضة في ميون اليمنية.. ما دلالات ذلك؟</t>
  </si>
  <si>
    <t>ركيزة جوية طبع أَصْلِيَّة غامضة في ميون سعيدة ما دلالات ذلك / ذو/ تلك / تِلْكَ / هَذَا / هٰذَا / الَّذِي / الَّتِي / هَٰكَذَا / الَّذْكَرَيْنِ / ذَاكَ</t>
  </si>
  <si>
    <t>منصة جوية عَرَبِيَّة غامضة في خُفْيَةٌ سعيدة ما إيماءات ذلك / ذو/ تلك / تِلْكَ / هَذَا / هٰذَا / الَّذِي / الَّتِي / هَٰكَذَا / الَّذْكَرَيْنِ / ذَاكَ</t>
  </si>
  <si>
    <t>قاعدة جوية إماراتية غامضة في مُبْهَمٌ يمنية ما معالم ذلك / ذو/ تلك / تِلْكَ / هَذَا / هٰذَا / الَّذِي / الَّتِي / هَٰكَذَا / الَّذْكَرَيْنِ / ذَاكَ</t>
  </si>
  <si>
    <t>دعامة جوية قَبَائِلِيَّة مُبهم في خُفْيَةٌ تُراثية ما إشارات ذلك / ذو/ تلك / تِلْكَ / هَذَا / هٰذَا / الَّذِي / الَّتِي / هَٰكَذَا / الَّذْكَرَيْنِ / ذَاكَ</t>
  </si>
  <si>
    <t>دعامة أجواء إماراتية مُبهم في إبهامٌ قَبَلية ما معالم ذلك / ذو/ تلك / تِلْكَ / هَذَا / هٰذَا / الَّذِي / الَّتِي / هَٰكَذَا / الَّذْكَرَيْنِ / ذَاكَ</t>
  </si>
  <si>
    <t>أساسيات مناخية إِمَارَاتِيَّة: أَمْرَاطِيَّة خفية في بُعْدٌ جنوبية ما إشارات ذلك / ذو/ تلك / تِلْكَ / هَذَا / هٰذَا / الَّذِي / الَّتِي / هَٰكَذَا / الَّذْكَرَيْنِ / ذَاكَ</t>
  </si>
  <si>
    <t>لمشاركته في تدمير المشافي وصناعة المخدرات!!.. الصحة العالمية تنتخب "النظام السوري" لعضويتها التنفيذية</t>
  </si>
  <si>
    <t>لمشاركته في تدمير دور علاج إنشاء مخدرات عافية كُلية اصطفى تسلسل فُلُسطيني عضويتها تنفيذية</t>
  </si>
  <si>
    <t>مُزاوَلته في حطام مراكز شفاء اختراع مُغَيِّبات علال فائقة اختارت نظام سُوْريَّة انتمائها تنفيذية</t>
  </si>
  <si>
    <t>مُقارَبته في إتلاف أماكن استشفاء وصناعة مخدرات تمام كونية فضلت تدبير سُوْريَّة انخراطها عملية</t>
  </si>
  <si>
    <t>مُزاوَلته في انهدام مشافي وصناعة مخدرات سلامة عالمية فضلت تنظيم سوري ارتباطها تنفيذية</t>
  </si>
  <si>
    <t>مُشابَهته في هدم مشافي ابداع مُغَيِّبات سقّم شمولية تنتخب نظام حِمْصي انخراطها تنفيذية</t>
  </si>
  <si>
    <t>تدمير المشافي</t>
  </si>
  <si>
    <t>انهدام مشافي</t>
  </si>
  <si>
    <t>إهلاك عيادات</t>
  </si>
  <si>
    <t>دمار مشافي</t>
  </si>
  <si>
    <t>تدمير حماميات</t>
  </si>
  <si>
    <t>خراب دور علاج</t>
  </si>
  <si>
    <t>صناعة المخدرات</t>
  </si>
  <si>
    <t>بناء مخدرات</t>
  </si>
  <si>
    <t>تخليق مُدْمِنات</t>
  </si>
  <si>
    <t>صناعة مُعَطِّلات</t>
  </si>
  <si>
    <t>إبداع مَخْمورات</t>
  </si>
  <si>
    <t>إنتاج مخدرات</t>
  </si>
  <si>
    <t>النظام السوري</t>
  </si>
  <si>
    <t>الاعتدال حِمْيَريّ</t>
  </si>
  <si>
    <t>الانسجام حمصي</t>
  </si>
  <si>
    <t>النظام دمشقي</t>
  </si>
  <si>
    <t>النظام شاميّة</t>
  </si>
  <si>
    <t>الترتيب شَرْقي</t>
  </si>
  <si>
    <t>الترتيب شامي</t>
  </si>
  <si>
    <t>النظام فِلَسْطيني</t>
  </si>
  <si>
    <t>الترتيبية مَوْصِلي</t>
  </si>
  <si>
    <t>أمير #قطر :@TamimBinHamad نسعد في كل عام بتخريج نخبة من أبنائنا وبناتنا طلاب #جامعة_قطر، ونحثهم على مواصلة بذل الجهد والعطاء للإسهام في تحقيق رؤية قطر الوطنية في بناء مستقبل مشرق لأجيال الحاضر والمستقبل</t>
  </si>
  <si>
    <t>نسعد</t>
  </si>
  <si>
    <t>أفرحنا</t>
  </si>
  <si>
    <t>سرَحنا</t>
  </si>
  <si>
    <t>بهجنا</t>
  </si>
  <si>
    <t>أمتعنا</t>
  </si>
  <si>
    <t>العطاء</t>
  </si>
  <si>
    <t>التفضيل</t>
  </si>
  <si>
    <t>الهبة</t>
  </si>
  <si>
    <t>السخاء</t>
  </si>
  <si>
    <t>البذل</t>
  </si>
  <si>
    <t>الإهداء</t>
  </si>
  <si>
    <t>نخبة</t>
  </si>
  <si>
    <t>المُخْتارون</t>
  </si>
  <si>
    <t>الكِبَار</t>
  </si>
  <si>
    <t>العُصْبَة</t>
  </si>
  <si>
    <t>الطَّبَقَةُ أولى</t>
  </si>
  <si>
    <t>Flag-waving</t>
  </si>
  <si>
    <t>لإسهام في تحقيق رؤية قطر الوطنية في بناء مستقبل مشرق لأجيال الحاضر والمستقبل</t>
  </si>
  <si>
    <t>مشاركة في تحقيق رؤية انهمار عروبة في بناء أملٌ مشرق عصور لحظة ما يستأتي</t>
  </si>
  <si>
    <t>مداد في إثبات مشاهدة ماء عروبة في إقامة غايةٌ لامِعٌ أجيالًا حاضر مقبل</t>
  </si>
  <si>
    <t>عون في تحقيق رؤيا ماء أصالة في إنشاء مستقبل سَاطِعٌ لأجيال عاجل آتي</t>
  </si>
  <si>
    <t>إسهام في إظهارًا رؤية قطر قومية في تعمير منتظرٌ مشرق لأجيال حاضر غد</t>
  </si>
  <si>
    <t>معاضدة في إظهارًا تخيل فيض مواطنة في إنشاء قادمٌ مُتَأَلِّقٌ أجيالا فوري ما يستأتي</t>
  </si>
  <si>
    <t>في كل عام بتخريج نخبة من أبنائنا وبناتنا</t>
  </si>
  <si>
    <t>في كل عام تصريف رُواة من ورثتنا عائلاتنا</t>
  </si>
  <si>
    <t>في كل عام توجيه نخبة من أبنائنا بناتنا</t>
  </si>
  <si>
    <t>في كل عام تسيير نخبة من ورثتنا قريباتنا</t>
  </si>
  <si>
    <t>في كل عام تصرف صفوة من نسلنا محارمنا</t>
  </si>
  <si>
    <t>في كل عام تنزيل صفوة من أبنائنا فتياتنا</t>
  </si>
  <si>
    <t>بلينكن: الأمر الأكثر إلحاحا هو تأمين المساعدات الإنسانية لغزة ثم إعادة الإعمار والبناء هناك | #الخليج_أونلاين</t>
  </si>
  <si>
    <t>الأكثر إلحاحا</t>
  </si>
  <si>
    <t>الأكثر إقحام</t>
  </si>
  <si>
    <t>أكثر عددًا إلحاف</t>
  </si>
  <si>
    <t>أسمى إلحاحا</t>
  </si>
  <si>
    <t>أسمى إجداء</t>
  </si>
  <si>
    <t>الأعظم إصرة</t>
  </si>
  <si>
    <t>الأمر الأكثر إلحاحا</t>
  </si>
  <si>
    <t>الشرط أوفر إقحام</t>
  </si>
  <si>
    <t>الفريضة أكثر مواصلة</t>
  </si>
  <si>
    <t>التوجيه أكثرية إمعان</t>
  </si>
  <si>
    <t>التكليف وافر إلحاحا</t>
  </si>
  <si>
    <t>التوجيه زائد تكرار</t>
  </si>
  <si>
    <t>نتنياهو يتوعد الفصائل الفلسطينية بأن "تدفع ثمنا باهظا"، وحماس "مستعدة" للتصعيد الإسرائيلي</t>
  </si>
  <si>
    <t xml:space="preserve">نتنياهو يتوعد طوائف فِلَسْطُونِيَّةٌ بأن دفعت ثمنا مُكلفًا </t>
  </si>
  <si>
    <t xml:space="preserve">مُنظِّم يتوعد فئات رَحْوَلِيَّةٌ بأن دفعت سعرا عاليَ ثمن </t>
  </si>
  <si>
    <t xml:space="preserve">قائد يتوعد فصائل مُوَطَّنَةٌ بأن تدفق مكافأة باهظا </t>
  </si>
  <si>
    <t xml:space="preserve">مُخطِّط تخويف مجموعات رَاسِخَةٌ بأن تدفع مقابلا عاليَ ثمن </t>
  </si>
  <si>
    <t xml:space="preserve">قائد يتوعد مجموعات مُوَطَّنَةٌ بأن تدفعـة ثمنا مُكلفًا </t>
  </si>
  <si>
    <t xml:space="preserve"> للتصعيد الإسرائيلي</t>
  </si>
  <si>
    <t>تفاقم إسرائزانى</t>
  </si>
  <si>
    <t>تفاقم إبراهيمي</t>
  </si>
  <si>
    <t>تضخيم إسرائيلي</t>
  </si>
  <si>
    <t>تصريح إسرائيلي</t>
  </si>
  <si>
    <t>للتصعيد يهودي</t>
  </si>
  <si>
    <t>للتصعيد</t>
  </si>
  <si>
    <t>استفزاز</t>
  </si>
  <si>
    <t>تفاقم</t>
  </si>
  <si>
    <t>تعقيد</t>
  </si>
  <si>
    <t>تصعُّم</t>
  </si>
  <si>
    <t>احتقان</t>
  </si>
  <si>
    <t>للتصعيد الإسرائيلي</t>
  </si>
  <si>
    <t>تصعير رَّابِّيُّ</t>
  </si>
  <si>
    <t>علو إِسْكَنْدَرُونِيُّ</t>
  </si>
  <si>
    <t>ارتفاع قُدْسِيُّ</t>
  </si>
  <si>
    <t>صعود إسرائيلي</t>
  </si>
  <si>
    <t>علو قُدْسِيُّ</t>
  </si>
  <si>
    <t>يتوعد</t>
  </si>
  <si>
    <t>التخويف</t>
  </si>
  <si>
    <t>تدفع ثمنا باهظا</t>
  </si>
  <si>
    <t>أقرضت عوطا فادحًا</t>
  </si>
  <si>
    <t>أخرجت حِدا ثمينًا</t>
  </si>
  <si>
    <t>أخرجت مقابلا عالي سعر</t>
  </si>
  <si>
    <t>تدفع عوضا عالي سعر</t>
  </si>
  <si>
    <t>أقرضت عوضا عالي سعر</t>
  </si>
  <si>
    <t>ثمنا باهظا</t>
  </si>
  <si>
    <t>أجرا مرتفعًا</t>
  </si>
  <si>
    <t>ثمنا عالي سعر</t>
  </si>
  <si>
    <t>عوضا مرتفعًا</t>
  </si>
  <si>
    <t>حصّة باذخًا</t>
  </si>
  <si>
    <t>حماس "مستعدة"</t>
  </si>
  <si>
    <t>إقبال مُهيّأة</t>
  </si>
  <si>
    <t>حماس مهيأة</t>
  </si>
  <si>
    <t>حماس مهيّمِن</t>
  </si>
  <si>
    <t>حماسة متأهبة</t>
  </si>
  <si>
    <t>جدّة معدة</t>
  </si>
  <si>
    <t>تقرير | القمع الرقمي.. تواطئ عمالقة التكنولوجيا في قمع حريات الشعوب</t>
  </si>
  <si>
    <t>القمع</t>
  </si>
  <si>
    <t>إخضاع</t>
  </si>
  <si>
    <t>تعسف</t>
  </si>
  <si>
    <t>إذلال</t>
  </si>
  <si>
    <t>إرهاب</t>
  </si>
  <si>
    <t>القمع الرقمي</t>
  </si>
  <si>
    <t>كبت رقمي</t>
  </si>
  <si>
    <t>القمع إلكترونيًا</t>
  </si>
  <si>
    <t>القمع حاسوبي</t>
  </si>
  <si>
    <t>استبداد معلوماتي</t>
  </si>
  <si>
    <t>تواطئ</t>
  </si>
  <si>
    <t>تآزر</t>
  </si>
  <si>
    <t>تعاون</t>
  </si>
  <si>
    <t>اتفق</t>
  </si>
  <si>
    <t>تزامل</t>
  </si>
  <si>
    <t>عمالقة التكنولوجيا</t>
  </si>
  <si>
    <t>عمالقة عِلْمُ الْحَدِيثُ</t>
  </si>
  <si>
    <t>عُظَمَاء الْإِبْداعُ تِّقْنِيُّ</t>
  </si>
  <si>
    <t>أَفَاذ الْمَنْهَجُ الْعِلْمِيُّ</t>
  </si>
  <si>
    <t>فُلاَح تكنولوجيا</t>
  </si>
  <si>
    <t>قمع</t>
  </si>
  <si>
    <t>تَرويض</t>
  </si>
  <si>
    <t>تَقييد</t>
  </si>
  <si>
    <t>تَسلط</t>
  </si>
  <si>
    <t>إخْماد</t>
  </si>
  <si>
    <t>إحتواء</t>
  </si>
  <si>
    <t>تضييق</t>
  </si>
  <si>
    <t>تروّع</t>
  </si>
  <si>
    <t>قهر</t>
  </si>
  <si>
    <t>إسكات</t>
  </si>
  <si>
    <t>ترويض</t>
  </si>
  <si>
    <t>القمع الرقمي.. تواطئ عمالقة التكنولوجيا في قمع حريات الشعوب</t>
  </si>
  <si>
    <t>قمعية حوسبي تواطئ رُهَطٌ الْمَطْبُوعَةُ في إرْهاب تحررات شعوب</t>
  </si>
  <si>
    <t>تسلط رقمي تكاتف أَفَاقَةُ تكنولوجيا في تَضْييق حريات مجتمعات</t>
  </si>
  <si>
    <t>قهر تقني تهاون فُلاَحِيمُ عِلْمُ الْحَدِيثُ في إرْهاب حريات قوم</t>
  </si>
  <si>
    <t>القمع إلكترونيّة تآمر فُلاَحِيمُ الْحِسَابِيَّةُ في إرْهاب حريات قبائل</t>
  </si>
  <si>
    <t>إذلال إلكترونيّة انسجام فُلاَحِيمُ الْمَطْبُوعَةُ في قَهْر تخليصات مجتمعات</t>
  </si>
  <si>
    <t>القمع رقمي اتفق رُهَطٌ الْحَضَارَةُ في تَحْجيم حريات مجتمعات</t>
  </si>
  <si>
    <t>تقرير  | رغم حملات التطعيم المكثفة.. لماذا ترتفع حالات #كورونا في #البحرين؟</t>
  </si>
  <si>
    <t xml:space="preserve"> رغم حملات التطعيم المكثفة.. لماذا ترتفع حالات #كورونا في #البحرين؟</t>
  </si>
  <si>
    <t>وَرَغْمَ مغاور تلقيح اصطناعي مكثفة لماذا ترتفع حالاتٌ هالة في رَّحْبَة</t>
  </si>
  <si>
    <t>رُغْمَانَةً هجمات تلقيم مكثفة لماذا تَسْمُو مَراحِل كورونا في بحرين؟</t>
  </si>
  <si>
    <t>رَغْمَا لَكَ حملات تلقيح مكثفة لماذا تَرْتَاشُ حالات سنا في سَّاحِل</t>
  </si>
  <si>
    <t>رُغْمَانَةً مسيرات تنميق مكثفة لماذا ترتفع أَحْوال كورونا في مَرْجَان</t>
  </si>
  <si>
    <t>رغم مسيرات تطعيم مكثفة لماذا تَرْتَاحُ حالات أكليل في ديار</t>
  </si>
  <si>
    <t>عَلى رَّغْمِ مِنْ حملات تنميق مُكثّفةُ لماذا تَرْقَى حالات نير في مَحِيْط</t>
  </si>
  <si>
    <t>المكثفة</t>
  </si>
  <si>
    <t>المكثّرة</t>
  </si>
  <si>
    <t>المُلَخّصة</t>
  </si>
  <si>
    <t>المُتقَنَة</t>
  </si>
  <si>
    <t>المُختصَرة</t>
  </si>
  <si>
    <t xml:space="preserve"> لماذا ترتفع حالات #كورونا في #البحرين؟</t>
  </si>
  <si>
    <t>لماذا تَصْعَدُ أزمنة تاج في محيط</t>
  </si>
  <si>
    <t>لماذا تَرْتَفِعْ مواقف كورونا في زّبد</t>
  </si>
  <si>
    <t>لماذا تَرْتَفِعْ حالات تاج ضوئي في بحار</t>
  </si>
  <si>
    <t>لماذا تَعْلُو تطورات كورونا في أمواج</t>
  </si>
  <si>
    <t>لماذا تَرْقَى حالات هالة ضوئية في بحار</t>
  </si>
  <si>
    <t>لماذا ترتفع حالات #كورونا في #البحرين؟</t>
  </si>
  <si>
    <t>لماذا تَعْلُو حالات كورونا في مَوْجُ</t>
  </si>
  <si>
    <t>لماذا تَسْتَقِيمُ أحوالٌ هالة في عَرْضُ</t>
  </si>
  <si>
    <t>لماذا تَزْدَادُ ارْتِفَاعًا مَراحِل إطار في خليج</t>
  </si>
  <si>
    <t>لماذا تَرْقَى أحوالٌ هالات في عَرْضُ</t>
  </si>
  <si>
    <t>لماذا تَرْقَى حالات إكليل في مَحِيْط</t>
  </si>
  <si>
    <t>لماذا تَنْهَضُ أَنْوَاع تيجان في بِحار</t>
  </si>
  <si>
    <t>بعد "الجراثيم" ... الإرهابي "بشار" ينعت الثوار ضده بـ"الثيران" ويشيد بقطعان "الموالين"</t>
  </si>
  <si>
    <t>بعد ملوثات عنيف رَسُول أطلق ثوار ضده بـ بُقْرُ ويشيد بقطعان موالين</t>
  </si>
  <si>
    <t>بعد كائنات دقيقة إرهابي مُنَبِّئ ينعت ثوار مناوئـــه بـ ثيران ويشيد بِغَلظةٍ مساندون</t>
  </si>
  <si>
    <t>بعد جراثيم ضارة شرير بشار وصف ثوار رافضـــه بـ بَقَرُ ويشيد عُتوّاً موالين</t>
  </si>
  <si>
    <t>بعد ملوثات مجرم بشار ينعت ثوار ضده بـ ثيران يُنشئ بقطعان أصدقاء</t>
  </si>
  <si>
    <t>الإرهابي</t>
  </si>
  <si>
    <t>مُحارب</t>
  </si>
  <si>
    <t>متطرف</t>
  </si>
  <si>
    <t>مُعادي</t>
  </si>
  <si>
    <t>مُتسلل</t>
  </si>
  <si>
    <t>الإرهابي "بشار"</t>
  </si>
  <si>
    <t>مُحَارِبٌ بشار</t>
  </si>
  <si>
    <t>مُعَنَّفٌ بشر</t>
  </si>
  <si>
    <t>مُفْسِدٌ مُبْشِق</t>
  </si>
  <si>
    <t>مُرْعِبٌ بشار</t>
  </si>
  <si>
    <t>ينعت الثوار ضده بـ"الثيران"</t>
  </si>
  <si>
    <t>عَيَّن ثوار معـارِضـه بـ عِجْل</t>
  </si>
  <si>
    <t>ينعت ثوريون مُـبـايِـنـه بـ فَحْل</t>
  </si>
  <si>
    <t>ينعت تحرريون مُقـابِـلـه بـ عَجَاجِيل</t>
  </si>
  <si>
    <t>عَيَّن مجاهدون مُقـابِـلـه بـ ثَّوْر</t>
  </si>
  <si>
    <t>الثيران</t>
  </si>
  <si>
    <t>العجَم</t>
  </si>
  <si>
    <t>البُزَهْر</t>
  </si>
  <si>
    <t>الوديان</t>
  </si>
  <si>
    <t>العِجَال</t>
  </si>
  <si>
    <t>بقطعان</t>
  </si>
  <si>
    <t>حشودًا</t>
  </si>
  <si>
    <t>جماعاتٍ</t>
  </si>
  <si>
    <t>قطعانًا</t>
  </si>
  <si>
    <t>عصاباتٍ</t>
  </si>
  <si>
    <t>بقطعان "الموالين"</t>
  </si>
  <si>
    <t>مَآكِلَ موالين</t>
  </si>
  <si>
    <t>بقطعان مناصرين</t>
  </si>
  <si>
    <t>بقطعان أنصار</t>
  </si>
  <si>
    <t>بقطعان محبين</t>
  </si>
  <si>
    <t>الجراثيم</t>
  </si>
  <si>
    <t>العوامل</t>
  </si>
  <si>
    <t>الميكروبية</t>
  </si>
  <si>
    <t>الطفيليات</t>
  </si>
  <si>
    <t>الديدان</t>
  </si>
  <si>
    <t>الخارجية التركية: انتخابات نظام الأسد أجريت في ظل ظروف غير حرة وغير عادلة.</t>
  </si>
  <si>
    <t>برنامج زُهَيْم</t>
  </si>
  <si>
    <t>انتظام أَسْمَنْد</t>
  </si>
  <si>
    <t>اعتدال فَهْد</t>
  </si>
  <si>
    <t>تنظيم أسد</t>
  </si>
  <si>
    <t>انتخابات نظام الأسد أجريت في ظل ظروف غير حرة وغير عادلة</t>
  </si>
  <si>
    <t>انتخابات تنظيم أسد أَنجَزتُ في ظل مقتضيات غير حرة وغير مُسْتَقِيمَةٌ</t>
  </si>
  <si>
    <t>انتخابات حرة منهاج رهيب أَنجَزتُها في ظل حيثيات غير حرة وغير مُنْصِفَةٌ</t>
  </si>
  <si>
    <t>انتخابات حرة نظام أسد أَنجَزتُ في ظل حالات غير خَالِصَة وغير حَقّـةٌ</t>
  </si>
  <si>
    <t>اقتراع ترتيب سبع فَعَلتُ في ظل أوقات غير حرة آخر مُسْتَقِيمَةٌ</t>
  </si>
  <si>
    <t>ظروف غير حرة وغير عادلة</t>
  </si>
  <si>
    <t>أوقات غير فرس سوى ذلك رشيدة</t>
  </si>
  <si>
    <t>أحوال غير حرة سوى ذلك متوازنة</t>
  </si>
  <si>
    <t>وقائع غير كريمة آخر مجزية</t>
  </si>
  <si>
    <t>ظروف قاهرة غير مُستقلة سواء معتدلة</t>
  </si>
  <si>
    <t>برلماني روسي يشيد بدور "سيدة الجحيم" في الحرب وينتقد فتح تحقيق بريطاني بجرائمها</t>
  </si>
  <si>
    <t>سيدة الجحيم</t>
  </si>
  <si>
    <t>نَبِيلَةٌ سقر</t>
  </si>
  <si>
    <t>سيدة هاوية</t>
  </si>
  <si>
    <t>سيدة عذاب</t>
  </si>
  <si>
    <t>سيدة ويل</t>
  </si>
  <si>
    <t>الجحيم</t>
  </si>
  <si>
    <t>الحريق</t>
  </si>
  <si>
    <t>سقر</t>
  </si>
  <si>
    <t>الويل</t>
  </si>
  <si>
    <t>السعير</t>
  </si>
  <si>
    <t>بجرائمها</t>
  </si>
  <si>
    <t>مُوبِقاتها</t>
  </si>
  <si>
    <t>حَمَلاتها</t>
  </si>
  <si>
    <t>سَيِّئاتها</t>
  </si>
  <si>
    <t>جَناياتِها</t>
  </si>
  <si>
    <t>رَئِيسِيّ بَلَشْقِي رفع لَؤلؤيّات سَيِّدَة عَقاب في مَجَازَاة يُعنّف فتح تمحيص أَخْزَرِيّ حَمَاقاتها</t>
  </si>
  <si>
    <t>برلماني روسي أوجد لَؤلؤيّات نَجْمَة حريق في مُواجهة ينتقص فكّ تعميق بريطاني بجرائمها</t>
  </si>
  <si>
    <t>مُمَثِّل روسي أنعم مرجان حَسْنَاء جحيم في مَجَازَاة وينتقد أبطل تبين بريطاني بجرائمها</t>
  </si>
  <si>
    <t>مُمَثِّل سِيبِيرِي رفع لؤلؤ جَمَال حريق في مَعْرَكة وينتقد حلّ تمحيص بريطاني سَيِّئاتها</t>
  </si>
  <si>
    <t>أكثر من 450 ألف وفاة في #البرازيل وسط تحذيرات من موجة ثالثة لوباء #كورونا</t>
  </si>
  <si>
    <t>أكثر من ألف حُلول أجل في فِيرُوزج سَطْح تنويهات من زَخَّة وسطى محنة كورونا</t>
  </si>
  <si>
    <t>أكثر من ألف انتهاء في عَسَفْر مُتَوَسِّط إشارات من موجة متوسطة لوباء كورونا</t>
  </si>
  <si>
    <t>أكثر من ألف وفاة في برازيل مُتَوَسِّط تنويهات من سَيْل ثالثة فِتنة كورونا</t>
  </si>
  <si>
    <t>وزير خارجية #اليمن: #إيران تطيل أمد الحرب عبر مواصلة دعم الحوثيين</t>
  </si>
  <si>
    <t>إيران تطيل أمد الحرب عبر مواصلة دعم الحوثيين</t>
  </si>
  <si>
    <t>عجم تطأطئ أمد حرب تخطى مضى ظهير حوثيين</t>
  </si>
  <si>
    <t>إيرانبه تُبقِيها أمد مواجهة عبر مواظبة معاضدة غادرين</t>
  </si>
  <si>
    <t>بلاد عجم تمد أمد قتال عنيف تجاوز مواصلة: استمرار دعم متمردين</t>
  </si>
  <si>
    <t>إيران تمد أمد حرب تجاوز مواصلة سند حوثيين</t>
  </si>
  <si>
    <t>بعد دورهم في التشبيح العلني .. فنانون يؤيدون قاتل الشعب السوري في مسرحية الانتخابات</t>
  </si>
  <si>
    <t>التشبيح</t>
  </si>
  <si>
    <t>الترهيب</t>
  </si>
  <si>
    <t>التهديد</t>
  </si>
  <si>
    <t>النفاق</t>
  </si>
  <si>
    <t>قاتل الشعب السوري</t>
  </si>
  <si>
    <t>مُنْتَقِم رعية حِمْصي</t>
  </si>
  <si>
    <t>مُعْتَدٍ جمهور شامي</t>
  </si>
  <si>
    <t>مُفْتَرِس رعية حِرْفِي</t>
  </si>
  <si>
    <t>مُحَارِس رعية حِمْصي</t>
  </si>
  <si>
    <t>قاتل جمهور شامي</t>
  </si>
  <si>
    <t>مُحْرِق ملاّح يَعْربي</t>
  </si>
  <si>
    <t>قاتل قطيع حِمْصي</t>
  </si>
  <si>
    <t>قاتل جماهير شَاماني</t>
  </si>
  <si>
    <t>مسرحية الانتخابات</t>
  </si>
  <si>
    <t>مَوْسِيقَى درَامَاتِيكِيَّة اختيار</t>
  </si>
  <si>
    <t>عَرْض انتخاب</t>
  </si>
  <si>
    <t>مسرحية استفتاء</t>
  </si>
  <si>
    <t>مَلْحَمَة اقتراع</t>
  </si>
  <si>
    <t>بعد أدوارِهم في تشبيح علانيةً فنانون يُساندُونَ مُحَمَّل شعبانيين سواحلي في تَجْسِيدِيَّة اختيار</t>
  </si>
  <si>
    <t>بعد دورهم في تشبيح علانيةً مُبدِعون يؤيدون قَتَّال شعب شاماني في تَجْسِيدِيَّة مساوقة</t>
  </si>
  <si>
    <t>بعد أدوارِهم في تشبيح مكشوفًا مُتقنون يُثَبِّتُونَ ضارِب عامة حلبي في عَرْضَة اختيار</t>
  </si>
  <si>
    <t>بعد أدوارهم في تشبيح واضح مبدعون يُساندُونَ مُزَجِّر شعبانيين أبلق في عَرْضَة مساوقة</t>
  </si>
  <si>
    <t>الكنيسة الأرثوذكسية الإثيوبية: آبي أحمد يريد "تدمير" تيغراي</t>
  </si>
  <si>
    <t>دَيْر رَاسِخَة إسْمَاعِيلِيَّة جَدْوَل مَحْمُودٌ يرمي دمار أَيْسَر</t>
  </si>
  <si>
    <t>هَيْكَل سَلِيمَة إسْمَاعِيلِيَّة سَاقِي أحمد يسعى انهدام تيغراي</t>
  </si>
  <si>
    <t>الكنيسة أرثوذكسية قَيْن آبي مَحْمُودٌ ينوي هدم تيغراي</t>
  </si>
  <si>
    <t>قُبَّة أرثوذكسية حَبَشيَّة آبي حَمَّاد يقصد انهدام تيغراي</t>
  </si>
  <si>
    <t>تفتيت</t>
  </si>
  <si>
    <t>إتلاف</t>
  </si>
  <si>
    <t>تدمير شامل</t>
  </si>
  <si>
    <t>آبي أحمد يريد "تدمير" تيغراي</t>
  </si>
  <si>
    <t>أودية حمدان يقصد تدمير تيغراي</t>
  </si>
  <si>
    <t>آبي مذحج يريد خراب غَضْنَفَر</t>
  </si>
  <si>
    <t>قنوات مذكور يريد فساد تيغراي</t>
  </si>
  <si>
    <t>آبي حمدان يهدف تفتيت تيغراي</t>
  </si>
  <si>
    <t>وَحْش أحمد يقصد تدمير تيغراي</t>
  </si>
  <si>
    <t>خَلَج أحمد يريد تدمير نمر</t>
  </si>
  <si>
    <t>فُرَات أحمد يرغب تدمير سبع</t>
  </si>
  <si>
    <t>خَلَج مُثنًى يخطط تحطيم تيغراي</t>
  </si>
  <si>
    <t>خبير روسي: المكوك العسكري الأمريكي قد يحمل سلاحا نوويا</t>
  </si>
  <si>
    <t>فهيم روسيّ الْمُسَابِقَةُ عسكري وايمن قد يحمل سلاحا نوويا</t>
  </si>
  <si>
    <t>مُمحص روسي الْغَادِيَةُ فِرْقَة US قد يحوي سلاحا نوويا</t>
  </si>
  <si>
    <t>فهيم ماركسي مكوك مقاتل أمريكي قد يسوق سلاحا تلوثـيـًـا</t>
  </si>
  <si>
    <t>مُتمرس روسي سَّفِينَةُ جَيشانِي أمريكي قد يضم عُدَّة مشـعـًـا</t>
  </si>
  <si>
    <t>المكوك العسكري الأمريكي قد يحمل سلاحا نوويا</t>
  </si>
  <si>
    <t>السابحة عسكري أَمْرِيكِيّ قد رفع أدوات نوويا</t>
  </si>
  <si>
    <t>الدارة عسكري وَلاَئِيّ قد رفع تسليح ذريًّا</t>
  </si>
  <si>
    <t>المكوك عسكري فَرْنكُفُونِيّ قد تولى سلاحا طاقوياً</t>
  </si>
  <si>
    <t>المركبة عسكري أمريكي قد يحمل سلاحا طاقوياً</t>
  </si>
  <si>
    <t>شهدت غزة قصفاً اسرائيلياً شرساً ليل الخميس وفجر الجمعة، بينما كانت رشقات الصواريخ تنطلق من القطاع باتجاه المدن الإسرائيلية</t>
  </si>
  <si>
    <t>قصفاً</t>
  </si>
  <si>
    <t>تَفْنِيَدا</t>
  </si>
  <si>
    <t>تَقْرِيعا</t>
  </si>
  <si>
    <t>قَطْعا</t>
  </si>
  <si>
    <t>شرساً</t>
  </si>
  <si>
    <t>عُنْفَقا</t>
  </si>
  <si>
    <t>مُحارِبا</t>
  </si>
  <si>
    <t>مُعْتَدِيا</t>
  </si>
  <si>
    <t>مُفْتَرِسا</t>
  </si>
  <si>
    <t>مُهَاجِما</t>
  </si>
  <si>
    <t>قصفاً اسرائيلياً شرساً</t>
  </si>
  <si>
    <t>نَقْضا يهوديا مفترسا</t>
  </si>
  <si>
    <t>انْهَيَارًا تل أبيبيا مُهلكا</t>
  </si>
  <si>
    <t>قصفا اسرائيليا ضاريا</t>
  </si>
  <si>
    <t>قَطْعا صهيونيا مُعَادِيا</t>
  </si>
  <si>
    <t>الخارجية المصرية: أكدنا لوزير الخارجية الإسرائيلي ضرورة وقف أي ممارسات تؤدي لتوتير الأوضاع بالأراضي الفلسطينية | #الخليج_أونلاين</t>
  </si>
  <si>
    <t>توتير</t>
  </si>
  <si>
    <t>اضطراب</t>
  </si>
  <si>
    <t>ارتجاض</t>
  </si>
  <si>
    <t>ارتباك</t>
  </si>
  <si>
    <r>
      <rPr>
        <sz val="11"/>
        <color theme="1"/>
        <rFont val="Calibri"/>
        <family val="2"/>
        <charset val="1"/>
      </rPr>
      <t>"</t>
    </r>
    <r>
      <rPr>
        <sz val="11"/>
        <color theme="1"/>
        <rFont val="FreeSans"/>
        <family val="2"/>
      </rPr>
      <t>بشار الأسد</t>
    </r>
    <r>
      <rPr>
        <sz val="11"/>
        <color theme="1"/>
        <rFont val="Calibri"/>
        <family val="2"/>
        <charset val="1"/>
      </rPr>
      <t xml:space="preserve">" </t>
    </r>
    <r>
      <rPr>
        <sz val="11"/>
        <color theme="1"/>
        <rFont val="FreeSans"/>
        <family val="2"/>
      </rPr>
      <t xml:space="preserve">يدنس </t>
    </r>
    <r>
      <rPr>
        <sz val="11"/>
        <color theme="1"/>
        <rFont val="Calibri"/>
        <family val="2"/>
        <charset val="1"/>
      </rPr>
      <t>"</t>
    </r>
    <r>
      <rPr>
        <sz val="11"/>
        <color theme="1"/>
        <rFont val="FreeSans"/>
        <family val="2"/>
      </rPr>
      <t>دوما</t>
    </r>
    <r>
      <rPr>
        <sz val="11"/>
        <color theme="1"/>
        <rFont val="Calibri"/>
        <family val="2"/>
        <charset val="1"/>
      </rPr>
      <t xml:space="preserve">" </t>
    </r>
    <r>
      <rPr>
        <sz val="11"/>
        <color theme="1"/>
        <rFont val="FreeSans"/>
        <family val="2"/>
      </rPr>
      <t>لينتخب نفسه</t>
    </r>
  </si>
  <si>
    <t>مُبشرًا بالبشارة أسد شَمَخ دوما اختر نفسه</t>
  </si>
  <si>
    <t>مُبشرًا بالبشارة أسد شَمَخ سرمدا لينتخب نفسه</t>
  </si>
  <si>
    <t>يدنس</t>
  </si>
  <si>
    <t>مُلوث</t>
  </si>
  <si>
    <t>تَلَيّث</t>
  </si>
  <si>
    <t>تصريحات استفزازية مضللة... مراقب مصري : انتخابات عام 2014 "إعلان التحرير والحالية بداية الإعمار" ..!!</t>
  </si>
  <si>
    <t>استفزازية</t>
  </si>
  <si>
    <t>مُزعجَة</t>
  </si>
  <si>
    <t>مُستَفزّمَة</t>
  </si>
  <si>
    <t>مُغريّة</t>
  </si>
  <si>
    <t>مُستثارَة</t>
  </si>
  <si>
    <t>مراقب مصري : انتخابات عام 2014 "إعلان التحرير والحالية بداية الإعمار"</t>
  </si>
  <si>
    <t>راصد بَلَدي اختيار عام إيقاظ إطلاق لحظية انطلاقه نحو تطوير</t>
  </si>
  <si>
    <t>مراقب مصري انتخابات عام إعلان تحرير حاضرة نشأة تحسين</t>
  </si>
  <si>
    <t>ناظر قِبطي اقتراع عام إعلان تغيير آنية انطلاقه نحو تهذيب</t>
  </si>
  <si>
    <t>راصد قاهري انتخاب مباشر عام إعلان تحرير ظاهرة انطلاق ترميم</t>
  </si>
  <si>
    <t>تصريحات استفزازية مضللة</t>
  </si>
  <si>
    <t>إفادات مُغْرِيَة مُخَادِعَة</t>
  </si>
  <si>
    <t>تصريحات مُستَفزّمَة مضللة</t>
  </si>
  <si>
    <t>تصريحات استفزازية مُبَهْمَة</t>
  </si>
  <si>
    <t>بيانات استفزازية مضللة</t>
  </si>
  <si>
    <t>رئيس حركة حـماس في #غزة يحيى السنوار يقول إنّ "التهدئة" التي تم إبرامها مؤخراً مع الاحتلال الإسرائيلي "هشّة" ولم تتضمن "حل جذور المشكلة"</t>
  </si>
  <si>
    <t>هشّة</t>
  </si>
  <si>
    <t>رَقْرَاقَةٌ</t>
  </si>
  <si>
    <t>فَانِيَةٌ</t>
  </si>
  <si>
    <t>نَاعِمَةٌ</t>
  </si>
  <si>
    <t>رَقِيقَةٌ</t>
  </si>
  <si>
    <t>الاجتياح إسرائيلي</t>
  </si>
  <si>
    <t>القهر إسرائيلي</t>
  </si>
  <si>
    <t>الاحتلال عِبرِيُّ</t>
  </si>
  <si>
    <t>الغزو عِبرِيُّ</t>
  </si>
  <si>
    <t>مُتَرَأِس زخم غيرة في غزة حَيّ أغلال يبوح إن هدوء تي تم إبرامها عَلَى أثَر مع سيطرة إسرائيلي بَهْوَاتٌ ولم تتضمن حل أَمْجَاد معضية</t>
  </si>
  <si>
    <t>رَئِيسُ تدفق حـماس في مَعْقِل حَيْدَر حُبَال يعلن إن تهدئة تي تم إبرامها أخيرا مع استعباد إسرائيلي زَجَّاجِيَّةٌ ولم تتضمن حل أَمْجَاد مشكلة</t>
  </si>
  <si>
    <t>مُوجِّه نشاط حـماس في غزة حَيَّان قُيود يقول إن تهدئة تي تم إظهار تِلْوَ مع هيمنة عِبْرِيُّ شَفَّافَةٌ ولم تشتمل حل جذور حرج</t>
  </si>
  <si>
    <t>سَيِّد تدفق حماسة في حَبْس خَالِد حُبَال يروي إن تهدئة تي تم تحقيق لاحِقًا مع احتلال إِسْكَنْدَرُونِيُّ رَخَاوَةٌ ولم تَعَدَّى حل أُسس مشكلة</t>
  </si>
  <si>
    <t>تقرير استخباراتي أمريكي يجدد النقاش حول فرضية تسرب فيروس كورونا من معمل في مدينة ووهان الصينية</t>
  </si>
  <si>
    <t>إخبار تنفيذي أمريكي يُحْدِث نقاش حول حدس تسرب فيروس إكليل نصر من حَقْلُ تَّجَارُب في حاضرة فَوْهة صينية</t>
  </si>
  <si>
    <t>إفادة مخابراتي جَنُوبِيّ يُقوم جدل حول افتراضية انسرب فيروس كورونا من مَصْنَع في مدينة ووهان مُتَرَفِّعة</t>
  </si>
  <si>
    <t>إخبار استخباراتي يَانِكِيّ يُزيل عِتق محاورة حول فرضية تسرب فيروس إكليل نصر من مُرَاصَدَة في قرية مَسِيل مُتَحَضْرِمَة</t>
  </si>
  <si>
    <t>كشف مباحثي أمريكي يجدد نقاش حول مقولة تسرّبَس دَاء تيجان من معمل في حىّ ووهان صينية</t>
  </si>
  <si>
    <t>فرضية تسرب فيروس كورونا من معمل في مدينة ووهان الصينية</t>
  </si>
  <si>
    <t>تخمين تسرّع فيروس كورونا من معمل في موئل وُعَيْط مُغَلْقَة</t>
  </si>
  <si>
    <t>فرضية تسلّط طفيلي اشعاع من مَرْقَبَة في مدينة سَكَن مجهولة</t>
  </si>
  <si>
    <t>تخمين تسرب فيروس كورونا من معمل في موئل حَاضِرَة بعيدة</t>
  </si>
  <si>
    <t>افتعالية تسرّع فيروس اشعاع من مُختَبر في حاضرة بِقَاع صينية</t>
  </si>
  <si>
    <t>تسرب</t>
  </si>
  <si>
    <t>تهرّب</t>
  </si>
  <si>
    <t>تسربل</t>
  </si>
  <si>
    <t>نفذ</t>
  </si>
  <si>
    <r>
      <rPr>
        <sz val="11"/>
        <color theme="1"/>
        <rFont val="Calibri"/>
        <family val="2"/>
        <charset val="1"/>
      </rPr>
      <t>"</t>
    </r>
    <r>
      <rPr>
        <sz val="11"/>
        <color theme="1"/>
        <rFont val="FreeSans"/>
        <family val="2"/>
      </rPr>
      <t>بوتين</t>
    </r>
    <r>
      <rPr>
        <sz val="11"/>
        <color theme="1"/>
        <rFont val="Calibri"/>
        <family val="2"/>
        <charset val="1"/>
      </rPr>
      <t xml:space="preserve">" </t>
    </r>
    <r>
      <rPr>
        <sz val="11"/>
        <color theme="1"/>
        <rFont val="FreeSans"/>
        <family val="2"/>
      </rPr>
      <t>يتفاخر بتجريب أحدث الأسلحة الروسية على أجساد السوريين</t>
    </r>
  </si>
  <si>
    <t>بتجريب أحدث الأسلحة الروسية على أجساد السوريين</t>
  </si>
  <si>
    <t>تمحيص مستحدث أسلحة متجمدة على أجساد شعب سوري</t>
  </si>
  <si>
    <t>تمحيص أحدثت أسلحة جليدية على هياكل دمشقيين</t>
  </si>
  <si>
    <t>بتجريب أحدث أسلحة صقيعية على أجساد أبناء سوريا</t>
  </si>
  <si>
    <t>حذاء تمجُّد بتجريب أحدث حُرُب برانسية على أَكْبَاد فينيقيين</t>
  </si>
  <si>
    <t>رِجْل يتفاخر بتجريب أحدث عُدد قارسة على أجساد سوريّين أصلاء</t>
  </si>
  <si>
    <t>نعل تباهُر بتجريب جدّد عُدد قارسة على أجساد دمشقيين</t>
  </si>
  <si>
    <t>الحكومة الأردنية تهدد بخطوات تصعيدية إذا لم تفرج إسرائيل عن اثنين من مواطنيها</t>
  </si>
  <si>
    <t>تهدد بخطوات تصعيدية</t>
  </si>
  <si>
    <t>ابتز تَبَعًا تصعيدية</t>
  </si>
  <si>
    <t>أرهب بخطوات تصاعدية</t>
  </si>
  <si>
    <t>حذر مُتَسَلْسِلًا تصعيدية</t>
  </si>
  <si>
    <t>أنذر خُطوةً خُطوة تزايدية</t>
  </si>
  <si>
    <t>الحكومة الأردنية تهدد بخطوات تصعيدية</t>
  </si>
  <si>
    <t>الوزارة مَلَكِيَّة قرعت مَسَارِحُ معالي</t>
  </si>
  <si>
    <t>الجهة حاكمة أَعْلَمِيَّة تهدد بَوَانٍ تصعيد</t>
  </si>
  <si>
    <t>الحكومة عَاشِرِيَّة تهدد خُطُوط تصعيد</t>
  </si>
  <si>
    <t>الوزارة عَاشِرِيَّة هددت بالويل بخطوات معالي</t>
  </si>
  <si>
    <r>
      <rPr>
        <sz val="11"/>
        <color theme="1"/>
        <rFont val="Calibri"/>
        <family val="2"/>
        <charset val="1"/>
      </rPr>
      <t>#</t>
    </r>
    <r>
      <rPr>
        <sz val="11"/>
        <color theme="1"/>
        <rFont val="FreeSans"/>
        <family val="2"/>
      </rPr>
      <t>شام</t>
    </r>
    <r>
      <rPr>
        <sz val="11"/>
        <color theme="1"/>
        <rFont val="Calibri"/>
        <family val="2"/>
        <charset val="1"/>
      </rPr>
      <t xml:space="preserve">| </t>
    </r>
    <r>
      <rPr>
        <sz val="11"/>
        <color theme="1"/>
        <rFont val="FreeSans"/>
        <family val="2"/>
      </rPr>
      <t>المجرم رفعت الاسد يشارك في مسرحية الانتخابات الرئاسية من السفارة السورية في باريس</t>
    </r>
  </si>
  <si>
    <t>المجرم</t>
  </si>
  <si>
    <t>المذنب</t>
  </si>
  <si>
    <t>المُسيء</t>
  </si>
  <si>
    <t>الفَاجِر</t>
  </si>
  <si>
    <t>المنحرف</t>
  </si>
  <si>
    <t>المُخالف</t>
  </si>
  <si>
    <t>المجرم رفعت الاسد</t>
  </si>
  <si>
    <t>المخالف رفعت غَضْنَفَر</t>
  </si>
  <si>
    <t>الآثم رفعت فَهْد</t>
  </si>
  <si>
    <t>الآثم علّى زَبْرَك</t>
  </si>
  <si>
    <t>المجرم نَصَب اسد</t>
  </si>
  <si>
    <t>الأثيم رفعت مُهَرْهِر</t>
  </si>
  <si>
    <t>مَوْعِظَة انتخابات</t>
  </si>
  <si>
    <t>تَجْسِيدِيَّة انتخابات</t>
  </si>
  <si>
    <t>مسرحية تصويت</t>
  </si>
  <si>
    <t>تَخْيِيلِيَّة انتخابات</t>
  </si>
  <si>
    <t>رَوْضَة تنافس انتخابي</t>
  </si>
  <si>
    <t>المجرم رفعت الاسد يشارك في مسرحية الانتخابات الرئاسية</t>
  </si>
  <si>
    <t>المذنب أذكت سبع يشارك في مَوْقِفٌ تَصْوِيرِيٌّ انتخابات قيادة</t>
  </si>
  <si>
    <t>المجرم رفعت ضِّرْغَام يَحاكي في مَلْحَمَةٌ انتخابات رئاسية</t>
  </si>
  <si>
    <t>المجرم رفعت سبع يَحاكي في دِرَامَا انتخابات زعامة</t>
  </si>
  <si>
    <t>المنحرف رفعت أسد يَحاكي في مَوْسِيقَى درَامَاتِيكِيَّةٌ انتخابات سُلطوية</t>
  </si>
  <si>
    <t>المجرم أضاءت أسد يُوازي في مَلْحَمَةٌ اختيار مباشر رئاسية</t>
  </si>
  <si>
    <t>الأجهزة الأمنية تجبر أهالي مخيم "جرمانا" على شراء صور "الأسد" وتعليقها في الشوارع</t>
  </si>
  <si>
    <t>تجبر</t>
  </si>
  <si>
    <t>تعسّف</t>
  </si>
  <si>
    <t>ظلم</t>
  </si>
  <si>
    <t>استعلاء</t>
  </si>
  <si>
    <t>الآلات أمنية تجبر معازيم مخيم عزم على شراء صُوَر سبع تعليقة في ساحات</t>
  </si>
  <si>
    <t>التجهيزات مَطْلُوبَةُ تجبر أقارب مُجتَمَع شراسة على شراء صور أسد تعليقها/ تعليق في دَّرَبَات</t>
  </si>
  <si>
    <t>الأجهزة إلكترونية أمنية تكبّر أهالي مُقَام إرادة على حصول صُوَر شرس وتعليقها في دَّرَبَات</t>
  </si>
  <si>
    <t>مراسلنا: تعزيزات عسكرية تصل المنطقة الخضراء في بغداد (فيديو) - عاجل</t>
  </si>
  <si>
    <t>مراسلنا: تعزيزات عسكرية تصل المنطقة الخضراء في بغداد</t>
  </si>
  <si>
    <t>مُخاطَبنا تعزيزات مُعَدَّاتِيَّةٌ تَحَقَّقَ جهة خضراء في بغداد</t>
  </si>
  <si>
    <t>مُخاطَبنا تعزيزات سِلْمِيَّةٌ وَصَلَتْ جهة نَبِيْتَة في دار خلافة</t>
  </si>
  <si>
    <t>مُحاورنا تعزيزات جُنْدِيَّةٌ وَصَلَتْ بقعة خضراء في بغداد</t>
  </si>
  <si>
    <t>مراسلنا تَدْعيمات معسكرية تصل نطاق زَخْرَة في فيحاء</t>
  </si>
  <si>
    <t>مُخاطِبنا مُعَزَّزات عسكرية انْتَهَى نطاق خُضرة في عاصمة رشيد</t>
  </si>
  <si>
    <t>أدى مشاركة الملايين من الهنود في مهرجان ديني هندوسي دون اتباع  قواعد السلامة، إلى استفحال تفشي كوفيد 19في البلاد وارتفاع حاد في عدد حالات الإصابة والوفيات.</t>
  </si>
  <si>
    <t>استفحال</t>
  </si>
  <si>
    <t>استأسد</t>
  </si>
  <si>
    <t>تضخم</t>
  </si>
  <si>
    <t>ترفع</t>
  </si>
  <si>
    <t>تكاثر</t>
  </si>
  <si>
    <t>تفشي</t>
  </si>
  <si>
    <t>انتشار</t>
  </si>
  <si>
    <t>استباحة</t>
  </si>
  <si>
    <t>تعاظم</t>
  </si>
  <si>
    <t>Causal Oversimplification</t>
  </si>
  <si>
    <t>أدى مشاركة الملايين من الهنود في مهرجان ديني هندوسي دون اتباع  قواعد السلامة</t>
  </si>
  <si>
    <t xml:space="preserve"> إلى استفحال تفشي كوفيد 19في البلاد وارتفاع حاد في عدد حالات الإصابة والوفيات</t>
  </si>
  <si>
    <t>استفحل</t>
  </si>
  <si>
    <t>استغلّ</t>
  </si>
  <si>
    <t>ارتفاع حاد</t>
  </si>
  <si>
    <t>ارتفاع شَدِيدٌ</t>
  </si>
  <si>
    <t>ارتفاع حَرْبُ</t>
  </si>
  <si>
    <t>تعالٍ شَدِيدٌ</t>
  </si>
  <si>
    <t>تطاول مُحْدَدٌ</t>
  </si>
  <si>
    <t>استعلاء قَاطِعٌ</t>
  </si>
  <si>
    <t>كيت هارينغتون  وزوجته روز ليزلي أبطال مسلسل Game of thrones ، ينشرون صورة لهما مع لوحة تحمل عبارة " تجرأنا على الحلم ولن نندم على الكرامة"، وذلك في ذكرى الثورة السورية العاشرة.</t>
  </si>
  <si>
    <t>ينشرون صورة لهما مع لوحة تحمل عبارة " تجرأنا على الحلم ولن نندم على الكرامة"، وذلك في ذكرى الثورة السورية العاشرة</t>
  </si>
  <si>
    <t xml:space="preserve">يطلقون نَسْخَة لهما: لهما مع رَسْم سكت تعبيريـة تَمَرَّدْنَا على غاية ولن ندمًا على علو </t>
  </si>
  <si>
    <t xml:space="preserve">يعلنون نَسْخَة لهما مع خَرْطَة تحملّ مفردة تَمَرَّدْنَا على مُنى ولن نندم على جلال </t>
  </si>
  <si>
    <t xml:space="preserve">يوزعون شَكْل لهما مع خَرْطَة تحمل كلمـة تَقَدَّمُوا على حلم ولن نندم على كرامة </t>
  </si>
  <si>
    <t xml:space="preserve">ينبئون رَسم لهما: لهما مع لَوْح تحمل تقوليـد تَحَدَّيْنَا على أمل ولن يندم على كرامة </t>
  </si>
  <si>
    <t xml:space="preserve">يبشرون شَكْل لهما مع طَبَقَة قاوم لفظة تجرأنا على حلم ولن تمنى على كرامة </t>
  </si>
  <si>
    <t xml:space="preserve">ينشرون صورة لهما: لهما مع لوحة تحمل جملة تجرأنا على أمل ولن تحسر على شموخ </t>
  </si>
  <si>
    <t>تجرأنا على الحلم ولن نندم على الكرامة</t>
  </si>
  <si>
    <t>تَجَاسَرْنَا على غاية ولن نندم على كرامة</t>
  </si>
  <si>
    <t>تَمَرَّدْنَا على منى ولن يندّب على عزة</t>
  </si>
  <si>
    <t>تَبَجَّحْنَا على مطلب ولن يُعاتب على كرامة</t>
  </si>
  <si>
    <t>تَصَدَّرْنَا على حلم ولن يُحاسِب على جلال</t>
  </si>
  <si>
    <t>منسقة #الأمم_المتحدة للشؤون الإنسانية في الأراضي الفلسطينية: وقف إطلاق النار لا يزال هشاً</t>
  </si>
  <si>
    <t>وقف إطلاق النار لا يزال هشاً</t>
  </si>
  <si>
    <t>وقف تفجير نار لا يبدد تَنَاثُر</t>
  </si>
  <si>
    <t>وقف تفجير لهب لا يحذف انْفِصَام</t>
  </si>
  <si>
    <t>سوريا.. تفجيرات ومظاهرات في درعا احتجاجا على الانتخابات الرئاسية</t>
  </si>
  <si>
    <t>تفجيرات ومظاهرات</t>
  </si>
  <si>
    <t>انفجارات ومظاهرات</t>
  </si>
  <si>
    <t>تفاخر تحركات احتجاجية</t>
  </si>
  <si>
    <t>استعراض قوة تحركات احتجاجية</t>
  </si>
  <si>
    <t>تفحيط تجمعات احتجاجية</t>
  </si>
  <si>
    <t>احتجاجا</t>
  </si>
  <si>
    <t>استنكارا</t>
  </si>
  <si>
    <t>تنديدا</t>
  </si>
  <si>
    <t>الحرمان من التأمين وحق العلاج.. هكذا تعاقب سلطات الاحتلال الإسرائيلي نشطاء #القدس وعائلاتهم</t>
  </si>
  <si>
    <t>الاستحواذ يَافَاوِيُّ</t>
  </si>
  <si>
    <t>الاحتلال عَبْرَانِيُّ</t>
  </si>
  <si>
    <t>الاستعباد سِّلْمِيُّ</t>
  </si>
  <si>
    <t>الضرّ من سلامة حقا إصلاح هكذا تعالى قيادات استعباد عَبرَانِي نشطاء بـَـابُ سَّـمَـاء معارفهم</t>
  </si>
  <si>
    <t>المجاعة من كفالة وحق دواء هكذا تعاقب حَكَم ضم إِفْرَائِمِي مقتدرون جَـبَـلُ مَـسْـخَـن معارفهم</t>
  </si>
  <si>
    <t>الحاجة من ضمان وحق تطبيب هكذا تعالى مُتَسَلطات استعباد إِفْرَائِمِي نشطاء جَـبَـلُ مَـسْـخَـن معارفهم</t>
  </si>
  <si>
    <t>المسغبة من تأمين في واقع برء هكذا تلا سلطات تسلط عِبرِي ديناميكيون قدس أولادهم</t>
  </si>
  <si>
    <t>تعاقب</t>
  </si>
  <si>
    <t>تلاحق</t>
  </si>
  <si>
    <t>تتابع</t>
  </si>
  <si>
    <t>لحق</t>
  </si>
  <si>
    <t>تلا</t>
  </si>
  <si>
    <t>حماس تقول إنها لن تأخذ " قرشا واحدا " من أموال إعادة إعمار غزة</t>
  </si>
  <si>
    <t>قرشا واحدا</t>
  </si>
  <si>
    <t>قرشا وحيدًا</t>
  </si>
  <si>
    <t>رصيدا واحدا</t>
  </si>
  <si>
    <t>ذهبا واحدا</t>
  </si>
  <si>
    <t>جاها واحدا</t>
  </si>
  <si>
    <t>أزمة تيغراي: السلطات الإثيوبية ترحل صحفيا في نيويورك تايمز بسبب تغطيته للحرب.</t>
  </si>
  <si>
    <t>السلطات الإثيوبية ترحل صحفيا في نيويورك تايمز بسبب تغطيته للحرب</t>
  </si>
  <si>
    <t>السلطات حبشية ابتعث مُذيع في تفاحة كبيرة أزمنة بسبب ستر مجابهة</t>
  </si>
  <si>
    <t>القوّة تنفيذية حِمْيَريّة تنقل صحفيا في زحام متلألئ تايمز بسبب تغطيته مجابهة</t>
  </si>
  <si>
    <t>الحكّام يَمَنيّة ارتحل صحفيا في حاضرة حداثة تايمز بسبب تغطيته معارك</t>
  </si>
  <si>
    <t>الإدارة إثيوبية ترحل مُعدّ أخبار في نيويورك فترات بسبب إغشاء للحرب</t>
  </si>
  <si>
    <t>القوّة تنفيذية حبشية ابتعث مُدوّن في بابل متألقة تايمز بسبب تغطيته قتال</t>
  </si>
  <si>
    <t>حرب</t>
  </si>
  <si>
    <t>صِراع</t>
  </si>
  <si>
    <t>اقتِحام</t>
  </si>
  <si>
    <t>سِلم حَربِي</t>
  </si>
  <si>
    <t>قَهر</t>
  </si>
  <si>
    <t>صِدام</t>
  </si>
  <si>
    <t>مَعرَكة</t>
  </si>
  <si>
    <t>قاذفات بعيدة المدى أُرسلت إلى سوريا في مهمة خاصة</t>
  </si>
  <si>
    <t>قنابل خَارج مدى طرحت إلى ذات جلال في مهمة خاصة</t>
  </si>
  <si>
    <t>محمصات نائية مدى بعيد أطلقت إلى سورية في أساسية خاصة</t>
  </si>
  <si>
    <t>طائرات هجومية بعيدة مدى بعيد أرسلت إلى سوريا في جوهرية خاصة</t>
  </si>
  <si>
    <t>محمصات مُتَبَاعِدَة اتساع أرسلت إلى بلاد شام في أساسية خاصة</t>
  </si>
  <si>
    <t>خاص  | "مستقبل سيئ ينتظر البشرية".. #الذكاء_الاصطناعي في قفص الاتهام http://khaleej.online/7dznnQ</t>
  </si>
  <si>
    <t>مستقبل سيئ ينتظر البشرية</t>
  </si>
  <si>
    <t>مُنتَظَر رديء ينتظر بشرية</t>
  </si>
  <si>
    <t>قادم رديح ينتظر: يرقب جنس</t>
  </si>
  <si>
    <t>مُقبِل سيئ ينتظر سلالة</t>
  </si>
  <si>
    <t>مستقبل معيب ينتظر بشرية</t>
  </si>
  <si>
    <t>غد خبيث يتأهب بشرية</t>
  </si>
  <si>
    <t>مستقبل سيئ يتأهب نوع</t>
  </si>
  <si>
    <t>مستقبل قاتم يستعد حياتية</t>
  </si>
  <si>
    <t>رَاجِح شائن يتهيأ آدمية</t>
  </si>
  <si>
    <t>مُنْتَظَر فظيع يتهيأ خلق</t>
  </si>
  <si>
    <t>مستقبل بغيض ينتظر خلق</t>
  </si>
  <si>
    <t>مستقبلٌ شرير يحسب حياتية</t>
  </si>
  <si>
    <t>مستقبل سيئ ينتظر البشرية".. #الذكاء_الاصطناعي في قفص الاتهام</t>
  </si>
  <si>
    <t>مستقبل بغيض يترقب خلق عقل وهمي في سجن تَّحامل</t>
  </si>
  <si>
    <t>مرام قذر يتشوق خلق ذكاء صناعي في قفص تَّحامل</t>
  </si>
  <si>
    <t>غاية هدام يتوقع بشرية ذكاء حاد اصطناعي في قفص تَّعريض</t>
  </si>
  <si>
    <t>مستقبلٌ هدام يحسب بشرية جمعاء لباقة زائف في قفنة افتراء</t>
  </si>
  <si>
    <t>مآل رديء يتوقع وجودية إدراك زائف في سجن تَّعريض</t>
  </si>
  <si>
    <t>آتي سيئ يستعد بشرية بصيرة مزيف في سجن ارتياب</t>
  </si>
  <si>
    <t>نظام الأسد لا يصدر إلا الموت للسوريين.. #لا_للمعابر_مع_النظام</t>
  </si>
  <si>
    <t>تنظيمية مهيب</t>
  </si>
  <si>
    <t>تدبير مهيب</t>
  </si>
  <si>
    <t>ترسيمة غَضْنَف</t>
  </si>
  <si>
    <t>منهاج أسد</t>
  </si>
  <si>
    <t>ترتيب أسد</t>
  </si>
  <si>
    <t>منهجية أسد</t>
  </si>
  <si>
    <t>ترتيبة قاهر</t>
  </si>
  <si>
    <t>منهاج مفترس</t>
  </si>
  <si>
    <t>نظام أسد</t>
  </si>
  <si>
    <t>لا_للمعابر_مع_النظام</t>
  </si>
  <si>
    <t>لا معابر دولية مع انتظام</t>
  </si>
  <si>
    <t>لا طرق مع تسليم</t>
  </si>
  <si>
    <t>لا للمعابر مع تسلسل</t>
  </si>
  <si>
    <t>لا منافذ مع تدبير</t>
  </si>
  <si>
    <t>لا يصدر إلا الموت للسوريين</t>
  </si>
  <si>
    <t>لا يظهر إلا فناء للسوريين</t>
  </si>
  <si>
    <t>لا ينبثق إلا هلاك علويين</t>
  </si>
  <si>
    <t>لا يصدر إلا انقضاء للسوريين</t>
  </si>
  <si>
    <t>لا ينطلق إلا موت للسوريين</t>
  </si>
  <si>
    <t>لا يفصح إلا موت دروز</t>
  </si>
  <si>
    <t>لا يُطلق إلا هلاك فراتيين</t>
  </si>
  <si>
    <t>لا يبث إلا عدم عرب سوريين</t>
  </si>
  <si>
    <t>لا يبث إلا زوال جبليين</t>
  </si>
  <si>
    <t>لا ينطلق إلا موت عرب سوريين</t>
  </si>
  <si>
    <t>نظام الأسد لا يصدر إلا الموت للسوريين</t>
  </si>
  <si>
    <t>نظام هصور لا يبزغ إلا سُّكرات علويين</t>
  </si>
  <si>
    <t>تنظيمية أسد لا يصدر إلا موت فينيقيين</t>
  </si>
  <si>
    <t>نظامية ملك غابة لا ينبثق إلا موت شعب سوري</t>
  </si>
  <si>
    <t>تنظيمية ضاري لا يبزغ إلا رحيل دمشقيين</t>
  </si>
  <si>
    <t>تنظيم فهد لا ينطلق إلا أجل أهل شام</t>
  </si>
  <si>
    <t>وزير الخارجية القطري: سنواصل دعم الأشقاء في فلسطين وصولاً إلى الحل العادل والدائم بإقامة دولته المستقلة وفق مبادرة السلام العربية ومرجعيات الشرعية الدولية ذات الصلة. | #الخليج_أونلاين</t>
  </si>
  <si>
    <t>الحل العادل والدائم</t>
  </si>
  <si>
    <t>التّـصـريف رَّحْمنُ والدائم</t>
  </si>
  <si>
    <t>الحل عادل ثابت</t>
  </si>
  <si>
    <t>الحل مُوَفِّقُ خالد</t>
  </si>
  <si>
    <t>التّـخليص مُقْسِطُ سرمدي</t>
  </si>
  <si>
    <t xml:space="preserve">العادل </t>
  </si>
  <si>
    <t>المُوَفِّقُ</t>
  </si>
  <si>
    <t>المُحْسِنُ</t>
  </si>
  <si>
    <t>المُقْسِطُ</t>
  </si>
  <si>
    <t>المُحَكِّمُ</t>
  </si>
  <si>
    <t>الحَكَمُ</t>
  </si>
  <si>
    <t>الأشقاء في فلسطين</t>
  </si>
  <si>
    <t>الأشقاء في أَرْضُ الْمَوْعِدِ</t>
  </si>
  <si>
    <t>الإخوة في أَرْضُ الْمُقَدَّسَةُ</t>
  </si>
  <si>
    <t>الأَعْزَاء في فلسطين</t>
  </si>
  <si>
    <t>الرفاق في فِلَسْطِينُ</t>
  </si>
  <si>
    <t>الأَعْزَاء في كَنْعَانُ</t>
  </si>
  <si>
    <t>بداية مسلسل الترويج .. الإرهابي "بشار" يستبق الانتخابات بزيارة منشآت صناعية وسط سوريا</t>
  </si>
  <si>
    <t>مسلسل الترويج</t>
  </si>
  <si>
    <t>حكاية تنقيب</t>
  </si>
  <si>
    <t>سلسلة تنويه</t>
  </si>
  <si>
    <t>متصل تعريف</t>
  </si>
  <si>
    <t>سلسل ترويج</t>
  </si>
  <si>
    <t>مُجَرِّم مُبشر</t>
  </si>
  <si>
    <t>الإرهابي مُبَارِك</t>
  </si>
  <si>
    <t>مُفْزِع مُبَشِّر</t>
  </si>
  <si>
    <t>مُرَاعِي مُبَشِّع</t>
  </si>
  <si>
    <t>مُرْهِب بشار</t>
  </si>
  <si>
    <t>بداية مسلسل الترويج .. الإرهابي "بشار"</t>
  </si>
  <si>
    <t>ابتداء متوالي تسويق إرهابي بشار</t>
  </si>
  <si>
    <t>ابتداء مسلسل ترغيب مُرَعِبٌ نَبِيٌّ</t>
  </si>
  <si>
    <t>مستهلّة متلاحق ترويج سلع مُخَرِّبٌ مُسَرَّة</t>
  </si>
  <si>
    <t>انبثاق متسلسل ترويج سلع مُتَطَرِّفٌ بشار</t>
  </si>
  <si>
    <t>مستهلّة متتالٍ تسويق مُتَطَرِّفٌ مُبَشَّرٌ بِهِ</t>
  </si>
  <si>
    <t>تقرير لصحيفة بريطانية يصف بشار الأسد بـ "رئيس العصابة"</t>
  </si>
  <si>
    <t>العصابة</t>
  </si>
  <si>
    <t>كَتلة</t>
  </si>
  <si>
    <t>طائفة</t>
  </si>
  <si>
    <t>فئة</t>
  </si>
  <si>
    <t>جماعة</t>
  </si>
  <si>
    <t>بشار الأسد بـ "رئيس العصابة"</t>
  </si>
  <si>
    <t>مُخْبِر أسد بـ رئيس عصابة</t>
  </si>
  <si>
    <t>نَذِير أسد بـ رئيس زُمرة</t>
  </si>
  <si>
    <t>نَبِي فَهْد بـ سُلْطَان رَهْط</t>
  </si>
  <si>
    <t>مُبَشَّر فَهْد بـ مُعَظَّم شُلَّة</t>
  </si>
  <si>
    <t>تبليغ دورية أَنجُلْية بيّن مُبشر هصور بـ رئيس جَماعَة</t>
  </si>
  <si>
    <t>تقرير جريدة يومية بريطانية فسرّح مُبشر ليث بـ سَيِّد طائفة</t>
  </si>
  <si>
    <t>كشف لصحيفة مَلَكية يصف مُبَشْرِي أسد بـ مدير شُلّة</t>
  </si>
  <si>
    <t>رواية جريدة بريطانية يصف مُبشر مفترس بـ رئيس شَلَّالَة</t>
  </si>
  <si>
    <t>بيان منشور بريطانية جسّد مُبَشْرِي ضاري بـ قائد شَلَّالَة</t>
  </si>
  <si>
    <t>يصف بشار الأسد بـ "رئيس العصابة"</t>
  </si>
  <si>
    <t>أظهر مأوى أسد بـ مُدِير فَلْذَة</t>
  </si>
  <si>
    <t>يصف ملجأ أسد بـ رئيس جماعة</t>
  </si>
  <si>
    <t>جسّد حامى أسد بـ سَيِّد عُصْبَة</t>
  </si>
  <si>
    <t>يصف عاصم أَسْيَد بـ رئيس فِئَة</t>
  </si>
  <si>
    <t>يصف راعى أَسْيَد بـ أَمِير عصابة</t>
  </si>
  <si>
    <t>مواقع لطخت بالدماء والكيماوي .. الإرهابي "بشار" في "دوما" و"سهيل الحسن" في "كفرعويد" (فيديو)</t>
  </si>
  <si>
    <t>لطخت بالدماء والكيماوي</t>
  </si>
  <si>
    <t>سالت بحور من دماء مُهلِك</t>
  </si>
  <si>
    <t>تدهمت دمائيًا مُهلِك</t>
  </si>
  <si>
    <t>سالت مذابح حمراء مُضِرّ</t>
  </si>
  <si>
    <t>انسكبت إهراق دماء والكيماوي</t>
  </si>
  <si>
    <t>مُرَعْب</t>
  </si>
  <si>
    <t>فَتَّاك</t>
  </si>
  <si>
    <t>مُعَتَدٍ</t>
  </si>
  <si>
    <t>مُرَهِب</t>
  </si>
  <si>
    <t>مُخرب مُبْشِر</t>
  </si>
  <si>
    <t>وحشي مُبَشِّرَة</t>
  </si>
  <si>
    <t>الإرهابي مُبَشِّر</t>
  </si>
  <si>
    <t>دموي عَمْرُو</t>
  </si>
  <si>
    <t>مواقع لطخت بالدماء والكيماوي</t>
  </si>
  <si>
    <t>أماكن تدهمت بحر من دماء مُحَرَّم</t>
  </si>
  <si>
    <t>مواضيع انبثقت مسفوح دماء مُدَمِّر</t>
  </si>
  <si>
    <t>مواقع امتطخت دماء غزيرة مُهَلْك</t>
  </si>
  <si>
    <t>محطات تدحرجت دماء زكية مُهَلْك</t>
  </si>
  <si>
    <t>مواقع لطخت بالدماء والكيماوي .. الإرهابي "بشار" في "دوما" و"سهيل الحسن" في "كفرعويد"</t>
  </si>
  <si>
    <t>معسكرات دَحْبَجَ مُعَفَّرًا تسميم متطرف رَسُول في أَزَلِيّا و سهيل رونق في كفرعويد</t>
  </si>
  <si>
    <t>مواقع لطخت دَمَوِيًّا سُّموم عنيف مُحَدِّث في دوما و مُبين بهجة في كفرعويد</t>
  </si>
  <si>
    <t>مواضع دَحْرَجَ بِالْخُضْرَةِ سُّموم متطرف مُبْشِر في دَائِما و سهيل حُسْن في إِبْطال</t>
  </si>
  <si>
    <t>أماكن بَقْبَقَ قَانِيًّا والكيماوي وحشي رَسُول في أَزَلِيّا و ميسر حُسْن في كفران</t>
  </si>
  <si>
    <t>مراسلنا: القوات العراقية تنشر دبابات في بعض شوارع بغداد (فيديو)</t>
  </si>
  <si>
    <t>القوات العراقية تنشر دبابات في بعض شوارع بغداد</t>
  </si>
  <si>
    <t>القوات بغدادية صرّح طراطير في بعض مسالك بغداد</t>
  </si>
  <si>
    <t>الجنود يمنية تنشر دبابات في بعض شوارع بغداد</t>
  </si>
  <si>
    <t>الحربيون عراقية نشر طراطير في بعض شوارع دار سلام</t>
  </si>
  <si>
    <t>الفرسان شامية تنشر دبابات في بعض طرُق كرخا</t>
  </si>
  <si>
    <t>وزارة الخارجية الأمريكية: #بلينكن بحث في اتصال مع وزير الخارجية السعودي جهود الحد من مخاطر اندلاع نزاع جديد في #غزة | #الخليج_أونلاين #أمريكا #السعودية</t>
  </si>
  <si>
    <t>اندلاع نزاع</t>
  </si>
  <si>
    <t>انفجار مشاحاة</t>
  </si>
  <si>
    <t>تطاير نزاع</t>
  </si>
  <si>
    <t>اندلاع مراء</t>
  </si>
  <si>
    <t>انبثاقٌ خصام</t>
  </si>
  <si>
    <t>اشتعالٌ نزاع</t>
  </si>
  <si>
    <t>اندلاع</t>
  </si>
  <si>
    <t>انبثاق</t>
  </si>
  <si>
    <t>انبجار</t>
  </si>
  <si>
    <t>اشتعال</t>
  </si>
  <si>
    <t>اشتعالٌ</t>
  </si>
  <si>
    <t>توهج</t>
  </si>
  <si>
    <t>الباحث السياسي محمد عويس لـTRT عربي: من يتحدث عن حل الدولتين بدون برنامج يوضح كيف سنصل إلى حل الدولتين، فهو يتحدث عن كلام لا يغني ولا يسمن من جوع</t>
  </si>
  <si>
    <t>لا يغني ولا يسمن من جوع</t>
  </si>
  <si>
    <t>لا يُثمِر ولا سَمِنَ من فَقْرُ الْمَعِدَةِ</t>
  </si>
  <si>
    <t>لا يغني ولا اِمتَلَىءَ من مَجَاعَةٌ</t>
  </si>
  <si>
    <t>لا يُثري ولا يسمن من مَأْقَمَةٌ</t>
  </si>
  <si>
    <t>لا يُجمِل ولا سَمَاجَ من مَجَاعَةٌ</t>
  </si>
  <si>
    <t>محكمة في القدس تنظر بقرار طرد عائلات من سلوان لصالح مستوطنين وسط احتجاجات</t>
  </si>
  <si>
    <t>طرد عائلات</t>
  </si>
  <si>
    <t>تنحية أُسَر</t>
  </si>
  <si>
    <t>تطهير مجموعات</t>
  </si>
  <si>
    <t>مستوطنين</t>
  </si>
  <si>
    <t>مستعمرين جدد</t>
  </si>
  <si>
    <t>متوطنون</t>
  </si>
  <si>
    <t>مستأنسين</t>
  </si>
  <si>
    <t>مستعمرين</t>
  </si>
  <si>
    <t>تشهد #سوريا في 26 مايو/ أيار الجاري انتخابات رئاسية ستفضي إلى فوز شبه مؤكد للرئيس بشار الأسد بفترة ثالثة، فما هي حكاية أسرة الأسد مع السلطة والنفوذ؟</t>
  </si>
  <si>
    <t>فما هي حكاية أسرة الأسد مع السلطة والنفوذ؟</t>
  </si>
  <si>
    <t>فما هي حكاية أسرة أسد مع قوّة تغلغل</t>
  </si>
  <si>
    <t>فما هي حكاية عشيرة غَضْنفر مع هيمنة تسرب</t>
  </si>
  <si>
    <t>فما هي خبر سلالة ذَيب مع سلطة تغلغل</t>
  </si>
  <si>
    <t>فما هي حكاية جماعة فَهْد مع سلطة والنفوذ؟</t>
  </si>
  <si>
    <t>الخارجية المصرية: أكدنا لوزير الخارجية الإسرائيلي أهمية اتخاذ تدابير تعزز التهدئة وتمهد لإحياء المسار السياسي</t>
  </si>
  <si>
    <t>تعزز التهدئة</t>
  </si>
  <si>
    <t>قوّى تهدئة</t>
  </si>
  <si>
    <t>أسند تهدئة</t>
  </si>
  <si>
    <t>دعّم هدوء</t>
  </si>
  <si>
    <t>إحياء المسار السياسي</t>
  </si>
  <si>
    <t>إحياء مسار اجْتِمَاعِيُّ</t>
  </si>
  <si>
    <t>إيقاظ مسارح سياسي</t>
  </si>
  <si>
    <t>حياة مسار الْعَامُّ</t>
  </si>
  <si>
    <t>حياة مسارح رِّيَاضِيُّ</t>
  </si>
  <si>
    <t>إحياء خطين الْحِزْبِيُّ</t>
  </si>
  <si>
    <t>إحياء اتجاه سياسي</t>
  </si>
  <si>
    <t>وزير الخارجية الأمريكي أنتوني #بلينكن: جهود #الأردن في إنهاء دائرة العنف الأخيرة تبرز دورها المحوري كصديق وحليف للولايات المتحدة | #الخليج_أونلاين</t>
  </si>
  <si>
    <t>العنف</t>
  </si>
  <si>
    <t>الفظاظة</t>
  </si>
  <si>
    <t>القسوة</t>
  </si>
  <si>
    <t>الضراوت</t>
  </si>
  <si>
    <t>البطش</t>
  </si>
  <si>
    <t>القساوة</t>
  </si>
  <si>
    <t>المحوري</t>
  </si>
  <si>
    <t>محوري</t>
  </si>
  <si>
    <t>فائق</t>
  </si>
  <si>
    <t>أساسي</t>
  </si>
  <si>
    <t>دائرة العنف</t>
  </si>
  <si>
    <t>فلك عنف</t>
  </si>
  <si>
    <t>حلول قسوة</t>
  </si>
  <si>
    <t>دار ضرَم</t>
  </si>
  <si>
    <t>مدار ضراوة</t>
  </si>
  <si>
    <t>فلك شراسة</t>
  </si>
  <si>
    <t>جهود #الأردن في إنهاء دائرة العنف الأخيرة تبرز دورها المحوري كصديق وحليف للولايات المتحدة</t>
  </si>
  <si>
    <t>مساعي أردن في إنهاء هالة عنف آخر مطاف تجلي وظيفتها قاعدي رَحْب رفيق أَمْصَار متضامنة</t>
  </si>
  <si>
    <t>أفعال جَذور في إتمام دائرة غلظة آخر مطاف انبثاق دورها محوري كصديق مؤازر أَنْجُم متحدة قوة</t>
  </si>
  <si>
    <t>مساعي أردن في إنهاء مُستديرة هِيجان أخيرة تبرز مسؤوليتها أساسي أنيس مؤازر للولايات متعاونة</t>
  </si>
  <si>
    <t>مساعٍ جَذور في إنهاء دائرة عنف خاتمة انبثاق مشاركتها أساسي كصديق وحليف جهات ملتحمة</t>
  </si>
  <si>
    <t>أفعال أردن في إنهاء هالة عنف أخيرة تجلي دورها محوري صَحْب معاضد مناطق متحدة</t>
  </si>
  <si>
    <t>المندوبة الأمريكية في #مجلس_الأمن ليندا توماس #غرينفيلد: نشكر #قطر و #مصر و #الأردن لمساهمتهم في وقف إطلاق النار بـ #غزة | #الخليج_أونلاين #أمريكا</t>
  </si>
  <si>
    <t>نشكر #قطر و #مصر و #الأردن لمساهمتهم في وقف إطلاق النار بـ #غزة</t>
  </si>
  <si>
    <t>اعتزازًا قطرة و قاهرة معز و أردن لمساهمتهم في وقف إطلاق لهيب بـ غزة</t>
  </si>
  <si>
    <t>إكبارًا نقط و قاهرة معز و نَهْرُ أُرْدُنِّ عطائهم في وقف تفلت نار بـ غزة</t>
  </si>
  <si>
    <t>تقدّم سائل و قاهرة و نَهْرٌ أَرْدَنُّ عطائهم في وقف إطلاق سعير بـ منيعة</t>
  </si>
  <si>
    <t>نشكر رذاذ و مَحروسة و دِّيَارُ أُرْدُنِّيَّةُ خدماتهم في وقف انسحاب نار بـ غزة</t>
  </si>
  <si>
    <t>إطلاق النار</t>
  </si>
  <si>
    <t>إرسال مضطرمة</t>
  </si>
  <si>
    <t>إزاحة حرائق</t>
  </si>
  <si>
    <t>تنفيس تأجج</t>
  </si>
  <si>
    <t>تسريح نار</t>
  </si>
  <si>
    <t>خطيب المسجد الأقصى عكرمة صبري: معركة سيف القدس بدأت من أجل #القدس وتؤكد أن الاحتلال إلى زوال و #غزة تُركت وحدها لكن الله انتصر لها</t>
  </si>
  <si>
    <t>الاحتلال إلى زوال</t>
  </si>
  <si>
    <t>الاجتياح إلى هلاك</t>
  </si>
  <si>
    <t>السيطرة إلى زوال</t>
  </si>
  <si>
    <t>الاحتلال إلى اضمحلال</t>
  </si>
  <si>
    <t>الاجتياح إلى زوال</t>
  </si>
  <si>
    <t>الاحتلال إلى انقضاء</t>
  </si>
  <si>
    <t>الامتلاك إلى هلاك</t>
  </si>
  <si>
    <t>تسع سنوات على "مجزرة الحولة" والمجرم يُعيد انتخاب نفسه بتواطئ دولي</t>
  </si>
  <si>
    <t>مجزرة</t>
  </si>
  <si>
    <t>مجزر</t>
  </si>
  <si>
    <t>تقتيل</t>
  </si>
  <si>
    <t>مقتلة</t>
  </si>
  <si>
    <t>مسلخ</t>
  </si>
  <si>
    <t>الفَاسِق</t>
  </si>
  <si>
    <t>المُتَعَدِّي</t>
  </si>
  <si>
    <t>السِّجْنِي</t>
  </si>
  <si>
    <t>المُذنِب</t>
  </si>
  <si>
    <t>المُخَالِف</t>
  </si>
  <si>
    <t>تواطئ دولي</t>
  </si>
  <si>
    <t>توافق اتحادى</t>
  </si>
  <si>
    <t>تعاون اتحادى</t>
  </si>
  <si>
    <t>تعاضد أممي</t>
  </si>
  <si>
    <t>تواطئ فيدرالي</t>
  </si>
  <si>
    <t>تملق دولي</t>
  </si>
  <si>
    <t>العاثِر</t>
  </si>
  <si>
    <t>المُدان</t>
  </si>
  <si>
    <t>المُجرِم</t>
  </si>
  <si>
    <t>بتواطئ دولي</t>
  </si>
  <si>
    <t>اتفاق عالمي نطاق</t>
  </si>
  <si>
    <t>تعاضد عام</t>
  </si>
  <si>
    <t>تواطؤ دولي</t>
  </si>
  <si>
    <t>بتواطئ عالمي</t>
  </si>
  <si>
    <t>بتواطئ عالمي نطاق</t>
  </si>
  <si>
    <t>بايدن: العقوبات الأمريكية على بيلاروس قيد التنفيذ</t>
  </si>
  <si>
    <t xml:space="preserve"> العقوبات الأمريكية على بيلاروس قيد التنفيذ</t>
  </si>
  <si>
    <t>المؤنّفات أمريكية على رُوسِيَّا بَيْضَاء أَسْرار تفعيل</t>
  </si>
  <si>
    <t>العقوبات أمجية على أَرْضُ بَيَاض وَثاق تنفيذ</t>
  </si>
  <si>
    <t>الزجر ولايات متحدة شماليّة على بَيْلَرُوسْيَا قيد تفعيل</t>
  </si>
  <si>
    <t>العقوبات أمجية على سَهْلُ رُّوس إِغْلال إنجاز</t>
  </si>
  <si>
    <t>القِصاصات</t>
  </si>
  <si>
    <t>المجازات</t>
  </si>
  <si>
    <t>الملامات</t>
  </si>
  <si>
    <t>الوخزات</t>
  </si>
  <si>
    <t>العقوبات الأمريكية</t>
  </si>
  <si>
    <t>التوبيخات شمالية</t>
  </si>
  <si>
    <t>العقوبات شمالية</t>
  </si>
  <si>
    <t>العقود أطلنطيّة</t>
  </si>
  <si>
    <t>المؤاخذة أمريكية</t>
  </si>
  <si>
    <r>
      <rPr>
        <sz val="11"/>
        <color theme="1"/>
        <rFont val="Calibri"/>
        <family val="2"/>
        <charset val="1"/>
      </rPr>
      <t>#</t>
    </r>
    <r>
      <rPr>
        <sz val="11"/>
        <color theme="1"/>
        <rFont val="FreeSans"/>
        <family val="2"/>
      </rPr>
      <t>٢٥</t>
    </r>
    <r>
      <rPr>
        <sz val="11"/>
        <color theme="1"/>
        <rFont val="Calibri"/>
        <family val="2"/>
        <charset val="1"/>
      </rPr>
      <t>_</t>
    </r>
    <r>
      <rPr>
        <sz val="11"/>
        <color theme="1"/>
        <rFont val="FreeSans"/>
        <family val="2"/>
      </rPr>
      <t>أيار</t>
    </r>
    <r>
      <rPr>
        <sz val="11"/>
        <color theme="1"/>
        <rFont val="Calibri"/>
        <family val="2"/>
        <charset val="1"/>
      </rPr>
      <t xml:space="preserve">: </t>
    </r>
    <r>
      <rPr>
        <sz val="11"/>
        <color theme="1"/>
        <rFont val="FreeSans"/>
        <family val="2"/>
      </rPr>
      <t xml:space="preserve">مظاهرات حاشدة في </t>
    </r>
    <r>
      <rPr>
        <sz val="11"/>
        <color theme="1"/>
        <rFont val="Calibri"/>
        <family val="2"/>
        <charset val="1"/>
      </rPr>
      <t>#</t>
    </r>
    <r>
      <rPr>
        <sz val="11"/>
        <color theme="1"/>
        <rFont val="FreeSans"/>
        <family val="2"/>
      </rPr>
      <t xml:space="preserve">العراق ترفع شعار </t>
    </r>
    <r>
      <rPr>
        <sz val="11"/>
        <color theme="1"/>
        <rFont val="Calibri"/>
        <family val="2"/>
        <charset val="1"/>
      </rPr>
      <t>"#</t>
    </r>
    <r>
      <rPr>
        <sz val="11"/>
        <color theme="1"/>
        <rFont val="FreeSans"/>
        <family val="2"/>
      </rPr>
      <t>من</t>
    </r>
    <r>
      <rPr>
        <sz val="11"/>
        <color theme="1"/>
        <rFont val="Calibri"/>
        <family val="2"/>
        <charset val="1"/>
      </rPr>
      <t>_</t>
    </r>
    <r>
      <rPr>
        <sz val="11"/>
        <color theme="1"/>
        <rFont val="FreeSans"/>
        <family val="2"/>
      </rPr>
      <t>قتلني؟</t>
    </r>
    <r>
      <rPr>
        <sz val="11"/>
        <color theme="1"/>
        <rFont val="Calibri"/>
        <family val="2"/>
        <charset val="1"/>
      </rPr>
      <t xml:space="preserve">" </t>
    </r>
    <r>
      <rPr>
        <sz val="11"/>
        <color theme="1"/>
        <rFont val="FreeSans"/>
        <family val="2"/>
      </rPr>
      <t xml:space="preserve">مطالبة بمحاسبة المسؤولين عن اغتيال نشطاء وإعلاميين وتحيي مطالب </t>
    </r>
    <r>
      <rPr>
        <sz val="11"/>
        <color theme="1"/>
        <rFont val="Calibri"/>
        <family val="2"/>
        <charset val="1"/>
      </rPr>
      <t>"</t>
    </r>
    <r>
      <rPr>
        <sz val="11"/>
        <color theme="1"/>
        <rFont val="FreeSans"/>
        <family val="2"/>
      </rPr>
      <t>مظاهرات تشرين</t>
    </r>
    <r>
      <rPr>
        <sz val="11"/>
        <color theme="1"/>
        <rFont val="Calibri"/>
        <family val="2"/>
        <charset val="1"/>
      </rPr>
      <t>".</t>
    </r>
  </si>
  <si>
    <t>من_قتلني</t>
  </si>
  <si>
    <t>من أفاقني</t>
  </si>
  <si>
    <t>من أفنى وجودي</t>
  </si>
  <si>
    <t>من أماتني</t>
  </si>
  <si>
    <t>من أجهز عليّ</t>
  </si>
  <si>
    <t>من أهلكني</t>
  </si>
  <si>
    <t>من دمرني</t>
  </si>
  <si>
    <t>من أبادني</t>
  </si>
  <si>
    <t>من أفناني</t>
  </si>
  <si>
    <t>مطالبة بمحاسبة المسؤولين عن اغتيال نشطاء وإعلاميين وتحيي مطالب "مظاهرات تشرين"</t>
  </si>
  <si>
    <t>تـوجـيه تثريبًا إداريين عن انقضاض مُنجزون مُعلنين إزهار مطالب مظاهرات تشرين</t>
  </si>
  <si>
    <t>مطالبة بمحاسبة مشرفين عن إغتيال فاعلون وإعلاميين تنشيط مطالب مسيرات تشرين</t>
  </si>
  <si>
    <t>تـبـرع معاتبة رؤساء عن إغتيال فعّالون مُطلعين تنمية مطالب مساعدات تشرين</t>
  </si>
  <si>
    <t>تـمـرين مؤنبة مسؤولين عن اغتيال مُبادرون ناقلين وتحيي رغبات مظاهرات تشرين</t>
  </si>
  <si>
    <t>تـطـلـب بمحاسبة قادة عن انقضاض مُتوهّجون مُحيطين وتحيي مطالب مظاهرات تشرين</t>
  </si>
  <si>
    <t>مطالبة تثريبًا موجهين عن اغتيال مُنتجون مُعلنين تنشيط مطالب احتجاجات تشرين</t>
  </si>
  <si>
    <t>اغتيال نشطاء وإعلاميين</t>
  </si>
  <si>
    <t>اغتيال مُتحمّسون وإعلاميين</t>
  </si>
  <si>
    <t>اغتيال استباقيون مُبَلغين</t>
  </si>
  <si>
    <t>اغتصاب فعّالون وإعلاميين</t>
  </si>
  <si>
    <t>إعدام مُبادرون مُخْبِرين</t>
  </si>
  <si>
    <t>مظاهرات حاشدة</t>
  </si>
  <si>
    <t>تكتلات مكتظـة</t>
  </si>
  <si>
    <t>انتفاضات وافرة</t>
  </si>
  <si>
    <t>مظاهرات مكتملـة</t>
  </si>
  <si>
    <t>مظاهرات حاشدة: كثيفة</t>
  </si>
  <si>
    <t>مظاهي حاشدة: كثيفة</t>
  </si>
  <si>
    <t>مظاهرات وافرة</t>
  </si>
  <si>
    <t>حدث غير مسبوق في تاريخ السعودية.. روسيا والمملكة في طريقهما إلى إرسال بعثة فضائية مأهولة مشتركة</t>
  </si>
  <si>
    <t>غير مسبوق</t>
  </si>
  <si>
    <t>غير مُنْذُ قِدَم</t>
  </si>
  <si>
    <t>غير مُتَقدِّمٌ</t>
  </si>
  <si>
    <t>غير سابق</t>
  </si>
  <si>
    <t>غير سابقٌ</t>
  </si>
  <si>
    <t>غير مُسْتَبْق</t>
  </si>
  <si>
    <t>غير حَاضِر</t>
  </si>
  <si>
    <t>باكستان: حدث خطير في فلسطين يتطلب إرسال قوات</t>
  </si>
  <si>
    <t>حدث خطير</t>
  </si>
  <si>
    <t>مُستجدّ جَلَل</t>
  </si>
  <si>
    <t>حدث جَلَل</t>
  </si>
  <si>
    <t>وقع مُهِمّ</t>
  </si>
  <si>
    <t>واقعة مُهِمّ</t>
  </si>
  <si>
    <t>قصّة خطير</t>
  </si>
  <si>
    <t>حدث بَالِغ</t>
  </si>
  <si>
    <t>حدوث كَبِير</t>
  </si>
  <si>
    <t>قصة خطير</t>
  </si>
  <si>
    <t>حدث خطير في فلسطين يتطلب إرسال قوات</t>
  </si>
  <si>
    <t>حدث كَبِير في صِهْيَوْنُ يستدعي بث عسكر</t>
  </si>
  <si>
    <t>سيرة عَظِيم في الْحِرْزُ يتعذر نشر سلطة</t>
  </si>
  <si>
    <t>واقعة خطير في زَبُولُونُ يقتضي إرسال فيالق</t>
  </si>
  <si>
    <t>نبأ جَلَل في يَافَا يستتبع إرسال قوة</t>
  </si>
  <si>
    <t>يُروى عَظِيم في فِلَسْطِينُ يقتضي إرسال عسكر</t>
  </si>
  <si>
    <t>حدوث مُزعِج</t>
  </si>
  <si>
    <t>حادث عَظِيم</t>
  </si>
  <si>
    <t>حدث كَبِير</t>
  </si>
  <si>
    <t>مُستجد جَلَل</t>
  </si>
  <si>
    <t>حدث مُهِمّ</t>
  </si>
  <si>
    <t>التلفزيون السعودي عن متحدث باسم #التحالف: ادعاء مليشيا #الحوثي تنفيذ عملية على حدود #جازان فبركة إعلامية | #السعودية #اليمن</t>
  </si>
  <si>
    <t>مليشيا</t>
  </si>
  <si>
    <t>مقاتلون</t>
  </si>
  <si>
    <t>كتائب</t>
  </si>
  <si>
    <t>عصابات</t>
  </si>
  <si>
    <t>مليشيا #الحوثي</t>
  </si>
  <si>
    <t>جيش ميليشاوي حوثي</t>
  </si>
  <si>
    <t>جماعة مسلحة جعفري</t>
  </si>
  <si>
    <t>فيالق غير نظامية رافضي</t>
  </si>
  <si>
    <t>مقاتلين غير نظاميين محارب</t>
  </si>
  <si>
    <t>مليشيا رافضي</t>
  </si>
  <si>
    <t>مليشيا يماني</t>
  </si>
  <si>
    <t>فبركة إعلامية</t>
  </si>
  <si>
    <t>فبركة تسجيلية</t>
  </si>
  <si>
    <t>افتراء إرشادية</t>
  </si>
  <si>
    <t>تلفيق إخبارية</t>
  </si>
  <si>
    <t>تلفيقيّة دعائية</t>
  </si>
  <si>
    <t>فبركة توثيقية</t>
  </si>
  <si>
    <t>ادعاء مليشيا #الحوثي تنفيذ عملية على حدود #جازان فبركة إعلامية</t>
  </si>
  <si>
    <t>اختلاس متمردون خارج تنفيذ إجرائية على مَوَاقِعُ قَيْسُ تمثيل تسجيلية</t>
  </si>
  <si>
    <t>اختلاق جيش ميليشاوي حوثي تنفيذ عملية على حدود جُزْعانُ فبركة إعلانية</t>
  </si>
  <si>
    <t>تمثيل ميليشيا حوثي قضاء مُؤثرة على مَوَاضِعُ جِيزانُ تدليس إخبارية</t>
  </si>
  <si>
    <t>تزييف جماعة مسلحة معارض إنجاز مُؤثرة على حدود جَوْزاءُ تمثيل تبليغية</t>
  </si>
  <si>
    <t>افتعال متمردون مقاتل تحقق عملية على حدود جازان تلفيق إعلامية</t>
  </si>
  <si>
    <t>افتراء عصابة مناوئ إنجازها مُنجزة على حدود رَجُزٌ فبركة إعلامية</t>
  </si>
  <si>
    <t>فبركة</t>
  </si>
  <si>
    <t>تدليس</t>
  </si>
  <si>
    <t>تزييف</t>
  </si>
  <si>
    <t>تلفّع</t>
  </si>
  <si>
    <t>تمثيل</t>
  </si>
  <si>
    <t>البحوث الفلكية المصري يحذر من وقوع زلزال في خليج السويس بسبب النشع البترولي</t>
  </si>
  <si>
    <t>الاستقصاءات علوية نِّيلِيُّ يُقدم من حلول زلزال في إِنْخِدَاع فتحة بسبب نشع قيرواني</t>
  </si>
  <si>
    <t>التدقيقات فضائية مُقَاهِر يُنذر من هبوط تصدع في إِهْدَاق مدخل بسبب إعياء زيتي</t>
  </si>
  <si>
    <t>البحوث فلكية مِصْرَاوِيُّ يخوف من وقوع هزيم في خليج ميناء بسبب نشع قيرواني</t>
  </si>
  <si>
    <t>البحوث فلكية مُقَاهِر يحذر من وقوع تصدع في جَوْف فم بسبب إعياء بترولي</t>
  </si>
  <si>
    <t>وقوع زلزال في خليج السويس بسبب النشع البترولي</t>
  </si>
  <si>
    <t>وقوع زلزال في مَضِيق مخرج بسبب نشع بترولي</t>
  </si>
  <si>
    <t>هبوط تخويف في خليج منفذ بسبب استسقاء بترولي</t>
  </si>
  <si>
    <t>حلول هزّة عنيفة في مَرْفَأ مدخل بسبب إعياء من عطش زيتوني</t>
  </si>
  <si>
    <t>حلول زلزال في مَدْخَل سويس بسبب نشع مَعْنِيّ</t>
  </si>
  <si>
    <t>يحذر من وقوع</t>
  </si>
  <si>
    <t>يرشد من حصول</t>
  </si>
  <si>
    <t>ينذر من هبوط</t>
  </si>
  <si>
    <t>يخبر من نزول</t>
  </si>
  <si>
    <t>يحاط من نزولًا</t>
  </si>
  <si>
    <t>مسؤولة روسية: تصريحات الرئيس البولندي حول روسيا غير أخلاقية</t>
  </si>
  <si>
    <t>مُدَبِّرَة روسية تنويهات مسؤول حضاري حول أُرْسِيَة غير مبادئ</t>
  </si>
  <si>
    <t>مُكلَّفَة روسية تنويهات وصي باريسي حول روسية غير نزاهة</t>
  </si>
  <si>
    <t>مُهِمَّة رَأْسِيَّة تصريحات رسمية رئيس رومانسي حول جَلِيدِيَّة غير مُثُل</t>
  </si>
  <si>
    <t>غير أخلاقية</t>
  </si>
  <si>
    <t>غير استقامة</t>
  </si>
  <si>
    <t>غير نزاهة</t>
  </si>
  <si>
    <t>غير مروءة</t>
  </si>
  <si>
    <t>متشددون يقتلون 22 بالسكاكين والمناجل في شرق الكونغو الديمقراطية</t>
  </si>
  <si>
    <t>متشددون</t>
  </si>
  <si>
    <t>عنيدون</t>
  </si>
  <si>
    <t>متعصبون</t>
  </si>
  <si>
    <t>مجاهدون</t>
  </si>
  <si>
    <t>متزمتون</t>
  </si>
  <si>
    <t>يقتلون 22 بالسكاكين والمناجل</t>
  </si>
  <si>
    <t>يقتلون نَحْرٌ بِالسِّكِّينِ خناجر</t>
  </si>
  <si>
    <t>يَشْرِحون بالسكاكين والمناجل</t>
  </si>
  <si>
    <t>يقتلون ذَبْحاً بِالسُّكُون مسدّات</t>
  </si>
  <si>
    <t>يَشْرِحون بِالخناجِر أحداد</t>
  </si>
  <si>
    <t>يُهْلِكون بِحُرُبِ قَتْل ظبات</t>
  </si>
  <si>
    <t>يُبيدون نَحْرٌ بِالسِّكِّينِ خَواشِن</t>
  </si>
  <si>
    <t>متشدقون</t>
  </si>
  <si>
    <t>رجعيون</t>
  </si>
  <si>
    <t>متصلبون</t>
  </si>
  <si>
    <t>لجنة الرقابة الروسية لا تستبعد إبطاء إنترنت "غوغل" في روسيا</t>
  </si>
  <si>
    <t>مجمع متابعة روسية لا تستبعد تعطل وَيب غوغل في روسيا قيصرية</t>
  </si>
  <si>
    <t>اجتماع تفتيش روسية لا نأت بنفسها إبطاء طُرُقٌ مُعَلْمَاتِيَّة غوغل في مَلَكية</t>
  </si>
  <si>
    <t>جمعية ملاحظة روسية لا استبعدت تمهل إنترنت منقب في مَلَكية</t>
  </si>
  <si>
    <t>مجلس سيطرة ثلجية لا نبىء تأخير إنترنت بوابة في رُوس</t>
  </si>
  <si>
    <t>لجنة انتباه ثلجية لا تستبعد تمهل بِرّاقَةُ الْعُلُوم دليل في موسكوفيّة</t>
  </si>
  <si>
    <t>ناد متابعة روسية لا تستبعد تباطؤ فَضَاءُ الْعَالَمِ الْمُتَوَصِّل غوغل في روسية</t>
  </si>
  <si>
    <t>بشعارات مثيرة للسخرية .. مرشحو مسرحية الانتخابات يطلقون حملاتهم الانتخابية</t>
  </si>
  <si>
    <t>شعارات مُبَهرَة تندّر مُتَنَافِسُو فَرِحَة مراثاة يطلقون حملاتهم انتقائية</t>
  </si>
  <si>
    <t>نطق مثيرة تهكّم مرشحو مسرحية فرز يسمون تحركاتهم مُنتخبة</t>
  </si>
  <si>
    <t>بشعارات مثيرة تندّر مرشحو مسرحية استحقاق انتخابي يَعنون سعيهم انتخابية</t>
  </si>
  <si>
    <t>كلمات رائِعَة سُجِع مرشحو سِيرَة انتخابات ينعتون تجوالهم مُنتخبة</t>
  </si>
  <si>
    <t>مَوْقُوفَة اقتراع</t>
  </si>
  <si>
    <t>مَحْكَاة انتخابات</t>
  </si>
  <si>
    <t>سِيْنَارِيُو استنباط</t>
  </si>
  <si>
    <t>خَرْدَلَة انتخابات</t>
  </si>
  <si>
    <t>شعارات مثيرة للسخرية</t>
  </si>
  <si>
    <t>إعلانات مُثيرة احتقار</t>
  </si>
  <si>
    <t>علامات مُغرية للسخرية</t>
  </si>
  <si>
    <t>مزاعم مُثيرة سُبّة</t>
  </si>
  <si>
    <t>ادعاءات مُتناهية تهكّمًا</t>
  </si>
  <si>
    <t>تظاهر آلاف الأردنيين الجمعة في عمان وقرب الحدود الأردنية مع الضفة الغربية المحتلة معبرين عن تضامنهم مع الفلسطينيين، ومهنئين بـ"نصر المقاومة".</t>
  </si>
  <si>
    <t>الضفة الغربية المحتلة</t>
  </si>
  <si>
    <t>الشاطئ مُتَعَذّرة مقتحمة</t>
  </si>
  <si>
    <t>الساحل مُبهمة مسلوبة</t>
  </si>
  <si>
    <t>الشاطئ غربية مستلبة</t>
  </si>
  <si>
    <t>الشاطئ غربية محتلة</t>
  </si>
  <si>
    <t>الحَرْف غربية مغتصبة</t>
  </si>
  <si>
    <t>السَّاحِل مُستغربة مدنسة</t>
  </si>
  <si>
    <t>المحتلة</t>
  </si>
  <si>
    <t>المسترقة</t>
  </si>
  <si>
    <t>المغتصبة</t>
  </si>
  <si>
    <t>المحتكرة</t>
  </si>
  <si>
    <t>المسلوبة</t>
  </si>
  <si>
    <t>المقاومة</t>
  </si>
  <si>
    <t>المدافعة</t>
  </si>
  <si>
    <t>المرافعة</t>
  </si>
  <si>
    <t>المعارضة</t>
  </si>
  <si>
    <t>المواجهة</t>
  </si>
  <si>
    <t>المجابهة</t>
  </si>
  <si>
    <t>تقرير خاص  | هل تصبح أزمة "#سد_النهضة" عنواناً لوساطة قطرية جديدة؟</t>
  </si>
  <si>
    <t>هل تصبح أزمة "#سد_النهضة" عنواناً لوساطة قطرية جديدة؟</t>
  </si>
  <si>
    <t>هل تَحُل ملمة سد نهضة عنوانا / عنوان / لافتة / لوحة / يافطة / راية / شعار / إشارة / علامة / سمات / دلائل تفاوض مَحَلِّيَّة طريّة</t>
  </si>
  <si>
    <t>هل تصبح بلية سد تقدم عنوانا تفاوض قطرية طريّة</t>
  </si>
  <si>
    <t>هل تَحُل أُحُجّة سد نهضة عنوانا تحكيم دَوْلِيَّة طريّة</t>
  </si>
  <si>
    <t>هل تصبح محنة سد تعافي عنوانا وساطة قطرية جديدة؟</t>
  </si>
  <si>
    <t>قائد "حماس" يكشف أعداد المقاتلين الفلسطينيين الذين فقدوا أرواحهم خلال الحرب الأخيرة مع إسرائيل</t>
  </si>
  <si>
    <t>فقدوا أرواحهم</t>
  </si>
  <si>
    <t>فقدوا أَجْسَام</t>
  </si>
  <si>
    <t>غفوا أرواحهم</t>
  </si>
  <si>
    <t>الحرب</t>
  </si>
  <si>
    <t>المُواجهة</t>
  </si>
  <si>
    <t>السِّلمُ عَسكري</t>
  </si>
  <si>
    <t>العُدوان</t>
  </si>
  <si>
    <t>المَعركة</t>
  </si>
  <si>
    <t>الصِّراع</t>
  </si>
  <si>
    <t>المقاتلين</t>
  </si>
  <si>
    <t>مجاهدين</t>
  </si>
  <si>
    <t>جنود</t>
  </si>
  <si>
    <t>محاربيـن</t>
  </si>
  <si>
    <t>مقاتلين أشداء</t>
  </si>
  <si>
    <t>مقاتلين شرسين</t>
  </si>
  <si>
    <t>المقاتلين الفلسطينيين</t>
  </si>
  <si>
    <t>مجاهدين رفاق منفى واللجوء</t>
  </si>
  <si>
    <t>جنود مجندين فلسطينيين</t>
  </si>
  <si>
    <t>مُعتصمين فلسطينيين</t>
  </si>
  <si>
    <t>جنود مجندين رفاق منفى واللجوء</t>
  </si>
  <si>
    <t>مدافعين عرب فلسطين</t>
  </si>
  <si>
    <t>مدافعين أبناء فلسطين</t>
  </si>
  <si>
    <t>الشبكة السورية: 29 "دولة عار" تقودها روسيا صوتت ضد قرارات "حظر الأسلحة الكيميائية" حول سوريا</t>
  </si>
  <si>
    <t>دولة عار</t>
  </si>
  <si>
    <t>دولة هزيمة</t>
  </si>
  <si>
    <t>إمارة مذمة</t>
  </si>
  <si>
    <t>حكومة عارٍ</t>
  </si>
  <si>
    <t>وطن نقص</t>
  </si>
  <si>
    <r>
      <rPr>
        <sz val="11"/>
        <color theme="1"/>
        <rFont val="Calibri"/>
        <family val="2"/>
        <charset val="1"/>
      </rPr>
      <t>29 "</t>
    </r>
    <r>
      <rPr>
        <sz val="11"/>
        <color theme="1"/>
        <rFont val="FreeSans"/>
        <family val="2"/>
      </rPr>
      <t>دولة عار</t>
    </r>
    <r>
      <rPr>
        <sz val="11"/>
        <color theme="1"/>
        <rFont val="Calibri"/>
        <family val="2"/>
        <charset val="1"/>
      </rPr>
      <t xml:space="preserve">" </t>
    </r>
    <r>
      <rPr>
        <sz val="11"/>
        <color theme="1"/>
        <rFont val="FreeSans"/>
        <family val="2"/>
      </rPr>
      <t xml:space="preserve">تقودها روسيا صوتت ضد قرارات </t>
    </r>
    <r>
      <rPr>
        <sz val="11"/>
        <color theme="1"/>
        <rFont val="Calibri"/>
        <family val="2"/>
        <charset val="1"/>
      </rPr>
      <t>"</t>
    </r>
    <r>
      <rPr>
        <sz val="11"/>
        <color theme="1"/>
        <rFont val="FreeSans"/>
        <family val="2"/>
      </rPr>
      <t>حظر الأسلحة الكيميائية</t>
    </r>
    <r>
      <rPr>
        <sz val="11"/>
        <color theme="1"/>
        <rFont val="Calibri"/>
        <family val="2"/>
        <charset val="1"/>
      </rPr>
      <t xml:space="preserve">" </t>
    </r>
    <r>
      <rPr>
        <sz val="11"/>
        <color theme="1"/>
        <rFont val="FreeSans"/>
        <family val="2"/>
      </rPr>
      <t>حول سوريا</t>
    </r>
  </si>
  <si>
    <t>دولة عار تَسْتَقْلِبُهَا موسكو أفصحت ضد قرارات حِجاج أسلحة تحليليّة حول أَرْضُ شَّامِ</t>
  </si>
  <si>
    <t>كيان نقص تَسُوسُها روسيا غنت ضد حلول عَقْد أَداة تخليقيّة حول أُمَّ وُرْد</t>
  </si>
  <si>
    <t>أمة نقص تَسُنُّهَا موسكو روسية صوّتت ضد اختيارات حظر تَّجهيزات تحويليّة حول هِلالُ خصيب</t>
  </si>
  <si>
    <t>حكومة نقص تَسِيرُ بِهَا روسيا أقرت ضد قرارات رَدْع أَداة تفاعليّة حول شام</t>
  </si>
  <si>
    <t>أمة عورة تقودها روسيا سوفياتية رنت ضد توجيهات حظر سِّلاح سحريّة حول شَّامُ بَوَّابَةُ</t>
  </si>
  <si>
    <t>الأسلحة الكيميائية</t>
  </si>
  <si>
    <t>الأسلحة تحليلية</t>
  </si>
  <si>
    <t>الهَيْجَن تحليلية</t>
  </si>
  <si>
    <t>العُدْوَة اصطناعية</t>
  </si>
  <si>
    <t>السِّلاح متعلقة بالكيماويات</t>
  </si>
  <si>
    <t>الأسلحة متعلقة بالكيماويات</t>
  </si>
  <si>
    <t>إقليم عار</t>
  </si>
  <si>
    <t>سلطة خطأ</t>
  </si>
  <si>
    <t>سلطة عارٍ</t>
  </si>
  <si>
    <t>وطن هزيمة</t>
  </si>
  <si>
    <t>وسائل إعلام: ثلثا مؤيدي الحزب الجمهوري لا يعتبرون فوز بايدن في الانتخابات شرعيا</t>
  </si>
  <si>
    <t>لا يعتبرون فوز بايدن في الانتخابات شرعيا</t>
  </si>
  <si>
    <t>لا يعتبرون فوز قائد في انتخاب عام شرعيا</t>
  </si>
  <si>
    <t>لا يُبَيِّنُونَ خصب بايدن في انتقاء مُعتَرفاً به</t>
  </si>
  <si>
    <t>لا يعتبرون سعادة بايدن في انتقاء شرعيا</t>
  </si>
  <si>
    <t>لا يَحْسِبُونَ حصاد حاكم في انتقاء شرعيا</t>
  </si>
  <si>
    <t>لا يَعُدُّونَ خصب بايدن في انتخابات شرعيا</t>
  </si>
  <si>
    <t>شرعيا</t>
  </si>
  <si>
    <t>نظاميا</t>
  </si>
  <si>
    <t>رسميا</t>
  </si>
  <si>
    <t>قانونيا</t>
  </si>
  <si>
    <t>مشرعا</t>
  </si>
  <si>
    <t>قتلى في اصطدام سفينة صيد يابانية بسفينة روسية قبالة هوكايدو</t>
  </si>
  <si>
    <t>قتلى</t>
  </si>
  <si>
    <t>مُبَادُون</t>
  </si>
  <si>
    <t>قَتْلى</t>
  </si>
  <si>
    <t>مَسْفُوحَةٌ دِماؤُهُمْ</t>
  </si>
  <si>
    <t>قتلى وجرحى برصاص ميليشيات الأسد احتفالاً بـ "الانتخابات"</t>
  </si>
  <si>
    <t>قتلى وجرحى</t>
  </si>
  <si>
    <t>قتلى مُصَابِين بِعاهات</t>
  </si>
  <si>
    <t>قتلى جرحى حرب</t>
  </si>
  <si>
    <t>مَقْتُوْلَة جرحى حرب</t>
  </si>
  <si>
    <t>قتلى مصابين</t>
  </si>
  <si>
    <t>مَغْدُورون وجرحى</t>
  </si>
  <si>
    <t>قتلى مَجروحين</t>
  </si>
  <si>
    <t>فيالق</t>
  </si>
  <si>
    <t>حشود</t>
  </si>
  <si>
    <t>فرق</t>
  </si>
  <si>
    <t>ميليشيات الأسد</t>
  </si>
  <si>
    <t>فرق أسد</t>
  </si>
  <si>
    <t>ميليشيات مُهَرْهِر</t>
  </si>
  <si>
    <t>كتائب أسد</t>
  </si>
  <si>
    <t>حشود أسد</t>
  </si>
  <si>
    <t>جماعات مسلحة سبع</t>
  </si>
  <si>
    <t>ميليشيات شِبل</t>
  </si>
  <si>
    <r>
      <rPr>
        <sz val="11"/>
        <color theme="1"/>
        <rFont val="Calibri"/>
        <family val="2"/>
        <charset val="1"/>
      </rPr>
      <t>"</t>
    </r>
    <r>
      <rPr>
        <sz val="11"/>
        <color theme="1"/>
        <rFont val="FreeSans"/>
        <family val="2"/>
      </rPr>
      <t>الانتخابات</t>
    </r>
    <r>
      <rPr>
        <sz val="11"/>
        <color theme="1"/>
        <rFont val="Calibri"/>
        <family val="2"/>
        <charset val="1"/>
      </rPr>
      <t>"</t>
    </r>
  </si>
  <si>
    <t>اقتراع</t>
  </si>
  <si>
    <t>اختيار</t>
  </si>
  <si>
    <t>فرز أصوات</t>
  </si>
  <si>
    <t>اقتراع عام</t>
  </si>
  <si>
    <t>قتلى وجرحى نيران ميليشيات أسَدٌ هصور ابتهاج بـ انتخابيات</t>
  </si>
  <si>
    <t>مَذْبَحَة مصابين برصاص ميليشيات فَهْد سرور بـ انتخابات</t>
  </si>
  <si>
    <t>سُقُوط وجرحى عيارات ميليشيا أسَدٌ هصور سرور بـ انتخابات</t>
  </si>
  <si>
    <t>ضَحايا وجرحى برصاص ميليشيات فَارِس بهجة بـ استحقاق</t>
  </si>
  <si>
    <t>قتلى ضحايا رصاص ميليشيات شِهاب بهجة بـ انتخاب عام</t>
  </si>
  <si>
    <t>مَقْتُولون مُعَطَّبِين برصاص سرايا أسد احتفالية بـ انتخابات</t>
  </si>
  <si>
    <t>حادث الاعتداء على معلمات بـ #برج_باجي_مختار: تلبية معظم المطالب المطروحة https://aps.dz/ar/societe/107</t>
  </si>
  <si>
    <t>التنمر</t>
  </si>
  <si>
    <t>الإفحش</t>
  </si>
  <si>
    <t>وصول مساعدات طبية مغربية إلى موريتانيا بتعليمات ملكية سامية</t>
  </si>
  <si>
    <t>وُصُول عون مُستَطبّة شرقية إلى سُّوسُ بتعليمات خَاقَانِيَّة رفيعة</t>
  </si>
  <si>
    <t>إِحْضارٌ مساعدات عيادية جَنُوبية إلى الْحَمَامَةُ حسب ملكية مُتَعَالِية</t>
  </si>
  <si>
    <t>وَقوعٌ مساندة عيادية جَنُوبية إلى مَرَاكِش بتعليمات ملكِيَّة مُتَجَلِّيَة</t>
  </si>
  <si>
    <t>نُزُولٌ هبات مُستشفية مغربية إلى مَرَاكِش بقرار ملكية مُتَعَالِية</t>
  </si>
  <si>
    <t>وُصُول مساعدات مُستشفية مغربية إلى بِلَادُ تَّنَانِير بمراسيم سلطانيَّة مُتَسامِحَة</t>
  </si>
  <si>
    <t>انْتِهاءٌ هبات مُستشفية مغربية إلى مَرَاكِش بمراسيم إقطاعيَّة سامية</t>
  </si>
  <si>
    <t>ملكية سامية</t>
  </si>
  <si>
    <t>خَالِصَة سامية</t>
  </si>
  <si>
    <t>ملكية رفيعة</t>
  </si>
  <si>
    <t>سُلاليّة سامية</t>
  </si>
  <si>
    <t>سياديّة بهيّة</t>
  </si>
  <si>
    <t>إقطاعيّة سامية</t>
  </si>
  <si>
    <t>مُطلَقَة مُتَعَالِية</t>
  </si>
  <si>
    <t>فيروس كورونا.. الإعلان عن إغلاق أول مدينة بشكل شامل بموريتانيا</t>
  </si>
  <si>
    <t>دَاء فَلْكَة إفصاح عن حظر أول محلة بشكل شامل بِمَورِيتَانْيَا</t>
  </si>
  <si>
    <t>ميكروب فَلْكَة إعلان عن تطويق أول حاضرة بشكل كُلِّيّ بِمَورِيتَانْيَا</t>
  </si>
  <si>
    <t>عدوى هالة إعلان عن قفل أول حاضرة بشكل شامل رَوْضَةُ مُورِ</t>
  </si>
  <si>
    <t>فيروس أَجْرَد إظهار عن تطويق أول ضاحية بشكل كامل أرضُ مُورِ</t>
  </si>
  <si>
    <t>مُعدٍ هَالِيّ إعلان عن منع أول مركز بشكل شامل مَوْطِنُ مُورِ</t>
  </si>
  <si>
    <t>الناطق باسم القوة الوطنية المتحركة «سليم قشوط»: مفاوضات تجري بين أعيان مدينتي #صرمان و #صبراتة وقادة قوات حكومة الوفاق لتسليم مدنهم وحقن الدماء.</t>
  </si>
  <si>
    <t>لتسليم مدنهم وحقن الدماء.</t>
  </si>
  <si>
    <t>تسليم أنزلهم تضمين عصارة</t>
  </si>
  <si>
    <t>دفع مدنهم وحقن مَحْيَا</t>
  </si>
  <si>
    <t>منح استوطنهم وحقن نقي</t>
  </si>
  <si>
    <t>لتسليم مدنهم عهد أوعية</t>
  </si>
  <si>
    <t>دفع استوطنهم وحقن نقي</t>
  </si>
  <si>
    <t>حقن الدماء</t>
  </si>
  <si>
    <t>إدخال دماء</t>
  </si>
  <si>
    <t>إتقان دماء</t>
  </si>
  <si>
    <t>حقن دمِيّ</t>
  </si>
  <si>
    <t>سداد دمِيّ</t>
  </si>
  <si>
    <t>حقن حِيض</t>
  </si>
  <si>
    <t>شاهد | الناشط القبلي أسامة بوحلاق يهاجم تنظيم المداخلة واصفا منتسبيه بالإرهابيين القتلة المطبلين للحكام، متهمهم بأنهم يمتهنون الكذب ولا يمثلون الدين في شيء.</t>
  </si>
  <si>
    <t>يهاجم</t>
  </si>
  <si>
    <t>يضرب</t>
  </si>
  <si>
    <t>يعتدي</t>
  </si>
  <si>
    <t>يهجم</t>
  </si>
  <si>
    <t>تنظيم المداخلة</t>
  </si>
  <si>
    <t>ترتيق مقدمة</t>
  </si>
  <si>
    <t>تهذيب مساعدة</t>
  </si>
  <si>
    <t>تنظيم مشاركة</t>
  </si>
  <si>
    <t>ترتيبات مداخلة</t>
  </si>
  <si>
    <t>ترغيب مساهمة</t>
  </si>
  <si>
    <t>بالإرهابيين القتلة المطبلين</t>
  </si>
  <si>
    <t>المتطرفين مُهْلِكين هُتافيين</t>
  </si>
  <si>
    <t>الدمويين مُهْلِكين هُتافيين</t>
  </si>
  <si>
    <t>المفسدين قتلة مُزَمِّرين</t>
  </si>
  <si>
    <t>المتطرفين خَوَنَة مُزَمِّرين</t>
  </si>
  <si>
    <t>العنيفين مُعتدون مطبلين</t>
  </si>
  <si>
    <t>المجرمين ضاربون مرحبين</t>
  </si>
  <si>
    <t>بالإرهابيين مُهلكون مرحبين</t>
  </si>
  <si>
    <t>العنيفين فَتاكون مبتهجين</t>
  </si>
  <si>
    <t>بالإرهابيين سَفّاكون مبتهجين</t>
  </si>
  <si>
    <t>يمتهنون الكذب</t>
  </si>
  <si>
    <t>يمتهنون تلفيق</t>
  </si>
  <si>
    <t>يحترفون افتراء</t>
  </si>
  <si>
    <t>يمارزون كذب</t>
  </si>
  <si>
    <t>يتقنون كذب</t>
  </si>
  <si>
    <t>يخوضون تلفيق</t>
  </si>
  <si>
    <t>تنظيم المداخلة واصفا منتسبيه بالإرهابيين القتلة المطبلين للحكام</t>
  </si>
  <si>
    <t xml:space="preserve"> متهمهم بأنهم يمتهنون الكذب ولا يمثلون الدين في شيء</t>
  </si>
  <si>
    <t>معاناة أهالي وادي جبحة وجبل مصيدة ببلغازي مع طرقهم الوعرة. https://t.co/q4gPzqtcj9 https://t.co/JAkgol6NN1</t>
  </si>
  <si>
    <t>معاناة</t>
  </si>
  <si>
    <t>بلاء</t>
  </si>
  <si>
    <t>تعب</t>
  </si>
  <si>
    <t>مشقة</t>
  </si>
  <si>
    <t>مشقّة</t>
  </si>
  <si>
    <t>ده مش معتقل ده أحسن من اللوكاندة\".. جدل وسخرية من زيارات تنظمها وزارة الداخلية للسجون #مصر https://t.co/VkkCrRjOCF</t>
  </si>
  <si>
    <t>ده مش معتقل ده أحسن من اللوكاندة</t>
  </si>
  <si>
    <t>ده مش حَبْسٌ ده أمثر من خَان</t>
  </si>
  <si>
    <t>ده مش غَيْرُ حُرٍّ ده أنبل من مَرْكَزُ إِقَامَة</t>
  </si>
  <si>
    <t>ده مش سِجْنٌ ده أمثل من لوكاندة</t>
  </si>
  <si>
    <t>ده مش مُرْتَبَطٌ ده أمهر من خَان</t>
  </si>
  <si>
    <t>جدل وسخرية من زيارات تنظمها وزارة الداخلية للسجون</t>
  </si>
  <si>
    <t>جدل سِخر من زيارات تنظمها مَدَارَة داخلية تَحْفِيرَات</t>
  </si>
  <si>
    <t>مراء وسخرية من زيارات رصّتها سِكْرِتَارِيَة الْمَخْفِيَّة أَسْرٌ</t>
  </si>
  <si>
    <t>جدل استهزاز من زيارات رتّبتها مَرْكَزِيَّة داخلية حَبْسٌ</t>
  </si>
  <si>
    <t>محاجة سُخرية من نَزْلات نظمها وزارة الْأَحْشَاء مُعتَقَلات</t>
  </si>
  <si>
    <r>
      <rPr>
        <sz val="11"/>
        <color theme="1"/>
        <rFont val="Calibri"/>
        <family val="2"/>
        <charset val="1"/>
      </rPr>
      <t xml:space="preserve">RT @AJABreaking: </t>
    </r>
    <r>
      <rPr>
        <sz val="11"/>
        <color theme="1"/>
        <rFont val="FreeSans"/>
        <family val="2"/>
      </rPr>
      <t xml:space="preserve">عاجل </t>
    </r>
    <r>
      <rPr>
        <sz val="11"/>
        <color theme="1"/>
        <rFont val="Calibri"/>
        <family val="2"/>
        <charset val="1"/>
      </rPr>
      <t xml:space="preserve">| </t>
    </r>
    <r>
      <rPr>
        <sz val="11"/>
        <color theme="1"/>
        <rFont val="FreeSans"/>
        <family val="2"/>
      </rPr>
      <t>حركة حماس</t>
    </r>
    <r>
      <rPr>
        <sz val="11"/>
        <color theme="1"/>
        <rFont val="Calibri"/>
        <family val="2"/>
        <charset val="1"/>
      </rPr>
      <t xml:space="preserve">: </t>
    </r>
    <r>
      <rPr>
        <sz val="11"/>
        <color theme="1"/>
        <rFont val="FreeSans"/>
        <family val="2"/>
      </rPr>
      <t>ما يجري في المسجد الأقصى مجزرة حقيقية ستدفع سلطات الاحتلال الإسرائيلية ثمنها</t>
    </r>
  </si>
  <si>
    <t>مجزرة حقيقية</t>
  </si>
  <si>
    <t>مجزرة واقعية</t>
  </si>
  <si>
    <t>مجزرة واقعيّة</t>
  </si>
  <si>
    <t>ابادة صحيحة</t>
  </si>
  <si>
    <t>ذبحة حقيّة</t>
  </si>
  <si>
    <t>ستدفع سلطات الاحتلال الإسرائيلية ثمنها</t>
  </si>
  <si>
    <t>سَتُنْفِقُ مُخَوَّلَات احتلال عبرية منزلتها</t>
  </si>
  <si>
    <t>تَسْدُدُ أَوْصِيَاء سيطرة صهيونية أهميتها</t>
  </si>
  <si>
    <t>تَفُوقُ أَوْصِيَاء قهر إسرائيلية سعرها</t>
  </si>
  <si>
    <t>تَفُوقُ مُتَسَلِّطُون اغتصاب حبرية رتبتها</t>
  </si>
  <si>
    <t>سَتُنْفِقُ حُكَّام اغتصاب إسرائيلية منزلتها</t>
  </si>
  <si>
    <t>سلطات الاحتلال الإسرائيلية</t>
  </si>
  <si>
    <t>سلطات استعباد إفرنجية</t>
  </si>
  <si>
    <t>إدارات اغتصاب سكسونية</t>
  </si>
  <si>
    <t>مفاصل ضم سكسونية</t>
  </si>
  <si>
    <t>سلطات احتلال بني إسرائيل</t>
  </si>
  <si>
    <t>انطلاق أسبوع المرور العربي تحت شعار: \"الحوادث ليست بمصير بل إهمال وتقصير\</t>
  </si>
  <si>
    <t>الحوادث ليست بمصير بل إهمال وتقصير</t>
  </si>
  <si>
    <t>الرزايا ليست خَاتِمَةً بل تذويب تجاوز</t>
  </si>
  <si>
    <t>الحوادث ناقصة مَصْنُوعًا بل إهمال إخلاف</t>
  </si>
  <si>
    <t>الحَدَثات زائلة حَتْمًا بل تهاون وتقصير</t>
  </si>
  <si>
    <t>النكبات غير حقيقية مَصْنُوعًا بل تهاون وتقصير</t>
  </si>
  <si>
    <t>مراسل بي بي سي في الصين: \"الواقع المروع للعمل الصحفي في الصين هو الذي دفعني للمغادرة\" https://t.co/7eh5V8Nvka</t>
  </si>
  <si>
    <t>الواقع المروع</t>
  </si>
  <si>
    <t>الواقع مُفزع</t>
  </si>
  <si>
    <t>الواقع مروعُ</t>
  </si>
  <si>
    <t>الحقيقة فعلية فَظُّ</t>
  </si>
  <si>
    <t>الحقيقة ملموسة رهيب</t>
  </si>
  <si>
    <t>الحال فظيع</t>
  </si>
  <si>
    <t>الملموس مروع</t>
  </si>
  <si>
    <t>الفعلي مروع</t>
  </si>
  <si>
    <t>الراهن رعب</t>
  </si>
  <si>
    <t>مقامر ومجنون\".. الصحافة البريطانية تشن هجوماً حاداً على \"غوارديولا\" بعد ضياع دوري الأبطال https://t.co/tW4wpspaYy</t>
  </si>
  <si>
    <t>مقامر ومجنون</t>
  </si>
  <si>
    <t>مُجازِف مُختلّ</t>
  </si>
  <si>
    <t>مقامر مُجنّ</t>
  </si>
  <si>
    <t>مُتَكَلِّف مُتَعَوْقِد</t>
  </si>
  <si>
    <t>مُتَبَذِّر ومجنون</t>
  </si>
  <si>
    <t>مُغامر مُتهَمَر</t>
  </si>
  <si>
    <t>مقامر مُتهور</t>
  </si>
  <si>
    <t>مقامر مُذبذب</t>
  </si>
  <si>
    <t>هجوماً حاداً</t>
  </si>
  <si>
    <t>إغارة فَتَّاكا</t>
  </si>
  <si>
    <t>زحفا حادا</t>
  </si>
  <si>
    <t>زحفا صَارِما</t>
  </si>
  <si>
    <t>زحفا مُحْدِدا</t>
  </si>
  <si>
    <t>الناطق باسم #كتائب_القسام للصهاينة: احشدوا ما شئتم فقد أعددنا لكم أصنافاً من الموت ستجعلكم تلعنون أنفسكم</t>
  </si>
  <si>
    <t>أعددنا لكم أصنافاً من الموت ستجعلكم تلعنون أنفسكم</t>
  </si>
  <si>
    <t>جهزنا لكم أصنافا من يبس تَصْنَعُكُمْ هجاء أنفسكم</t>
  </si>
  <si>
    <t>جهزنا شأنُكُمْ فئات من فساد تَصْنَعُكُمْ تلعنون أنفسكم</t>
  </si>
  <si>
    <t>استعدينا لَكُمْ أصنافا من سَّحْب سَتُجْعِلُكُمْ ذم أنفسكم</t>
  </si>
  <si>
    <t>أعددنا لكم أصنافا من سَّحْب تُحَوِّلُكُمْ نبذ أنفسكم</t>
  </si>
  <si>
    <t xml:space="preserve">أصنافاً من الموت </t>
  </si>
  <si>
    <t>أجناسًا من موت</t>
  </si>
  <si>
    <t>أصنمة من موت</t>
  </si>
  <si>
    <t>أقسامًا من فناء</t>
  </si>
  <si>
    <t>درجاتٍ من موت</t>
  </si>
  <si>
    <t>تلعنون أنفسكم</t>
  </si>
  <si>
    <t>لعن أنفسكم</t>
  </si>
  <si>
    <t>لعق أنفسكم</t>
  </si>
  <si>
    <t>شتم أنفسكم</t>
  </si>
  <si>
    <t>طرد أنفسكم</t>
  </si>
  <si>
    <t xml:space="preserve"> للصهاينة</t>
  </si>
  <si>
    <t>الصهيونيين</t>
  </si>
  <si>
    <t>الإسرائيليين</t>
  </si>
  <si>
    <t>الأعداء</t>
  </si>
  <si>
    <t>الغاصبين</t>
  </si>
  <si>
    <t>فيديو صادم ..#شرطية #أميركية تنجو من \"هجوم مرعب\" #شاهد_سكاي https://t.co/hckmOTweLj</t>
  </si>
  <si>
    <t>فيديو صادم</t>
  </si>
  <si>
    <t>لقطات مصورة صادم</t>
  </si>
  <si>
    <t>شريط سينمائي مُثبط</t>
  </si>
  <si>
    <t>فيديو مُذهِب للعقول</t>
  </si>
  <si>
    <t>شريط سينمائي صادم</t>
  </si>
  <si>
    <t>فيديو مُثبط</t>
  </si>
  <si>
    <t>هجوم مرعب</t>
  </si>
  <si>
    <t>هجوم مُبَهر</t>
  </si>
  <si>
    <t>هجومٌ مباغت مرعب</t>
  </si>
  <si>
    <t>اقتحاميّة مرعب</t>
  </si>
  <si>
    <t>اقتحاميّة مروع</t>
  </si>
  <si>
    <t>ولد_السالك: مغالطات وزير خارجية المغرب ومواصلة بلده للاحتلال ستؤدي بالمملكة للهاوية https://t.co/7CdJ7r1ZO9 https://t.co/RTfx7TBFfm</t>
  </si>
  <si>
    <t>مغالطات وزير خارجية المغرب</t>
  </si>
  <si>
    <t>مراوحات وزير عامة مَغْربُ</t>
  </si>
  <si>
    <t>مراوحات وزير علنية غروب</t>
  </si>
  <si>
    <t>مغالطات وزير خارجية غروب</t>
  </si>
  <si>
    <t>ستؤدي بالمملكة للهاوية</t>
  </si>
  <si>
    <t>سَتُؤَدِّي داخل حدود هاوية</t>
  </si>
  <si>
    <t>سَتُحْدِثُ بالمملكة غَيْبوبة</t>
  </si>
  <si>
    <t>سَتُنَفِّذُ بالمملكة بُعْد</t>
  </si>
  <si>
    <t>سَتُؤَوِّلُ رسميًا سُحْق</t>
  </si>
  <si>
    <t>سَتُنَفِّذُ محليًا بَيْداء</t>
  </si>
  <si>
    <t>تَصِلُ بالمملكة للهاوية</t>
  </si>
  <si>
    <t>سَتُنَفِّذُ في دولة للهاوية</t>
  </si>
  <si>
    <t>تُحَقِّقُ هَدَفَ بالمملكة جُب</t>
  </si>
  <si>
    <t>للهاوية</t>
  </si>
  <si>
    <t>هوة سحيقة</t>
  </si>
  <si>
    <t>غَبْرَة</t>
  </si>
  <si>
    <t>غَوْر</t>
  </si>
  <si>
    <t xml:space="preserve">للاحتلال </t>
  </si>
  <si>
    <t>الاستحواذ</t>
  </si>
  <si>
    <t>الإخضاع</t>
  </si>
  <si>
    <t>▶️ مراسلة فرانس24: \"ليلة من الجحيم في شمال غزة والأونروا ترفض فتح المدارس للنازحين\" https://t.co/vL6j96qI9M https://t.co/32rA9Hjl5z</t>
  </si>
  <si>
    <t>ليلة من الجحيم</t>
  </si>
  <si>
    <t>قَمر من عذاب</t>
  </si>
  <si>
    <t>ليلة من ويل</t>
  </si>
  <si>
    <r>
      <rPr>
        <sz val="11"/>
        <color theme="1"/>
        <rFont val="Calibri"/>
        <family val="2"/>
        <charset val="1"/>
      </rPr>
      <t xml:space="preserve">RT @mda_11_: </t>
    </r>
    <r>
      <rPr>
        <sz val="11"/>
        <color theme="1"/>
        <rFont val="FreeSans"/>
        <family val="2"/>
      </rPr>
      <t xml:space="preserve">لا حياد مع الكيان الصهيوني الحياد يعني تسليم رقابنا لهذا العدو المجرم المقاومة ثم المقاومة ثم المقاومة </t>
    </r>
    <r>
      <rPr>
        <sz val="11"/>
        <color theme="1"/>
        <rFont val="Calibri"/>
        <family val="2"/>
        <charset val="1"/>
      </rPr>
      <t>#</t>
    </r>
    <r>
      <rPr>
        <sz val="11"/>
        <color theme="1"/>
        <rFont val="FreeSans"/>
        <family val="2"/>
      </rPr>
      <t>وهلق</t>
    </r>
    <r>
      <rPr>
        <sz val="11"/>
        <color theme="1"/>
        <rFont val="Calibri"/>
        <family val="2"/>
        <charset val="1"/>
      </rPr>
      <t>_</t>
    </r>
    <r>
      <rPr>
        <sz val="11"/>
        <color theme="1"/>
        <rFont val="FreeSans"/>
        <family val="2"/>
      </rPr>
      <t>شو</t>
    </r>
  </si>
  <si>
    <t>لا حياد مع الكيان الصهيوني</t>
  </si>
  <si>
    <t>لا موقف محايد مع هيئة عنصري</t>
  </si>
  <si>
    <t>لا حياد مع كيان زُعراني</t>
  </si>
  <si>
    <t>لا عدم انحياز مع كيان يهودي</t>
  </si>
  <si>
    <t>لا حياد مع هيئة صهيوني</t>
  </si>
  <si>
    <t>لا حياد مع إِطْراد يهودي</t>
  </si>
  <si>
    <t>الكيان الصهيوني</t>
  </si>
  <si>
    <t>الذات يهودي</t>
  </si>
  <si>
    <t>الماهية زَبْنُوق</t>
  </si>
  <si>
    <t>الحقيقة يهودي</t>
  </si>
  <si>
    <t>الواقع زَبْنُقِيٌّ</t>
  </si>
  <si>
    <t>الجوهر صهيوني</t>
  </si>
  <si>
    <t>العدو المجرم</t>
  </si>
  <si>
    <t>المُعادِي مجرم</t>
  </si>
  <si>
    <t>المُعادِي مُخالِف</t>
  </si>
  <si>
    <t>المضاد مُذنِب</t>
  </si>
  <si>
    <t>المُعادِي عَتّاب</t>
  </si>
  <si>
    <t>العدو مُخالِف</t>
  </si>
  <si>
    <t>المناوئ مُخالف</t>
  </si>
  <si>
    <t>العدو خاطئ</t>
  </si>
  <si>
    <t>المُحارب مُجرِم</t>
  </si>
  <si>
    <t>المباغض مجرم</t>
  </si>
  <si>
    <t>الخصيان ضال</t>
  </si>
  <si>
    <t>المقاومة ثم المقاومة ثم المقاومة</t>
  </si>
  <si>
    <t>التصدي ثم تصدي ثم مقاومة</t>
  </si>
  <si>
    <t>الممانعة ثم مناعة ثم حصانة</t>
  </si>
  <si>
    <t>المقاومة ثم مجابهة ثم مقاومة</t>
  </si>
  <si>
    <t>المجابهة ثم مقاومة ثم مقاومة</t>
  </si>
  <si>
    <t>الثبات ثم مقاومة ثم رباطة</t>
  </si>
  <si>
    <t>التصدي ثم مواجهة ثم حصانة</t>
  </si>
  <si>
    <t>تسليم رقابنا</t>
  </si>
  <si>
    <t>تذعن هَوامُّنا</t>
  </si>
  <si>
    <t>تسليم هَوامُّنا</t>
  </si>
  <si>
    <t>استسلام رقابنا</t>
  </si>
  <si>
    <t>خضوع أَعْناقُنا</t>
  </si>
  <si>
    <t>انقياد مَجامِعُنا</t>
  </si>
  <si>
    <t>رؤساء البرلمانات العربية يطالبون بتدخل دولي عاجل لوضع حد نهائي لممارسات إسرائيل \"الإجرامية غير الإنسانية</t>
  </si>
  <si>
    <t>الإجرامية غير الإنسانية</t>
  </si>
  <si>
    <t>الإجرامية غير رأفة</t>
  </si>
  <si>
    <t>الخارجة على قانون غير إنسانية</t>
  </si>
  <si>
    <t>الخبيثة غير رأفة</t>
  </si>
  <si>
    <t>الجنائية غير انسجام</t>
  </si>
  <si>
    <t>لممارسات إسرائيل</t>
  </si>
  <si>
    <t>الممارسات أُورُشَلِيمُ</t>
  </si>
  <si>
    <t>التدابير صِهْيَوْنُ</t>
  </si>
  <si>
    <t>الخطوات إسرائيل</t>
  </si>
  <si>
    <t>الخطوات عملية أَرْضُ الْمَوْعِدِ</t>
  </si>
  <si>
    <t>التدابير حَبْرُونُ</t>
  </si>
  <si>
    <t>لممارسات إسرائيل "الإجرامية غير الإنسانية"</t>
  </si>
  <si>
    <t>لممارسات إسرائيل مُستَنكَرة غير إنسانية</t>
  </si>
  <si>
    <t>لممارسات إسرائيل مُستَنكَرة غير رأفة</t>
  </si>
  <si>
    <t>السلوكيات كَنْعَانُ مُدانة غير رأفة</t>
  </si>
  <si>
    <t>الممارسات إسرائيل إجرامية غير خير</t>
  </si>
  <si>
    <t>التقاليد إسرائيل إثمية غير عطاء</t>
  </si>
  <si>
    <t>التطبيقات يَهُوذَا مُنكَرة غير إنسانية</t>
  </si>
  <si>
    <t>▪️ الهيئة القيادية العليا لأسرى حماس: تأجيل أو إلغاء الانتخابات سيكون له أثر خطير على شعبنا الفلسطيني وإيمانه بالاحتكام للعملية الديموقراطية</t>
  </si>
  <si>
    <t>أثر خطير</t>
  </si>
  <si>
    <t>أثرٌ جَلَل</t>
  </si>
  <si>
    <t>أثر خَارِق</t>
  </si>
  <si>
    <t>أثر كَبِير</t>
  </si>
  <si>
    <t>رَجْف هَامّ</t>
  </si>
  <si>
    <t xml:space="preserve">أثر خطير على شعبنا الفلسطيني </t>
  </si>
  <si>
    <t>أثر مُهِم على قومنا فلسطيني</t>
  </si>
  <si>
    <t>أثر جَسِيم على شعبنا رَحْنِيّ</t>
  </si>
  <si>
    <t>أثرٌ خفيّ مُعَظَّم على شعبنا فلسطيني</t>
  </si>
  <si>
    <t>رَجَز خطير على أهالينا سَلَامِيّ</t>
  </si>
  <si>
    <t>وقع خطير على شعبنا أصيل فلسطيني</t>
  </si>
  <si>
    <t>شعبنا الفلسطيني</t>
  </si>
  <si>
    <t>الرعية فلسطيني</t>
  </si>
  <si>
    <t>شعبنا مُقِيمٌ بِفِلَسْطِينَ</t>
  </si>
  <si>
    <t>المجتمع غَزَّاوِيٌّ</t>
  </si>
  <si>
    <t>الجمهور فِلَسْطِينُوِيٌّ</t>
  </si>
  <si>
    <t>شعبنا غَزَّاوِيٌّ</t>
  </si>
  <si>
    <t>وإيمانه بالاحتكام للعملية الديموقراطية</t>
  </si>
  <si>
    <t>إيمانه به بالاحتكام للعملية ديمقراطية</t>
  </si>
  <si>
    <t>وإيمانه الْفَيْصَلُ للعملية ديموقراطية</t>
  </si>
  <si>
    <t>إيمانه به الْبَتُّ فاعلة ديموقراطية</t>
  </si>
  <si>
    <t>اعتقاده الْقَضَاءُ إجرائية حكم شعب</t>
  </si>
  <si>
    <t>رغم الشيطنة والإيقافات، حملة #فاش_نستناو مستمرّة https://t.co/baZCMHiq0U https://t.co/QUrEbsnPDa</t>
  </si>
  <si>
    <t>رغم الشيطنة والإيقافات</t>
  </si>
  <si>
    <t>غَيْرَ أَنَّ تحقير تعليقات</t>
  </si>
  <si>
    <t>رَغْمًا إساءة تعليقات</t>
  </si>
  <si>
    <t>رغم تلطيخ تعطيلات</t>
  </si>
  <si>
    <t>رغم تشويه والإيقافات</t>
  </si>
  <si>
    <t>رغم الشيطنة والإيقافات، حملة #فاش_نستناو مستمرّة</t>
  </si>
  <si>
    <t>رَغْمَاءَ شيطنة توقيفات مسيرة مُستسلم نستناو مستمرة</t>
  </si>
  <si>
    <t>رَغْمَا تلطيخ والإيقافات، حملة فاش ارتقب متوالية</t>
  </si>
  <si>
    <t>رَغْمَيْنِ تحقير حبسات مسيرة مُفلس توقع دائمة</t>
  </si>
  <si>
    <t>رغم تنميط موانع حملة فشل ارتقب معتادة</t>
  </si>
  <si>
    <t>الشيطنة</t>
  </si>
  <si>
    <t>التدليس</t>
  </si>
  <si>
    <r>
      <rPr>
        <sz val="11"/>
        <color theme="1"/>
        <rFont val="Calibri"/>
        <family val="2"/>
        <charset val="1"/>
      </rPr>
      <t>#</t>
    </r>
    <r>
      <rPr>
        <sz val="11"/>
        <color theme="1"/>
        <rFont val="FreeSans"/>
        <family val="2"/>
      </rPr>
      <t>عين</t>
    </r>
    <r>
      <rPr>
        <sz val="11"/>
        <color theme="1"/>
        <rFont val="Calibri"/>
        <family val="2"/>
        <charset val="1"/>
      </rPr>
      <t>_</t>
    </r>
    <r>
      <rPr>
        <sz val="11"/>
        <color theme="1"/>
        <rFont val="FreeSans"/>
        <family val="2"/>
      </rPr>
      <t xml:space="preserve">اليمن من انتصر؟ ومن تقهقر في معركة كسر العظم بصرواح؟ </t>
    </r>
    <r>
      <rPr>
        <sz val="11"/>
        <color theme="1"/>
        <rFont val="Calibri"/>
        <family val="2"/>
        <charset val="1"/>
      </rPr>
      <t>(</t>
    </r>
    <r>
      <rPr>
        <sz val="11"/>
        <color theme="1"/>
        <rFont val="FreeSans"/>
        <family val="2"/>
      </rPr>
      <t>الحقيقة كاملة</t>
    </r>
    <r>
      <rPr>
        <sz val="11"/>
        <color theme="1"/>
        <rFont val="Calibri"/>
        <family val="2"/>
        <charset val="1"/>
      </rPr>
      <t>) https://t.co/kD0TLqtXjA</t>
    </r>
  </si>
  <si>
    <t>عين_اليمن من انتصر</t>
  </si>
  <si>
    <t>عين نَجْد من ظَفِر</t>
  </si>
  <si>
    <t>عين نَجْد من غلب</t>
  </si>
  <si>
    <t>عين نَعْماء من انتزع</t>
  </si>
  <si>
    <t>عين فَيروز من تغلب</t>
  </si>
  <si>
    <t>عين نَعْماء من غلب</t>
  </si>
  <si>
    <t>عين فَيروز من انتصر</t>
  </si>
  <si>
    <t>تقهقر</t>
  </si>
  <si>
    <t>انحاز</t>
  </si>
  <si>
    <t>تردّى</t>
  </si>
  <si>
    <t>انصرف</t>
  </si>
  <si>
    <t>انحسر</t>
  </si>
  <si>
    <t>انخلع</t>
  </si>
  <si>
    <t>انسحب</t>
  </si>
  <si>
    <t>معركة كسر العظم</t>
  </si>
  <si>
    <t>مشاجرة اهتراء عَظْم</t>
  </si>
  <si>
    <t>عراك انكسار هَيكَل</t>
  </si>
  <si>
    <t>ملحمة انهدام عظم</t>
  </si>
  <si>
    <t>معركة تفكك هَيكَل</t>
  </si>
  <si>
    <t>كسر العظم بصرواح؟</t>
  </si>
  <si>
    <t>كسر قَوَام إِنْجَلِيَاح</t>
  </si>
  <si>
    <t>كسر أَطْرَاف وَضُوحُح</t>
  </si>
  <si>
    <t>هزم إِهاب سُبْحَاح</t>
  </si>
  <si>
    <t>فَتَك أَطْرَاف مُبَيِّنُح</t>
  </si>
  <si>
    <t>المنتخب الألماني يعود بانتصار ثمين في تصفيات المونديال https://t.co/hYty4VJ4TX</t>
  </si>
  <si>
    <t>بانتصار ثمين</t>
  </si>
  <si>
    <t>بانتصار كريم</t>
  </si>
  <si>
    <t>تَيَقُّظاً نفيس</t>
  </si>
  <si>
    <t>بانتصار غالي</t>
  </si>
  <si>
    <t>فوزاً فاخر</t>
  </si>
  <si>
    <t>غلبةً ثمين</t>
  </si>
  <si>
    <t>سُلْطَةً كريم</t>
  </si>
  <si>
    <t>إدفنوا شهداءَكم..... إنهضوا وتَيقّظوا - كتب محمد خروب https://t.co/9Md4ngoY3m</t>
  </si>
  <si>
    <t>إدفنوا شهداءَكم..... إنهضوا وتَيقّظوا</t>
  </si>
  <si>
    <t>أَخْفَوْا مَصْرَعُوْن تحركوا أدركوا</t>
  </si>
  <si>
    <t>دَفَنُوا جَزْرٌ إنهضوا وتيقظوا</t>
  </si>
  <si>
    <t>دفنوا قَتْلى إنهضوا استعدّوا</t>
  </si>
  <si>
    <t>وَارَوا جَزْرٌ انهضوا استيقظوا</t>
  </si>
  <si>
    <t>شهداءَكم</t>
  </si>
  <si>
    <t>جَزْرَاكُمْ</t>
  </si>
  <si>
    <t>خُلَّص</t>
  </si>
  <si>
    <r>
      <rPr>
        <sz val="11"/>
        <color theme="1"/>
        <rFont val="Calibri"/>
        <family val="2"/>
        <charset val="1"/>
      </rPr>
      <t xml:space="preserve">| </t>
    </r>
    <r>
      <rPr>
        <sz val="11"/>
        <color theme="1"/>
        <rFont val="FreeSans"/>
        <family val="2"/>
      </rPr>
      <t xml:space="preserve">الفلاحين الصغار في </t>
    </r>
    <r>
      <rPr>
        <sz val="11"/>
        <color theme="1"/>
        <rFont val="Calibri"/>
        <family val="2"/>
        <charset val="1"/>
      </rPr>
      <t>#</t>
    </r>
    <r>
      <rPr>
        <sz val="11"/>
        <color theme="1"/>
        <rFont val="FreeSans"/>
        <family val="2"/>
      </rPr>
      <t>أولاد</t>
    </r>
    <r>
      <rPr>
        <sz val="11"/>
        <color theme="1"/>
        <rFont val="Calibri"/>
        <family val="2"/>
        <charset val="1"/>
      </rPr>
      <t>_</t>
    </r>
    <r>
      <rPr>
        <sz val="11"/>
        <color theme="1"/>
        <rFont val="FreeSans"/>
        <family val="2"/>
      </rPr>
      <t>جاب</t>
    </r>
    <r>
      <rPr>
        <sz val="11"/>
        <color theme="1"/>
        <rFont val="Calibri"/>
        <family val="2"/>
        <charset val="1"/>
      </rPr>
      <t>_</t>
    </r>
    <r>
      <rPr>
        <sz val="11"/>
        <color theme="1"/>
        <rFont val="FreeSans"/>
        <family val="2"/>
      </rPr>
      <t xml:space="preserve">الله و </t>
    </r>
    <r>
      <rPr>
        <sz val="11"/>
        <color theme="1"/>
        <rFont val="Calibri"/>
        <family val="2"/>
        <charset val="1"/>
      </rPr>
      <t>#</t>
    </r>
    <r>
      <rPr>
        <sz val="11"/>
        <color theme="1"/>
        <rFont val="FreeSans"/>
        <family val="2"/>
      </rPr>
      <t>ملولش</t>
    </r>
    <r>
      <rPr>
        <sz val="11"/>
        <color theme="1"/>
        <rFont val="Calibri"/>
        <family val="2"/>
        <charset val="1"/>
      </rPr>
      <t xml:space="preserve">: </t>
    </r>
    <r>
      <rPr>
        <sz val="11"/>
        <color theme="1"/>
        <rFont val="FreeSans"/>
        <family val="2"/>
      </rPr>
      <t xml:space="preserve">إنتفاضة علف </t>
    </r>
    <r>
      <rPr>
        <sz val="11"/>
        <color theme="1"/>
        <rFont val="Calibri"/>
        <family val="2"/>
        <charset val="1"/>
      </rPr>
      <t>#</t>
    </r>
    <r>
      <rPr>
        <sz val="11"/>
        <color theme="1"/>
        <rFont val="FreeSans"/>
        <family val="2"/>
      </rPr>
      <t xml:space="preserve">الكرامة </t>
    </r>
    <r>
      <rPr>
        <sz val="11"/>
        <color theme="1"/>
        <rFont val="Calibri"/>
        <family val="2"/>
        <charset val="1"/>
      </rPr>
      <t>https://t.co/IukEJJkcmn</t>
    </r>
  </si>
  <si>
    <t>الفلاحين الصغار</t>
  </si>
  <si>
    <t>الفدادين صغار</t>
  </si>
  <si>
    <t>الزراع أولاد</t>
  </si>
  <si>
    <t>الفلاحين أولاد</t>
  </si>
  <si>
    <t>الفلاحين ناشئة</t>
  </si>
  <si>
    <t>الفلاحين فتيان</t>
  </si>
  <si>
    <t>البُسطاء صغار</t>
  </si>
  <si>
    <t>إنتفاضة</t>
  </si>
  <si>
    <t>هبّة</t>
  </si>
  <si>
    <t>ثورة عارمة</t>
  </si>
  <si>
    <t>تذمر</t>
  </si>
  <si>
    <t>احتجاج</t>
  </si>
  <si>
    <t>غضب</t>
  </si>
  <si>
    <t>انتفاضة شعبية</t>
  </si>
  <si>
    <t>عاجل| القناة 12 العبرية: انفــجــار طائرة دون طيار مفـــخخـة في سماء إحدى مستـــوطنات غلاف #غزة</t>
  </si>
  <si>
    <t>انفــجــار</t>
  </si>
  <si>
    <t>تفتت</t>
  </si>
  <si>
    <t>انفلات</t>
  </si>
  <si>
    <t>انفراج</t>
  </si>
  <si>
    <t>انبجاس</t>
  </si>
  <si>
    <t>مفـــخخـة</t>
  </si>
  <si>
    <t>مُحَمَّلَة</t>
  </si>
  <si>
    <t>مُلغّمَة</t>
  </si>
  <si>
    <t>مُحَشَّاة</t>
  </si>
  <si>
    <t>مُبَطَّنَة</t>
  </si>
  <si>
    <t>مستـــوطنات</t>
  </si>
  <si>
    <t>أماكن استيطانية</t>
  </si>
  <si>
    <t>مساكن</t>
  </si>
  <si>
    <t>مناطق سكن</t>
  </si>
  <si>
    <t>مواقع استيطانية</t>
  </si>
  <si>
    <t>مخيمات</t>
  </si>
  <si>
    <t>استطلاع رأي: 53% من الجمهوريين يعتقدون أن ترمب الرئيس الحقيقي للولايات المتحدة.. و61% لديهم يقين بسرقة الانتخابات #العربية</t>
  </si>
  <si>
    <r>
      <rPr>
        <sz val="11"/>
        <color theme="1"/>
        <rFont val="Calibri"/>
        <family val="2"/>
        <charset val="1"/>
      </rPr>
      <t xml:space="preserve">53% </t>
    </r>
    <r>
      <rPr>
        <sz val="11"/>
        <color theme="1"/>
        <rFont val="FreeSans"/>
        <family val="2"/>
      </rPr>
      <t>من الجمهوريين يعتقدون أن ترمب الرئيس الحقيقي للولايات المتحدة</t>
    </r>
    <r>
      <rPr>
        <sz val="11"/>
        <color theme="1"/>
        <rFont val="Calibri"/>
        <family val="2"/>
        <charset val="1"/>
      </rPr>
      <t xml:space="preserve">.. </t>
    </r>
    <r>
      <rPr>
        <sz val="11"/>
        <color theme="1"/>
        <rFont val="FreeSans"/>
        <family val="2"/>
      </rPr>
      <t>و</t>
    </r>
    <r>
      <rPr>
        <sz val="11"/>
        <color theme="1"/>
        <rFont val="Calibri"/>
        <family val="2"/>
        <charset val="1"/>
      </rPr>
      <t xml:space="preserve">61% </t>
    </r>
    <r>
      <rPr>
        <sz val="11"/>
        <color theme="1"/>
        <rFont val="FreeSans"/>
        <family val="2"/>
      </rPr>
      <t>لديهم يقين بسرقة الانتخابات</t>
    </r>
  </si>
  <si>
    <t>من سُلطويّون يَدَّعُون أن مال رئيس محسوس مقاطعات متحدة و يقتنونها يقظة اغتصاب تصويت</t>
  </si>
  <si>
    <t>من جمهوريين يَعْزِمون أن ثروة سيد محسوس دوائر مُتضافرة و لديهم يقين بسرقة تصويت</t>
  </si>
  <si>
    <t>من مُحافِظون يَدَّعُون أن قرش رئيس حقيقي ولايات مُتآلفة و في حيازتهم اعتماد اختلاس عملية تصويتية</t>
  </si>
  <si>
    <t>بسرقة الانتخابات</t>
  </si>
  <si>
    <t>عُنفًا تصويت شعبي</t>
  </si>
  <si>
    <t>بسرقة انتخاب</t>
  </si>
  <si>
    <t>نهب اقتراع عام</t>
  </si>
  <si>
    <t>عُنفًا تصويت</t>
  </si>
  <si>
    <t>استيلاءً فرز</t>
  </si>
  <si>
    <t>بسرقة استفتاء</t>
  </si>
  <si>
    <t>الرئيس الحقيقي</t>
  </si>
  <si>
    <t>الملك حقيقي</t>
  </si>
  <si>
    <t>الرئيس واقعي</t>
  </si>
  <si>
    <t>الرئيس أمين</t>
  </si>
  <si>
    <t>الرئيس جوهري</t>
  </si>
  <si>
    <t>المدير حقيقي</t>
  </si>
  <si>
    <t>زهير المغزاوي : ما لمسته انو رئيس الجمهورية شاعر بعمق الأزمة و هو بصدد القيام بالعديد من اللقاءات من أجل إيجاد حلول.. #MidiShow 🎙🇹🇳</t>
  </si>
  <si>
    <t>بعمق الأزمة</t>
  </si>
  <si>
    <t>بعمق نَكْبَة</t>
  </si>
  <si>
    <t>أَسْرارًا عَوَائِق</t>
  </si>
  <si>
    <t>عُمْقًا مَأْزَق</t>
  </si>
  <si>
    <t>فَحْوَى كَرْب</t>
  </si>
  <si>
    <t>أَسْرارًا أزمة</t>
  </si>
  <si>
    <t>بُعْدًا ضِيقَة</t>
  </si>
  <si>
    <r>
      <rPr>
        <sz val="11"/>
        <color theme="1"/>
        <rFont val="Calibri"/>
        <family val="2"/>
        <charset val="1"/>
      </rPr>
      <t>#</t>
    </r>
    <r>
      <rPr>
        <sz val="11"/>
        <color theme="1"/>
        <rFont val="FreeSans"/>
        <family val="2"/>
      </rPr>
      <t xml:space="preserve">عاجل </t>
    </r>
    <r>
      <rPr>
        <sz val="11"/>
        <color theme="1"/>
        <rFont val="Calibri"/>
        <family val="2"/>
        <charset val="1"/>
      </rPr>
      <t xml:space="preserve">| </t>
    </r>
    <r>
      <rPr>
        <sz val="11"/>
        <color theme="1"/>
        <rFont val="FreeSans"/>
        <family val="2"/>
      </rPr>
      <t>الرئاسة الفلسطينية</t>
    </r>
    <r>
      <rPr>
        <sz val="11"/>
        <color theme="1"/>
        <rFont val="Calibri"/>
        <family val="2"/>
        <charset val="1"/>
      </rPr>
      <t xml:space="preserve">: </t>
    </r>
    <r>
      <rPr>
        <sz val="11"/>
        <color theme="1"/>
        <rFont val="FreeSans"/>
        <family val="2"/>
      </rPr>
      <t xml:space="preserve">الاعتداءات الوحشية لقوات الاحتلال في </t>
    </r>
    <r>
      <rPr>
        <sz val="11"/>
        <color theme="1"/>
        <rFont val="Calibri"/>
        <family val="2"/>
        <charset val="1"/>
      </rPr>
      <t>#</t>
    </r>
    <r>
      <rPr>
        <sz val="11"/>
        <color theme="1"/>
        <rFont val="FreeSans"/>
        <family val="2"/>
      </rPr>
      <t>المسجد</t>
    </r>
    <r>
      <rPr>
        <sz val="11"/>
        <color theme="1"/>
        <rFont val="Calibri"/>
        <family val="2"/>
        <charset val="1"/>
      </rPr>
      <t>_</t>
    </r>
    <r>
      <rPr>
        <sz val="11"/>
        <color theme="1"/>
        <rFont val="FreeSans"/>
        <family val="2"/>
      </rPr>
      <t xml:space="preserve">الأقصى هي تحد جديد للمجتمع الدولي </t>
    </r>
    <r>
      <rPr>
        <sz val="11"/>
        <color theme="1"/>
        <rFont val="Calibri"/>
        <family val="2"/>
        <charset val="1"/>
      </rPr>
      <t>https://t.co/lEWtf9X68R</t>
    </r>
  </si>
  <si>
    <t xml:space="preserve"> الاعتداءات الوحشية</t>
  </si>
  <si>
    <t>التعديات الْعَنَف</t>
  </si>
  <si>
    <t>الاعتداءات دَّهْمَاء</t>
  </si>
  <si>
    <t>الاعتداءات توحش</t>
  </si>
  <si>
    <t>الهجمات توحش</t>
  </si>
  <si>
    <t>الاعتداءات الوحشية لقوات الاحتلال في #المسجد_الأقصى هي تحد جديد للمجتمع الدولي</t>
  </si>
  <si>
    <t>الضربات قساوة لقوات استيلاء في مسجد نهاية هي تحد جديد للمجتمع فوقَ وطني</t>
  </si>
  <si>
    <t>المداهمات دموية حشود احتلال في مسجد بعيد هي إشكال مُتجدد للمجتمع عالمي</t>
  </si>
  <si>
    <t>الاعتداءات غريزية جيوش احتلال في مكان سجود نائي هي تحد مستحدث عامة دولي</t>
  </si>
  <si>
    <t>الاعتداءات وحشية جنود تسلط في بيت له غاية هي تحد جديد للمجتمع فوقَ وطني</t>
  </si>
  <si>
    <t>لقوات الاحتلال</t>
  </si>
  <si>
    <t>الجنود قهر</t>
  </si>
  <si>
    <t>الفرق عسكرية سيطرة</t>
  </si>
  <si>
    <t>العساكر احتلال</t>
  </si>
  <si>
    <t>الجنود مقاتلة اقتحام</t>
  </si>
  <si>
    <t>الجنود سيطرة</t>
  </si>
  <si>
    <t>الفرق عسكرية احتلال</t>
  </si>
  <si>
    <t>الإمارات | الشيخة #جواهر_القاسمي تنتقد تطبيع التعليم مع #إسرائيل: \"مناهجهم توصي بقتل واغتصاب أرض العربي\" https://t.co/3GjCC4DqeB</t>
  </si>
  <si>
    <t>تنتقد تطبيع</t>
  </si>
  <si>
    <t>تنتقد تسوية</t>
  </si>
  <si>
    <t>إِمْعَانُ نَّظَرِ تجانس</t>
  </si>
  <si>
    <t>تنتقد تاقلم</t>
  </si>
  <si>
    <t>تنتقد تهذيب</t>
  </si>
  <si>
    <t>تَحْقِيقُ تقارب</t>
  </si>
  <si>
    <t>تنتقد تقارب</t>
  </si>
  <si>
    <r>
      <rPr>
        <sz val="11"/>
        <color theme="1"/>
        <rFont val="Calibri"/>
        <family val="2"/>
        <charset val="1"/>
      </rPr>
      <t>#</t>
    </r>
    <r>
      <rPr>
        <sz val="11"/>
        <color theme="1"/>
        <rFont val="FreeSans"/>
        <family val="2"/>
      </rPr>
      <t xml:space="preserve">الإمارات </t>
    </r>
    <r>
      <rPr>
        <sz val="11"/>
        <color theme="1"/>
        <rFont val="Calibri"/>
        <family val="2"/>
        <charset val="1"/>
      </rPr>
      <t xml:space="preserve">| </t>
    </r>
    <r>
      <rPr>
        <sz val="11"/>
        <color theme="1"/>
        <rFont val="FreeSans"/>
        <family val="2"/>
      </rPr>
      <t xml:space="preserve">الشيخة </t>
    </r>
    <r>
      <rPr>
        <sz val="11"/>
        <color theme="1"/>
        <rFont val="Calibri"/>
        <family val="2"/>
        <charset val="1"/>
      </rPr>
      <t>#</t>
    </r>
    <r>
      <rPr>
        <sz val="11"/>
        <color theme="1"/>
        <rFont val="FreeSans"/>
        <family val="2"/>
      </rPr>
      <t>جواهر</t>
    </r>
    <r>
      <rPr>
        <sz val="11"/>
        <color theme="1"/>
        <rFont val="Calibri"/>
        <family val="2"/>
        <charset val="1"/>
      </rPr>
      <t>_</t>
    </r>
    <r>
      <rPr>
        <sz val="11"/>
        <color theme="1"/>
        <rFont val="FreeSans"/>
        <family val="2"/>
      </rPr>
      <t xml:space="preserve">القاسمي تنتقد تطبيع التعليم مع </t>
    </r>
    <r>
      <rPr>
        <sz val="11"/>
        <color theme="1"/>
        <rFont val="Calibri"/>
        <family val="2"/>
        <charset val="1"/>
      </rPr>
      <t>#</t>
    </r>
    <r>
      <rPr>
        <sz val="11"/>
        <color theme="1"/>
        <rFont val="FreeSans"/>
        <family val="2"/>
      </rPr>
      <t>إسرائيل</t>
    </r>
    <r>
      <rPr>
        <sz val="11"/>
        <color theme="1"/>
        <rFont val="Calibri"/>
        <family val="2"/>
        <charset val="1"/>
      </rPr>
      <t>: \"</t>
    </r>
    <r>
      <rPr>
        <sz val="11"/>
        <color theme="1"/>
        <rFont val="FreeSans"/>
        <family val="2"/>
      </rPr>
      <t>مناهجهم توصي بقتل واغتصاب أرض العربي</t>
    </r>
    <r>
      <rPr>
        <sz val="11"/>
        <color theme="1"/>
        <rFont val="Calibri"/>
        <family val="2"/>
        <charset val="1"/>
      </rPr>
      <t>\" https://t.co/3GjCC4DqeB</t>
    </r>
  </si>
  <si>
    <t xml:space="preserve">بقتل واغتصاب </t>
  </si>
  <si>
    <t>فناء سلب</t>
  </si>
  <si>
    <t>انهيارا واغتصاب</t>
  </si>
  <si>
    <t>فناء سَلبُ حُرمَة</t>
  </si>
  <si>
    <t>هلاك سلب</t>
  </si>
  <si>
    <t>مناهجهم توصي بقتل واغتصاب أرض العربي</t>
  </si>
  <si>
    <t>مناهجهم أَمَر أذهل نهب بِقاع عربي</t>
  </si>
  <si>
    <t>سبلهم نصح بقتل واغتصاب تُرْب عربي</t>
  </si>
  <si>
    <t>خططهم أَمَر انبهر استيلاء مُرُوج مَشرقي</t>
  </si>
  <si>
    <t>وسائلهم أَمَر اندهش اغتنام سَفْح مَغاربي</t>
  </si>
  <si>
    <t>بيان ناري لسائرون ضد شركائها في البرلمان بعد فشل تمرير الموازنة https://t.co/jFfFNBG9Ld</t>
  </si>
  <si>
    <t>بيان ناري</t>
  </si>
  <si>
    <t>إظهار ناري</t>
  </si>
  <si>
    <t>بيان نارِيّة</t>
  </si>
  <si>
    <t>بيان مُتَوَهِّجَة</t>
  </si>
  <si>
    <t>تعبير مُتَأَجِّجَة</t>
  </si>
  <si>
    <t>توضيح نارِيّة</t>
  </si>
  <si>
    <t>فشل</t>
  </si>
  <si>
    <t>قصور</t>
  </si>
  <si>
    <t>انحسار</t>
  </si>
  <si>
    <t>خلل</t>
  </si>
  <si>
    <t>ضعف</t>
  </si>
  <si>
    <t>نعم.. نحن كالبنيان المرصوص ولو كره الكارهون! رابط التبرعات في الكويت لأهلنا في #السودان؛ https://t.co/jMaVtQqcNd #من_قلبي_سلام_للخرطوم</t>
  </si>
  <si>
    <t>نحن كالبنيان المرصوص</t>
  </si>
  <si>
    <t>نحن متين بناء متلاحم</t>
  </si>
  <si>
    <t>نحن متراص متكاتف</t>
  </si>
  <si>
    <t>نحن صلب مرصوص</t>
  </si>
  <si>
    <t>نحن معماري متجاور</t>
  </si>
  <si>
    <t>نحن محكم متلاصق</t>
  </si>
  <si>
    <t>نحن كالبنيان مرتب</t>
  </si>
  <si>
    <t>الكارهون</t>
  </si>
  <si>
    <t>المبغضون</t>
  </si>
  <si>
    <t>العدائيون</t>
  </si>
  <si>
    <t>المستهجنون</t>
  </si>
  <si>
    <t>المعادون</t>
  </si>
  <si>
    <t>الخصوم</t>
  </si>
  <si>
    <t>المنفرون</t>
  </si>
  <si>
    <t>نحن مهيّأ مرصوص</t>
  </si>
  <si>
    <t>نحن متين بناء مرصوص</t>
  </si>
  <si>
    <t>نحن كالبنيان محكم</t>
  </si>
  <si>
    <t>نحن محكم إنشاء محكم</t>
  </si>
  <si>
    <t>نحن متسق متلاحم</t>
  </si>
  <si>
    <t>كره الكارهون</t>
  </si>
  <si>
    <t>خصومة مُضادّون</t>
  </si>
  <si>
    <t>مقت مبغضون</t>
  </si>
  <si>
    <t>جفاء مُعادون</t>
  </si>
  <si>
    <t>كره مُعادون</t>
  </si>
  <si>
    <t>اشمئزاز معارِضون</t>
  </si>
  <si>
    <t>المُعادون</t>
  </si>
  <si>
    <t>المُحتقرون</t>
  </si>
  <si>
    <t>المُضادون</t>
  </si>
  <si>
    <t>المعارضون</t>
  </si>
  <si>
    <t>كالبنيان المرصوص</t>
  </si>
  <si>
    <t>كالبنيان محكم</t>
  </si>
  <si>
    <t>متراص مترابط</t>
  </si>
  <si>
    <t>كالبنيان مشدود</t>
  </si>
  <si>
    <t>كالبنيان مترابط</t>
  </si>
  <si>
    <t>ثابت مرصوص</t>
  </si>
  <si>
    <t>متين بناء مرصوص</t>
  </si>
  <si>
    <t>أول رد من المقاتل حبيب على تحدي الرئيس الشيشاني https://t.co/fwRU8Byhbw</t>
  </si>
  <si>
    <t>المقاتل</t>
  </si>
  <si>
    <t>محارب</t>
  </si>
  <si>
    <t>مُدافع</t>
  </si>
  <si>
    <t>مُتصدّر</t>
  </si>
  <si>
    <t>محارِب</t>
  </si>
  <si>
    <t>مقاتل شجاع</t>
  </si>
  <si>
    <t>مجاهد</t>
  </si>
  <si>
    <t>وزير خارجية النرويج السابق للجزيرة: اتهامات إسرائيل للمحكمة الجنائية الدولية بمعاداة السامية مقلقة بشكل بالغ https://t.co/lDJfsNUJtg</t>
  </si>
  <si>
    <t>بمعاداة السامية</t>
  </si>
  <si>
    <t>معارضة مُعالي</t>
  </si>
  <si>
    <t>عداوة مجيدة</t>
  </si>
  <si>
    <t>خصومة نبيلة</t>
  </si>
  <si>
    <t>مجابهة مُجلّلة</t>
  </si>
  <si>
    <t>مقلقة بشكل بالغ</t>
  </si>
  <si>
    <t>مقلقة بشكل راشد</t>
  </si>
  <si>
    <t>مُستَفزَّة بشكل مُمَيَّز</t>
  </si>
  <si>
    <t>مُقلقَة بشكل مُتَمِّم</t>
  </si>
  <si>
    <t>مُحَيِّرَة بشكل مُنْتَهٍ</t>
  </si>
  <si>
    <t>اتهامات إسرائيل للمحكمة الجنائية الدولية</t>
  </si>
  <si>
    <t>ظنون يَهُود دَّار جنائية شاملة</t>
  </si>
  <si>
    <t>مزاعم يَهُوذَا مَقْضَى جزائية دولية</t>
  </si>
  <si>
    <t>تخرصات يَهُود للمحكمة إثمية شاملة</t>
  </si>
  <si>
    <t>أقاويل سَبْطَة دَّار جنائية أممية</t>
  </si>
  <si>
    <t>مضادة سامية</t>
  </si>
  <si>
    <t>خصام عليا</t>
  </si>
  <si>
    <t>منازعة مجيدة</t>
  </si>
  <si>
    <t>مضادة رفيعة</t>
  </si>
  <si>
    <t>اتهامات إسرائيل للمحكمة الجنائية الدولية بمعاداة السامية مقلقة بشكل بالغ</t>
  </si>
  <si>
    <t>تَبْرِئَةٌ مِنْ ذَنْبٍ إسرائيل للمحكمة معاقبة مشتركة محاربة مُنيفة مُزعِجَة بشكل مُحكَم</t>
  </si>
  <si>
    <t>تَحْمِيلُ الْجُرْمِ سَبْطَة مُحِيطُ إجرامية دولية بمعاداة سامقة مُضْطَرِبَة بشكل بالغ</t>
  </si>
  <si>
    <t>تَنْحِيَةٌ مُلْتَبِسَةٌ سَبْطَة للمحكمة عقابية موحدة مضادة رفيعة مُضْطَرِبَة بشكل شَديد</t>
  </si>
  <si>
    <t>تَحْمِيلُ الْمَسْؤُولِيَّةِ إسرائيل مَرْكَزُ مخالفة إنسانية معارضة رفيعة مُرْبِكَة بشكل راشِد</t>
  </si>
  <si>
    <t>عبيد البريكي : ناس ما قدمت كان الدمار للبلاد و الاغتيالات و الجهاز السري.. مازلت تعمل عليها في حزام سياسي.. #MidiShow 🎙🇹🇳</t>
  </si>
  <si>
    <t>الاغتيالات</t>
  </si>
  <si>
    <t>الإجهازات</t>
  </si>
  <si>
    <t>الاغتصاب</t>
  </si>
  <si>
    <t>الإزالات</t>
  </si>
  <si>
    <t>الاغتياب</t>
  </si>
  <si>
    <t>الدمار للبلاد</t>
  </si>
  <si>
    <t>القحط أرض</t>
  </si>
  <si>
    <t>الهلاك مَحلّة</t>
  </si>
  <si>
    <t>الفناء إقليم</t>
  </si>
  <si>
    <t>الفناء للبلاد</t>
  </si>
  <si>
    <t>الدمار ديار</t>
  </si>
  <si>
    <t>ناس ما قدمت كان الدمار للبلاد و الاغتيالات و الجهاز السري</t>
  </si>
  <si>
    <t>البشرية ما أَسْرَعَتْ كان خراب أوطنة و اغتيالات و تجهيز سري</t>
  </si>
  <si>
    <t>أفراد ما سَبَقَتْ كان خرابيش ممالك و اغتياب و وسيط مستكنّ</t>
  </si>
  <si>
    <t>الخَلقُ ما تَدَفَّقَتْ كان هلاك بقاع و اغتيالات و وسيلة مستكنّ</t>
  </si>
  <si>
    <t>ناس ما قدمت كان دك معمور و اغتصاب و جهاز مخفي</t>
  </si>
  <si>
    <t>الناسُ ما تَقَدَّمَتْ كان دمار ممالك و اغدرار و تجهيز مستكنّ</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</si>
  <si>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https://t.co/JWfm3HRux7</t>
  </si>
  <si>
    <t>عصبة حوثي</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</si>
  <si>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https://t.co/JWfm3HRux8</t>
  </si>
  <si>
    <t>ميليشيا متظاهر</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</si>
  <si>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https://t.co/JWfm3HRux9</t>
  </si>
  <si>
    <t>خِصْص ثائر</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</si>
  <si>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https://t.co/JWfm3HRux10</t>
  </si>
  <si>
    <t>مليشيات زيدي</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</si>
  <si>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https://t.co/JWfm3HRux11</t>
  </si>
  <si>
    <t>خِصْص متظاهر</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</si>
  <si>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https://t.co/JWfm3HRux12</t>
  </si>
  <si>
    <t>الاستعداد لمواجهة كارثة محتملة</t>
  </si>
  <si>
    <t>الاستعداد مجابهة مُصِيبَة محتملة حدوث</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</si>
  <si>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https://t.co/JWfm3HRux13</t>
  </si>
  <si>
    <t>التزود لمواجهة مَصْدَرَة واضحة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</si>
  <si>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https://t.co/JWfm3HRux14</t>
  </si>
  <si>
    <t>الاستباق لمواجهة بَلِيَّة محتملة حدوث</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</si>
  <si>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https://t.co/JWfm3HRux15</t>
  </si>
  <si>
    <t>الاستعدادية مواجهة نَقْمَة مقبولة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</si>
  <si>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https://t.co/JWfm3HRux16</t>
  </si>
  <si>
    <t>التخطيط مدافعة شَدَيدَة متوقعة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</si>
  <si>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https://t.co/JWfm3HRux17</t>
  </si>
  <si>
    <t>الاستعداد مدافعة نَازِلَة محتملة حدوث</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</si>
  <si>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https://t.co/JWfm3HRux18</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</si>
  <si>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https://t.co/JWfm3HRux19</t>
  </si>
  <si>
    <t>كارثة</t>
  </si>
  <si>
    <t>شَدَيدَة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</si>
  <si>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https://t.co/JWfm3HRux20</t>
  </si>
  <si>
    <t>جَلَلَة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</si>
  <si>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https://t.co/JWfm3HRux21</t>
  </si>
  <si>
    <t>مَصْدَرَة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</si>
  <si>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https://t.co/JWfm3HRux22</t>
  </si>
  <si>
    <t>بَلِيَّة</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</si>
  <si>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https://t.co/JWfm3HRux23</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</si>
  <si>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https://t.co/JWfm3HRux24</t>
  </si>
  <si>
    <t>مع استمرار رفض ميليشيا #الحوثي لصيانته أو تفريغه.. وزير البيئة اليمني: على دول البحر الأحمر الاستعداد لمواجهة كارثة محتملة لخزان النفط \"صافر\" #العربية https://t.co/JWfm3HRux25</t>
  </si>
  <si>
    <t>بـ\"برامليه فقط\" حول 1,821 طفلاً إلى أشلاء .. النظام يتحدث عن ضرر الحرب على الأطفال ..!! https://t.co/4IRG167D4m</t>
  </si>
  <si>
    <t xml:space="preserve">حول 1,821 طفلاً إلى أشلاء </t>
  </si>
  <si>
    <t>حول حدثا إلى أشلاء</t>
  </si>
  <si>
    <t>حول غلاما إلى أعضا</t>
  </si>
  <si>
    <t>حول رضيعا إلى أشلاء</t>
  </si>
  <si>
    <t>حول حدثا إلى حطام</t>
  </si>
  <si>
    <t>حول فتى إلى رُكام</t>
  </si>
  <si>
    <r>
      <rPr>
        <sz val="11"/>
        <color theme="1"/>
        <rFont val="Calibri"/>
        <family val="2"/>
        <charset val="1"/>
      </rPr>
      <t xml:space="preserve">RT @AJABreaking: </t>
    </r>
    <r>
      <rPr>
        <sz val="11"/>
        <color theme="1"/>
        <rFont val="FreeSans"/>
        <family val="2"/>
      </rPr>
      <t xml:space="preserve">عاجل </t>
    </r>
    <r>
      <rPr>
        <sz val="11"/>
        <color theme="1"/>
        <rFont val="Calibri"/>
        <family val="2"/>
        <charset val="1"/>
      </rPr>
      <t xml:space="preserve">| </t>
    </r>
    <r>
      <rPr>
        <sz val="11"/>
        <color theme="1"/>
        <rFont val="FreeSans"/>
        <family val="2"/>
      </rPr>
      <t>المتحدث باسم فصائل المقاومة الفلسطينية</t>
    </r>
    <r>
      <rPr>
        <sz val="11"/>
        <color theme="1"/>
        <rFont val="Calibri"/>
        <family val="2"/>
        <charset val="1"/>
      </rPr>
      <t xml:space="preserve">: </t>
    </r>
    <r>
      <rPr>
        <sz val="11"/>
        <color theme="1"/>
        <rFont val="FreeSans"/>
        <family val="2"/>
      </rPr>
      <t>تحية لشعبنا لأنه صانع النصر وعنوان البطولة</t>
    </r>
  </si>
  <si>
    <t>صانع النصر</t>
  </si>
  <si>
    <t>مُبتكر نصر</t>
  </si>
  <si>
    <t>مُهندس نصر</t>
  </si>
  <si>
    <t>صانع ظَّاهر</t>
  </si>
  <si>
    <t>باني إِفحام</t>
  </si>
  <si>
    <t>عنوان البطولة</t>
  </si>
  <si>
    <t>عنوان بريد بطولة</t>
  </si>
  <si>
    <t>إشارة بطولة</t>
  </si>
  <si>
    <t>عنوان جُرأة</t>
  </si>
  <si>
    <t>رَقم بطولة</t>
  </si>
  <si>
    <t>تحية لشعبنا</t>
  </si>
  <si>
    <t>تحية للمواطنين</t>
  </si>
  <si>
    <t>مرحبة للمواطنين</t>
  </si>
  <si>
    <t>تبجيل لجماهيرنا</t>
  </si>
  <si>
    <t>تكريمًا للعباد</t>
  </si>
  <si>
    <t>تهديد #المدعي_العام_التمييزي و رئيس #مجلس_القضاء_الأعلى بالإيذاء الجسدي بالتزامن مع حملة أطلقها التيار #الوطني_الحر على #غسان_عويدات https://t.co/8lb68Gu9cv</t>
  </si>
  <si>
    <t>تهديد</t>
  </si>
  <si>
    <t>إرعاب</t>
  </si>
  <si>
    <t>تخويف</t>
  </si>
  <si>
    <t>تنبيه</t>
  </si>
  <si>
    <t>شاهد شهيد الحقيقة .. يوسف أبو حسين https://t.co/2n16OhiM2n</t>
  </si>
  <si>
    <t>شهيد الحقيقة</t>
  </si>
  <si>
    <t>شهيد صريح</t>
  </si>
  <si>
    <t>قتيل حقيقة محققة</t>
  </si>
  <si>
    <t>قتيل صدق</t>
  </si>
  <si>
    <t>مقتول حقيقة</t>
  </si>
  <si>
    <t>مقتول جلي</t>
  </si>
  <si>
    <t>حَمِيم حقيقة</t>
  </si>
  <si>
    <t>مجاهد صواب</t>
  </si>
  <si>
    <t>مجاهد حقيقة</t>
  </si>
  <si>
    <t>فدائي حقيقة</t>
  </si>
  <si>
    <t>مضرج صدق</t>
  </si>
  <si>
    <t>التحــام من النــهر إلى البحــر.. جميع مقاهي جادة الكرمل في مدينة #حيفا المحتلة تغلق أبوابها في يوم #إضراب_فلسطين 📹 رشاد العمري https://t.co/fohVfk89Ju</t>
  </si>
  <si>
    <t>مدينة #حيفا المحتلة</t>
  </si>
  <si>
    <t>بلدة إِثْم محتلة</t>
  </si>
  <si>
    <t>مدينة غَبْن محتلة</t>
  </si>
  <si>
    <t>مجمع هَلَكَة مُستَولَى عليها</t>
  </si>
  <si>
    <t>حىّ إِثْم مستباحة</t>
  </si>
  <si>
    <t>التحــام من النــهر إلى البحــر</t>
  </si>
  <si>
    <t>التحــام من سَوْق إلى يمُّ</t>
  </si>
  <si>
    <t>التحــام من جَرَي إلى سَّاحِـل</t>
  </si>
  <si>
    <t>الاصطدام من جَدْوَل إلى دُّنيا</t>
  </si>
  <si>
    <t>الانضمام من نــهر إلى خليج</t>
  </si>
  <si>
    <t>الانصهار من سَوْق إلى واحـة</t>
  </si>
  <si>
    <t>شراهة الصين لاستيراد الفول السوداني نعمة على مزارعي السنغال.. ونقمة! https://t.co/jpZl5yXNaW https://t.co/MNRdeKj8zl</t>
  </si>
  <si>
    <t>شراهة الصين</t>
  </si>
  <si>
    <t>طَمَع صين</t>
  </si>
  <si>
    <t>شراهة صَيْنِيّةُ آنية</t>
  </si>
  <si>
    <t>لَعِب صين</t>
  </si>
  <si>
    <t>غَدَّار جُرْجَان</t>
  </si>
  <si>
    <t>شره صِنْيِنيّ</t>
  </si>
  <si>
    <t>نعمة</t>
  </si>
  <si>
    <t>لطف</t>
  </si>
  <si>
    <t>كرامة</t>
  </si>
  <si>
    <t>هدية</t>
  </si>
  <si>
    <t>بركة</t>
  </si>
  <si>
    <t>موهبة</t>
  </si>
  <si>
    <t>نقمة</t>
  </si>
  <si>
    <t>هزيمة</t>
  </si>
  <si>
    <t>نكبة</t>
  </si>
  <si>
    <t>نقمة/ بلية</t>
  </si>
  <si>
    <t>كل شئ حولي رماد.. طفلة فلسطينية تروي مأساتها بعد قصف منزلها في غزة #غزة_تحت_القضف #غزة_الآن https://t.co/M7iZd8sQSY</t>
  </si>
  <si>
    <t>كل شئ حولي رماد</t>
  </si>
  <si>
    <t>كل شئ متاخمة رماد</t>
  </si>
  <si>
    <t>كل شئ متاخم مُحْرَق</t>
  </si>
  <si>
    <t>مأساتها</t>
  </si>
  <si>
    <t>مَرْثَيَةُ</t>
  </si>
  <si>
    <t>مُصِيبَةُ</t>
  </si>
  <si>
    <t>مَحْزَنَةُ</t>
  </si>
  <si>
    <t>مَصْطَرَةُ</t>
  </si>
  <si>
    <t>كَارِثَةُ</t>
  </si>
  <si>
    <t>شكري بلعيد الشاعر: ”عاشق مرتبك“ مضى إلى ”نهايته الممكنة“ https://t.co/Gcof51qJM5 https://t.co/vKtcN4bUKX</t>
  </si>
  <si>
    <t>عاشق مرتبك</t>
  </si>
  <si>
    <t>ولع محتار</t>
  </si>
  <si>
    <t>هائم حَيْرَان</t>
  </si>
  <si>
    <t>مُتعلق مبهوت</t>
  </si>
  <si>
    <t>مُولع مُتَوَتر</t>
  </si>
  <si>
    <t>عاشق مدهوش</t>
  </si>
  <si>
    <t>زيادة فاضحة\" في ثمن المنتجات تسيء للسياحة المغربية على الأنترنيت https://t.co/QC5en72uCY #اقتصاد #الزيادة_في_الأسعار #السياح_الأجانب</t>
  </si>
  <si>
    <t>زيادة فاضحة</t>
  </si>
  <si>
    <t>علاوة مُجَرِّحة</t>
  </si>
  <si>
    <t>فائض مُخزية</t>
  </si>
  <si>
    <t>زخر فاضحة</t>
  </si>
  <si>
    <t>تضاعف فاضحة</t>
  </si>
  <si>
    <t xml:space="preserve"> تسيء للسياحة المغربية </t>
  </si>
  <si>
    <t>أذى ركح أطلسية</t>
  </si>
  <si>
    <t>تسيء سفر إسفارية</t>
  </si>
  <si>
    <t>تسيء تنزه مغاربية</t>
  </si>
  <si>
    <t>تسيء ركح مغاربية</t>
  </si>
  <si>
    <t>ظلم ركح أمازيغية</t>
  </si>
  <si>
    <t>تسيء للسياحة مغربيات</t>
  </si>
  <si>
    <t>الأمن #العراقي: الهجوم تسبب باستشهاد آمر اللواء الثاني في حرس الحدود وآمر #الفوج_الثالث في اللواء وسائق الآلية</t>
  </si>
  <si>
    <t>باستشهاد</t>
  </si>
  <si>
    <t>تقرير</t>
  </si>
  <si>
    <t>تدعيم</t>
  </si>
  <si>
    <t>شهادة</t>
  </si>
  <si>
    <t>تونس.. \"لص حنون\" يسرق هاتفا ويعيد الشريحة وبطاقة الذاكرة لصاحبته https://t.co/bpi8kvhtdr</t>
  </si>
  <si>
    <t>لص حنون</t>
  </si>
  <si>
    <t>لص عطوف</t>
  </si>
  <si>
    <t>لص ودود</t>
  </si>
  <si>
    <t>لص حبيب</t>
  </si>
  <si>
    <t>لص حنوّة</t>
  </si>
  <si>
    <t>لص رقيق</t>
  </si>
  <si>
    <t>الواقع يكذب \"أفيخاي\".. المدنيون هم الأهداف الحقيقية لجيش الاحتلال \"الإسرائيلي\" في #غزة https://t.co/dXiXjRMlRi</t>
  </si>
  <si>
    <t>المدنيون هم الأهداف الحقيقية لجيش الاحتلال</t>
  </si>
  <si>
    <t>الْمَدَنُونَ هم غايات حقيقية حشود اغتصاب</t>
  </si>
  <si>
    <t>المدنيون هم أهداف وقائعية لجيش ضم</t>
  </si>
  <si>
    <t>الْعَامَّةُ هم مقاصد حقيقية رَحَب هيمنة</t>
  </si>
  <si>
    <t>الْعَامَّةُ هم تطلعات حقيقية كتيبة استيلاء</t>
  </si>
  <si>
    <t>الأَهْلُ هم أغراض فعلية أسراب سيطرة</t>
  </si>
  <si>
    <t>لجيش الاحتلال "الإسرائيلي</t>
  </si>
  <si>
    <t>أفواج سّلب عَبْدِيُّ</t>
  </si>
  <si>
    <t>جيشان استحواذ يَهُودِيُّ</t>
  </si>
  <si>
    <t>لجيش اغتصاب إسرائيلي</t>
  </si>
  <si>
    <t>جند قمع إِسْمَاعِيلِيُّ</t>
  </si>
  <si>
    <t>جموع احتلال سِّلْمِيُّ</t>
  </si>
  <si>
    <t>الاحتلال "الإسرائيلي</t>
  </si>
  <si>
    <t>الغزو يَهُودِيٌّ</t>
  </si>
  <si>
    <t>الاستيلاء إسرائيلي</t>
  </si>
  <si>
    <t>الامتلاك لاوي</t>
  </si>
  <si>
    <t>الاحتلال ساكن فلسطين</t>
  </si>
  <si>
    <t>القمع إسرائيلي</t>
  </si>
  <si>
    <t>الواقع يكذب "أفيخاي"</t>
  </si>
  <si>
    <t>الواقع يكذب أُوارب</t>
  </si>
  <si>
    <t>الوقائع يُدَاوِر أضلل</t>
  </si>
  <si>
    <t>الحقيقة يُوارِي أُراوغ</t>
  </si>
  <si>
    <t>الواقع يُموه أُلطف</t>
  </si>
  <si>
    <t>الملموسات يكذب أُبهّج</t>
  </si>
  <si>
    <t>Presenting Irrelevant Data (Red Herring)</t>
  </si>
  <si>
    <t>شاهد شابة سعودية تقع في كارثة وتدهس جمعا من الناس بسيارتها الفارهة https://t.co/7OdiL84pbE https://t.co/7ND9I1x4Sw</t>
  </si>
  <si>
    <t>شابة سعودية تقع في كارثة وتدهس جمعا من الناس بسيارتها الفارهة</t>
  </si>
  <si>
    <t>غَضَّة حنوبية انحدرت في كارثة سححت اتحادا من جماعة فِي آليَّتِهَا ترف</t>
  </si>
  <si>
    <t>مُعَسْكَرَة يمانية تدحرجت في هَلاَكَة سحقت مجتمعا من دهماء ذَاهِبَةً رفاه</t>
  </si>
  <si>
    <t>فتية حنوبية تقع في هَلاَكَة رَحست جماعة من بشر مُتَجَهِزَةً فارهة</t>
  </si>
  <si>
    <t>فتية قحطانية انزوت في كارثة رَحست مجتمع من عباد بسيارتها بذخ</t>
  </si>
  <si>
    <t>شابة قحطانية زلت في شَدَيدَة سححت جمعا من دهماء بسيارتها رغد</t>
  </si>
  <si>
    <t>مَصْطَكَة</t>
  </si>
  <si>
    <t>هَلاك</t>
  </si>
  <si>
    <t>بسيارتها الفارهة</t>
  </si>
  <si>
    <t>بمركبتها سعة</t>
  </si>
  <si>
    <t>برحلتها ثراء</t>
  </si>
  <si>
    <t>بسيارتها خصب</t>
  </si>
  <si>
    <t>بسيارتها غنى</t>
  </si>
  <si>
    <t>بعتادها غنى</t>
  </si>
  <si>
    <t>عناء</t>
  </si>
  <si>
    <t>معاناة أهالي وادي جبحة وجبل مصيدة ببلغازي مع طرقهم الوعرة. https://t.co/q4gPzqtcj9 https://t.co/JAkgol6NN2</t>
  </si>
  <si>
    <t>مشاقّ حياة</t>
  </si>
  <si>
    <t>معاناة أهالي وادي جبحة وجبل مصيدة ببلغازي مع طرقهم الوعرة. https://t.co/q4gPzqtcj9 https://t.co/JAkgol6NN3</t>
  </si>
  <si>
    <t>معاناة أهالي وادي جبحة وجبل مصيدة ببلغازي مع طرقهم الوعرة. https://t.co/q4gPzqtcj9 https://t.co/JAkgol6NN4</t>
  </si>
  <si>
    <t>ألم</t>
  </si>
  <si>
    <t>لم يصوت للرئيس .. فهل هذا الأمر يشكل له عائق ؟ ! #شاهد الآن إجابته عبر برنامج #بين_السماء_والأرض مع محمد العلوي https://t.co/W4S4rY7H38</t>
  </si>
  <si>
    <t xml:space="preserve"> فهل هذا الأمر يشكل له عائق ؟</t>
  </si>
  <si>
    <t>فهل هذا أمر/الشيء/الموضوع/الموضوعُ/الموضوعَ/الموضعُ/الخلافُ/الرأي/الرغبةُ/الإرادةُ/الغايةُ يُشكّل له عائق ؟</t>
  </si>
  <si>
    <t>لم يصوت للرئيس .. فهل هذا الأمر يشكل له عائق ؟ ! #شاهد الآن إجابته عبر برنامج #بين_السماء_والأرض مع محمد العلوي https://t.co/W4S4rY7H39</t>
  </si>
  <si>
    <t>هلّا هذا أمر/الشيء/الموضوع/الموضوعُ/الموضوعَ/الموضعُ/الخلافُ/الرأي/الرغبةُ/الإرادةُ/الغايةُ يشكل له عثرات ؟</t>
  </si>
  <si>
    <t>لم يصوت للرئيس .. فهل هذا الأمر يشكل له عائق ؟ ! #شاهد الآن إجابته عبر برنامج #بين_السماء_والأرض مع محمد العلوي https://t.co/W4S4rY7H40</t>
  </si>
  <si>
    <t>في واقع هذا أمر/الشيء/الموضوع/الموضوعُ/الموضوعَ/الموضعُ/الخلافُ/الرأي/الرغبةُ/الإرادةُ/الغايةُ يشكل له عائق ؟</t>
  </si>
  <si>
    <t>لم يصوت للرئيس .. فهل هذا الأمر يشكل له عائق ؟ ! #شاهد الآن إجابته عبر برنامج #بين_السماء_والأرض مع محمد العلوي https://t.co/W4S4rY7H41</t>
  </si>
  <si>
    <t>أمَا هذا أمر يُشكّل له إشكاليات ؟</t>
  </si>
  <si>
    <t>لم يصوت للرئيس .. فهل هذا الأمر يشكل له عائق ؟ ! #شاهد الآن إجابته عبر برنامج #بين_السماء_والأرض مع محمد العلوي https://t.co/W4S4rY7H42</t>
  </si>
  <si>
    <t>أفلا هذا أمر/الشيء/الموضوع/الموضوعُ/الموضوعَ/الموضعُ/الخلافُ/الرأي/الرغبةُ/الإرادةُ/الغايةُ يُصوّر له حائل ؟</t>
  </si>
  <si>
    <t>لم يصوت للرئيس .. فهل هذا الأمر يشكل له عائق ؟ ! #شاهد الآن إجابته عبر برنامج #بين_السماء_والأرض مع محمد العلوي https://t.co/W4S4rY7H43</t>
  </si>
  <si>
    <t>فهل هذا أمر يَصنَع له عثرات ؟</t>
  </si>
  <si>
    <t>لقاح فيروس كورونا: ما تأثير \"حرب اللقاحات\" على الدول الفقيرة؟ - صحف عربية - BBC News عربي https://t.co/kYSgn5EODa</t>
  </si>
  <si>
    <t>ما تأثير "حرب اللقاحات" على الدول الفقيرة؟</t>
  </si>
  <si>
    <t>ما تأثير قَتْل لقاحات على أمم مسكينة</t>
  </si>
  <si>
    <t>ما عاقبة صِدام مُنَبِّهات على مشاعل فقيرة؟</t>
  </si>
  <si>
    <t>ما أثر صِراع مُقَوِّيات على عواصم محتاجة</t>
  </si>
  <si>
    <t>ما صدى قَتْل مُعَزِّزات على دول ذليلة</t>
  </si>
  <si>
    <t>حرب اللقاحات</t>
  </si>
  <si>
    <t>صِدام وقائيات</t>
  </si>
  <si>
    <t>قَتالٌ ضَارٍ لقاحات</t>
  </si>
  <si>
    <t>مَعرَكة تطعيمات</t>
  </si>
  <si>
    <t>استِعداء مناعيات</t>
  </si>
  <si>
    <t>استِعداء واقيات</t>
  </si>
  <si>
    <t>بين_سام_وعمار حروب ونزاعات تنشأ حتى اليوم بسبب انكار تركيا للإبادة الأرمنية شاهد الحلقة كاملة عبر الرابط: https://t.co/j12hx0doJb #شاهد_الحرة https://t.co/EoSdv7rGBA</t>
  </si>
  <si>
    <t>حروب ونزاعات</t>
  </si>
  <si>
    <t>نزاعات صراعات</t>
  </si>
  <si>
    <t>نزاعات معارك</t>
  </si>
  <si>
    <t>حروب عراكات</t>
  </si>
  <si>
    <t>قساوة ونزاعات</t>
  </si>
  <si>
    <t>للإبادة الأرمنية</t>
  </si>
  <si>
    <t>اضمحلال أرمنية</t>
  </si>
  <si>
    <t>قضاء أرمونِيَّة</t>
  </si>
  <si>
    <t>للإبادة أرمينية أرمن</t>
  </si>
  <si>
    <t>محق أرمِنِيَّة</t>
  </si>
  <si>
    <t>حروب ونزاعات تنشأ حتى اليوم بسبب انكار تركيا للإبادة الأرمنية</t>
  </si>
  <si>
    <t>حروب ونزاعات تربى حتى يوم بسبب تجاهل تركيا اضمحلال أرمينية</t>
  </si>
  <si>
    <t>اقتتال مشاحنات تنبت حتى يوم بسبب إغفال تركيا للإبادة قوطية</t>
  </si>
  <si>
    <t>معارك عنيفة ونزاعات تنشأ حتى يوم بسبب إنكار بلد أناضول إفناء إنجيلية</t>
  </si>
  <si>
    <t>صراعات ونزاعات تربى حتى يوم بسبب انكار إسطنبولية للإبادة كشطبية</t>
  </si>
  <si>
    <t>ريف حلب الشمالي | جرح عدد من المواطنين نتيجة انفجار هز مدينة #نبل .. اتصال هاتفي مع مراسل الإخبارية مصطفى كوسى التفاصيل على اليوتيوب عبر الرابط التالي .. https://t.co/0V2SCQbXFz</t>
  </si>
  <si>
    <t>انفجار هز مدينة</t>
  </si>
  <si>
    <t>انفلات هز مدينة</t>
  </si>
  <si>
    <t>تفتق هز مدينة</t>
  </si>
  <si>
    <t>جرح</t>
  </si>
  <si>
    <t>آفة</t>
  </si>
  <si>
    <t>خدش</t>
  </si>
  <si>
    <t>ضرر</t>
  </si>
  <si>
    <t>تمزّق</t>
  </si>
  <si>
    <t>إصابة</t>
  </si>
  <si>
    <t>علة</t>
  </si>
  <si>
    <r>
      <rPr>
        <sz val="11"/>
        <color theme="1"/>
        <rFont val="Calibri"/>
        <family val="2"/>
        <charset val="1"/>
      </rPr>
      <t>\"</t>
    </r>
    <r>
      <rPr>
        <sz val="11"/>
        <color theme="1"/>
        <rFont val="FreeSans"/>
        <family val="2"/>
      </rPr>
      <t>الغزالة زاكورة</t>
    </r>
    <r>
      <rPr>
        <sz val="11"/>
        <color theme="1"/>
        <rFont val="Calibri"/>
        <family val="2"/>
        <charset val="1"/>
      </rPr>
      <t xml:space="preserve">\" .. </t>
    </r>
    <r>
      <rPr>
        <sz val="11"/>
        <color theme="1"/>
        <rFont val="FreeSans"/>
        <family val="2"/>
      </rPr>
      <t xml:space="preserve">الركود يخنق التنمية والبطالة تغتال أحلام الشباب </t>
    </r>
    <r>
      <rPr>
        <sz val="11"/>
        <color theme="1"/>
        <rFont val="Calibri"/>
        <family val="2"/>
        <charset val="1"/>
      </rPr>
      <t>https://t.co/s5Yw2knRcr #</t>
    </r>
    <r>
      <rPr>
        <sz val="11"/>
        <color theme="1"/>
        <rFont val="FreeSans"/>
        <family val="2"/>
      </rPr>
      <t xml:space="preserve">جهات </t>
    </r>
    <r>
      <rPr>
        <sz val="11"/>
        <color theme="1"/>
        <rFont val="Calibri"/>
        <family val="2"/>
        <charset val="1"/>
      </rPr>
      <t>#</t>
    </r>
    <r>
      <rPr>
        <sz val="11"/>
        <color theme="1"/>
        <rFont val="FreeSans"/>
        <family val="2"/>
      </rPr>
      <t>البرامج</t>
    </r>
    <r>
      <rPr>
        <sz val="11"/>
        <color theme="1"/>
        <rFont val="Calibri"/>
        <family val="2"/>
        <charset val="1"/>
      </rPr>
      <t>_</t>
    </r>
    <r>
      <rPr>
        <sz val="11"/>
        <color theme="1"/>
        <rFont val="FreeSans"/>
        <family val="2"/>
      </rPr>
      <t>التنموية</t>
    </r>
    <r>
      <rPr>
        <sz val="11"/>
        <color theme="1"/>
        <rFont val="Calibri"/>
        <family val="2"/>
        <charset val="1"/>
      </rPr>
      <t>_</t>
    </r>
    <r>
      <rPr>
        <sz val="11"/>
        <color theme="1"/>
        <rFont val="FreeSans"/>
        <family val="2"/>
      </rPr>
      <t xml:space="preserve">بزاكورة </t>
    </r>
    <r>
      <rPr>
        <sz val="11"/>
        <color theme="1"/>
        <rFont val="Calibri"/>
        <family val="2"/>
        <charset val="1"/>
      </rPr>
      <t>#</t>
    </r>
    <r>
      <rPr>
        <sz val="11"/>
        <color theme="1"/>
        <rFont val="FreeSans"/>
        <family val="2"/>
      </rPr>
      <t>الفقر</t>
    </r>
    <r>
      <rPr>
        <sz val="11"/>
        <color theme="1"/>
        <rFont val="Calibri"/>
        <family val="2"/>
        <charset val="1"/>
      </rPr>
      <t>_</t>
    </r>
    <r>
      <rPr>
        <sz val="11"/>
        <color theme="1"/>
        <rFont val="FreeSans"/>
        <family val="2"/>
      </rPr>
      <t>التنموي</t>
    </r>
  </si>
  <si>
    <t>يخنق</t>
  </si>
  <si>
    <t>كَظَم</t>
  </si>
  <si>
    <t>شَدَّ</t>
  </si>
  <si>
    <t>أَوْقَذ</t>
  </si>
  <si>
    <t>تغتال أحلام الشباب</t>
  </si>
  <si>
    <t>إفناء خُيَلاَءُ رونق</t>
  </si>
  <si>
    <t>إزهاق خُيَلاَءُ رونق</t>
  </si>
  <si>
    <t>تصفية رؤى خِضّم</t>
  </si>
  <si>
    <t>تصفية تَرَائِي عزم</t>
  </si>
  <si>
    <t>الركود يخنق التنمية والبطالة تغتال أحلام الشباب</t>
  </si>
  <si>
    <t>الركود خَنْق رقي والبطالة اقْتَلَعَهُ أحلام أمل</t>
  </si>
  <si>
    <t>ثبات يخنق إنماء كسل أَهْلَكَهُ تطلعات شباب</t>
  </si>
  <si>
    <t>رَجْمَحة أَخْنَق تطور والبطالة اقْتَلَعَهُ أضغاث شباب</t>
  </si>
  <si>
    <t>خُمُول خَنَّق رقي عطالة انْتَزَعَهُ منامات شباب</t>
  </si>
  <si>
    <t>سُبات يخنق تنمية والبطالة قَتْلُهُ تطلعات شباب</t>
  </si>
  <si>
    <t>مسيرة عفوية في معسكر جباليا شمال قطاع غزة نصرة للقدس وابتهاجًا ببسالة المقاومة</t>
  </si>
  <si>
    <t>ابتهاجًا ببسالة المقاومة</t>
  </si>
  <si>
    <t>بهاءً ببسالة عناد</t>
  </si>
  <si>
    <t>ابتهاجاً صلابة مناعة</t>
  </si>
  <si>
    <r>
      <rPr>
        <sz val="11"/>
        <color theme="1"/>
        <rFont val="Calibri"/>
        <family val="2"/>
        <charset val="1"/>
      </rPr>
      <t>RT @sawtlebnan: #</t>
    </r>
    <r>
      <rPr>
        <sz val="11"/>
        <color theme="1"/>
        <rFont val="FreeSans"/>
        <family val="2"/>
      </rPr>
      <t>سامي</t>
    </r>
    <r>
      <rPr>
        <sz val="11"/>
        <color theme="1"/>
        <rFont val="Calibri"/>
        <family val="2"/>
        <charset val="1"/>
      </rPr>
      <t>_</t>
    </r>
    <r>
      <rPr>
        <sz val="11"/>
        <color theme="1"/>
        <rFont val="FreeSans"/>
        <family val="2"/>
      </rPr>
      <t xml:space="preserve">الجميّل ل </t>
    </r>
    <r>
      <rPr>
        <sz val="11"/>
        <color theme="1"/>
        <rFont val="Calibri"/>
        <family val="2"/>
        <charset val="1"/>
      </rPr>
      <t>#</t>
    </r>
    <r>
      <rPr>
        <sz val="11"/>
        <color theme="1"/>
        <rFont val="FreeSans"/>
        <family val="2"/>
      </rPr>
      <t>وهلق</t>
    </r>
    <r>
      <rPr>
        <sz val="11"/>
        <color theme="1"/>
        <rFont val="Calibri"/>
        <family val="2"/>
        <charset val="1"/>
      </rPr>
      <t>_</t>
    </r>
    <r>
      <rPr>
        <sz val="11"/>
        <color theme="1"/>
        <rFont val="FreeSans"/>
        <family val="2"/>
      </rPr>
      <t>شو</t>
    </r>
    <r>
      <rPr>
        <sz val="11"/>
        <color theme="1"/>
        <rFont val="Calibri"/>
        <family val="2"/>
        <charset val="1"/>
      </rPr>
      <t xml:space="preserve">: </t>
    </r>
    <r>
      <rPr>
        <sz val="11"/>
        <color theme="1"/>
        <rFont val="FreeSans"/>
        <family val="2"/>
      </rPr>
      <t xml:space="preserve">معركتنا لبنانية ولا يمكننا إنقاذ طائفة بمعزل عن طائفة أخرى لذا علينا خلق جبهة عابرة للطوائف </t>
    </r>
    <r>
      <rPr>
        <sz val="11"/>
        <color theme="1"/>
        <rFont val="Calibri"/>
        <family val="2"/>
        <charset val="1"/>
      </rPr>
      <t>#</t>
    </r>
    <r>
      <rPr>
        <sz val="11"/>
        <color theme="1"/>
        <rFont val="FreeSans"/>
        <family val="2"/>
      </rPr>
      <t>عاجل</t>
    </r>
  </si>
  <si>
    <t>معركتنا لبنانية ولا يمكننا إنقاذ طائفة بمعزل عن طائفة أخرى لذا علينا خلق جبهة عابرة للطوائف</t>
  </si>
  <si>
    <t>نزالنا مُوسِيقِيَّة ولا قادرون نجاة فئة اجتماعية معزل عن طبقة اجتماعية أخرى لذا حَقّا خلق إِقْبَال عابرة للطوائف</t>
  </si>
  <si>
    <t>خصومتنا رُومَنْسِيَّة ولا يمكننا تدارك حاشدة بمعزل عن فرقة ثانية لذا علينا أتى جبهة مُعبرّة مذاهب</t>
  </si>
  <si>
    <t>جدالنا لبنانية ولا يمكننا نجاة جماعة بمعزل عن طبقة أخرى لِذلك فَرْضٌ خلق وَجْهَة مُخترِقة للطوائف</t>
  </si>
  <si>
    <t>معركتنا شَرْقِيَّة ولا يمكننا إنقاذ كَوكَبة خلوة عن طائفة بديلة لِذَاكَ واجِبٌ صنع جبهة عابرة فرق</t>
  </si>
  <si>
    <t>مراسلة فرانس24 \"انتشال ضحايا من عائلة كاملة قصف منزلها في شمال غزة.. ونزوح كبير\" https://t.co/F5gQqI8GTI https://t.co/hzIzyI4VFj</t>
  </si>
  <si>
    <t>انتشال ضحايا</t>
  </si>
  <si>
    <t>اقتلاع ضحايا</t>
  </si>
  <si>
    <t>إخراج ضحايا</t>
  </si>
  <si>
    <t>انتشال مضرورون</t>
  </si>
  <si>
    <t>إزاحة ضحايا</t>
  </si>
  <si>
    <t>استرداد ضحايا</t>
  </si>
  <si>
    <t xml:space="preserve">قصف </t>
  </si>
  <si>
    <t>رشق</t>
  </si>
  <si>
    <t>رمي</t>
  </si>
  <si>
    <t>ركّز</t>
  </si>
  <si>
    <t>قَنَف</t>
  </si>
  <si>
    <t>نزوح كبير</t>
  </si>
  <si>
    <t>تَنَقُّل رفيع</t>
  </si>
  <si>
    <t>نزوح مهيب</t>
  </si>
  <si>
    <t>نزوح عظيم شأن</t>
  </si>
  <si>
    <t>رَحيل واسع</t>
  </si>
  <si>
    <t>نزوح عظيم</t>
  </si>
  <si>
    <t>انتشال ضحايا من عائلة كاملة قصف منزلها في شمال غزة.. ونزوح كبير</t>
  </si>
  <si>
    <t>إزالة ضحايا من أُسرة كاملة رصّع عشها في شمال غزة ونزوح واسع</t>
  </si>
  <si>
    <t>استخراج خسائر من صلة كاملة رصّع موئلها في شمال عزيمة تَحَوُّل كبير</t>
  </si>
  <si>
    <t>انتشال خسائر من قبيلة كاملة رمي عشها في شمال غزة هجاجة جسيم</t>
  </si>
  <si>
    <t>استرداد شهداء من جماعة كاملة رمي مأوى في شمال صخرة ونزوح واسع</t>
  </si>
  <si>
    <t>رفع ضحايا من عائلة مُكتملة أركان رمي دارها في شمال عزيمة ونزوح مهيب</t>
  </si>
  <si>
    <t>فيضان النيل يحاصر القصر الجمهوري ومنزل حمدوك..101 قتيل وانهيار آلاف المنازل والمنشآت #السودان #فيضان_السودان https://t.co/Tw96Qm9iDH</t>
  </si>
  <si>
    <t xml:space="preserve"> قتيل وانهيار آلاف المنازل والمنشآت</t>
  </si>
  <si>
    <t>قتيل انهدام وفير حِمَى مرافق</t>
  </si>
  <si>
    <t>مَقْتُولٌ وانهيار رَبَوات قصور مباني</t>
  </si>
  <si>
    <t>سمو الشيخ ناصر بن حمد: عزيمة رجال الحرس الملكي وإصرارهم سيوصلهم إلى قمة إفرست https://t.co/zjihl7azb8</t>
  </si>
  <si>
    <t>عزيمة رجال الحرس الملكي وإصرارهم سيوصلهم إلى قمة إفرست</t>
  </si>
  <si>
    <t>عزما رجال حرس مَهِيب تمسكهم سيوصلهم إلى أوج سماء</t>
  </si>
  <si>
    <t>سمو الشيخ ناصر بن حمد: عزيمة رجال الحرس الملكي وإصرارهم سيوصلهم إلى قمة إفرست https://t.co/zjihl7azb9</t>
  </si>
  <si>
    <t>عزيمة ذُكور حامي ملكي وإصرارهم سيبلغهم إلى قمة شاهق</t>
  </si>
  <si>
    <t>سمو الشيخ ناصر بن حمد: عزيمة رجال الحرس الملكي وإصرارهم سيوصلهم إلى قمة إفرست https://t.co/zjihl7azb10</t>
  </si>
  <si>
    <t>عزيمة مضارع حرس ملكي وإصرارهم سيحملهم إلى ارتفاع علياء</t>
  </si>
  <si>
    <t>سمو الشيخ ناصر بن حمد: عزيمة رجال الحرس الملكي وإصرارهم سيوصلهم إلى قمة إفرست https://t.co/zjihl7azb11</t>
  </si>
  <si>
    <t>عزما مضارع راعي سيادي تمسكهم سيُسَيِّرهم إلى قمة شاهقُ ارتفاع</t>
  </si>
  <si>
    <t>حملت أصواتهم غيث القلوب.. وصدحوا بآيات تعطر النفوس.. ثم انقطعت أيامهم.. ولم تنقطع أصواتهم.. #جود_الراحلين لنا.. ولهم.. https://t.co/VbQ669Axl7 https://t.co/jqtGIRqLvW</t>
  </si>
  <si>
    <t>حملت أصواتهم غيث القلوب.. وصدحوا بآيات تعطر النفوس.. ثم انقطعت أيامهم.. ولم تنقطع أصواتهم.. #جود_الراحلين لنا.. ولهم..</t>
  </si>
  <si>
    <t>احتملت رنّاتهم مطر مضغة ترنموا حُجج تعطر نفوس ثم انعزلت عصورهم ولم توقفت وقعهم معونة ماضين لنا وحقهم</t>
  </si>
  <si>
    <t>حملقت أطوارهم رَحْمَة مضغة ترنموا براهين تطيب أنا ثم انفصلت أسابيعهم ولم انقضت ترديدهم جود راحلين لنا ويجب أن يكون</t>
  </si>
  <si>
    <t>تاقت أصواتهم رَحْمَة خواطر وصدحوا بآيات عطّر إحساسات ثم انقطعت صلة أيامهم ولم انقطعت نغماتهم إحسان عابرين لنا ويجب أن يكون</t>
  </si>
  <si>
    <t>حملت رنّاتهم هَطْل قلوب وصدحوا براهين تعطّر نفوس ثم انقطعت أجيالهم ولم انقضت أصواتهم جود مُغتبَرين لنا ربما</t>
  </si>
  <si>
    <t>حملت أصواتهم مُزْن قلوب تغنّوا براهين تبخر أرواح ثم انقطعت مراحلهم ولم انعدمت أصواتهم جود مُودَعين لنا من محتمل</t>
  </si>
  <si>
    <t>الخبرسبورت / مورينيو: هذا الشغف وراء تدريبي لروما https://t.co/O5cOdtBDIg</t>
  </si>
  <si>
    <t>الشغف</t>
  </si>
  <si>
    <t>الهوى</t>
  </si>
  <si>
    <t>الجدع</t>
  </si>
  <si>
    <t>الرغبة</t>
  </si>
  <si>
    <t>الوله</t>
  </si>
  <si>
    <t>هل هذا يعني ان السعوديه تاوي ارهابي؟ https://t.co/1l3yJiuDWn</t>
  </si>
  <si>
    <t>هل هذا يعني ان السعوديه تاوي ارهابي؟</t>
  </si>
  <si>
    <t>هل هذا يدل ان بلاد عرب تاوي مُخرب</t>
  </si>
  <si>
    <t>هل هذا يقصد ان بلاد مقدسة تُعَايِرُ ارهابي؟</t>
  </si>
  <si>
    <t>هل هذا يحمل ان شبه جزيرة عربية تُسَاكِنُ مُتطرف</t>
  </si>
  <si>
    <t>هل هذا يفيد ان شبه جزيرة عربية تُسَاكِنُ ارهابي؟</t>
  </si>
  <si>
    <t>ارهابي</t>
  </si>
  <si>
    <t>مُعَتدي</t>
  </si>
  <si>
    <t>مُخرب</t>
  </si>
  <si>
    <t>منقوشة أبو شادي تروي معاناة اللبنانيين مع الفقر #رؤيا_الاخباري #لبنان #الأردن https://t.co/n5KTwS88wd المصدر: AFP https://t.co/XeZKAqXaX3</t>
  </si>
  <si>
    <t xml:space="preserve">معاناة </t>
  </si>
  <si>
    <t>محنة</t>
  </si>
  <si>
    <t>منقوشة أبو شادي تروي معاناة اللبنانيين مع الفقر #رؤيا_الاخباري #لبنان #الأردن https://t.co/n5KTwS88wd المصدر: AFP https://t.co/XeZKAqXaX5</t>
  </si>
  <si>
    <t>همّ</t>
  </si>
  <si>
    <t>منقوشة أبو شادي تروي معاناة اللبنانيين مع الفقر #رؤيا_الاخباري #لبنان #الأردن https://t.co/n5KTwS88wd المصدر: AFP https://t.co/XeZKAqXaX6</t>
  </si>
  <si>
    <t>عذاب</t>
  </si>
  <si>
    <t>منقوشة أبو شادي تروي معاناة اللبنانيين مع الفقر #رؤيا_الاخباري #لبنان #الأردن https://t.co/n5KTwS88wd المصدر: AFP https://t.co/XeZKAqXaX7</t>
  </si>
  <si>
    <t>كرب</t>
  </si>
  <si>
    <t>منقوشة أبو شادي تروي معاناة اللبنانيين مع الفقر #رؤيا_الاخباري #لبنان #الأردن https://t.co/n5KTwS88wd المصدر: AFP https://t.co/XeZKAqXaX8</t>
  </si>
  <si>
    <t>شرخ كبير\".. تداعيات تسريبات ظريف على المؤسسات الإيرانية #عاجل https://t.co/JpMjNJKDmp</t>
  </si>
  <si>
    <t>شرخ</t>
  </si>
  <si>
    <t>تخلخل</t>
  </si>
  <si>
    <t>انخلخ</t>
  </si>
  <si>
    <t>تسريبات</t>
  </si>
  <si>
    <t>تفجّرات</t>
  </si>
  <si>
    <t>تسربات</t>
  </si>
  <si>
    <t>تدفقات</t>
  </si>
  <si>
    <t>انسكابات</t>
  </si>
  <si>
    <t>تسربيس</t>
  </si>
  <si>
    <t>المؤسسات الإيرانية</t>
  </si>
  <si>
    <t>التجمعات فُرسية</t>
  </si>
  <si>
    <t>الاتحادات فُرسية</t>
  </si>
  <si>
    <t>الأجهزة أعجمية</t>
  </si>
  <si>
    <t>الهيئات فارسيَّة</t>
  </si>
  <si>
    <t>المؤسسات فارسيّة</t>
  </si>
  <si>
    <t>مفاجآت عديدة بانتظاركم في شهر #رمضان المبارك على #السومرية مع #علاء_بتي في برنامج \"بالـ 90\" https://t.co/Ukq8wg0NQl</t>
  </si>
  <si>
    <t>رمضان المبارك</t>
  </si>
  <si>
    <t>شهر صوم مُزَكّى</t>
  </si>
  <si>
    <t>شهر مبارك مبارك</t>
  </si>
  <si>
    <t>شهر رمضان مُزَكّى</t>
  </si>
  <si>
    <t>شهر مغفرة مَرْضِيّ</t>
  </si>
  <si>
    <t>صورة| مراسلنا: الاحتلال يقصــف أرضًا زراعية قرب مدينة أصـــداء الترفيهية غرب خانيونس. #GazaUnderAttack #غزة_تحت_القصف https://t.co/XphCTB4Kek</t>
  </si>
  <si>
    <t>الاحتواء</t>
  </si>
  <si>
    <t>السيطرة</t>
  </si>
  <si>
    <t>يقصــف</t>
  </si>
  <si>
    <t>يُضعف</t>
  </si>
  <si>
    <t>يُوهِن</t>
  </si>
  <si>
    <t>يقصفّـه</t>
  </si>
  <si>
    <t>يَحسِم</t>
  </si>
  <si>
    <t>يبتر</t>
  </si>
  <si>
    <t>بي_بي_سي_ترندينغ: سرقة أكبر أرنب في العالم وصاحبته البريطانية تعرض مكافأة مجزية لمن يجده! https://t.co/KYbL3kK2Xc</t>
  </si>
  <si>
    <t xml:space="preserve"> سرقة أكبر أرنب في العالم وصاحبته البريطانية تعرض مكافأة مجزية لمن يجده! </t>
  </si>
  <si>
    <t>ابتزاز أفسح أرنب في مَوْجُودات رفيقتها بريطانية انكشاف للخطر جَزاء مُثمِرة صوب يكتشفه</t>
  </si>
  <si>
    <t>سَلب ونهب أزيد أرنب في عالم وصاحبته رُّومُ انفعال صَدَقَة مُوفِية بحضرة يعثر عليه</t>
  </si>
  <si>
    <t>سطو أضخم أَبْرَص في مَوْجُودات خليلته بريطانية انكشاف للخطر عِدَة مُجزِلة بحضرة يجدوله</t>
  </si>
  <si>
    <t>سرقة أعظم هَرْتَف في كون رفيقته بريطانية ظهور صَدَقَة مجزية عند يجده</t>
  </si>
  <si>
    <t>سرقة أكبر أرنب في كون حبيبته إِبْرِيق تعرض مكافأة وافِرة عند يجدوله</t>
  </si>
  <si>
    <t>اختلاس أكبر فَأْفَاء في رَّحْب وصاحبته بَرِيطَانِيَّة انكشاف للضرر هَدِيَّة مجزية بحضرة يظفر به</t>
  </si>
  <si>
    <t xml:space="preserve"> سرقة</t>
  </si>
  <si>
    <t>سَبْي</t>
  </si>
  <si>
    <t>تهريب</t>
  </si>
  <si>
    <t>سطو</t>
  </si>
  <si>
    <t>اخفاء</t>
  </si>
  <si>
    <t>نهب</t>
  </si>
  <si>
    <t>اختلاس</t>
  </si>
  <si>
    <t>المؤتمر الصحفي المتوج لاجتماع مجلس الوزاء الخميس 28/02/2019 https://t.co/XdRgkKPcRU https://t.co/QggrjbIwmE</t>
  </si>
  <si>
    <t>المتوج</t>
  </si>
  <si>
    <t>مُتَوْشَح</t>
  </si>
  <si>
    <t>مُتَوْج</t>
  </si>
  <si>
    <t>مُتَوِّج</t>
  </si>
  <si>
    <t>مُتَوَجَّب</t>
  </si>
  <si>
    <t>مُتَألِّق</t>
  </si>
  <si>
    <t>مُتَوَّشٍ</t>
  </si>
  <si>
    <t>إصابة 60 مستوطنًا في انهيار منصة الاحتفال في #القدس المحتلة 10 منهم في حال الخطر الشديد https://t.co/yAWpCNECsu https://t.co/psW4PJ8ZHo</t>
  </si>
  <si>
    <t>مستوطنًا</t>
  </si>
  <si>
    <t>حاملُ سكن</t>
  </si>
  <si>
    <t>مستأنس</t>
  </si>
  <si>
    <t>موطن</t>
  </si>
  <si>
    <t>مستعمر</t>
  </si>
  <si>
    <t>مستقر</t>
  </si>
  <si>
    <r>
      <rPr>
        <sz val="11"/>
        <color theme="1"/>
        <rFont val="Calibri"/>
        <family val="2"/>
        <charset val="1"/>
      </rPr>
      <t>#</t>
    </r>
    <r>
      <rPr>
        <sz val="11"/>
        <color theme="1"/>
        <rFont val="FreeSans"/>
        <family val="2"/>
      </rPr>
      <t>القدس المحتلة</t>
    </r>
  </si>
  <si>
    <t>المدينة مقدسة محتلة</t>
  </si>
  <si>
    <t>حَرَم محتسبة</t>
  </si>
  <si>
    <t>المدينة مقدسة مُستعبَدة</t>
  </si>
  <si>
    <t>القِبلة محتلة</t>
  </si>
  <si>
    <t>القدس مسيطر عليها</t>
  </si>
  <si>
    <t>انهيار</t>
  </si>
  <si>
    <t>انحطاط</t>
  </si>
  <si>
    <t>تضعضع</t>
  </si>
  <si>
    <t>الخطر الشديد</t>
  </si>
  <si>
    <t>الخوف شديد قوة</t>
  </si>
  <si>
    <t>الحرج عنيف</t>
  </si>
  <si>
    <t>الأذى عتيد</t>
  </si>
  <si>
    <t>المجازفة عنيف</t>
  </si>
  <si>
    <t>الخطر قاس</t>
  </si>
  <si>
    <t>التهديد عنفوان</t>
  </si>
  <si>
    <t>رئيس وزراء الهند يشبه الوضع الوبائي في بلاده بالعاصفة https://t.co/igxyMJtjfb https://t.co/5vDnF0QnP8</t>
  </si>
  <si>
    <t>العاصفة</t>
  </si>
  <si>
    <t>سَيْل</t>
  </si>
  <si>
    <t>رئيس وزراء الهند يشبه الوضع الوبائي في بلاده بالعاصفة https://t.co/igxyMJtjfb https://t.co/5vDnF0QnP9</t>
  </si>
  <si>
    <t>زوْبَعة</t>
  </si>
  <si>
    <t>رئيس وزراء الهند يشبه الوضع الوبائي في بلاده بالعاصفة https://t.co/igxyMJtjfb https://t.co/5vDnF0QnP10</t>
  </si>
  <si>
    <t>طَوْفان</t>
  </si>
  <si>
    <t>رئيس وزراء الهند يشبه الوضع الوبائي في بلاده بالعاصفة https://t.co/igxyMJtjfb https://t.co/5vDnF0QnP11</t>
  </si>
  <si>
    <t>سَحْن</t>
  </si>
  <si>
    <t>رئيس وزراء الهند يشبه الوضع الوبائي في بلاده بالعاصفة https://t.co/igxyMJtjfb https://t.co/5vDnF0QnP12</t>
  </si>
  <si>
    <t>الوضع الوبائي</t>
  </si>
  <si>
    <t>المِحنة مُستَشْرى</t>
  </si>
  <si>
    <t>رئيس وزراء الهند يشبه الوضع الوبائي في بلاده بالعاصفة https://t.co/igxyMJtjfb https://t.co/5vDnF0QnP13</t>
  </si>
  <si>
    <t>الحالة أَسْرِىّ</t>
  </si>
  <si>
    <t>رئيس وزراء الهند يشبه الوضع الوبائي في بلاده بالعاصفة https://t.co/igxyMJtjfb https://t.co/5vDnF0QnP14</t>
  </si>
  <si>
    <t>الموقف وبائي</t>
  </si>
  <si>
    <t>رئيس وزراء الهند يشبه الوضع الوبائي في بلاده بالعاصفة https://t.co/igxyMJtjfb https://t.co/5vDnF0QnP15</t>
  </si>
  <si>
    <t>الحالة طاعونى</t>
  </si>
  <si>
    <t>رئيس وزراء الهند يشبه الوضع الوبائي في بلاده بالعاصفة https://t.co/igxyMJtjfb https://t.co/5vDnF0QnP16</t>
  </si>
  <si>
    <t>المِحنة وبائى</t>
  </si>
  <si>
    <t>رئيس وزراء الهند يشبه الوضع الوبائي في بلاده بالعاصفة https://t.co/igxyMJtjfb https://t.co/5vDnF0QnP17</t>
  </si>
  <si>
    <t>الوضع طاعونى</t>
  </si>
  <si>
    <t>حاتم المليكي النائب المستقل بمجلس نواب الشعب: الحوار تعمل في 2013 لإنقاذ تونس من الفوضى #MidiShow 🇹🇳🌐</t>
  </si>
  <si>
    <t xml:space="preserve"> لإنقاذ</t>
  </si>
  <si>
    <t>إنقاذاً</t>
  </si>
  <si>
    <t>إغاثة</t>
  </si>
  <si>
    <t>فكاك</t>
  </si>
  <si>
    <t>نجاح</t>
  </si>
  <si>
    <t>تخصيص</t>
  </si>
  <si>
    <t>الفوضى</t>
  </si>
  <si>
    <t>الفوضوية</t>
  </si>
  <si>
    <t>العبث</t>
  </si>
  <si>
    <t>الإضطراب</t>
  </si>
  <si>
    <t>القضية المنسية\" ... الجعفري: فلسطين بالنسبة لسوريا مثل هضبة الجولان المحتلة ..!! https://t.co/i742Bn7KgS</t>
  </si>
  <si>
    <t>القضية المنسية</t>
  </si>
  <si>
    <t>الموضوع مخبوءة</t>
  </si>
  <si>
    <t>القضية مغيبة</t>
  </si>
  <si>
    <t>المسألة منسية</t>
  </si>
  <si>
    <t>الدعوى مغيبة</t>
  </si>
  <si>
    <t>المغصوبة</t>
  </si>
  <si>
    <t>المُحتَسَبة</t>
  </si>
  <si>
    <t>المقموعة</t>
  </si>
  <si>
    <t>المُستَباحة</t>
  </si>
  <si>
    <t>من امام القصر الجمهوري…وقفة رمزية لاحياء ذكري شهداء فض الاعتصام #السودان https://t.co/s9yrhIir0i</t>
  </si>
  <si>
    <t>شهداء</t>
  </si>
  <si>
    <t>قُتلى</t>
  </si>
  <si>
    <t>مَوْتَى في سَبيلِ لهِ</t>
  </si>
  <si>
    <t>عاجل مراسلنا: طائرات الاحتلال تستهدف منزلًا شرق خانيونس جنوبي القطاع.</t>
  </si>
  <si>
    <t>نادي #أولمبيك_مارسيليا يتمنى السلامة للجميع في #السودان ... قلوبنا تتألم لجميع المتأثرين بالفيضانات 🇸🇩🙏💙</t>
  </si>
  <si>
    <t>تتألم</t>
  </si>
  <si>
    <t>تَكْتَئِبُ</t>
  </si>
  <si>
    <t>تَبْتَئِسُ</t>
  </si>
  <si>
    <t>تَتَوجَّعُ</t>
  </si>
  <si>
    <t>تَنْحَنِي بِأَلَمٍ</t>
  </si>
  <si>
    <t>تَتَجَهَّمُ</t>
  </si>
  <si>
    <t>تَتَزَمَّقُ</t>
  </si>
  <si>
    <t>نواكشوط.. تحضيرات باهتة لانطلاق الحملة الانتخابية https://t.co/o6ciSBc5yi</t>
  </si>
  <si>
    <t>باهتة</t>
  </si>
  <si>
    <t>مُتَبَاهِتة</t>
  </si>
  <si>
    <t>واهنة</t>
  </si>
  <si>
    <t>بي_بي_سي_ترندينغ: قضية إسراء عماد: طعنات زوجها حولتها لرمز لضحايا زواج القاصرات والعنف الأسري في #مصر https://t.co/nunJQgXz5D</t>
  </si>
  <si>
    <t>طعنات</t>
  </si>
  <si>
    <t>نَزْفات</t>
  </si>
  <si>
    <t>جروح</t>
  </si>
  <si>
    <t>العنف الأسري</t>
  </si>
  <si>
    <t>الْقُوَّةُ الْعَمياءُ مُحْتجَر</t>
  </si>
  <si>
    <t>الْقُوَّةُ الْعَمياءُ أسري</t>
  </si>
  <si>
    <t>الشِّدَّةُ مُكَبَّل</t>
  </si>
  <si>
    <t>الْقُوَّةُ الْعَمياءُ حَبِيسُ</t>
  </si>
  <si>
    <t>الغلظة</t>
  </si>
  <si>
    <t>العنفوان</t>
  </si>
  <si>
    <t>نجم</t>
  </si>
  <si>
    <t>العدل\" أداة \"الملك\"... ونجم أداة العهد في الثلث المعطل... التفاصيل في النشرة المسائية https://t.co/vsRaym6V03</t>
  </si>
  <si>
    <t>سَنَاء</t>
  </si>
  <si>
    <t>العدل\" أداة \"الملك\"... ونجم أداة العهد في الثلث المعطل... التفاصيل في النشرة المسائية https://t.co/vsRaym6V04</t>
  </si>
  <si>
    <t>مُنِير</t>
  </si>
  <si>
    <t>العدل\" أداة \"الملك\"... ونجم أداة العهد في الثلث المعطل... التفاصيل في النشرة المسائية https://t.co/vsRaym6V05</t>
  </si>
  <si>
    <r>
      <rPr>
        <sz val="11"/>
        <color theme="1"/>
        <rFont val="Calibri"/>
        <family val="2"/>
        <charset val="1"/>
      </rPr>
      <t>"</t>
    </r>
    <r>
      <rPr>
        <sz val="11"/>
        <color theme="1"/>
        <rFont val="FreeSans"/>
        <family val="2"/>
      </rPr>
      <t>العدل</t>
    </r>
    <r>
      <rPr>
        <sz val="11"/>
        <color theme="1"/>
        <rFont val="Calibri"/>
        <family val="2"/>
        <charset val="1"/>
      </rPr>
      <t xml:space="preserve">" </t>
    </r>
    <r>
      <rPr>
        <sz val="11"/>
        <color theme="1"/>
        <rFont val="FreeSans"/>
        <family val="2"/>
      </rPr>
      <t xml:space="preserve">أداة </t>
    </r>
    <r>
      <rPr>
        <sz val="11"/>
        <color theme="1"/>
        <rFont val="Calibri"/>
        <family val="2"/>
        <charset val="1"/>
      </rPr>
      <t>"</t>
    </r>
    <r>
      <rPr>
        <sz val="11"/>
        <color theme="1"/>
        <rFont val="FreeSans"/>
        <family val="2"/>
      </rPr>
      <t>الملك</t>
    </r>
    <r>
      <rPr>
        <sz val="11"/>
        <color theme="1"/>
        <rFont val="Calibri"/>
        <family val="2"/>
        <charset val="1"/>
      </rPr>
      <t>"</t>
    </r>
  </si>
  <si>
    <t>الاستقامة آلة صاحب سيادة</t>
  </si>
  <si>
    <t>العدل\" أداة \"الملك\"... ونجم أداة العهد في الثلث المعطل... التفاصيل في النشرة المسائية https://t.co/vsRaym6V06</t>
  </si>
  <si>
    <t>العَدالة آلة سلطان</t>
  </si>
  <si>
    <t>العدل\" أداة \"الملك\"... ونجم أداة العهد في الثلث المعطل... التفاصيل في النشرة المسائية https://t.co/vsRaym6V07</t>
  </si>
  <si>
    <t>العدل جهاز رَّبّ</t>
  </si>
  <si>
    <t>العدل\" أداة \"الملك\"... ونجم أداة العهد في الثلث المعطل... التفاصيل في النشرة المسائية https://t.co/vsRaym6V08</t>
  </si>
  <si>
    <t>العدل مِعْوَل سلطان</t>
  </si>
  <si>
    <t>العدل\" أداة \"الملك\"... ونجم أداة العهد في الثلث المعطل... التفاصيل في النشرة المسائية https://t.co/vsRaym6V09</t>
  </si>
  <si>
    <t>الاستقامة زِرّ مالك</t>
  </si>
  <si>
    <t>العدل\" أداة \"الملك\"... ونجم أداة العهد في الثلث المعطل... التفاصيل في النشرة المسائية https://t.co/vsRaym6V10</t>
  </si>
  <si>
    <t>الإنصاف زِرّ حاكم</t>
  </si>
  <si>
    <t>الـ ـسـ ـنوار: \"الرشقات والطائرة التي أرسلت خلال المعركة كانت بتنسيق كامل بين المـ ـقاومة في لبنان وغزة</t>
  </si>
  <si>
    <t>المـ ـقاومة</t>
  </si>
  <si>
    <t>المُـكَـمَّـلَـةُ مُوَاجَهَة</t>
  </si>
  <si>
    <t>المـ مُجَابَهَة</t>
  </si>
  <si>
    <t>المُـفْـتَـرَضَـةُ مُنَازَلَة</t>
  </si>
  <si>
    <t>المُـسْـتَـوْجَـبَـةُ مُبَارَزَة</t>
  </si>
  <si>
    <t>بتنسيق كامل</t>
  </si>
  <si>
    <t>إعداد تامّ بدن</t>
  </si>
  <si>
    <t>تجهيز مُتَمَكِّن</t>
  </si>
  <si>
    <t>تدبير مُتَمَكِّن</t>
  </si>
  <si>
    <t>ترتيبات كامل</t>
  </si>
  <si>
    <t>تنظيم كامل</t>
  </si>
  <si>
    <t>إعداد مُتَمِّم</t>
  </si>
  <si>
    <t>الأخطر في العالم\".. الكشف عن سلالة جديدة لكورونا https://t.co/6ihZdZFnAG</t>
  </si>
  <si>
    <r>
      <rPr>
        <sz val="11"/>
        <color theme="1"/>
        <rFont val="Calibri"/>
        <family val="2"/>
        <charset val="1"/>
      </rPr>
      <t>"</t>
    </r>
    <r>
      <rPr>
        <sz val="11"/>
        <color theme="1"/>
        <rFont val="FreeSans"/>
        <family val="2"/>
      </rPr>
      <t>الأخطر في العالم</t>
    </r>
    <r>
      <rPr>
        <sz val="11"/>
        <color theme="1"/>
        <rFont val="Calibri"/>
        <family val="2"/>
        <charset val="1"/>
      </rPr>
      <t xml:space="preserve">".. </t>
    </r>
    <r>
      <rPr>
        <sz val="11"/>
        <color theme="1"/>
        <rFont val="FreeSans"/>
        <family val="2"/>
      </rPr>
      <t>الكشف عن سلالة جديدة لكورونا</t>
    </r>
  </si>
  <si>
    <t>الأغدر في عالم كشف عن عَقِب فتية لكورونا</t>
  </si>
  <si>
    <t>الأشدّ ضررًا في عالم إماطة عن مَوْجُودَة حديثة لكورونا</t>
  </si>
  <si>
    <t>الأخطر في عالم تبيان عن سلالة جديدة طراز كارثة</t>
  </si>
  <si>
    <t>الأكثر خطورة في كون إيضاح عن أَصْل حديثة نشأة محنة</t>
  </si>
  <si>
    <t>الأخطر</t>
  </si>
  <si>
    <t>الأشد ضرراً</t>
  </si>
  <si>
    <t>الأفدح</t>
  </si>
  <si>
    <t>الأجدر بالخوف</t>
  </si>
  <si>
    <t>الأشد خطورة</t>
  </si>
  <si>
    <t>المهلك</t>
  </si>
  <si>
    <r>
      <rPr>
        <sz val="11"/>
        <color theme="1"/>
        <rFont val="Calibri"/>
        <family val="2"/>
        <charset val="1"/>
      </rPr>
      <t>"</t>
    </r>
    <r>
      <rPr>
        <sz val="11"/>
        <color theme="1"/>
        <rFont val="FreeSans"/>
        <family val="2"/>
      </rPr>
      <t>الأخطر في العالم</t>
    </r>
    <r>
      <rPr>
        <sz val="11"/>
        <color theme="1"/>
        <rFont val="Calibri"/>
        <family val="2"/>
        <charset val="1"/>
      </rPr>
      <t>"</t>
    </r>
  </si>
  <si>
    <t>الأكثر تهديداً في عالم</t>
  </si>
  <si>
    <t>الأرعب في رَّحْبَة</t>
  </si>
  <si>
    <t>الأشد خطورة في رَّحْبَة</t>
  </si>
  <si>
    <t>الأدهم في عالم</t>
  </si>
  <si>
    <t>الأشد وقعاً في دُّنيا</t>
  </si>
  <si>
    <t>الأخطر في كَوْن إزاحة عن قَبيلَةٌ جديدة داهية</t>
  </si>
  <si>
    <t>الأجَلّ في دُّنيا إزاحة عن خُلَّةٌ معاصرة لكورونا</t>
  </si>
  <si>
    <t>الأخطر في فَضَاء تبيان عن قَبيلَةٌ جديدة جائحة</t>
  </si>
  <si>
    <t>الأفظع في مَدَار كشف عن سِبْطٌ متجددة جائحة</t>
  </si>
  <si>
    <t>الأدهى في مَجَال تبيان عن فُصيلةٌ جديدة داهية</t>
  </si>
  <si>
    <t>عاجل: كتائب القسـ ام تعلن قصف مستوطنة «كفار عزة» وموقعي «ناحل عوز» و«فجة» العسكريين بقذائف الهاون https://t.co/qiUEEmOy3K</t>
  </si>
  <si>
    <t>قصف</t>
  </si>
  <si>
    <t>مبـيد</t>
  </si>
  <si>
    <t>هجـوم</t>
  </si>
  <si>
    <t>غارة</t>
  </si>
  <si>
    <t>مستوطنة</t>
  </si>
  <si>
    <t>مُعَسْكَر</t>
  </si>
  <si>
    <t>مُتَوَطِّن</t>
  </si>
  <si>
    <t>مُستقَرّ</t>
  </si>
  <si>
    <t>مَحَلَّة</t>
  </si>
  <si>
    <t>مَقَرّ</t>
  </si>
  <si>
    <t>مَوْئِل</t>
  </si>
  <si>
    <t>الشمال المحرر يسجل إصابات جديدة بـ\"كورونا\" والنظام يطلق \"منصة إلكترونية\" لتلقي اللقاح https://t.co/zqEieg0nbz</t>
  </si>
  <si>
    <t>الشمال المحرر</t>
  </si>
  <si>
    <t>الزواية باردة محرر نسخ</t>
  </si>
  <si>
    <t>مقابل محرر صحفي</t>
  </si>
  <si>
    <t>المحرر</t>
  </si>
  <si>
    <t>مبدع</t>
  </si>
  <si>
    <t>خبير</t>
  </si>
  <si>
    <t>كاتب</t>
  </si>
  <si>
    <t>محرر صحفي</t>
  </si>
  <si>
    <t>مؤلف</t>
  </si>
  <si>
    <t>باحث</t>
  </si>
  <si>
    <t>النظام</t>
  </si>
  <si>
    <t>تَسَلسُل</t>
  </si>
  <si>
    <t>تَنَاغُم</t>
  </si>
  <si>
    <t>تَرْتِيب</t>
  </si>
  <si>
    <t>انْضِبَاط</t>
  </si>
  <si>
    <t>تَنْسِيق</t>
  </si>
  <si>
    <t>سِلْسَبِيل</t>
  </si>
  <si>
    <t>الوصال| الأستاذ الدكتور سعيد الظفري يتحدث عن أهمية غرس الطريقة العلمية لحل المشكلات لدى الأطفال لـ</t>
  </si>
  <si>
    <t>غرس</t>
  </si>
  <si>
    <t>أَنْبَتَ</t>
  </si>
  <si>
    <t>فَتَل</t>
  </si>
  <si>
    <t>زرع</t>
  </si>
  <si>
    <t>دَرَس</t>
  </si>
  <si>
    <t>صحيفة تكشف عن التوصل لاتفاق لإعادة جثة الجاسوس \"كوهين\" من سوريا وأرملته تشكك https://t.co/FWzKStzSYm</t>
  </si>
  <si>
    <t>صحيفة تكشف عن التوصل لاتفاق لإعادة جثة الجاسوس "كوهين" من سوريا وأرملته تشكك</t>
  </si>
  <si>
    <t>دورية ألقت ضوء عن تحقيق لاتفاق إعادة جُثْمَان/ جَسَد/ هَامَة/ رَمِيم/ مَيْتَة/ مُتَوَفًى/ مُفَارِق/ مُسَجًى/ مُضَجّى/ لَحْد سرِّي مدرس من سوريا وتَبَرْمَلَتِ تشكك</t>
  </si>
  <si>
    <t>نشرة فضحت عن وصول إلى تآلف إعادة جثة جاسوس مرشد من سوريا وَحَدَها تردد</t>
  </si>
  <si>
    <t>صحن ألقت ضوء عن وصول اتساق تكرار جُثْمَان/ جَسَد/ هَامَة/ رَمِيم/ مَيْتَة/ مُتَوَفًى/ مُفَارِق/ مُسَجًى/ مُضَجّى/ لَحْد مُستطلع مبشر من سوريا اِسْتَرْمَلَتْ ريبة</t>
  </si>
  <si>
    <t>جريدة تكشف عن وصول تلاحم إعادة جُثْمَان/ جَسَد/ هَامَة/ رَمِيم/ مَيْتَة/ مُتَوَفًى/ مُفَارِق/ مُسَجًى/ مُضَجّى/ لَحْد مُتجسس كوهين من دِمَشْقُ وَحَدَها تشكك</t>
  </si>
  <si>
    <t>ورقة أبانت عن توصل لاتفاق إعادة صياغة جثة عميل مرشد من سوريا وآخَرَتْهُ شكوكية</t>
  </si>
  <si>
    <t>صحيفة أظهرَ عن بلوغ تواؤم إعادة جُثْمَان/ جَسَد/ هَامَة/ رَمِيم/ مَيْتَة/ مُتَوَفًى/ مُفَارِق/ مُسَجًى/ مُضَجّى/ لَحْد جاسوس كوهين من دِمَشْقُ وأرملته ريبة</t>
  </si>
  <si>
    <t>الجاسوس</t>
  </si>
  <si>
    <t>المُخبر</t>
  </si>
  <si>
    <t>المندس</t>
  </si>
  <si>
    <t>المخبر</t>
  </si>
  <si>
    <t>الراصد</t>
  </si>
  <si>
    <t>العميل</t>
  </si>
  <si>
    <t>النائب نقولا نحاس لـ\"الجديد\": اعتذار الحريري لم يكون هو الحل وآلية تشكيل الحكومات أصبح خطيراً @NahasNicolas</t>
  </si>
  <si>
    <t xml:space="preserve"> اعتذار الحريري لم يكون هو الحل وآلية تشكيل الحكومات أصبح خطيراً </t>
  </si>
  <si>
    <t>تَحَسُّر لطيف لم يكون هو ـمَـخْـرَج آلية تحقيق تشكيل سلطات أصبح مهما</t>
  </si>
  <si>
    <t>ندم لطيف لم يكون هو إفـلات آلية تطبيق تشكيل حكومات أصبح هائلا</t>
  </si>
  <si>
    <t>ندم ناعم لم يكون هو ـنـجـاة تقنيات تخطيط سلطات أصبح خطيرا</t>
  </si>
  <si>
    <t>تَرْجِيع منساب لم يكون هو حَـلّ آلية تحقيق تشكيل حكومات أصبح فادحا</t>
  </si>
  <si>
    <t>إقلاع حريري لم يكون هو حَـلّ آلية أداء تصميم حكومات أصبح مهما</t>
  </si>
  <si>
    <t>خطيراً</t>
  </si>
  <si>
    <t>جسيما</t>
  </si>
  <si>
    <t>فاديا</t>
  </si>
  <si>
    <t>جسيمًا</t>
  </si>
  <si>
    <t>جللا</t>
  </si>
  <si>
    <t>مهولا</t>
  </si>
  <si>
    <t>آلية تشكيل الحكومات أصبح خطيراً</t>
  </si>
  <si>
    <t>وسيلة تشكيل قيادات أصبح خطيرا</t>
  </si>
  <si>
    <t>تدبير تصميم حكومات أصبح رهيبا</t>
  </si>
  <si>
    <t>آلية تشكيل إدارات أصبح رهيبا</t>
  </si>
  <si>
    <t>إجراء صياغة سلطات أصبح جللا</t>
  </si>
  <si>
    <t>وزير الصحة : ما مررنا به امتحان عسير وصعب وتفاجأنا به وجاءت النتائج مرضية واثبتت نجاعة الخطط المسبقة #صحيفة_الرأي #الأردن</t>
  </si>
  <si>
    <t>عسير وصعب</t>
  </si>
  <si>
    <t>صعب حَرِج</t>
  </si>
  <si>
    <t>عسير عسر</t>
  </si>
  <si>
    <t>مُستَعْصٍ مُمَاحِي</t>
  </si>
  <si>
    <t>نجاعة</t>
  </si>
  <si>
    <t>كفاءة</t>
  </si>
  <si>
    <t>إنتاجية</t>
  </si>
  <si>
    <t>جودة</t>
  </si>
  <si>
    <t>إتقان</t>
  </si>
  <si>
    <t>جدوى</t>
  </si>
  <si>
    <t>صور| مكبل القدمين.. آثار اعتداء الاحتلال على الطفل محمد يحيى في مدينة الطيبة المحتلة. #فلسطين https://t.co/0m9H02v441</t>
  </si>
  <si>
    <t xml:space="preserve">مكبل </t>
  </si>
  <si>
    <t>موثوق</t>
  </si>
  <si>
    <t>صور| مكبل القدمين.. آثار اعتداء الاحتلال على الطفل محمد يحيى في مدينة الطيبة المحتلة. #فلسطين https://t.co/0m9H02v442</t>
  </si>
  <si>
    <t>مُصفّد</t>
  </si>
  <si>
    <t>صور| مكبل القدمين.. آثار اعتداء الاحتلال على الطفل محمد يحيى في مدينة الطيبة المحتلة. #فلسطين https://t.co/0m9H02v443</t>
  </si>
  <si>
    <t>مقيّد</t>
  </si>
  <si>
    <t>صور| مكبل القدمين.. آثار اعتداء الاحتلال على الطفل محمد يحيى في مدينة الطيبة المحتلة. #فلسطين https://t.co/0m9H02v444</t>
  </si>
  <si>
    <t>مُغلّل</t>
  </si>
  <si>
    <t>صور| مكبل القدمين.. آثار اعتداء الاحتلال على الطفل محمد يحيى في مدينة الطيبة المحتلة. #فلسطين https://t.co/0m9H02v445</t>
  </si>
  <si>
    <t>مُكبّر</t>
  </si>
  <si>
    <t>صور| مكبل القدمين.. آثار اعتداء الاحتلال على الطفل محمد يحيى في مدينة الطيبة المحتلة. #فلسطين https://t.co/0m9H02v446</t>
  </si>
  <si>
    <t>مُكبوت</t>
  </si>
  <si>
    <t>صور| مكبل القدمين.. آثار اعتداء الاحتلال على الطفل محمد يحيى في مدينة الطيبة المحتلة. #فلسطين https://t.co/0m9H02v447</t>
  </si>
  <si>
    <t>اعتوار</t>
  </si>
  <si>
    <t>صور| مكبل القدمين.. آثار اعتداء الاحتلال على الطفل محمد يحيى في مدينة الطيبة المحتلة. #فلسطين https://t.co/0m9H02v448</t>
  </si>
  <si>
    <t>صور| مكبل القدمين.. آثار اعتداء الاحتلال على الطفل محمد يحيى في مدينة الطيبة المحتلة. #فلسطين https://t.co/0m9H02v449</t>
  </si>
  <si>
    <t>تعدٍّ</t>
  </si>
  <si>
    <t>صور| مكبل القدمين.. آثار اعتداء الاحتلال على الطفل محمد يحيى في مدينة الطيبة المحتلة. #فلسطين https://t.co/0m9H02v450</t>
  </si>
  <si>
    <t>اعتساف</t>
  </si>
  <si>
    <t>صور| مكبل القدمين.. آثار اعتداء الاحتلال على الطفل محمد يحيى في مدينة الطيبة المحتلة. #فلسطين https://t.co/0m9H02v451</t>
  </si>
  <si>
    <t>صور| مكبل القدمين.. آثار اعتداء الاحتلال على الطفل محمد يحيى في مدينة الطيبة المحتلة. #فلسطين https://t.co/0m9H02v452</t>
  </si>
  <si>
    <t>صور| مكبل القدمين.. آثار اعتداء الاحتلال على الطفل محمد يحيى في مدينة الطيبة المحتلة. #فلسطين https://t.co/0m9H02v453</t>
  </si>
  <si>
    <t>الاجتياح</t>
  </si>
  <si>
    <t>صور| مكبل القدمين.. آثار اعتداء الاحتلال على الطفل محمد يحيى في مدينة الطيبة المحتلة. #فلسطين https://t.co/0m9H02v454</t>
  </si>
  <si>
    <t>الضم</t>
  </si>
  <si>
    <t>صور| مكبل القدمين.. آثار اعتداء الاحتلال على الطفل محمد يحيى في مدينة الطيبة المحتلة. #فلسطين https://t.co/0m9H02v456</t>
  </si>
  <si>
    <t>المُستَعبَدة</t>
  </si>
  <si>
    <t>صور| مكبل القدمين.. آثار اعتداء الاحتلال على الطفل محمد يحيى في مدينة الطيبة المحتلة. #فلسطين https://t.co/0m9H02v457</t>
  </si>
  <si>
    <t>صور| مكبل القدمين.. آثار اعتداء الاحتلال على الطفل محمد يحيى في مدينة الطيبة المحتلة. #فلسطين https://t.co/0m9H02v458</t>
  </si>
  <si>
    <t>المحتسبة</t>
  </si>
  <si>
    <t>صور| مكبل القدمين.. آثار اعتداء الاحتلال على الطفل محمد يحيى في مدينة الطيبة المحتلة. #فلسطين https://t.co/0m9H02v459</t>
  </si>
  <si>
    <t>صور| مكبل القدمين.. آثار اعتداء الاحتلال على الطفل محمد يحيى في مدينة الطيبة المحتلة. #فلسطين https://t.co/0m9H02v460</t>
  </si>
  <si>
    <t>المدججة</t>
  </si>
  <si>
    <t>صور| مكبل القدمين.. آثار اعتداء الاحتلال على الطفل محمد يحيى في مدينة الطيبة المحتلة. #فلسطين https://t.co/0m9H02v461</t>
  </si>
  <si>
    <t>مشعل: القضية الفلسطينية واحدة لا تتجزأ https://t.co/ZSPoEoo66r #المسجد_الأقصى #غزة_تنتصر</t>
  </si>
  <si>
    <t xml:space="preserve">مشعل: القضية الفلسطينية واحدة لا تتجزأ </t>
  </si>
  <si>
    <t>مُوقِد خلاف فلسطينية واحدة لا تفتقت</t>
  </si>
  <si>
    <t>مِشْكاة رأي غَزَّوِيَّةٌ أحادية لا انشطرت</t>
  </si>
  <si>
    <t>مشعل رأي عَرَبِيَّةٌ واحدة لا تفتت</t>
  </si>
  <si>
    <t>مِفْتَح خلاف رَحْوَلِيَّةٌ وحيدة معزولة لا تتجزأ</t>
  </si>
  <si>
    <t>واحدة لا تتجزأ</t>
  </si>
  <si>
    <t>وحيدة قائمة بذاتها لا تفتتت</t>
  </si>
  <si>
    <t>واحدة لا تشرذمت</t>
  </si>
  <si>
    <t>الوحيدة لا انقسمت</t>
  </si>
  <si>
    <t>فرد عداد لا تفرقت</t>
  </si>
  <si>
    <t>واحدة لا مثيل لها لا انشعبت</t>
  </si>
  <si>
    <r>
      <rPr>
        <sz val="11"/>
        <color theme="1"/>
        <rFont val="Calibri"/>
        <family val="2"/>
        <charset val="1"/>
      </rPr>
      <t>#</t>
    </r>
    <r>
      <rPr>
        <sz val="11"/>
        <color theme="1"/>
        <rFont val="FreeSans"/>
        <family val="2"/>
      </rPr>
      <t>غزة</t>
    </r>
    <r>
      <rPr>
        <sz val="11"/>
        <color theme="1"/>
        <rFont val="Calibri"/>
        <family val="2"/>
        <charset val="1"/>
      </rPr>
      <t>_</t>
    </r>
    <r>
      <rPr>
        <sz val="11"/>
        <color theme="1"/>
        <rFont val="FreeSans"/>
        <family val="2"/>
      </rPr>
      <t>تنتصر</t>
    </r>
  </si>
  <si>
    <t>قوة تنتصر</t>
  </si>
  <si>
    <t>عزيمة تنتصر</t>
  </si>
  <si>
    <t>قلعة تَظْفَرُ</t>
  </si>
  <si>
    <t>غزة تَسُودُ</t>
  </si>
  <si>
    <t>القضية الفلسطينية واحدة لا تتجزأ</t>
  </si>
  <si>
    <t>الأمر مُقَاوِمَةٌ وحيدة لا انفرطت</t>
  </si>
  <si>
    <t>الإشكالية مُهَجَّرَةٌ واحدة لا انشقت</t>
  </si>
  <si>
    <t>القضية فلسطينية وحيداء لا انفرطت</t>
  </si>
  <si>
    <t>الأمر رَحْوَلِيَّةٌ وحيدة بذاتها لا تباينت</t>
  </si>
  <si>
    <t>القضية فلسطينية خالصة لا تباينت</t>
  </si>
  <si>
    <t>المقضية مُهَجَّرَةٌ واحدة لا تجزأت</t>
  </si>
  <si>
    <t>بالفيديو - قطة تقتحم مؤتمرا صحافيا للنائب السابق مصباح الأحدب https://t.co/5aF2WCHVv6</t>
  </si>
  <si>
    <t>تقتحم</t>
  </si>
  <si>
    <t>اقتحاق</t>
  </si>
  <si>
    <t>بالفيديو - قطة تقتحم مؤتمرا صحافيا للنائب السابق مصباح الأحدب https://t.co/5aF2WCHVv7</t>
  </si>
  <si>
    <t>انداحت</t>
  </si>
  <si>
    <t>بالفيديو - قطة تقتحم مؤتمرا صحافيا للنائب السابق مصباح الأحدب https://t.co/5aF2WCHVv8</t>
  </si>
  <si>
    <t>اندفعت</t>
  </si>
  <si>
    <t>بالفيديو - قطة تقتحم مؤتمرا صحافيا للنائب السابق مصباح الأحدب https://t.co/5aF2WCHVv9</t>
  </si>
  <si>
    <t>اقتحمت</t>
  </si>
  <si>
    <t>بالفيديو - قطة تقتحم مؤتمرا صحافيا للنائب السابق مصباح الأحدب https://t.co/5aF2WCHVv10</t>
  </si>
  <si>
    <t>تهجمت</t>
  </si>
  <si>
    <t>المؤتمر الصحفي المتوج لإجتماع مجلس الوزراء https://t.co/jozkbi14k4 https://t.co/yQRLWQ7J0Q</t>
  </si>
  <si>
    <t>مُتَوَشِّح</t>
  </si>
  <si>
    <t>مُتَاكِس</t>
  </si>
  <si>
    <t>مُتَوَّجٌ بِالذَّهَب</t>
  </si>
  <si>
    <t>نواة في دقيقة: الشاهد والنهضة، رجل التوافق ينهي تحالف الشيخين:</t>
  </si>
  <si>
    <t>رجل التوافق</t>
  </si>
  <si>
    <t>غُلاَمٌ وفاق</t>
  </si>
  <si>
    <t>فَتَى وفاق</t>
  </si>
  <si>
    <t>مَرْءُ وفاق</t>
  </si>
  <si>
    <t>صدمة في تركيا بعد هذا القرار الروسي المفاجئ https://t.co/XtGGfWrKae</t>
  </si>
  <si>
    <t>صدمة</t>
  </si>
  <si>
    <t>هَزَّةٌ</t>
  </si>
  <si>
    <t>مُفاجَأةٌ</t>
  </si>
  <si>
    <t>القرار الروسي</t>
  </si>
  <si>
    <t>الْبَتُّ كَرَمْلِينِيُّ</t>
  </si>
  <si>
    <t>الْحَسْم روسي</t>
  </si>
  <si>
    <t>القرار رَّوْبَلِيُّ</t>
  </si>
  <si>
    <t>القرار مُوسْكُوفِيُّ</t>
  </si>
  <si>
    <t>الحُكْم شُّرْطِيُّ</t>
  </si>
  <si>
    <t>القرار بَلْدَمِيّ</t>
  </si>
  <si>
    <t>المفاجئ</t>
  </si>
  <si>
    <t>فَجْأَةً</t>
  </si>
  <si>
    <t>صَادِمَةٌ</t>
  </si>
  <si>
    <t>البَغتة</t>
  </si>
  <si>
    <t>عَنْ قُرْب</t>
  </si>
  <si>
    <t>بَاتِرَةً</t>
  </si>
  <si>
    <t>خَاطِفَةً</t>
  </si>
  <si>
    <t>وزير الخارجية #الكويتي: يجب التعاطي بحزم مع #الاحتلال الإسرائيلي ومحاسبته على ممارساته</t>
  </si>
  <si>
    <t>يجب</t>
  </si>
  <si>
    <t>لا بُدَّ وَلا بُدَّ</t>
  </si>
  <si>
    <t>لا بُدَّ وَلا مَحِيصَ</t>
  </si>
  <si>
    <t>يَنْبَغِي</t>
  </si>
  <si>
    <t>لابُدَّ</t>
  </si>
  <si>
    <t>يَا حَبَّذَا</t>
  </si>
  <si>
    <t>يَجِبُ أَنَّ</t>
  </si>
  <si>
    <t>بحزم</t>
  </si>
  <si>
    <t>إقدامًا</t>
  </si>
  <si>
    <t>حسمًا</t>
  </si>
  <si>
    <t>حَزْمًا</t>
  </si>
  <si>
    <t>الإخضاع صهيوني</t>
  </si>
  <si>
    <t>الاحتلال إسرائيليتي</t>
  </si>
  <si>
    <t>الإخضاع يعقوبي</t>
  </si>
  <si>
    <t>السيطرة إسرائيلي</t>
  </si>
  <si>
    <t>القهر إسرائيليتي</t>
  </si>
  <si>
    <t>محاسبته</t>
  </si>
  <si>
    <t>مُفَاحَصَة</t>
  </si>
  <si>
    <t>مُحَاجَّة</t>
  </si>
  <si>
    <t>مُسَاءَلَة</t>
  </si>
  <si>
    <t>مُحَاسَبَة</t>
  </si>
  <si>
    <t>مُحَاورة</t>
  </si>
  <si>
    <t>التسلط</t>
  </si>
  <si>
    <t>نمور تهرب من حديقة سفاري في واحدة من أكبر مدن الصين..والموظفون يدقون ناقوس الخطر بعد مرور أسبوع على الحادثة https://t.co/m7w0CoZxwF</t>
  </si>
  <si>
    <t>الخطر</t>
  </si>
  <si>
    <t>الهلاك</t>
  </si>
  <si>
    <t>المحق</t>
  </si>
  <si>
    <t>الخسران</t>
  </si>
  <si>
    <t>يدقون ناقوس الخطر</t>
  </si>
  <si>
    <t>يدقون قَرْقافَة خطر</t>
  </si>
  <si>
    <t>يقرعون ناقوس عُسر</t>
  </si>
  <si>
    <t>يُحكِمون صَلْصَلَة تهديد</t>
  </si>
  <si>
    <t>يثبتون قَرْقافَة تهديد</t>
  </si>
  <si>
    <t>شاهد لأول مرة صورة لـ \"كويكب يوم القيامة\" نجح علماء الفلك في التقاط صوره https://t.co/WOMcx5ezYH https://t.co/juAAZlJ8b5</t>
  </si>
  <si>
    <t>كويكب يوم القيامة</t>
  </si>
  <si>
    <t>كويكب يوم نشأة</t>
  </si>
  <si>
    <t>شاهد لأول مرة صورة لـ \"كويكب يوم القيامة\" نجح علماء الفلك في التقاط صوره https://t.co/WOMcx5ezYH https://t.co/juAAZlJ8b6</t>
  </si>
  <si>
    <t>شهاب يوم يوم فصل</t>
  </si>
  <si>
    <t>شاهد لأول مرة صورة لـ \"كويكب يوم القيامة\" نجح علماء الفلك في التقاط صوره https://t.co/WOMcx5ezYH https://t.co/juAAZlJ8b8</t>
  </si>
  <si>
    <t>شظية يوم يوم فصل</t>
  </si>
  <si>
    <t>شاهد لأول مرة صورة لـ \"كويكب يوم القيامة\" نجح علماء الفلك في التقاط صوره https://t.co/WOMcx5ezYH https://t.co/juAAZlJ8b9</t>
  </si>
  <si>
    <t>كويكب يوم يوم عرض</t>
  </si>
  <si>
    <t>منظمة ألمانية : سوريا تعاني من أسوأ أزمة جوع حتى الأن https://t.co/AfNgCyisGI</t>
  </si>
  <si>
    <t>سوريا تعاني من أسوأ أزمة جوع حتى الأن</t>
  </si>
  <si>
    <t>سوريا تكابد من أنكأ هَمّ جُرْعَةٌ حتى أن</t>
  </si>
  <si>
    <t>أَرْضُ شَّام تعاني من أخسّ نكبة جوع حتى حالمة</t>
  </si>
  <si>
    <t>سوريا تعاني من أخسّ ضيق جُرْعَةٌ حتى أن</t>
  </si>
  <si>
    <t>سوريا تعاني من أسوأ محنة خَوَاءٌ حتى حالمة</t>
  </si>
  <si>
    <t>أسوأ أزمة جوع</t>
  </si>
  <si>
    <t>أحطّ بلية ضَنك</t>
  </si>
  <si>
    <t>أسوأ شدة جوع</t>
  </si>
  <si>
    <t>أسوأ نكبة ضَنك</t>
  </si>
  <si>
    <t>أخسّ أزمة إِملاق</t>
  </si>
  <si>
    <t>أشقى نكبة جفاف</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</si>
  <si>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https://t.co/qoj2sPxqH9</t>
  </si>
  <si>
    <t>المتشددون في #إيران</t>
  </si>
  <si>
    <t>المُتَعَصّبون في أصفهان</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</si>
  <si>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https://t.co/qoj2sPxqH10</t>
  </si>
  <si>
    <t>المتشددون في أرض فيروز</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</si>
  <si>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https://t.co/qoj2sPxqH11</t>
  </si>
  <si>
    <t>المُتَحَجّرون في إيران</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</si>
  <si>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https://t.co/qoj2sPxqH12</t>
  </si>
  <si>
    <t>الأصوليّون في بيروز</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</si>
  <si>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https://t.co/qoj2sPxqH13</t>
  </si>
  <si>
    <t>عرقلة</t>
  </si>
  <si>
    <t>إحْباط</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</si>
  <si>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https://t.co/qoj2sPxqH14</t>
  </si>
  <si>
    <t>إعْسار</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</si>
  <si>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https://t.co/qoj2sPxqH15</t>
  </si>
  <si>
    <t>مُعارَضة</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</si>
  <si>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https://t.co/qoj2sPxqH16</t>
  </si>
  <si>
    <t>حَجْر</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</si>
  <si>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https://t.co/qoj2sPxqH17</t>
  </si>
  <si>
    <t>إعاقة</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</si>
  <si>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https://t.co/qoj2sPxqH18</t>
  </si>
  <si>
    <t>الإصلاحيين</t>
  </si>
  <si>
    <t>المحدثين</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</si>
  <si>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https://t.co/qoj2sPxqH19</t>
  </si>
  <si>
    <t>المصلحين</t>
  </si>
  <si>
    <t>المحلل السياسي ماجد الخطيب: المتشددون في #إيران يحاولون عرقلة المحادثات النووية لأن نجاحها يعني فوز الإصلاحيين في انتخابات الرئاسة #العربية https://t.co/qoj2sPxqH20</t>
  </si>
  <si>
    <t>التقدميين</t>
  </si>
  <si>
    <t>مان سيتي وتوتنهام.. صراع على لقب كأس الرابطة الإنجليزية https://t.co/v6XfFUhkZc https://t.co/iYTIg8LyS5</t>
  </si>
  <si>
    <t>صراع</t>
  </si>
  <si>
    <t>مجابهة</t>
  </si>
  <si>
    <t>مان سيتي وتوتنهام.. صراع على لقب كأس الرابطة الإنجليزية https://t.co/v6XfFUhkZc https://t.co/iYTIg8LyS6</t>
  </si>
  <si>
    <t>اقتتال</t>
  </si>
  <si>
    <t>مان سيتي وتوتنهام.. صراع على لقب كأس الرابطة الإنجليزية https://t.co/v6XfFUhkZc https://t.co/iYTIg8LyS7</t>
  </si>
  <si>
    <t>صدام</t>
  </si>
  <si>
    <t>مان سيتي وتوتنهام.. صراع على لقب كأس الرابطة الإنجليزية https://t.co/v6XfFUhkZc https://t.co/iYTIg8LyS9</t>
  </si>
  <si>
    <t>معارك</t>
  </si>
  <si>
    <t>ماذا يحدث في إيران؟ حرائق وانفجارات وقتلى في ظروف غامضة https://t.co/T15AIxojNb</t>
  </si>
  <si>
    <t>ماذا يحدث في إيران؟ حرائق وانفجارات وقتلى في ظروف غامضة</t>
  </si>
  <si>
    <t>ماذا يحدث في إيران؟ نيران هجمات مُدوّية ضَحايا في ظروف غامضة</t>
  </si>
  <si>
    <t>ماذا يحدث في إيران؟ حرائق هجمات مُدوّية مُنْهَزِمُون في أوضاع مُبهمة ظن</t>
  </si>
  <si>
    <t>ماذا يَتَحَقَّق في أيران حرائق رَجّات مُدوّية خَسائر في ظروف غامضة</t>
  </si>
  <si>
    <t>ماذا يحدث في بلاد فارس لهب رَجّات مُدوّية خَسائر في أسباب مُحيّرة</t>
  </si>
  <si>
    <t>ماذا يَتَجَسَّد في بلاد فرس حريق وانفجارات فَقْيء في أوضاع مُبهم</t>
  </si>
  <si>
    <t>انفجارات</t>
  </si>
  <si>
    <t>تطايرات</t>
  </si>
  <si>
    <t>انفاقات</t>
  </si>
  <si>
    <t>اصطدامات</t>
  </si>
  <si>
    <t>تشظيات</t>
  </si>
  <si>
    <t>مَهالِك</t>
  </si>
  <si>
    <t>مَفْقَل</t>
  </si>
  <si>
    <t>مَصْرَع</t>
  </si>
  <si>
    <t>ظروف غامضة</t>
  </si>
  <si>
    <t>حوادث مُبهمة</t>
  </si>
  <si>
    <t>أوقات مُتَغَيِّبَة</t>
  </si>
  <si>
    <t>أحداث خَفيّة</t>
  </si>
  <si>
    <t>وقائع مُبهمة معنى</t>
  </si>
  <si>
    <t>علل مُبهمة معنى</t>
  </si>
  <si>
    <t>أوضاع مُبهم</t>
  </si>
  <si>
    <t>هكذا ودع #السودان فقيد البلاد الإمام السيد #الصادق_المهدي. لقد زرته مرتين و تحدثنا مطولاً. له الرحمة والمغفرة وللشعب السوداني الصبر وحسن العزاء. https://t.co/q0iMsZqhGc</t>
  </si>
  <si>
    <t>هكذا ودع #السودان فقيد البلاد الإمام السيد #الصادق_المهدي. لقد زرته مرتين و تحدثنا مطولاً. له الرحمة والمغفرة وللشعب السوداني الصبر وحسن العزاء.</t>
  </si>
  <si>
    <t>هكذا ودع سودان مُعدم مواطن رئيس رَئِيس صادق غُلام لقد وَفَدْتُهُ مرتين و تحادثنا فَتْرَة له شفقة والمغفرة وللشعب كافة خرطومي جلد جميل ثبات</t>
  </si>
  <si>
    <t>هكذا ودع حبشي مَفقود بلاد إمام زَعيم مُؤتمن موعود لقد زرته مرّة و تحاشنا مطولا له رحمة تجاوز وللأمة قحطاني صبر جميل عزاء: مواساة</t>
  </si>
  <si>
    <t>هكذا مفارقة عَبَم فقيد مواطن رئيس سيد صادق موعود حقيقةً زرته مرّة و تحدثنا مُيسَم له رحمة والمغفرة وللأمة أسود صبر وحسن سلوان</t>
  </si>
  <si>
    <t>هكذا انطلاق كَحْل مَفقود بلاد إمام سيد أمين منتظر عَمَلًا وَفَدْتُهُ مرّتين و تحدثنا مطولا له رقة صفح وسائر شعب أَفْرَق مهلة مُبَارَك عزاء</t>
  </si>
  <si>
    <t>هكذا ودع حبشي مفقود معمور دليل رَبّ أمين سَّيد بالفعل زرته اثنتين و تحاورنا مُدَّة له رحمة والمغفرة وللأمة قحطاني صبر ظريف صبر</t>
  </si>
  <si>
    <t>هكذا ودع نَيْل مفقود بلاد إمام مُعَظَّم صادق وَعد عَمَلًا زَارَهُ مرتين و ناقشنا أَجَال له رقة والمغفرة وللشعب بأسره سوداني سكون وحسن ثبات</t>
  </si>
  <si>
    <t xml:space="preserve">الرحمة والمغفرة </t>
  </si>
  <si>
    <t>المودة صفح</t>
  </si>
  <si>
    <t>الرأفة والمغفرة</t>
  </si>
  <si>
    <t>العفو والمغفرة</t>
  </si>
  <si>
    <t>فقيد البلاد</t>
  </si>
  <si>
    <t>مفقود مُقَام</t>
  </si>
  <si>
    <t>مفقود فِلَاح</t>
  </si>
  <si>
    <t>مَسْفُوح بلاد</t>
  </si>
  <si>
    <t>فقيد فِلَاح</t>
  </si>
  <si>
    <t>سلمان سالم | هوس الماركات التجارية يهيمن على عقول بعض الشباب ويفرغ جيوبهم! #Bahrain https://t.co/UWQmdb6Hmi</t>
  </si>
  <si>
    <t>هوس</t>
  </si>
  <si>
    <t>عشق</t>
  </si>
  <si>
    <t>جنون</t>
  </si>
  <si>
    <t>انبهار</t>
  </si>
  <si>
    <t>هوسة</t>
  </si>
  <si>
    <t>يهيمن</t>
  </si>
  <si>
    <t>يتسلط</t>
  </si>
  <si>
    <t>يقهر</t>
  </si>
  <si>
    <t>يدبر</t>
  </si>
  <si>
    <t>يسيطر</t>
  </si>
  <si>
    <t>يربح</t>
  </si>
  <si>
    <t>عين_اليمن \"السيناريو العراقي\" يرعب حزب الله في لبنان https://t.co/BCb5ew6PnB https://t.co/RPJPWbxg7V</t>
  </si>
  <si>
    <t xml:space="preserve">يرعب </t>
  </si>
  <si>
    <t>يُزعزع</t>
  </si>
  <si>
    <t>يُثبط</t>
  </si>
  <si>
    <r>
      <rPr>
        <sz val="11"/>
        <color theme="1"/>
        <rFont val="Calibri"/>
        <family val="2"/>
        <charset val="1"/>
      </rPr>
      <t>"</t>
    </r>
    <r>
      <rPr>
        <sz val="11"/>
        <color theme="1"/>
        <rFont val="FreeSans"/>
        <family val="2"/>
      </rPr>
      <t>السيناريو العراقي</t>
    </r>
    <r>
      <rPr>
        <sz val="11"/>
        <color theme="1"/>
        <rFont val="Calibri"/>
        <family val="2"/>
        <charset val="1"/>
      </rPr>
      <t>"</t>
    </r>
  </si>
  <si>
    <t>المَكْتَب بَصْري</t>
  </si>
  <si>
    <t>النص حَلَبي</t>
  </si>
  <si>
    <t>السِفر عراقي</t>
  </si>
  <si>
    <t>السيناريو مَوْصِلي</t>
  </si>
  <si>
    <t>إعلام العدو: الطيران الحربي شن أكثر من 100 غارة في ساعة واحدة على قطاع #غزة. #غزة_تحت_القصف #GhazaUnderAttach #GazzaUnderAttack #GazaUnderAttack #GazaUnderAttackk #PalestineUnderAttack</t>
  </si>
  <si>
    <t>إعلام العدو</t>
  </si>
  <si>
    <t>تبصير مُباغِض</t>
  </si>
  <si>
    <t>تبصير وَحش</t>
  </si>
  <si>
    <t>إعلان مناوئ</t>
  </si>
  <si>
    <t>تنبيه مُحارب</t>
  </si>
  <si>
    <t>غزة_تحت_القصف</t>
  </si>
  <si>
    <t>غزة تحت تخريب</t>
  </si>
  <si>
    <t>مَدْيَنة تحت ضرب</t>
  </si>
  <si>
    <t>حصن تحت هجوم</t>
  </si>
  <si>
    <t>غزة تحت هجوم</t>
  </si>
  <si>
    <t>مُعَقَّل تحت رمي</t>
  </si>
  <si>
    <t>مَعْقِل تحت تخريب</t>
  </si>
  <si>
    <t>إفادة مُباغت</t>
  </si>
  <si>
    <t>إعلام مُخاصِم</t>
  </si>
  <si>
    <t>تبليغ معادي</t>
  </si>
  <si>
    <t>إرشاد مُحارب</t>
  </si>
  <si>
    <t>إعلام خصم</t>
  </si>
  <si>
    <t>تنبيه مُعادِي</t>
  </si>
  <si>
    <r>
      <rPr>
        <sz val="11"/>
        <color theme="1"/>
        <rFont val="Calibri"/>
        <family val="2"/>
        <charset val="1"/>
      </rPr>
      <t>#</t>
    </r>
    <r>
      <rPr>
        <sz val="11"/>
        <color theme="1"/>
        <rFont val="FreeSans"/>
        <family val="2"/>
      </rPr>
      <t>غزة</t>
    </r>
    <r>
      <rPr>
        <sz val="11"/>
        <color theme="1"/>
        <rFont val="Calibri"/>
        <family val="2"/>
        <charset val="1"/>
      </rPr>
      <t>_</t>
    </r>
    <r>
      <rPr>
        <sz val="11"/>
        <color theme="1"/>
        <rFont val="FreeSans"/>
        <family val="2"/>
      </rPr>
      <t>تحت</t>
    </r>
    <r>
      <rPr>
        <sz val="11"/>
        <color theme="1"/>
        <rFont val="Calibri"/>
        <family val="2"/>
        <charset val="1"/>
      </rPr>
      <t>_</t>
    </r>
    <r>
      <rPr>
        <sz val="11"/>
        <color theme="1"/>
        <rFont val="FreeSans"/>
        <family val="2"/>
      </rPr>
      <t>القصف</t>
    </r>
  </si>
  <si>
    <t>عزة تحت إبادة</t>
  </si>
  <si>
    <t>غزة تحت تدمير</t>
  </si>
  <si>
    <t>معقل تحت قنص</t>
  </si>
  <si>
    <t>غزة تحت إبادة</t>
  </si>
  <si>
    <t>غزة تحت رمي</t>
  </si>
  <si>
    <t>اصابات باقتحام الاحتلال لمخيم عايدة في بيت لحم واعتقال 16 فلسطينيا بالضفة #صحيفة_الرأي #الأردن https://t.co/SRTm2r1FYx</t>
  </si>
  <si>
    <t>باقتحام</t>
  </si>
  <si>
    <t>اندفاعًا</t>
  </si>
  <si>
    <t>إفضاءً</t>
  </si>
  <si>
    <t>اقتحاميةً</t>
  </si>
  <si>
    <t>إبانةً</t>
  </si>
  <si>
    <t>علماء متخصصون: من المرجح أن الصاروخ الصيني سوف يسقط في البحر كون أن الماء يغطي 70% من الكرة الأرضية</t>
  </si>
  <si>
    <t>مُجَرِّبُون خبراء من ساطع أن قذيفة غَرْبِيُّ أَوْسَطِيُّ سوف زوالاً في بحر كون أن ماء يُوَارِي من هَيْزَع رَحَى</t>
  </si>
  <si>
    <t>مُنَظِّرُون بارعون من أغلب أن منجنيق صيني سوف يسقط في خليج كون أن ماء/ ماءٌ/ مُطْر/ سَيْل/ مَوْج/ غَدَق/ نَمِيْر/ رَوَاء/ مَاءَة/ سَحَّا/ زُلال يُلبِسُ من دُّنْيَا أرضية</t>
  </si>
  <si>
    <t>علماء فنيون من راجح أن قذيفة صاروخية شرق آسيوي سوف يسقط في أمواج مخلوق أن ماء يُغَطِّي من علّبة مَدَاس</t>
  </si>
  <si>
    <t>بَاحِثُون مُتقنون من مرجح أن نشّابة صيني سوف زوالاً في واحة عالم أن ماء/ ماءٌ/ مُطْر/ سَيْل/ مَوْج/ غَدَق/ نَمِيْر/ رَوَاء/ مَاءَة/ سَحَّا/ زُلال يغطي من دُّنْيَا بَلاطِيَّة</t>
  </si>
  <si>
    <t>مُتَعَلِّمُون مُحْكَمون من مرجح أن صاروخ مَغُولِيُّ سوف يسقط في يم حقيقة أن ماء/ ماءٌ/ مُطْر/ سَيْل/ مَوْج/ غَدَق/ نَمِيْر/ رَوَاء/ مَاءَة/ سَحَّا/ زُلال يُغشِي من حَبّ رَضْوَى</t>
  </si>
  <si>
    <t>صحيفة إسرائيلية: الطائرة الإيرانية المفخخة تصعيد خطير ضد \"إسرائيل\" #فلسطين https://t.co/wx5oG4yN7h</t>
  </si>
  <si>
    <t>المفخخة</t>
  </si>
  <si>
    <t>المُفَجَّرَة</t>
  </si>
  <si>
    <t>المُحَمَّلَة</t>
  </si>
  <si>
    <t>المُهَيَّأَة</t>
  </si>
  <si>
    <t>المُعَدَّة</t>
  </si>
  <si>
    <t>المُفَاخِرَة</t>
  </si>
  <si>
    <t>المُزَوَّدَة</t>
  </si>
  <si>
    <t>خطير</t>
  </si>
  <si>
    <t>عظيم</t>
  </si>
  <si>
    <t>مروع</t>
  </si>
  <si>
    <t>مهول</t>
  </si>
  <si>
    <t>رهيب</t>
  </si>
  <si>
    <t>فادح</t>
  </si>
  <si>
    <t>تصعيد خطير</t>
  </si>
  <si>
    <t>تصوير مُهِمّ</t>
  </si>
  <si>
    <t>تصعيد فَذّ</t>
  </si>
  <si>
    <t>تصعيد عَظِيم</t>
  </si>
  <si>
    <t>ارتفاع خطير</t>
  </si>
  <si>
    <t>تعقيد قاتِم</t>
  </si>
  <si>
    <r>
      <rPr>
        <sz val="11"/>
        <color theme="1"/>
        <rFont val="Calibri"/>
        <family val="2"/>
        <charset val="1"/>
      </rPr>
      <t>"</t>
    </r>
    <r>
      <rPr>
        <sz val="11"/>
        <color theme="1"/>
        <rFont val="FreeSans"/>
        <family val="2"/>
      </rPr>
      <t>إسرائيل</t>
    </r>
    <r>
      <rPr>
        <sz val="11"/>
        <color theme="1"/>
        <rFont val="Calibri"/>
        <family val="2"/>
        <charset val="1"/>
      </rPr>
      <t>"</t>
    </r>
  </si>
  <si>
    <t>القَبَائِلُ اثْنَا عَشَر</t>
  </si>
  <si>
    <t>سِبْط</t>
  </si>
  <si>
    <t>أَفْرِيقِيَّا</t>
  </si>
  <si>
    <t>عــاجــل القناة العبرية الثانية: بعد تهديد حماس: صافرات انذار في الوسط والجنوب</t>
  </si>
  <si>
    <t xml:space="preserve"> تهديد</t>
  </si>
  <si>
    <t>وعيد مبهم</t>
  </si>
  <si>
    <t>تحذير</t>
  </si>
  <si>
    <t>تهديد مبطن</t>
  </si>
  <si>
    <t>عاجل | دياب: هناك حصار خارجي مطبق على #لبنان لدفعه للانهيار الشامل</t>
  </si>
  <si>
    <t>حصار</t>
  </si>
  <si>
    <t>منع</t>
  </si>
  <si>
    <t>إغلاق</t>
  </si>
  <si>
    <t>خناق</t>
  </si>
  <si>
    <t>انسداد</t>
  </si>
  <si>
    <t>للانهيار الشامل</t>
  </si>
  <si>
    <t>للانهيار وافي</t>
  </si>
  <si>
    <t>استسلام كافى</t>
  </si>
  <si>
    <t>للانهيار مُعظم</t>
  </si>
  <si>
    <t>انحطاط شامل</t>
  </si>
  <si>
    <t>هناك حصار خارجي مطبق على #لبنان لدفعه للانهيار الشامل</t>
  </si>
  <si>
    <t>هناك حجر خارجي مُلتصق على لبنان صرف للانهيار عَامّ</t>
  </si>
  <si>
    <t>هناك حَجْر خارجي مطبق على صَّعْد نحيّا استكانة شامل</t>
  </si>
  <si>
    <t>هناك حصار خارجي مُلصق على منيع لدفعه للانهيار شَّاسع</t>
  </si>
  <si>
    <t>هناك حَجْر خارجي مُتقارب على صَّعْد أبعد تداعي كافي</t>
  </si>
  <si>
    <t>هناك تضييق ظاهري مطبق على أَسَد لدفعه انحطاط مكتمل</t>
  </si>
  <si>
    <t>البنك الدولي: أزمة لبنان من بين أسوأ 10 أزمات مالية شهدها العالم منذ 1850 #العربية https://t.co/HUUN1rxMgV</t>
  </si>
  <si>
    <t>البنك الدولي: أزمة لبنان من بين أسوأ 10 أزمات مالية شهدها العالم منذ 1850</t>
  </si>
  <si>
    <t>مَرْكَز أممي حيرة لبنان من بين أسوأ أزمات مُقَوِّمَاتٌ مَادِّيَّة رؤيةً عالم منذ</t>
  </si>
  <si>
    <t>خزانة دولي محنة لبنان من بين أشنع محن مَالِيَّة معاينتها عالم منذ</t>
  </si>
  <si>
    <t>كَنْز شامل أزمة لبنان من بين أسوأ مآزق مالية شهدها خليقة منذ</t>
  </si>
  <si>
    <t>البنك فوق وطني حيرة فينيقيا من بين أبشع كرب مَالِيَّة متابعتها كون منذ</t>
  </si>
  <si>
    <t>البنك دوليّة ضيق أرزة من بين أسوأ محن رَوَافِدُ شهدها خليقة منذ</t>
  </si>
  <si>
    <t>مَتْجَر دولي ضيق بلد أرز من بين أسوأ محن مَالِيَّة حضورها عالم منذ</t>
  </si>
  <si>
    <t>أزمة</t>
  </si>
  <si>
    <t>مِحنة</t>
  </si>
  <si>
    <t>أسوأ</t>
  </si>
  <si>
    <t>أردأ</t>
  </si>
  <si>
    <t>أردي</t>
  </si>
  <si>
    <t>أقزّم</t>
  </si>
  <si>
    <t>أتعس</t>
  </si>
  <si>
    <t>َلَكِنَّ أَكْثَرَ النَّاسِ لَا يَعْلَمُونَ».. #شيخ_الأزهر «أحمد الطيب» يُكذِّب من اتهموا #الأزهر_الشريف بالجمود وعدم التجديد، مؤكدًا على أن #الأزهر مُجدِّد ومُتجدِّد دائمًا وأبدًا https://t.co/N4Ow3x7YcN</t>
  </si>
  <si>
    <t>الأزهر_الشريف</t>
  </si>
  <si>
    <t>مُتَأَلِّق سامي</t>
  </si>
  <si>
    <t>مَعْمُور سامي</t>
  </si>
  <si>
    <t>الأزهر حَسَن</t>
  </si>
  <si>
    <t>وَضَّاء شرف</t>
  </si>
  <si>
    <t>الأزهر مُجدِّد ومُتجدِّد دائمًا</t>
  </si>
  <si>
    <t>المنير مجدد ومتجدد في كل حين</t>
  </si>
  <si>
    <t>الأزهر مُبْدِع مستمر دائمًا</t>
  </si>
  <si>
    <t>المنير مجدد حيوي أبدا</t>
  </si>
  <si>
    <t>المبهج مجدد مُتألق دائماً أبديا</t>
  </si>
  <si>
    <t>عماد الخميري الناطق الرسمي باسم حركة النهضة : نعترف بالجمهورية الأولى و نعز كل قادتها و المناضلين ضد الاستعمار على رأسهم الحبيب بورقيبة.. #MidiShow 🇹🇳🌐</t>
  </si>
  <si>
    <t>الاستعمار</t>
  </si>
  <si>
    <t>المناضلين</t>
  </si>
  <si>
    <t>المحاربين</t>
  </si>
  <si>
    <t>الثوار</t>
  </si>
  <si>
    <t>الشجعان</t>
  </si>
  <si>
    <t>الأبطال</t>
  </si>
  <si>
    <t>عــاجــل تجدد القصف الصهيوني على قطاع #غزة</t>
  </si>
  <si>
    <t>القصف الصهيوني</t>
  </si>
  <si>
    <t>الإيقاع عنصري</t>
  </si>
  <si>
    <t>الإنزال محتل</t>
  </si>
  <si>
    <t>التخريب يهودي</t>
  </si>
  <si>
    <t>الهجوم وطني</t>
  </si>
  <si>
    <t>التخريب إمبريالي</t>
  </si>
  <si>
    <t>الإيقاع يهودي</t>
  </si>
  <si>
    <t>الصهيوني</t>
  </si>
  <si>
    <t>معتد</t>
  </si>
  <si>
    <t>زيوني</t>
  </si>
  <si>
    <t>محب للصهيونية</t>
  </si>
  <si>
    <t>إسرائيلي</t>
  </si>
  <si>
    <t>برأيك، هل نجحت الدراما العربية المشتركة في تقديم محتوى متكامل رغم الأزمات الأقتصادية للدول المنتجة له</t>
  </si>
  <si>
    <t>برأيك أنت هل أفلحت دراما حقيقية أم متآلفة في إفصاح محتوى وافٍ رغم أزمات تَّدْبِيرِيَّةُ قَبَائِل مُنبثقة له: في حوزته</t>
  </si>
  <si>
    <t>حسب ما تراه هل أصابت دراما عربية متآلفة في كشف مادة متكامل رَغْمَ ذ?لِكَ عَوَارِضُ أقتصادية للدول مُجدية تحت تصرفه</t>
  </si>
  <si>
    <t>برأيك، هل فُزت دراما فصحى معمول بها في إفصاح مُحتوى شيء متكامل رغم نَوَائِبُ الْمَالِ إِقْلِيم مُجدّة ملكه</t>
  </si>
  <si>
    <t>في اعتقادك هل أتت ثمارها رواية راقية متوافقة في تطوع مكنونات متكامل رغم عَوَارِضُ أقتصادية أَمْمِيَّة حيويّة لديه</t>
  </si>
  <si>
    <t>شهود العيان الحقيقيين خرجوا لتوديع أبناء بلدتهم.. الآلاف من أهالي #كرداسة يؤدون صلاة الجنازة على ضحايا الإعدامات رغم تشويه \"#الاختيار2</t>
  </si>
  <si>
    <t>ضحايا</t>
  </si>
  <si>
    <t>ضحايا مجزرة</t>
  </si>
  <si>
    <t>شهود العيان الحقيقيين خرجوا لتوديع أبناء بلدتهم.. الآلاف من أهالي #كرداسة يؤدون صلاة الجنازة على ضحايا الإعدامات رغم تشويه \"#الاختيار3</t>
  </si>
  <si>
    <t>خسائر</t>
  </si>
  <si>
    <t>شهود العيان الحقيقيين خرجوا لتوديع أبناء بلدتهم.. الآلاف من أهالي #كرداسة يؤدون صلاة الجنازة على ضحايا الإعدامات رغم تشويه \"#الاختيار4</t>
  </si>
  <si>
    <t>مذبوحون</t>
  </si>
  <si>
    <t>شهود العيان الحقيقيين خرجوا لتوديع أبناء بلدتهم.. الآلاف من أهالي #كرداسة يؤدون صلاة الجنازة على ضحايا الإعدامات رغم تشويه \"#الاختيار5</t>
  </si>
  <si>
    <t>مصابون</t>
  </si>
  <si>
    <t>شهود العيان الحقيقيين خرجوا لتوديع أبناء بلدتهم.. الآلاف من أهالي #كرداسة يؤدون صلاة الجنازة على ضحايا الإعدامات رغم تشويه \"#الاختيار6</t>
  </si>
  <si>
    <t>الآلاف من أهالي</t>
  </si>
  <si>
    <t>الألوف من أهالي</t>
  </si>
  <si>
    <t>شهود العيان الحقيقيين خرجوا لتوديع أبناء بلدتهم.. الآلاف من أهالي #كرداسة يؤدون صلاة الجنازة على ضحايا الإعدامات رغم تشويه \"#الاختيار7</t>
  </si>
  <si>
    <t>الآلاف من أهل</t>
  </si>
  <si>
    <t>شهود العيان الحقيقيين خرجوا لتوديع أبناء بلدتهم.. الآلاف من أهالي #كرداسة يؤدون صلاة الجنازة على ضحايا الإعدامات رغم تشويه \"#الاختيار8</t>
  </si>
  <si>
    <t>الجموع من أقارب</t>
  </si>
  <si>
    <t>شهود العيان الحقيقيين خرجوا لتوديع أبناء بلدتهم.. الآلاف من أهالي #كرداسة يؤدون صلاة الجنازة على ضحايا الإعدامات رغم تشويه \"#الاختيار9</t>
  </si>
  <si>
    <t>الوف من أهالي</t>
  </si>
  <si>
    <t>شهود العيان الحقيقيين خرجوا لتوديع أبناء بلدتهم.. الآلاف من أهالي #كرداسة يؤدون صلاة الجنازة على ضحايا الإعدامات رغم تشويه \"#الاختيار10</t>
  </si>
  <si>
    <t>شهود العيان الحقيقيين</t>
  </si>
  <si>
    <t>مُشاهدين بادي موثوقين</t>
  </si>
  <si>
    <t>شهود العيان الحقيقيين خرجوا لتوديع أبناء بلدتهم.. الآلاف من أهالي #كرداسة يؤدون صلاة الجنازة على ضحايا الإعدامات رغم تشويه \"#الاختيار11</t>
  </si>
  <si>
    <t>مُعاينين واقع فعليين</t>
  </si>
  <si>
    <t>شهود العيان الحقيقيين خرجوا لتوديع أبناء بلدتهم.. الآلاف من أهالي #كرداسة يؤدون صلاة الجنازة على ضحايا الإعدامات رغم تشويه \"#الاختيار12</t>
  </si>
  <si>
    <t>مُعتَمين ظاهر للعيان موثوقين</t>
  </si>
  <si>
    <t>شهود العيان الحقيقيين خرجوا لتوديع أبناء بلدتهم.. الآلاف من أهالي #كرداسة يؤدون صلاة الجنازة على ضحايا الإعدامات رغم تشويه \"#الاختيار13</t>
  </si>
  <si>
    <t>شهود عيان صادقين</t>
  </si>
  <si>
    <t>في تطورات خطيرة ..طهران ترفض الوساطة الفرنسية وتهاجم أوروبا https://t.co/ZZQMoz99Wo</t>
  </si>
  <si>
    <t>خطيرة</t>
  </si>
  <si>
    <t>فَادِحَة</t>
  </si>
  <si>
    <t>جَلَل</t>
  </si>
  <si>
    <t>مُخَطِّرَة</t>
  </si>
  <si>
    <t>بَالِغَة</t>
  </si>
  <si>
    <t>مُهِمَّة</t>
  </si>
  <si>
    <t>في تطورات خطيرة ..طهران ترفض الوساطة الفرنسية وتهاجم أوروبا</t>
  </si>
  <si>
    <t>في تَغْيِيرات هَامَّة دِّيَار تَستَكْبِرُ تحكيم فرنسية وتهاجم غرب</t>
  </si>
  <si>
    <t>في تَقَدُّمات كَبِيرَة قَصْد تَدْفَعُ بِحَزْمٍ نيابة أوروبية اِقْتَحَمَت فرنجة</t>
  </si>
  <si>
    <t>في تَقَدُّمات فَارِقَة قَصْد تَصْدُ صلحية قارية وتهاجم روم</t>
  </si>
  <si>
    <t>في تطورات كَبِيرَة مَوْطِن ترفض تحكيم فرنسية وتهاجم أوروبا</t>
  </si>
  <si>
    <t>في حَوَادث خطيرة طهران ترفض وساطة قارية تَوَغَّلَت فلقة قمر</t>
  </si>
  <si>
    <t>في مُستَجِدات فَاخِرَة طهران تَنبَذُ وكالة أوروبية غَزَت روم</t>
  </si>
  <si>
    <t>السودان الشقيق في قلوبنا .. أسأل الله العلي القدير أن يلطف بأهله الطيبين .. حتى في مسيرتي التعليمية تتلمذتُ على خيرة</t>
  </si>
  <si>
    <t>في قلوبنا</t>
  </si>
  <si>
    <t>في أَفئِدَتُنا</t>
  </si>
  <si>
    <t>في أَعْيُنُنا</t>
  </si>
  <si>
    <t>في وِسادُنا</t>
  </si>
  <si>
    <t>في مَحَاجِرُنا</t>
  </si>
  <si>
    <t>في نِياطُنا</t>
  </si>
  <si>
    <t>في فؤُادنا</t>
  </si>
  <si>
    <t>الشقيق</t>
  </si>
  <si>
    <t>العشير</t>
  </si>
  <si>
    <t>التوأم</t>
  </si>
  <si>
    <t>الرفيق</t>
  </si>
  <si>
    <t>النظير</t>
  </si>
  <si>
    <t>المماثل</t>
  </si>
  <si>
    <t>بأهله الطيبين</t>
  </si>
  <si>
    <t>بأهله مُطهرين</t>
  </si>
  <si>
    <t>بأهله مُحسِنين</t>
  </si>
  <si>
    <t>بين أهله مُتَفَضِّلين</t>
  </si>
  <si>
    <t>ضيف.. من هو قيادي حماس الذي نجا من الاغتيال مرتين خلال أيام؟ https://t.co/ONV7A9UL3H</t>
  </si>
  <si>
    <t>الاغتيال</t>
  </si>
  <si>
    <t>الاغتياض</t>
  </si>
  <si>
    <t>الإجهاز</t>
  </si>
  <si>
    <t>الإزهاق</t>
  </si>
  <si>
    <t>القضاء</t>
  </si>
  <si>
    <t>سد النهضة: السيسي يحذر من المساس بحق مصر في مياه النيل ويقول إنها \"خط أحمر\" - BBC News عربي https://t.co/zRFMqtlhlz</t>
  </si>
  <si>
    <t>بحق</t>
  </si>
  <si>
    <t>حقيقةً</t>
  </si>
  <si>
    <t>واقعًا</t>
  </si>
  <si>
    <r>
      <rPr>
        <sz val="11"/>
        <color theme="1"/>
        <rFont val="Calibri"/>
        <family val="2"/>
        <charset val="1"/>
      </rPr>
      <t>"</t>
    </r>
    <r>
      <rPr>
        <sz val="11"/>
        <color theme="1"/>
        <rFont val="FreeSans"/>
        <family val="2"/>
      </rPr>
      <t>خط أحمر</t>
    </r>
    <r>
      <rPr>
        <sz val="11"/>
        <color theme="1"/>
        <rFont val="Calibri"/>
        <family val="2"/>
        <charset val="1"/>
      </rPr>
      <t>"</t>
    </r>
  </si>
  <si>
    <t>خط تُرَابِي</t>
  </si>
  <si>
    <t>خط أَفْوَح</t>
  </si>
  <si>
    <t>خط قِرمِزِي</t>
  </si>
  <si>
    <t>السيسي يحذر من المساس بحق مصر في مياه النيل ويقول إنها "خط أحمر"</t>
  </si>
  <si>
    <t>الفاني يحذر من ملامسة بالفعليّة مصر في مياه/ ماء/ سوائل/ أمواه/ سائل/ مائعة/ مائية/ مروج/ بحار/ أنهار/ محيطات نهر نيل يحكي إنها خط أحمر</t>
  </si>
  <si>
    <t>الشيخ يخبر من مساس بحق أرض كنانة في مياه مسيل يوضح إنها خط أحمر</t>
  </si>
  <si>
    <t>المسِن يوجه من محاكاة بحق مهد حضارة في مياه/ ماء/ سوائل/ أمواه/ سائل/ مائعة/ مائية/ مروج/ بحار/ أنهار/ محيطات سيل يقول إنها خط أحمر</t>
  </si>
  <si>
    <t>المسِن يوضح من مساس واقعاً أرض فراعنة في مياه/ ماء/ سوائل/ أمواه/ سائل/ مائعة/ مائية/ مروج/ بحار/ أنهار/ محيطات مسيل ويقول إنها خط أَقْحَوَاني</t>
  </si>
  <si>
    <t>دراسة تكشف عن "أطول زلزال في العالم" استمر 32 عاما وربما قتل الآلاف https://t.co/FVNkevMDC5</t>
  </si>
  <si>
    <t>دراسة تكشف عن "أطول زلزال في العالم" استمر 32 عاما وربما قتل الآلاف</t>
  </si>
  <si>
    <t>دراسة ظهر عن أَطْوَلُ رَجَّة في كَونَـكُـبْرَة ثَبَتَ عاما لَعَلَّ قتل آلاف</t>
  </si>
  <si>
    <t>دراسة تكشف عن "أطول زلزال في العالم" استمر 32 عاما وربما قتل الآلاف https://t.co/FVNkevMDC6</t>
  </si>
  <si>
    <t>مُطَالَعَة أبان عن أَرْفَعُ زَلْزَالَة في عالم سَارَ عاما رُبَّ فتك رِّحَلات</t>
  </si>
  <si>
    <t>دراسة تكشف عن "أطول زلزال في العالم" استمر 32 عاما وربما قتل الآلاف https://t.co/FVNkevMDC7</t>
  </si>
  <si>
    <t>مَعْرِفَة عرّى عن أطول هَزَّة في عالم استمر عاما رُبَّمَا فتك خَرار</t>
  </si>
  <si>
    <t>دراسة تكشف عن "أطول زلزال في العالم" استمر 32 عاما وربما قتل الآلاف https://t.co/FVNkevMDC8</t>
  </si>
  <si>
    <t>تَمْحِيص تكشف عن أَزْيَدُ انْفِجَار في كَونَـكُـبْرَة دَأَبَ عاما لَعَلَّهُ قتل أوف</t>
  </si>
  <si>
    <t>دراسة تكشف عن "أطول زلزال في العالم" استمر 32 عاما وربما قتل الآلاف https://t.co/FVNkevMDC9</t>
  </si>
  <si>
    <t>تَعْمِيق تكشف عن أَرْفَعُ رَجَّة في مَـدَار استمر عاما رُبَّمَا يَكُونُ قتل آلاف</t>
  </si>
  <si>
    <t>دراسة تكشف عن "أطول زلزال في العالم" استمر 32 عاما وربما قتل الآلاف https://t.co/FVNkevMDC10</t>
  </si>
  <si>
    <t>مُطَالَعَة أزال ستار عن أطول زلزال في عالم دَأَبَ عاما وربما فتك رَّحَلات</t>
  </si>
  <si>
    <t>شاهد.. مظاهرة تجوب شوارع لندن تضامنًا مع الفلسطينيين https://t.co/j4JFuvUPKq</t>
  </si>
  <si>
    <t>تضامنًا</t>
  </si>
  <si>
    <t>تأييدًا</t>
  </si>
  <si>
    <t>تكاتفًا</t>
  </si>
  <si>
    <t>تآزرًا</t>
  </si>
  <si>
    <t>اقتتال الميليشيات يهدد العاصمة الليبية https://t.co/3WzQOdiy6H</t>
  </si>
  <si>
    <t>نزال</t>
  </si>
  <si>
    <t>الميليشيات</t>
  </si>
  <si>
    <t>جماعات</t>
  </si>
  <si>
    <t>لجان</t>
  </si>
  <si>
    <t>خلايا</t>
  </si>
  <si>
    <t>ألوية</t>
  </si>
  <si>
    <t>تشكيلات</t>
  </si>
  <si>
    <t>يهدد</t>
  </si>
  <si>
    <t>يُلوّح</t>
  </si>
  <si>
    <t>يتوعّد</t>
  </si>
  <si>
    <t>يُهدّد</t>
  </si>
  <si>
    <t>يُحذر</t>
  </si>
  <si>
    <t>يُبَوِّئ</t>
  </si>
  <si>
    <t>البلبيسي: شخص مريض نفسياً أطلق شائعة حالات الإغماء في إربد https://t.co/vFJZCyEHv7 #نبض_البلد #رؤيا #الاردن #كورونا https://t.co/W2FHou78hK</t>
  </si>
  <si>
    <t>مريض نفسياً</t>
  </si>
  <si>
    <t>مُسْتَسْقِم حسيا</t>
  </si>
  <si>
    <t>مُتَوَجِّع شعوريا</t>
  </si>
  <si>
    <t>مُعْتَل نفسويا</t>
  </si>
  <si>
    <t>مُسْتَسْقِم شعوريا</t>
  </si>
  <si>
    <t>نَتِن نفسيًا</t>
  </si>
  <si>
    <t>مُتَوَجِّع ذهنيًا</t>
  </si>
  <si>
    <t>حَبِيط عقليًا</t>
  </si>
  <si>
    <t>مُعْوِج نفسيا</t>
  </si>
  <si>
    <t>مريض وجدانيًا</t>
  </si>
  <si>
    <t>عليل روحانيًا</t>
  </si>
  <si>
    <t>قصة معركة سيف القدس.. من الإنذار إلى الدمار #فلسطين https://t.co/nOWny2bnIX</t>
  </si>
  <si>
    <t>الدمار</t>
  </si>
  <si>
    <t>حريق</t>
  </si>
  <si>
    <t>هلاك</t>
  </si>
  <si>
    <t>خراب سماوي</t>
  </si>
  <si>
    <t>خريبة</t>
  </si>
  <si>
    <t>صاحب السمو يهنئ رئيسة جورجيا بمناسبة ذكرى استقلال بلادها https://t.co/Up5epClNPn</t>
  </si>
  <si>
    <t>صاحب السمو</t>
  </si>
  <si>
    <t>رفيق درب سمو</t>
  </si>
  <si>
    <t>صاحب قمة</t>
  </si>
  <si>
    <t>صاحب عظمة</t>
  </si>
  <si>
    <t>صاحب مجد</t>
  </si>
  <si>
    <r>
      <rPr>
        <sz val="11"/>
        <color theme="1"/>
        <rFont val="Calibri"/>
        <family val="2"/>
        <charset val="1"/>
      </rPr>
      <t>#</t>
    </r>
    <r>
      <rPr>
        <sz val="11"/>
        <color theme="1"/>
        <rFont val="FreeSans"/>
        <family val="2"/>
      </rPr>
      <t>حكيم</t>
    </r>
    <r>
      <rPr>
        <sz val="11"/>
        <color theme="1"/>
        <rFont val="Calibri"/>
        <family val="2"/>
        <charset val="1"/>
      </rPr>
      <t>_</t>
    </r>
    <r>
      <rPr>
        <sz val="11"/>
        <color theme="1"/>
        <rFont val="FreeSans"/>
        <family val="2"/>
      </rPr>
      <t xml:space="preserve">القروي في </t>
    </r>
    <r>
      <rPr>
        <sz val="11"/>
        <color theme="1"/>
        <rFont val="Calibri"/>
        <family val="2"/>
        <charset val="1"/>
      </rPr>
      <t>#</t>
    </r>
    <r>
      <rPr>
        <sz val="11"/>
        <color theme="1"/>
        <rFont val="FreeSans"/>
        <family val="2"/>
      </rPr>
      <t>محاور</t>
    </r>
    <r>
      <rPr>
        <sz val="11"/>
        <color theme="1"/>
        <rFont val="Calibri"/>
        <family val="2"/>
        <charset val="1"/>
      </rPr>
      <t>: #</t>
    </r>
    <r>
      <rPr>
        <sz val="11"/>
        <color theme="1"/>
        <rFont val="FreeSans"/>
        <family val="2"/>
      </rPr>
      <t xml:space="preserve">فرنسا قد تكون مسرح جيل جديد من الجهاديين وهناك </t>
    </r>
    <r>
      <rPr>
        <sz val="11"/>
        <color theme="1"/>
        <rFont val="Calibri"/>
        <family val="2"/>
        <charset val="1"/>
      </rPr>
      <t xml:space="preserve">10 </t>
    </r>
    <r>
      <rPr>
        <sz val="11"/>
        <color theme="1"/>
        <rFont val="FreeSans"/>
        <family val="2"/>
      </rPr>
      <t xml:space="preserve">آلاف جهادي محتمل على أراضيها </t>
    </r>
    <r>
      <rPr>
        <sz val="11"/>
        <color theme="1"/>
        <rFont val="Calibri"/>
        <family val="2"/>
        <charset val="1"/>
      </rPr>
      <t>https://t.co/5WAuC7p7c7 via @France24_ar</t>
    </r>
  </si>
  <si>
    <t>مسرح جيل جديد</t>
  </si>
  <si>
    <t>سَاحَةُ الْقِتَالِ كوكبة جديد</t>
  </si>
  <si>
    <t>مسرح أمة جديد</t>
  </si>
  <si>
    <t>مسرح جيل حالي</t>
  </si>
  <si>
    <t>مسرح جيل حديث ولادة أو نشأة</t>
  </si>
  <si>
    <t>الجهاديين</t>
  </si>
  <si>
    <t>المقاتلين شرسين</t>
  </si>
  <si>
    <t>المقاومين</t>
  </si>
  <si>
    <t>جهادي</t>
  </si>
  <si>
    <t>مقاوم</t>
  </si>
  <si>
    <t>فدائي</t>
  </si>
  <si>
    <t>مناضل</t>
  </si>
  <si>
    <t>مغوار</t>
  </si>
  <si>
    <t>المجاهدون في سبيل له</t>
  </si>
  <si>
    <t>المدافعين عن عقيدة</t>
  </si>
  <si>
    <t>المجاهدين</t>
  </si>
  <si>
    <t>المقاتلون متدينون</t>
  </si>
  <si>
    <t>جنود له</t>
  </si>
  <si>
    <t>حكيم_القروي</t>
  </si>
  <si>
    <t>حَكَم بَوَادِي</t>
  </si>
  <si>
    <t>حَكَم قروي</t>
  </si>
  <si>
    <t>مُبْدِع بدوى</t>
  </si>
  <si>
    <t>فَهِيم قروي</t>
  </si>
  <si>
    <t>خَبِير فلاح</t>
  </si>
  <si>
    <t>خَبِير قروي</t>
  </si>
  <si>
    <r>
      <rPr>
        <sz val="11"/>
        <color theme="1"/>
        <rFont val="Calibri"/>
        <family val="2"/>
        <charset val="1"/>
      </rPr>
      <t>#</t>
    </r>
    <r>
      <rPr>
        <sz val="11"/>
        <color theme="1"/>
        <rFont val="FreeSans"/>
        <family val="2"/>
      </rPr>
      <t xml:space="preserve">فرنسا قد تكون مسرح جيل جديد من الجهاديين وهناك </t>
    </r>
    <r>
      <rPr>
        <sz val="11"/>
        <color theme="1"/>
        <rFont val="Calibri"/>
        <family val="2"/>
        <charset val="1"/>
      </rPr>
      <t xml:space="preserve">10 </t>
    </r>
    <r>
      <rPr>
        <sz val="11"/>
        <color theme="1"/>
        <rFont val="FreeSans"/>
        <family val="2"/>
      </rPr>
      <t>آلاف جهادي محتمل على أراضيها</t>
    </r>
  </si>
  <si>
    <t>فرنسة قد تكون سَاحَةٌ شعب جديد من مُجاهدين في ذلك مكان آلاف جهادي رجحان على بقاعها</t>
  </si>
  <si>
    <t>فرنسا قد تكون مَحْفِلٌ قوم بكر من مُخلصين و هناكَ عدّ مناضل مائل على سهولها</t>
  </si>
  <si>
    <t>فَرَنْسِيَّة قد تكون مَوْقِعٌ جيل جديد من فُرسان ثمَّة جموع جهادي رجح على مساحاتها</t>
  </si>
  <si>
    <t>فرنسا قد تكون مسرح خَلْفَة حديث ولادة من فُرسان في ذاك موضع آلاف جهادي محتمل على أوجها</t>
  </si>
  <si>
    <t>فرنسا قد تكون مسرح فوج أخّاذ من جهاديين عند ذاك مكان جمهور جهادي محتمل على سهولها</t>
  </si>
  <si>
    <t>فَرَنْسَا قد تكون مَجْمَعٌ خَلْفَة مُستجد من فُرسان وهناك آلاف مجاهد محتمل على أراضيها</t>
  </si>
  <si>
    <t>الوصال| جلالة السلطان يتلقى رسالة خطية من الرئيس الفلسطيني https://t.co/8iXTcJdZVW</t>
  </si>
  <si>
    <t>جلالة السلطان</t>
  </si>
  <si>
    <t>سـلطان سلطان</t>
  </si>
  <si>
    <t>جلالة سلطانة</t>
  </si>
  <si>
    <t>مهابة سيد</t>
  </si>
  <si>
    <t>سـلطان سيادة</t>
  </si>
  <si>
    <t>خنساء غزة تودع ابنها الثالث شهيداً فداءً للأقصى https://t.co/jHxJYFH4ql</t>
  </si>
  <si>
    <t>خنساء غزة</t>
  </si>
  <si>
    <t>أبو قردان منعة</t>
  </si>
  <si>
    <t>شاهين معقل</t>
  </si>
  <si>
    <t>الوصيف غزة</t>
  </si>
  <si>
    <t>أبو قردان قلعة</t>
  </si>
  <si>
    <t>الوصيف منعة</t>
  </si>
  <si>
    <t>فَدائي</t>
  </si>
  <si>
    <t>قُرْبَان</t>
  </si>
  <si>
    <t>مُضَحّ</t>
  </si>
  <si>
    <t>مَوْفُور</t>
  </si>
  <si>
    <t>فداءً</t>
  </si>
  <si>
    <t>عَطاء</t>
  </si>
  <si>
    <t>فِدْية</t>
  </si>
  <si>
    <t>بَذْل</t>
  </si>
  <si>
    <t>وقدمت شركة معادن موريتانيا، في بيان لها عقب الحادث، التعزية لأسر الضحايا، الذين قضوا في الحادث، متمنية الشفاء العاجل للجرحى</t>
  </si>
  <si>
    <t>الضحايا</t>
  </si>
  <si>
    <t>القتلى</t>
  </si>
  <si>
    <t>المصابون</t>
  </si>
  <si>
    <t>المنكوبون</t>
  </si>
  <si>
    <t>حسن_الرداد يحمل نعش حماه #سمير_غانم.. لحظات الحزن والألم https://t.co/jG3dCpmE9J</t>
  </si>
  <si>
    <t>لحظات الحزن والألم</t>
  </si>
  <si>
    <t>ثوان غم عَذاب</t>
  </si>
  <si>
    <t>أوقاة غم والألم</t>
  </si>
  <si>
    <t>لحظة ألم أَزْم</t>
  </si>
  <si>
    <t>دقائق قنوط عَذاب</t>
  </si>
  <si>
    <t>النــــخالة: المقــــاومة وضعت \"إسرائيل\" في مأزق تاريخي لم يسبق له مثيل #فلسطين https://t.co/P7o4Mt4Hgl</t>
  </si>
  <si>
    <t>المقــــاومة وضعت "إسرائيل" في مأزق تاريخي لم يسبق له مثيل</t>
  </si>
  <si>
    <t>الممانعة أَوْدَع إسرائيل في ضِيق مَرْوِيّ لم تَفَوَّقَ له نظيرٌ مثيلٌ</t>
  </si>
  <si>
    <t>المقــــاومة أَرْسَى سِبْطُ لَّهِ في مُعَضْلَة تاريخي لم يسبق له مشابه</t>
  </si>
  <si>
    <t>الصلابة أَوْدَع بَنُو إِسْرَائِيل في مُعَضْلَة تاريخي لم تَعَدَّى له مماثِلٌ</t>
  </si>
  <si>
    <t>المقــــاومة وضعت سِبْط في مَأْزَمَة مَرْوِيّ لم فَزَّ له نظير</t>
  </si>
  <si>
    <t>الممانعة وضعت بَيْتُ إِسْرَائِيل في مُحَنَة مَعْلُوم لم تَعَدَّى له شبيه</t>
  </si>
  <si>
    <t>مأزق</t>
  </si>
  <si>
    <t>مُضِيقَة</t>
  </si>
  <si>
    <t>ضِيق</t>
  </si>
  <si>
    <t>احْتِيَاج</t>
  </si>
  <si>
    <t>مأزق تاريخي لم يسبق له مثيل</t>
  </si>
  <si>
    <t>مأزق تراثي لم يَسبق به له مضارع</t>
  </si>
  <si>
    <t>ضَيِّق مَرْحَلي لم يَسبق له نظير</t>
  </si>
  <si>
    <t>مأزق تاريخي لم يتقدم له شبيه</t>
  </si>
  <si>
    <t>ضِيقَة تاريخي لم يتقدم له نظير</t>
  </si>
  <si>
    <t>مأزق عتيق لم يسبق له مثنًى</t>
  </si>
  <si>
    <t>الوزير الأول @dz_pm_djerad : #اليوم_الوطني_للذاكرة يبقي مجازر #8ماي1945 محفورة في ذاكرتنا https://t.co/sJn7yBBeNg https://t.co/IJpcIrYIuR</t>
  </si>
  <si>
    <t>مجازر</t>
  </si>
  <si>
    <t>مسالخ</t>
  </si>
  <si>
    <t>معاركُ</t>
  </si>
  <si>
    <t>مذبحة</t>
  </si>
  <si>
    <t>مقابرُ</t>
  </si>
  <si>
    <t>مذابحَ</t>
  </si>
  <si>
    <t>مجازرُ</t>
  </si>
  <si>
    <t>محفورة في ذاكرتنا</t>
  </si>
  <si>
    <t>مجسدة في مَخزَمَةُ أحداث</t>
  </si>
  <si>
    <t>محفورة في مُخزوننا</t>
  </si>
  <si>
    <t>مصوغة في عالَمُ ذكريات</t>
  </si>
  <si>
    <t>معبر #رفح: مصر تُدخل اليوم 35 آلية لغزة لإزالة آثار ركام العدوان وتسريع الإعمار</t>
  </si>
  <si>
    <t>مصر تُدخل اليوم 35 آلية لغزة لإزالة آثار ركام العدوان وتسريع الإعمار</t>
  </si>
  <si>
    <t>أرض فراعنة انغماس يوم آلاتية عَزَّةُ نزع آثار ركام قتال إسراع إعمار</t>
  </si>
  <si>
    <t>محروسة اقحام يوم آلية لغزة حذف آثار مُتَحَطِّم حرب تعجيلٌ إعمار</t>
  </si>
  <si>
    <t>محروسة تدخل يوم طريقة عَزَّةُ حذف أثار دَكَام غزو وتسريع تنمية</t>
  </si>
  <si>
    <t>آثار ركام العدوان</t>
  </si>
  <si>
    <t>سِمَات خَرِبَة بطش</t>
  </si>
  <si>
    <t>مَوَاقِع خرائب غزو</t>
  </si>
  <si>
    <t>علامات ركام بطش</t>
  </si>
  <si>
    <r>
      <rPr>
        <sz val="11"/>
        <color theme="1"/>
        <rFont val="Calibri"/>
        <family val="2"/>
        <charset val="1"/>
      </rPr>
      <t>#</t>
    </r>
    <r>
      <rPr>
        <sz val="11"/>
        <color theme="1"/>
        <rFont val="FreeSans"/>
        <family val="2"/>
      </rPr>
      <t>الوصال</t>
    </r>
    <r>
      <rPr>
        <sz val="11"/>
        <color theme="1"/>
        <rFont val="Calibri"/>
        <family val="2"/>
        <charset val="1"/>
      </rPr>
      <t xml:space="preserve">| </t>
    </r>
    <r>
      <rPr>
        <sz val="11"/>
        <color theme="1"/>
        <rFont val="FreeSans"/>
        <family val="2"/>
      </rPr>
      <t xml:space="preserve">بنك العز الإسلامي يستقبل شهر الخير بعروض الخير </t>
    </r>
    <r>
      <rPr>
        <sz val="11"/>
        <color theme="1"/>
        <rFont val="Calibri"/>
        <family val="2"/>
        <charset val="1"/>
      </rPr>
      <t>@alizz_islamic https://t.co/tUoVvVrTE5</t>
    </r>
  </si>
  <si>
    <t>شهر الخير</t>
  </si>
  <si>
    <t>موسم سعادة</t>
  </si>
  <si>
    <r>
      <rPr>
        <sz val="11"/>
        <color theme="1"/>
        <rFont val="Calibri"/>
        <family val="2"/>
        <charset val="1"/>
      </rPr>
      <t>#</t>
    </r>
    <r>
      <rPr>
        <sz val="11"/>
        <color theme="1"/>
        <rFont val="FreeSans"/>
        <family val="2"/>
      </rPr>
      <t>الوصال</t>
    </r>
    <r>
      <rPr>
        <sz val="11"/>
        <color theme="1"/>
        <rFont val="Calibri"/>
        <family val="2"/>
        <charset val="1"/>
      </rPr>
      <t xml:space="preserve">| </t>
    </r>
    <r>
      <rPr>
        <sz val="11"/>
        <color theme="1"/>
        <rFont val="FreeSans"/>
        <family val="2"/>
      </rPr>
      <t xml:space="preserve">بنك العز الإسلامي يستقبل شهر الخير بعروض الخير </t>
    </r>
    <r>
      <rPr>
        <sz val="11"/>
        <color theme="1"/>
        <rFont val="Calibri"/>
        <family val="2"/>
        <charset val="1"/>
      </rPr>
      <t>@alizz_islamic https://t.co/tUoVvVrTE6</t>
    </r>
  </si>
  <si>
    <t>موسم جود</t>
  </si>
  <si>
    <r>
      <rPr>
        <sz val="11"/>
        <color theme="1"/>
        <rFont val="Calibri"/>
        <family val="2"/>
        <charset val="1"/>
      </rPr>
      <t>#</t>
    </r>
    <r>
      <rPr>
        <sz val="11"/>
        <color theme="1"/>
        <rFont val="FreeSans"/>
        <family val="2"/>
      </rPr>
      <t>الوصال</t>
    </r>
    <r>
      <rPr>
        <sz val="11"/>
        <color theme="1"/>
        <rFont val="Calibri"/>
        <family val="2"/>
        <charset val="1"/>
      </rPr>
      <t xml:space="preserve">| </t>
    </r>
    <r>
      <rPr>
        <sz val="11"/>
        <color theme="1"/>
        <rFont val="FreeSans"/>
        <family val="2"/>
      </rPr>
      <t xml:space="preserve">بنك العز الإسلامي يستقبل شهر الخير بعروض الخير </t>
    </r>
    <r>
      <rPr>
        <sz val="11"/>
        <color theme="1"/>
        <rFont val="Calibri"/>
        <family val="2"/>
        <charset val="1"/>
      </rPr>
      <t>@alizz_islamic https://t.co/tUoVvVrTE7</t>
    </r>
  </si>
  <si>
    <t>عَهْد فضل</t>
  </si>
  <si>
    <r>
      <rPr>
        <sz val="11"/>
        <color theme="1"/>
        <rFont val="Calibri"/>
        <family val="2"/>
        <charset val="1"/>
      </rPr>
      <t>#</t>
    </r>
    <r>
      <rPr>
        <sz val="11"/>
        <color theme="1"/>
        <rFont val="FreeSans"/>
        <family val="2"/>
      </rPr>
      <t xml:space="preserve">بلحيمر </t>
    </r>
    <r>
      <rPr>
        <sz val="11"/>
        <color theme="1"/>
        <rFont val="Calibri"/>
        <family val="2"/>
        <charset val="1"/>
      </rPr>
      <t xml:space="preserve">@AmmarBelhimer : </t>
    </r>
    <r>
      <rPr>
        <sz val="11"/>
        <color theme="1"/>
        <rFont val="FreeSans"/>
        <family val="2"/>
      </rPr>
      <t xml:space="preserve">دعم الجزائر للقضايا العادلة </t>
    </r>
    <r>
      <rPr>
        <sz val="11"/>
        <color theme="1"/>
        <rFont val="Calibri"/>
        <family val="2"/>
        <charset val="1"/>
      </rPr>
      <t>\"</t>
    </r>
    <r>
      <rPr>
        <sz val="11"/>
        <color theme="1"/>
        <rFont val="FreeSans"/>
        <family val="2"/>
      </rPr>
      <t>موقف ثابت لا و لن يخضع لأي ابتزاز أو ضغوط مهما كان مصدرها</t>
    </r>
    <r>
      <rPr>
        <sz val="11"/>
        <color theme="1"/>
        <rFont val="Calibri"/>
        <family val="2"/>
        <charset val="1"/>
      </rPr>
      <t>\" ⤵⤵⤵ https://t.co/lZhHozY8hL https://t.co/rRYBynswZu</t>
    </r>
  </si>
  <si>
    <t>ابتزاز</t>
  </si>
  <si>
    <t>استنزاف</t>
  </si>
  <si>
    <t>انتهاز</t>
  </si>
  <si>
    <t>ابتهاز</t>
  </si>
  <si>
    <t xml:space="preserve">ضغوط </t>
  </si>
  <si>
    <t>ضَيْق</t>
  </si>
  <si>
    <t>ضَغْط</t>
  </si>
  <si>
    <t>إِرْهَاب</t>
  </si>
  <si>
    <t>مَكَرُوه</t>
  </si>
  <si>
    <t xml:space="preserve">عاجل | رئيس المجلس الرئاسي محمد المنفي للشعب الليبي: أهنئكم بمنح مجلس النواب الثقة لحكومة الوحدة الوطنية في جلسة تاريخية بعد طول انقسام </t>
  </si>
  <si>
    <t>جلسة تاريخية</t>
  </si>
  <si>
    <t>اجتماعية رَسْمِيَّة</t>
  </si>
  <si>
    <t>جلسةُ مجلس تاريخية</t>
  </si>
  <si>
    <t>مجلسة مَاضِوِيَّة</t>
  </si>
  <si>
    <t>جلسةُ مجلس رَسْمِيَّة</t>
  </si>
  <si>
    <t>عاجل المقاومة تطلق رشقة صاروخية باتجاه الأراضي الفلسطينية المحتلة، صفارات الإنذار تدوي في مستوطنات غلاف #غزة. #غزة_تحت_القصف #GazaUnderAttack #GenocideinGaza #PalestineUnderAttack</t>
  </si>
  <si>
    <t>رشقة صاروخية</t>
  </si>
  <si>
    <t>سهـام عسكرية</t>
  </si>
  <si>
    <t>سهمـا قذيفية</t>
  </si>
  <si>
    <t>طلقـة حربية</t>
  </si>
  <si>
    <t>رشقة عسكرية</t>
  </si>
  <si>
    <t>الأراضي الفلسطينية المحتلة</t>
  </si>
  <si>
    <t>الجنان مُهَجَّرَةً مُسْتَخْدَمة</t>
  </si>
  <si>
    <t>الأراضي فِلَسْطِينِيَّةً مُغتصبة</t>
  </si>
  <si>
    <t>الأماكن شَرْقِيَّةً مَغْصوبة</t>
  </si>
  <si>
    <t>الأراضي مُهَجَّرَةً مُسْتَعْمَرة</t>
  </si>
  <si>
    <t>البقاع مُقَاوِمَةً محتلة</t>
  </si>
  <si>
    <t>الأراضي جُذُورِيَّةً مَنْكوحة</t>
  </si>
  <si>
    <t>التصدي</t>
  </si>
  <si>
    <t>الحصانة</t>
  </si>
  <si>
    <t>الممانعة</t>
  </si>
  <si>
    <t>الثبات</t>
  </si>
  <si>
    <t>الصدّ</t>
  </si>
  <si>
    <t>غزة تحت إغارة</t>
  </si>
  <si>
    <t>غزة تحت تطهير</t>
  </si>
  <si>
    <t>عزيمة تحت قصف</t>
  </si>
  <si>
    <t>رغم إجراءات الاحتلال الاسرائيلي.. آلاف الفلسطينيين يدخلون المسجد الأقصى لإحياء ليلة القدر - فيديو https://t.co/CdLtlxAaH0 #عاجل #رؤيا_الإخباري #فلسطين #المسجد_الأقصى #القدس</t>
  </si>
  <si>
    <t>الاحتلال الاسرائيلي</t>
  </si>
  <si>
    <t>الاحتلال صهيوني</t>
  </si>
  <si>
    <t>الاستيلاء حيفاوي</t>
  </si>
  <si>
    <t>الاحتلال خليلي</t>
  </si>
  <si>
    <t>الهيمنة صهيوني</t>
  </si>
  <si>
    <t>الشيخة عائشة بنت علي بن حمد بن عيسى بن علي آل خليفة .. في ذمة الله https://t.co/4UNbvzO0TH</t>
  </si>
  <si>
    <t>في ذمة الله</t>
  </si>
  <si>
    <t>في رَعَاية ـمُعْـتَـقَـد</t>
  </si>
  <si>
    <t>في كفالة مهيمن</t>
  </si>
  <si>
    <t>في ذمة ـمُعْـتَـقَـد</t>
  </si>
  <si>
    <t>في ضمان واحد</t>
  </si>
  <si>
    <t>الكويت: متضامنون مع الهند في ظروفها الصحية الصعبة https://t.co/uYBhb2eXjv https://t.co/bXntjaQGpY</t>
  </si>
  <si>
    <t>متضامنون</t>
  </si>
  <si>
    <t>متآزرون</t>
  </si>
  <si>
    <t>متلاحمون</t>
  </si>
  <si>
    <t>متكاتفون</t>
  </si>
  <si>
    <t>متضافرون</t>
  </si>
  <si>
    <t>سمو الأمير: الأمن والعزة والنصر.. لشعب فلسطين https://t.co/pTRBw6Qu0E https://t.co/kwwjutKshM</t>
  </si>
  <si>
    <t>العزة</t>
  </si>
  <si>
    <t>العظمة</t>
  </si>
  <si>
    <t>الفخار</t>
  </si>
  <si>
    <t>العلو</t>
  </si>
  <si>
    <t>سمو الأمير</t>
  </si>
  <si>
    <t>بهاء أمير</t>
  </si>
  <si>
    <t>ارتقاء حاكم</t>
  </si>
  <si>
    <t>ارتفاع أمير</t>
  </si>
  <si>
    <t>الأمن والعزة والنصر.. لشعب فلسطين</t>
  </si>
  <si>
    <t>الاستقرار والعزة سؤدد مجتمع فلسطين</t>
  </si>
  <si>
    <t>الأمن قوة عزة دهم رَيْحَانَةُ شَّرْقِ</t>
  </si>
  <si>
    <t>الهدوء والعزة غلب عامة فلسطين</t>
  </si>
  <si>
    <t>الوصال| سمو السيد ذي يزن يصدر قرارًا وزاريًا @mcsy_om https://t.co/1fRLQdH4CE</t>
  </si>
  <si>
    <t>سمو السيد</t>
  </si>
  <si>
    <t>جلال سيد</t>
  </si>
  <si>
    <t>عظمة سَيِّدِي</t>
  </si>
  <si>
    <t>سمو صَاحِب</t>
  </si>
  <si>
    <t>المــ ـــقاومــة تخلد ذكرى الشـــ ـــــهداء بصواريخ وأسلحة نوعية خلال معركة سيف القدس.. إليكم القصة: #فلسطين_تنتصر https://t.co/nZ0wvwu7Ov</t>
  </si>
  <si>
    <t>تخلد</t>
  </si>
  <si>
    <t>تُحفظ</t>
  </si>
  <si>
    <t>تُخلّد</t>
  </si>
  <si>
    <t>تُدوّن</t>
  </si>
  <si>
    <t>تُديم</t>
  </si>
  <si>
    <t>تُبقي</t>
  </si>
  <si>
    <t>تُثبّت</t>
  </si>
  <si>
    <t>المــ ـــقاومــة</t>
  </si>
  <si>
    <t>السُّمو مرابطة</t>
  </si>
  <si>
    <t>العَظَمَة ـــقاومــة</t>
  </si>
  <si>
    <t>المُلوكِيّة ثورة</t>
  </si>
  <si>
    <t>العَظَمَة مروق</t>
  </si>
  <si>
    <t>المُلوكِيّة مصادمة</t>
  </si>
  <si>
    <t>الشـــ ـــــهداء</t>
  </si>
  <si>
    <t>الشر ـــــهداء</t>
  </si>
  <si>
    <t>الشـــ سكينة</t>
  </si>
  <si>
    <t>القاتل سُكون</t>
  </si>
  <si>
    <t>الشـــ صفاء</t>
  </si>
  <si>
    <t>القاتل ـــــهداء</t>
  </si>
  <si>
    <t>الشـــ هدوء</t>
  </si>
  <si>
    <r>
      <rPr>
        <sz val="11"/>
        <color theme="1"/>
        <rFont val="Calibri"/>
        <family val="2"/>
        <charset val="1"/>
      </rPr>
      <t>#</t>
    </r>
    <r>
      <rPr>
        <sz val="11"/>
        <color theme="1"/>
        <rFont val="FreeSans"/>
        <family val="2"/>
      </rPr>
      <t>فلسطين</t>
    </r>
    <r>
      <rPr>
        <sz val="11"/>
        <color theme="1"/>
        <rFont val="Calibri"/>
        <family val="2"/>
        <charset val="1"/>
      </rPr>
      <t>_</t>
    </r>
    <r>
      <rPr>
        <sz val="11"/>
        <color theme="1"/>
        <rFont val="FreeSans"/>
        <family val="2"/>
      </rPr>
      <t>تنتصر</t>
    </r>
  </si>
  <si>
    <t>الأَرْضُ الْمُبَارَكَةُ تنتصر</t>
  </si>
  <si>
    <t>فلسطين تُحَقِّقُ الْغَلَبَةَ</t>
  </si>
  <si>
    <t>فلسطين تَسُودُ</t>
  </si>
  <si>
    <t>فِلَسْطِينُ تَغْلُبُ</t>
  </si>
  <si>
    <t>السَّلْعُ تنتصر</t>
  </si>
  <si>
    <t>فلسطين تَفُوزُ</t>
  </si>
  <si>
    <t>عاجل | سامح شكري لمجلس الأمن: شهدنا استفزازات إسرائيلية غير مسبوقة في #القدس https://t.co/wpha8BeEzD</t>
  </si>
  <si>
    <t>استفزازات</t>
  </si>
  <si>
    <t>إغاظات</t>
  </si>
  <si>
    <t>استهزاءات</t>
  </si>
  <si>
    <t>تحريضات</t>
  </si>
  <si>
    <t>استفزازت</t>
  </si>
  <si>
    <t>تحديات</t>
  </si>
  <si>
    <t>استهارات</t>
  </si>
  <si>
    <t>استفزازات إسرائيلية</t>
  </si>
  <si>
    <t>تحديات محتلّة</t>
  </si>
  <si>
    <t>استغواءات خيالية</t>
  </si>
  <si>
    <t>استغواءات معتدية</t>
  </si>
  <si>
    <t>شام #عاجل | الخارجية الروسية : لا نستبعد إجراء انتخابات مبكرة في #سوريا في حال اتفقت \"الحكومة\" والمعارضة على دستور جديد</t>
  </si>
  <si>
    <r>
      <rPr>
        <sz val="11"/>
        <color theme="1"/>
        <rFont val="Calibri"/>
        <family val="2"/>
        <charset val="1"/>
      </rPr>
      <t>"</t>
    </r>
    <r>
      <rPr>
        <sz val="11"/>
        <color theme="1"/>
        <rFont val="FreeSans"/>
        <family val="2"/>
      </rPr>
      <t>الحكومة</t>
    </r>
    <r>
      <rPr>
        <sz val="11"/>
        <color theme="1"/>
        <rFont val="Calibri"/>
        <family val="2"/>
        <charset val="1"/>
      </rPr>
      <t>"</t>
    </r>
  </si>
  <si>
    <t>الإدارة</t>
  </si>
  <si>
    <t>الوصاية</t>
  </si>
  <si>
    <t>الحكم</t>
  </si>
  <si>
    <t>المقاومة الفلسطينية للاحتلال الاسرائيلي: \"إن عدتم عدنا ويدنا على الزناد\".. فيديو https://t.co/3K72K3URph #عاجل #رؤيا_الإخباري #فلسطين #المقاومة_الفلسطينية #قطاع_غزة #غزة_تنتصر #القدس #المسجد_الأقصى</t>
  </si>
  <si>
    <t>المقاومة الفلسطينية</t>
  </si>
  <si>
    <t>المدافعة كفاحيّة</t>
  </si>
  <si>
    <t>المقاومة عربية</t>
  </si>
  <si>
    <t>المناعة وطنية</t>
  </si>
  <si>
    <t>الممانعة جرحيّة</t>
  </si>
  <si>
    <t>المواجهة فلسطينية</t>
  </si>
  <si>
    <t>للاحتلال الاسرائيلي</t>
  </si>
  <si>
    <t>الاستيلاء مغتصب</t>
  </si>
  <si>
    <t>الهيمنة اسرائيلي</t>
  </si>
  <si>
    <t>التسلط إسرائيلي</t>
  </si>
  <si>
    <t>للاحتلال إفرنجي</t>
  </si>
  <si>
    <t>محميـة مُسودّة</t>
  </si>
  <si>
    <t>كنـف فائزة</t>
  </si>
  <si>
    <t>غزة منتصرة</t>
  </si>
  <si>
    <t>حـوزة فائزة</t>
  </si>
  <si>
    <t>غزة مُنتشرة</t>
  </si>
  <si>
    <t>إن عدتم عدنا ويدنا على الزناد</t>
  </si>
  <si>
    <t>إن حضرتم قدمنـا أَخْذ على مفجّر</t>
  </si>
  <si>
    <t>إن أقبلتم أتينـا قَبْضَة على مُوقِد</t>
  </si>
  <si>
    <t>إن رجعتم حضرنا ويدنا على مُحَرِّك</t>
  </si>
  <si>
    <t>إن عدتم عدنا مَأْخَذ على مِفتاح</t>
  </si>
  <si>
    <t>محكمةً صورية</t>
  </si>
  <si>
    <t>محكمةً صورية للنساء ضحايا الإقصاء وعدم المساواة في الميراث https://t.co/WuNaogV9QW https://t.co/Y5LQPOmXf7</t>
  </si>
  <si>
    <t>محفل قضاء رَمْزِيَّةٌ</t>
  </si>
  <si>
    <t>محكمةً صورية للنساء ضحايا الإقصاء وعدم المساواة في الميراث https://t.co/WuNaogV9QW https://t.co/Y5LQPOmXf9</t>
  </si>
  <si>
    <t>مجلس قضاة صورية</t>
  </si>
  <si>
    <t>محكمةً صورية للنساء ضحايا الإقصاء وعدم المساواة في الميراث https://t.co/WuNaogV9QW https://t.co/Y5LQPOmXf10</t>
  </si>
  <si>
    <t>دار قضاء صورية</t>
  </si>
  <si>
    <t>محكمةً صورية للنساء ضحايا الإقصاء وعدم المساواة في الميراث https://t.co/WuNaogV9QW https://t.co/Y5LQPOmXf11</t>
  </si>
  <si>
    <t>محكمةً صورية للنساء ضحايا الإقصاء وعدم المساواة في الميراث https://t.co/WuNaogV9QW https://t.co/Y5LQPOmXf12</t>
  </si>
  <si>
    <t>مَنْكُوبون</t>
  </si>
  <si>
    <t>محكمةً صورية للنساء ضحايا الإقصاء وعدم المساواة في الميراث https://t.co/WuNaogV9QW https://t.co/Y5LQPOmXf13</t>
  </si>
  <si>
    <t>مَجْزُورون</t>
  </si>
  <si>
    <t>محكمةً صورية للنساء ضحايا الإقصاء وعدم المساواة في الميراث https://t.co/WuNaogV9QW https://t.co/Y5LQPOmXf14</t>
  </si>
  <si>
    <t>مَصْرُوعُون</t>
  </si>
  <si>
    <t>تل_أبيب تستدعي السفير الفرنسي على خلفية تصريحات تتهم #إسرائيل بالفصل العنصري التفاصيل مع مراسلتنا من #باريس عزة غريبة https://t.co/lycxPMdHXV</t>
  </si>
  <si>
    <t>بالفصل العنصري</t>
  </si>
  <si>
    <t>حينها عنصري</t>
  </si>
  <si>
    <t>حينها تَعصُّبي</t>
  </si>
  <si>
    <t>بالفصل أَشْرَافِي</t>
  </si>
  <si>
    <t>في حصيلة غير مسبوقة.. الهند تعلن تسجيل نحو 350 ألف إصابة جديدة بكورونا #صحيفة_الرأي #الأردن https://t.co/vAzzgBRDGS</t>
  </si>
  <si>
    <t>حصيلة غير مسبوقة</t>
  </si>
  <si>
    <t>غنيمة غير متقدّمة</t>
  </si>
  <si>
    <t>ربح غير ملحقة</t>
  </si>
  <si>
    <t>عائدة غير مسبوقة</t>
  </si>
  <si>
    <t>هل ينجح #نبيه_بري في تطويق مفاعيل المواجهة السنّية ـ المسيحية في #مجلس_النواب؟ #رسالة عون https://t.co/UOZcWbSUmn</t>
  </si>
  <si>
    <t>هل ينجح #نبيه_بري في تطويق مفاعيل المواجهة السنّية ـ المسيحية في #مجلس_النواب</t>
  </si>
  <si>
    <t>هل يُنجح نبيه فطري في تطويقٌ تام آثار معارضة رَّائِعَة ـ عهد قديم في مائدة نواب</t>
  </si>
  <si>
    <t>هل يُوفق رَزِين بري في تطويح نتاج معارضة سنية ـ ملة حنيفية في اجتماع أَجْنَاد</t>
  </si>
  <si>
    <t>هل يُدرك نبيه طاهر في تطويق حصائل محاجة رَّائِعَة ـ سِّيَاقة في اجتماع نواب</t>
  </si>
  <si>
    <t>هل يُفلح نبيه مُحْدَث في تطويق فعائل مدافعة هَادِيَة ـ مَجْسُوليَّة في ملتقى نواب</t>
  </si>
  <si>
    <t>سلطانة_خية : \"الشعب الصحراوي إرادته لا تُقهر\" https://t.co/LH57WAEdSC via @FacebookWatch</t>
  </si>
  <si>
    <t>الشعب الصحراوي إرادته لا تُقهر</t>
  </si>
  <si>
    <t>الأمة يباب أمنياته لا تُذلّ</t>
  </si>
  <si>
    <t>العوام صحارى إرادته لا تُستضعف</t>
  </si>
  <si>
    <t>المجتمع مُقفر رغبته لا تقهر</t>
  </si>
  <si>
    <t>الشعب قفراء مقاصده لا تُستضعف</t>
  </si>
  <si>
    <t>المرأة لا تنتهك الأعراف او كرامتها حين تبادر رجلا بحبها https://t.co/XWJvJwPHQo</t>
  </si>
  <si>
    <t>تنتهك</t>
  </si>
  <si>
    <t>مُسِّت</t>
  </si>
  <si>
    <t>اُغتُصِبَت</t>
  </si>
  <si>
    <t>تَعَدَّيَ عليها</t>
  </si>
  <si>
    <t>اُنتُهِزَت</t>
  </si>
  <si>
    <t>قال: سيكون السودان الدولة الأولى في إنتاج الذهب ” لو مشينا صاح .” مدير الأبحاث الجيولوجية : الخرطوم مليانة دهب تحت الأرض https://t.co/6Iy18lUsMo</t>
  </si>
  <si>
    <t>الخرطوم مليانة دهب تحت الأرض</t>
  </si>
  <si>
    <t>الفُوَّهة مُزْدَحَمَة سُنْدُس تحت ساحة</t>
  </si>
  <si>
    <t>الخرطوم مُمتلِحَة خَرَز تحت عبارة</t>
  </si>
  <si>
    <t>الفُوَّهة مليانة يَاقُوت تحت دار</t>
  </si>
  <si>
    <t>الخرطوم مُفَيْضَة فِضَّة تحت أرض</t>
  </si>
  <si>
    <t>إضراب_فلسطين.. موحدون في الاشتـــباك مع الاحتلال في كل مكان. https://t.co/j0j8okytJ2</t>
  </si>
  <si>
    <t>الاحتلام</t>
  </si>
  <si>
    <t>إضراب_فلسطين.. موحدون في الاشتـــباك مع الاحتلال في كل مكان. https://t.co/j0j8okytJ3</t>
  </si>
  <si>
    <t>إضراب_فلسطين.. موحدون في الاشتـــباك مع الاحتلال في كل مكان. https://t.co/j0j8okytJ4</t>
  </si>
  <si>
    <t>إضراب_فلسطين.. موحدون في الاشتـــباك مع الاحتلال في كل مكان. https://t.co/j0j8okytJ5</t>
  </si>
  <si>
    <t>في الصراع الأشد منذ سنوات بين إسرائيل والفلسطينيين.. أين يقف البيت الأبيض؟ https://t.co/nsaaWRwTmQ</t>
  </si>
  <si>
    <t>الصراع الأشد</t>
  </si>
  <si>
    <t>النزال أقوى</t>
  </si>
  <si>
    <t>الصراع أفظ</t>
  </si>
  <si>
    <t>المحاربة أفظ</t>
  </si>
  <si>
    <t>الصدام أعتى</t>
  </si>
  <si>
    <t>إسبانيا: هجوم بقنبلة حارقة على مكتب إقليمي لتحالف «أونيداس بوديموس» اليساري #عين_ليبيا https://t.co/DE1LQuB01b</t>
  </si>
  <si>
    <t>حارقة</t>
  </si>
  <si>
    <t>مُشتعلة</t>
  </si>
  <si>
    <t>مُستعرة</t>
  </si>
  <si>
    <t>ملتهبة</t>
  </si>
  <si>
    <t>مُشعة</t>
  </si>
  <si>
    <t>مُحمرة</t>
  </si>
  <si>
    <t>مُتوهجة</t>
  </si>
  <si>
    <t>اليساري</t>
  </si>
  <si>
    <t>أشـمُـل</t>
  </si>
  <si>
    <t>أَخْـذُم</t>
  </si>
  <si>
    <t>مَـأْمُـول</t>
  </si>
  <si>
    <t>أَيْسَـر</t>
  </si>
  <si>
    <t>مروان فلفال : العمل الحكومي لازمو يترفع عن الصراع السياسي و يتلهى بأمهات القضايا.. #MidiShow 🎙🇹🇳</t>
  </si>
  <si>
    <t>يتلهى بأمهات القضايا</t>
  </si>
  <si>
    <t>يتجاهل بِكَرّات معارك</t>
  </si>
  <si>
    <t>يلهو قَصَرات مسائل</t>
  </si>
  <si>
    <t>يتجاهل بأمهات شؤون</t>
  </si>
  <si>
    <t>يتشاغل فَتَيات مسائل</t>
  </si>
  <si>
    <t>يتلهى بِكَرّات قضايا</t>
  </si>
  <si>
    <t>طائرات الاحتلال الاسرائيلي تستهدف برجاً سكنياً غربي مدينة غزة</t>
  </si>
  <si>
    <t>الاستعباد اسرائيلي</t>
  </si>
  <si>
    <t>الاستيلاء مُوسَوِي</t>
  </si>
  <si>
    <t>صقيع قطبي وعواصف ثلجية تجتاح الولايات المتحدة</t>
  </si>
  <si>
    <t>تجتاح</t>
  </si>
  <si>
    <t>اجتياح</t>
  </si>
  <si>
    <t>اجتاحت</t>
  </si>
  <si>
    <t>غزت</t>
  </si>
  <si>
    <t>عصفت</t>
  </si>
  <si>
    <t>الاعلام_الامني تصدر بياناً بشان قتل اخطر #تجار_المخدرات في #بغداد #امن #العراق #السومرية https://t.co/ol1FzktQgZ</t>
  </si>
  <si>
    <t>اخطر</t>
  </si>
  <si>
    <t>ذكر</t>
  </si>
  <si>
    <t>تنبّه</t>
  </si>
  <si>
    <t>أشار</t>
  </si>
  <si>
    <t>أنبأ</t>
  </si>
  <si>
    <t>شاهد صواريخ المقاومة تضرب مبنى في عسقلان ردًا على استهداف منازل المدنيين في غزة. #غزه_تقاوم https://t.co/m08CJR6FCa</t>
  </si>
  <si>
    <t>المناعة</t>
  </si>
  <si>
    <t>الصمود</t>
  </si>
  <si>
    <t>صواريخ المقاومة تضرب مبنى</t>
  </si>
  <si>
    <t>قذائف صمود صُدِمت بناء</t>
  </si>
  <si>
    <t>رُمحيّات مقاومة عُنفت صرح</t>
  </si>
  <si>
    <t>قذائف مقاومة فُتت عمارة</t>
  </si>
  <si>
    <t>رُمحيّات مقاومة صُدِمت تعمير</t>
  </si>
  <si>
    <r>
      <rPr>
        <sz val="11"/>
        <color theme="1"/>
        <rFont val="Calibri"/>
        <family val="2"/>
        <charset val="1"/>
      </rPr>
      <t>#</t>
    </r>
    <r>
      <rPr>
        <sz val="11"/>
        <color theme="1"/>
        <rFont val="FreeSans"/>
        <family val="2"/>
      </rPr>
      <t>غزه</t>
    </r>
    <r>
      <rPr>
        <sz val="11"/>
        <color theme="1"/>
        <rFont val="Calibri"/>
        <family val="2"/>
        <charset val="1"/>
      </rPr>
      <t>_</t>
    </r>
    <r>
      <rPr>
        <sz val="11"/>
        <color theme="1"/>
        <rFont val="FreeSans"/>
        <family val="2"/>
      </rPr>
      <t>تقاوم</t>
    </r>
  </si>
  <si>
    <t>صمود قاومَ</t>
  </si>
  <si>
    <t>معقل ثابر</t>
  </si>
  <si>
    <t>مرابطة صمد</t>
  </si>
  <si>
    <t>صمود تقاوم</t>
  </si>
  <si>
    <t>عماد بلحاج خليفة الأمين العام للاتحاد الوطني لنقابات قوات الأمن الداخلي : لازم المجتمع المدني يساند النفس الإصلاحي الي تعيشو المؤسسة الأمنية.. #MidiShow</t>
  </si>
  <si>
    <t>النفس الإصلاحي</t>
  </si>
  <si>
    <t>الخُلق إصلاحي</t>
  </si>
  <si>
    <t>النفس مُجَدِّد</t>
  </si>
  <si>
    <t>الجوهر إصلاحي</t>
  </si>
  <si>
    <t>مصادر إعلامية : الجيش #اللبناني يشتبك مع مجموعة من فلول إرهابيي (داعش) في منطقة #وادي_خالد محلة الفرض</t>
  </si>
  <si>
    <t>فلول إرهابيي</t>
  </si>
  <si>
    <t>أشلاء إرهابيي</t>
  </si>
  <si>
    <t>مُتَبَقِّين إرهابيي</t>
  </si>
  <si>
    <t>مَهزومون مجرمون</t>
  </si>
  <si>
    <t>مَهزومون شرسون</t>
  </si>
  <si>
    <t>بقايا وحشيون</t>
  </si>
  <si>
    <t>يعدُ واجهة ولاية مطرح على بحر عُمان ورئتها التي تتنفس منها.. تعرف على #قصة_شارع \"الكورنيش\" في محافظة #مسقط | تقرير: سمير النمري - أحمد العساف #الأخبار https://t.co/1XzAjuaQDW</t>
  </si>
  <si>
    <t>ورئتها التي تتنفس منها</t>
  </si>
  <si>
    <t>رئتاها تي تَعبَقُ منها</t>
  </si>
  <si>
    <t>مَجْرى هواء تي تَنهَمُ منها</t>
  </si>
  <si>
    <t>رئتيها تي تَنهَمُ منها</t>
  </si>
  <si>
    <t>ورئتها تي تَرغَبُ منها</t>
  </si>
  <si>
    <t>مَعِدتها تي تَهتِفُ منها</t>
  </si>
  <si>
    <t>بئر علي بن خليفة: مرض الالتهاب الكبدي صنف أ يجتاح المدارس https://t.co/SHj8pIDtEA https://t.co/wLUmF62QKb</t>
  </si>
  <si>
    <t>يجتاح</t>
  </si>
  <si>
    <t>اقتحم</t>
  </si>
  <si>
    <t>سيطر</t>
  </si>
  <si>
    <t>استولى</t>
  </si>
  <si>
    <t>مرض الالتهاب الكبدي صنف أ يجتاح المدارس</t>
  </si>
  <si>
    <t>عَاهة احتقان مرارة فِئَة أ اقتحام دورات تدريبية</t>
  </si>
  <si>
    <t>نَقْص سخونة صبغِيّ مَرْكَز أ يجتاح حلقات تعلم</t>
  </si>
  <si>
    <t>زَيْغ اشتعال كبدي صنف أ يجتاح معاهد</t>
  </si>
  <si>
    <t>سقم تقرح أقرع مَرْكَز أ يجتاح هيئات تدريسية</t>
  </si>
  <si>
    <t>نَقْص التهاب صفراوي صنف أ يجتاح تجمعات تعليمية</t>
  </si>
  <si>
    <t>زَيْغ تآكُل كبدي طَبْع أ سحق مدارس</t>
  </si>
  <si>
    <t>قضية_بن_بطوش .. مثقفون موريتانيون يدعون إسبانيا إلى تدبير الأزمة بحكمة https://t.co/xByFFWxt6q</t>
  </si>
  <si>
    <t>مثقفون موريتانيون</t>
  </si>
  <si>
    <t>مفكرون موريتانيون</t>
  </si>
  <si>
    <t>مثقفّون موريتانيين</t>
  </si>
  <si>
    <t>متبحرون موريتانيون</t>
  </si>
  <si>
    <t>مُطَّلعون موريتانيون</t>
  </si>
  <si>
    <t>متبحرون سود</t>
  </si>
  <si>
    <t>مثقفون موريون</t>
  </si>
  <si>
    <t>الأزمة</t>
  </si>
  <si>
    <t>كَرْب</t>
  </si>
  <si>
    <t>بحكمة</t>
  </si>
  <si>
    <t>بَصِيرَةٌ</t>
  </si>
  <si>
    <t>مَعْرِفَةٌ</t>
  </si>
  <si>
    <t>فَهْمٌ</t>
  </si>
  <si>
    <t>رُشْدٌ</t>
  </si>
  <si>
    <t>حِكْمَةٌ</t>
  </si>
  <si>
    <t>تَعْقُلٌ</t>
  </si>
  <si>
    <t>أشاد بزيارة سموه إلى موقع برنامج \"السارية\" في القرية التراثية..وزير الإعلام: مبادرات سمو الشيخ ناصر بن حمد تعزز الفخر بالتراث البحريني والهوية الوطنية https://t.co/UtJDQpFKsk</t>
  </si>
  <si>
    <t>مبادرات سمو الشيخ ناصر بن حمد تعزز الفخر بالتراث البحريني والهوية الوطنية</t>
  </si>
  <si>
    <t>انْبِثَاقَات سمو فَقيه أنصار بن امتنان ربط فخر بالتراث بحريني سمة أصالة</t>
  </si>
  <si>
    <t>مَدَاخِل مجد وَلي مساند بن حمد عضّد غبطة مُسْتَمْرَر بحري والهوية محافظة</t>
  </si>
  <si>
    <t>بَدَايَات فخامة ـهرم ناصر بن ثناء دعّم مباهاة مُسْتَمْرَر مرواني صفة عروبة</t>
  </si>
  <si>
    <t>انْطِلَاقَات فخامة شيخ ناصر بن ثناء عزز اعتزاز تقاليد بحري شخصية ولاء</t>
  </si>
  <si>
    <t>تعزز</t>
  </si>
  <si>
    <t>تُؤازر</t>
  </si>
  <si>
    <t>تعاضد</t>
  </si>
  <si>
    <t>تُعزز</t>
  </si>
  <si>
    <t>الفخر</t>
  </si>
  <si>
    <t>تعالي</t>
  </si>
  <si>
    <t>كبرياء</t>
  </si>
  <si>
    <t>الوفاء للمقاومة: تشكيل الحكومة هو المدخل الحصري لخطة الحل والإنقاذ https://t.co/tjoGt68Fs8</t>
  </si>
  <si>
    <t>للمقاومة</t>
  </si>
  <si>
    <t>الوفاء للمقاومة: تشكيل الحكومة هو المدخل الحصري لخطة الحل والإنقاذ https://t.co/tjoGt68Fs9</t>
  </si>
  <si>
    <t>الوفاء للمقاومة: تشكيل الحكومة هو المدخل الحصري لخطة الحل والإنقاذ https://t.co/tjoGt68Fs11</t>
  </si>
  <si>
    <t>الوفاء للمقاومة: تشكيل الحكومة هو المدخل الحصري لخطة الحل والإنقاذ https://t.co/tjoGt68Fs12</t>
  </si>
  <si>
    <t>الوفاء للمقاومة: تشكيل الحكومة هو المدخل الحصري لخطة الحل والإنقاذ https://t.co/tjoGt68Fs13</t>
  </si>
  <si>
    <t>تشكيل الحكومة هو المدخل الحصري لخطة الحل والإنقاذ</t>
  </si>
  <si>
    <t>تنسيق حكومة هو مدخل مُنفرد مشروع حسم إسعاف</t>
  </si>
  <si>
    <t>الوفاء للمقاومة: تشكيل الحكومة هو المدخل الحصري لخطة الحل والإنقاذ https://t.co/tjoGt68Fs14</t>
  </si>
  <si>
    <t>تشكيل جهة مُسَيّرة هو مَنْفَذ أوحد مخطّط تدبير فكاك</t>
  </si>
  <si>
    <t>الوفاء للمقاومة: تشكيل الحكومة هو المدخل الحصري لخطة الحل والإنقاذ https://t.co/tjoGt68Fs15</t>
  </si>
  <si>
    <t>تأليف حكومة هو مدخل وحيد مخططّة فك والإنقاذ</t>
  </si>
  <si>
    <t>الوفاء للمقاومة: تشكيل الحكومة هو المدخل الحصري لخطة الحل والإنقاذ https://t.co/tjoGt68Fs16</t>
  </si>
  <si>
    <t>بناء نظام هو مدخلٌ مُنفرد تصميم حل عون</t>
  </si>
  <si>
    <t>ارتفاع الاصابات بكورونا لدى الشباب بشكل مخيف\" &amp;gt;&amp;gt;https://t.co/OTrtfBM5Hx https://t.co/IZNip9dMP6</t>
  </si>
  <si>
    <t>مخيف</t>
  </si>
  <si>
    <t>مرعب</t>
  </si>
  <si>
    <t>ارتفاع الاصابات بكورونا لدى الشباب بشكل مخيف\" &amp;gt;&amp;gt;https://t.co/OTrtfBM5Hx https://t.co/IZNip9dMP7</t>
  </si>
  <si>
    <t>مروع جدا</t>
  </si>
  <si>
    <t>صور| أجواء احتفالية في #القدس بعد دخول اتفاق وقف إطلاق النار حيز التنفيذ بين المقاومة الفلسطينية وإسرائيل #غزة_تنتصر https://t.co/voDMI9gCtJ</t>
  </si>
  <si>
    <t>أجواء احتفالية</t>
  </si>
  <si>
    <t>وسط وليمة</t>
  </si>
  <si>
    <t>أجواء حفلة</t>
  </si>
  <si>
    <t>حالة وليمة</t>
  </si>
  <si>
    <t>حالة تذكار</t>
  </si>
  <si>
    <t>محيط مهرجان</t>
  </si>
  <si>
    <t>المقاومة بَلْدَوِيَّةٌ</t>
  </si>
  <si>
    <t>المعارضة فلسطينية</t>
  </si>
  <si>
    <t>الحصانة فلسطينية</t>
  </si>
  <si>
    <t>الثبات فلسطينية</t>
  </si>
  <si>
    <t>حصن تَظْفَرُ</t>
  </si>
  <si>
    <t>عزيمة تَغْلُبُ</t>
  </si>
  <si>
    <t>منعة تَظْفَرُ</t>
  </si>
  <si>
    <t>منيعة تَسْتَأْثِرُ</t>
  </si>
  <si>
    <t>حصانة تَغْلُبُ</t>
  </si>
  <si>
    <t>عزة تَفُوزُ</t>
  </si>
  <si>
    <t>بث مباشر.. على الرغم من مخاوف الوباء الرئيس البرازيلي يقود موكبًا إلى النصب التذكاري للحرب العالمية الثانية #سكاي_مباشر https://t.co/i2TIq6OqwW</t>
  </si>
  <si>
    <t>مخاوف</t>
  </si>
  <si>
    <t>فزع</t>
  </si>
  <si>
    <t>تخوفات</t>
  </si>
  <si>
    <t>هواجس</t>
  </si>
  <si>
    <t>قلق</t>
  </si>
  <si>
    <t>الوباء</t>
  </si>
  <si>
    <t>الرجس</t>
  </si>
  <si>
    <t>الوبيل</t>
  </si>
  <si>
    <t>الفناء</t>
  </si>
  <si>
    <t>البلاء</t>
  </si>
  <si>
    <t>الداء</t>
  </si>
  <si>
    <t>شاهد بلدة الخبراء التراثية.. أبنية طينية تحملك إلى أصالة الماضي. https://t.co/ckLNpeuPmV https://t.co/g3U6tso69p</t>
  </si>
  <si>
    <t>أصالة</t>
  </si>
  <si>
    <t>رَأْسِيَّة</t>
  </si>
  <si>
    <t>أَصَمَّة</t>
  </si>
  <si>
    <t>أَسَاسِيَّة</t>
  </si>
  <si>
    <t>أُسُّ</t>
  </si>
  <si>
    <t>حَقِيقِيَّة</t>
  </si>
  <si>
    <t>الدفاع المدني: الألعاب النارية خطر يهدد الأطفال..لاتعكروا فرحة العيد باقتنائها</t>
  </si>
  <si>
    <t>خطر</t>
  </si>
  <si>
    <t>يُقذّع</t>
  </si>
  <si>
    <t>يُزبد</t>
  </si>
  <si>
    <t>يُرعد</t>
  </si>
  <si>
    <t>يُخوّف</t>
  </si>
  <si>
    <t>تعكروا</t>
  </si>
  <si>
    <t>تَحَيَّرُوا</t>
  </si>
  <si>
    <t>اِعْوَجُّوا</t>
  </si>
  <si>
    <t>تَحَزَّزُوا</t>
  </si>
  <si>
    <t>اِعْتَكَرُوا</t>
  </si>
  <si>
    <t>إسرائيل تعلن تدمير نقطة مراقبة سورية في الجولان \"انتهكت سيادتها\" #عاجل https://t.co/MN3iafFseD</t>
  </si>
  <si>
    <t>انتهكت</t>
  </si>
  <si>
    <t>خالفت</t>
  </si>
  <si>
    <t>خرقت</t>
  </si>
  <si>
    <t>داست</t>
  </si>
  <si>
    <t>انتقصت</t>
  </si>
  <si>
    <t>تجاوزت</t>
  </si>
  <si>
    <t>سحقت</t>
  </si>
  <si>
    <t>القراءات النسوية للنصّ القرآني: سـؤال اللغة https://t.co/YqU2q7Wj6X https://t.co/Q0uCiWM7dN</t>
  </si>
  <si>
    <t>القراءات النسوية</t>
  </si>
  <si>
    <t>القراءات حَرْمَجية</t>
  </si>
  <si>
    <t>المقروءات نِّسائيَّة</t>
  </si>
  <si>
    <t>الحِكَم إيغال في تأنيث</t>
  </si>
  <si>
    <t>المسموعات مؤنثة</t>
  </si>
  <si>
    <t xml:space="preserve">بفارق هدف واحد.. #هاري_كين يقتنص الحذاء الذهبي لهداف الدوري الإنجليزي من #محمد_صلاح </t>
  </si>
  <si>
    <t>يقتنص</t>
  </si>
  <si>
    <t>أحكم</t>
  </si>
  <si>
    <t>انقض</t>
  </si>
  <si>
    <t>ظفر</t>
  </si>
  <si>
    <t>وزير نفط النظام: 90% من النفط السوري تحت النفوذ الأمريكي ووعوده بوصول التوريدات تتلاشى</t>
  </si>
  <si>
    <t>الترتيبة</t>
  </si>
  <si>
    <t>التنسيق</t>
  </si>
  <si>
    <t>تتلاشى</t>
  </si>
  <si>
    <t>تَضْمُرُ</t>
  </si>
  <si>
    <t>تَزْوَلُ</t>
  </si>
  <si>
    <t>تَنْحَسِرُ</t>
  </si>
  <si>
    <t>تَتَلَاشَى</t>
  </si>
  <si>
    <t>تَذْبُلُ</t>
  </si>
  <si>
    <t>شاعر إسباني دفع حياته ثمنا لاعترافه بفضل الثقافة العربية.. قصة العرب في #الأندلس وبصمة تركوها على مدار ٨ قرون.. تعرف على القصة. #روافد https://t.co/HCyZNRB6o4</t>
  </si>
  <si>
    <t>بفضل</t>
  </si>
  <si>
    <t>تَفَضُّلًا</t>
  </si>
  <si>
    <t>شاعر إسباني دفع حياته ثمنا لاعترافه بفضل الثقافة العربية.. قصة العرب في #الأندلس وبصمة تركوها على مدار ٨ قرون.. تعرف على القصة. #روافد https://t.co/HCyZNRB6o5</t>
  </si>
  <si>
    <t>إحسانا</t>
  </si>
  <si>
    <t>شاعر إسباني دفع حياته ثمنا لاعترافه بفضل الثقافة العربية.. قصة العرب في #الأندلس وبصمة تركوها على مدار ٨ قرون.. تعرف على القصة. #روافد https://t.co/HCyZNRB6o6</t>
  </si>
  <si>
    <t>شكرا</t>
  </si>
  <si>
    <t>شاعر إسباني دفع حياته ثمنا لاعترافه بفضل الثقافة العربية.. قصة العرب في #الأندلس وبصمة تركوها على مدار ٨ قرون.. تعرف على القصة. #روافد https://t.co/HCyZNRB6o7</t>
  </si>
  <si>
    <t>دفع حياته ثمنا</t>
  </si>
  <si>
    <t>أبعد أوقاته سعرا</t>
  </si>
  <si>
    <t>شاعر إسباني دفع حياته ثمنا لاعترافه بفضل الثقافة العربية.. قصة العرب في #الأندلس وبصمة تركوها على مدار ٨ قرون.. تعرف على القصة. #روافد https://t.co/HCyZNRB6o8</t>
  </si>
  <si>
    <t>دفع عمره مَهْـرَزاً</t>
  </si>
  <si>
    <t>شاعر إسباني دفع حياته ثمنا لاعترافه بفضل الثقافة العربية.. قصة العرب في #الأندلس وبصمة تركوها على مدار ٨ قرون.. تعرف على القصة. #روافد https://t.co/HCyZNRB6o9</t>
  </si>
  <si>
    <t>دفع سنينه مُقابِلاً</t>
  </si>
  <si>
    <t>شاعر إسباني دفع حياته ثمنا لاعترافه بفضل الثقافة العربية.. قصة العرب في #الأندلس وبصمة تركوها على مدار ٨ قرون.. تعرف على القصة. #روافد https://t.co/HCyZNRB6o10</t>
  </si>
  <si>
    <t>دفع عيشه أجراً</t>
  </si>
  <si>
    <t>وقت يلي بتحتاج المقاومة الفلسطينية فتح جبهات على إسرائيل ستُفتح الجبهات من دون اذن احد #وهلق_شو</t>
  </si>
  <si>
    <t>المقاومة لبنانيّة</t>
  </si>
  <si>
    <t>الصمود فلسطينية</t>
  </si>
  <si>
    <t>المعارضة فلستينية</t>
  </si>
  <si>
    <t>الثبات فلستينية</t>
  </si>
  <si>
    <t>المقاومة فلسطينية</t>
  </si>
  <si>
    <t>ماذا فعل طائر نورس عندما اشتد عليه الجوع في مدينة اسكتلندية؟ #غرائب</t>
  </si>
  <si>
    <t>اشتد عليه الجوع</t>
  </si>
  <si>
    <t>تعمّق عليه جُرْعَة</t>
  </si>
  <si>
    <t>تعمّق عليه ضَنْك</t>
  </si>
  <si>
    <t>اشتد عليه مَسْغَبَة</t>
  </si>
  <si>
    <t>تهاوي \"قبة إسرائيل الحديدية\" أمام صواريخ المقاومة.. يدعو للتساؤل ما مدى فعاليتها أمام هجوم متطور؟ https://t.co/kxr6R6HiYI https://t.co/zRYy3Mall8</t>
  </si>
  <si>
    <t>قبة إسرائيل الحديدية</t>
  </si>
  <si>
    <t>قبة إسرائيل حازمة</t>
  </si>
  <si>
    <t>تهاوي \"قبة إسرائيل الحديدية\" أمام صواريخ المقاومة.. يدعو للتساؤل ما مدى فعاليتها أمام هجوم متطور؟ https://t.co/kxr6R6HiYI https://t.co/zRYy3Mall9</t>
  </si>
  <si>
    <t>قُبَّة يَهُود صرْد</t>
  </si>
  <si>
    <t>تهاوي \"قبة إسرائيل الحديدية\" أمام صواريخ المقاومة.. يدعو للتساؤل ما مدى فعاليتها أمام هجوم متطور؟ https://t.co/kxr6R6HiYI https://t.co/zRYy3Mall10</t>
  </si>
  <si>
    <t>قُبَّة إسرائيل حازمة</t>
  </si>
  <si>
    <t>تهاوي \"قبة إسرائيل الحديدية\" أمام صواريخ المقاومة.. يدعو للتساؤل ما مدى فعاليتها أمام هجوم متطور؟ https://t.co/kxr6R6HiYI https://t.co/zRYy3Mall11</t>
  </si>
  <si>
    <t>جَوْزَاء قَبَائِلُ إِسْرَائِيلِيَّةُ حديدية</t>
  </si>
  <si>
    <t>تهاوي \"قبة إسرائيل الحديدية\" أمام صواريخ المقاومة.. يدعو للتساؤل ما مدى فعاليتها أمام هجوم متطور؟ https://t.co/kxr6R6HiYI https://t.co/zRYy3Mall12</t>
  </si>
  <si>
    <t>يدعو للتساؤل ما مدى فعاليتها أمام هجوم متطور</t>
  </si>
  <si>
    <t>يُقَارِح استقصاء ما أجل مخرجاتها أمام تدافع متطور</t>
  </si>
  <si>
    <t>تهاوي \"قبة إسرائيل الحديدية\" أمام صواريخ المقاومة.. يدعو للتساؤل ما مدى فعاليتها أمام هجوم متطور؟ https://t.co/kxr6R6HiYI https://t.co/zRYy3Mall13</t>
  </si>
  <si>
    <t>يدعو استكشاف ما مهلة فعاليتها أمام هجوم متطور</t>
  </si>
  <si>
    <t>تهاوي \"قبة إسرائيل الحديدية\" أمام صواريخ المقاومة.. يدعو للتساؤل ما مدى فعاليتها أمام هجوم متطور؟ https://t.co/kxr6R6HiYI https://t.co/zRYy3Mall14</t>
  </si>
  <si>
    <t>يَرْغَب استيضاح ما سعة عمليتها أمام اقتحام محدث</t>
  </si>
  <si>
    <t>تهاوي \"قبة إسرائيل الحديدية\" أمام صواريخ المقاومة.. يدعو للتساؤل ما مدى فعاليتها أمام هجوم متطور؟ https://t.co/kxr6R6HiYI https://t.co/zRYy3Mall15</t>
  </si>
  <si>
    <t>يَرْغَب استعلام ما مدى نتائجها أمام هجوم مبتكر</t>
  </si>
  <si>
    <t>تهاوي \"قبة إسرائيل الحديدية\" أمام صواريخ المقاومة.. يدعو للتساؤل ما مدى فعاليتها أمام هجوم متطور؟ https://t.co/kxr6R6HiYI https://t.co/zRYy3Mall16</t>
  </si>
  <si>
    <t>تهاوي</t>
  </si>
  <si>
    <t>تصدع</t>
  </si>
  <si>
    <t>تهاوي \"قبة إسرائيل الحديدية\" أمام صواريخ المقاومة.. يدعو للتساؤل ما مدى فعاليتها أمام هجوم متطور؟ https://t.co/kxr6R6HiYI https://t.co/zRYy3Mall17</t>
  </si>
  <si>
    <t>تهاوي \"قبة إسرائيل الحديدية\" أمام صواريخ المقاومة.. يدعو للتساؤل ما مدى فعاليتها أمام هجوم متطور؟ https://t.co/kxr6R6HiYI https://t.co/zRYy3Mall18</t>
  </si>
  <si>
    <t>انحطام</t>
  </si>
  <si>
    <t>تهاوي \"قبة إسرائيل الحديدية\" أمام صواريخ المقاومة.. يدعو للتساؤل ما مدى فعاليتها أمام هجوم متطور؟ https://t.co/kxr6R6HiYI https://t.co/zRYy3Mall20</t>
  </si>
  <si>
    <t>تداعي</t>
  </si>
  <si>
    <t>تهاوي \"قبة إسرائيل الحديدية\" أمام صواريخ المقاومة.. يدعو للتساؤل ما مدى فعاليتها أمام هجوم متطور؟ https://t.co/kxr6R6HiYI https://t.co/zRYy3Mall23</t>
  </si>
  <si>
    <t>تهاوي \"قبة إسرائيل الحديدية\" أمام صواريخ المقاومة.. يدعو للتساؤل ما مدى فعاليتها أمام هجوم متطور؟ https://t.co/kxr6R6HiYI https://t.co/zRYy3Mall24</t>
  </si>
  <si>
    <t>تهاوي \"قبة إسرائيل الحديدية\" أمام صواريخ المقاومة.. يدعو للتساؤل ما مدى فعاليتها أمام هجوم متطور؟ https://t.co/kxr6R6HiYI https://t.co/zRYy3Mall25</t>
  </si>
  <si>
    <t>تهاوي \"قبة إسرائيل الحديدية\" أمام صواريخ المقاومة.. يدعو للتساؤل ما مدى فعاليتها أمام هجوم متطور؟ https://t.co/kxr6R6HiYI https://t.co/zRYy3Mall26</t>
  </si>
  <si>
    <t>عاجل الجزيرة | محكمة إسرائيلية تمدد اعتقال كمال الخطيب نائب رئيس الحركة الإسلامية داخل الخط الاخضر وتوجه له تهمتي التحريض على العنف والإرهاب</t>
  </si>
  <si>
    <t>الشدة</t>
  </si>
  <si>
    <t>العُنف</t>
  </si>
  <si>
    <t>الرجفة</t>
  </si>
  <si>
    <t>الفزع</t>
  </si>
  <si>
    <t>التحريض</t>
  </si>
  <si>
    <t>الاستنهاض</t>
  </si>
  <si>
    <t>التأجيج</t>
  </si>
  <si>
    <t>التوعية</t>
  </si>
  <si>
    <t>التنبيه</t>
  </si>
  <si>
    <t>الاستحثاث</t>
  </si>
  <si>
    <t>ريبورتاج: فلسطينيو حي الشيخ جراح بالقدس بين الصدمة والخوف إثر موجة العنف الأخيرة https://t.co/ZDgozgxlI8 https://t.co/88yncJ4lOT</t>
  </si>
  <si>
    <t>الخوف</t>
  </si>
  <si>
    <t>الهلع</t>
  </si>
  <si>
    <t>الخشية</t>
  </si>
  <si>
    <t>موجة العنف</t>
  </si>
  <si>
    <t>نَزْوَةٌ هيجان</t>
  </si>
  <si>
    <t>فَوْرَةٌ ضراوت</t>
  </si>
  <si>
    <t>موجة قساوة</t>
  </si>
  <si>
    <t>زَخَرٌ ضراوت</t>
  </si>
  <si>
    <t>الأكثر قراءة... أهالي موقوفي «أحداث الدراز»: قلقون على أبنائنا بعد انقطاع أخبارهم #Bahrain https://t.co/1PRCudxs5H</t>
  </si>
  <si>
    <t>موقوفي «أحداث الدراز»</t>
  </si>
  <si>
    <t>موقوفي شؤون مُسْتَطِيلَة</t>
  </si>
  <si>
    <t>مُنتظر مناسبات دراز</t>
  </si>
  <si>
    <t>معلّق حوادث سَّنَة</t>
  </si>
  <si>
    <t>عين_اليمن مفاجئة «لليمنيين» .. تخفيض أسعار «الوقود» ابتداءً من اليوم https://t.co/YuePZdisF7 https://t.co/yrdJoPuM2x</t>
  </si>
  <si>
    <t>مفاجئة</t>
  </si>
  <si>
    <t>بغتة</t>
  </si>
  <si>
    <t>زَائِرَة</t>
  </si>
  <si>
    <t>فجأة</t>
  </si>
  <si>
    <t>خَاطِفَة</t>
  </si>
  <si>
    <t>مُستَجَدَّة</t>
  </si>
  <si>
    <t>غويتا... الرجل الذي أطاح برئيسين في أقل من عام === https://t.co/kSVFFb5MHx https://t.co/3iiQlQzn1j</t>
  </si>
  <si>
    <t>أطاح</t>
  </si>
  <si>
    <t>صَرَعَ</t>
  </si>
  <si>
    <t>هَدَمَ</t>
  </si>
  <si>
    <t>أسقَطَ</t>
  </si>
  <si>
    <t>حَطَّمَ</t>
  </si>
  <si>
    <t>الفنانة \" نانسي عجاج\" تحتفل بعيد ميلادها بالدموع رفقة أطفال الأمل ببرج الأمل ( السرطان). #السودان https://t.co/86ishZtOu4</t>
  </si>
  <si>
    <t>أطفال الأمل</t>
  </si>
  <si>
    <t>صِبْيَان توقع</t>
  </si>
  <si>
    <t>الفنانة \" نانسي عجاج\" تحتفل بعيد ميلادها بالدموع رفقة أطفال الأمل ببرج الأمل ( السرطان). #السودان https://t.co/86ishZtOu5</t>
  </si>
  <si>
    <t>نشء تطلع</t>
  </si>
  <si>
    <t>الفنانة \" نانسي عجاج\" تحتفل بعيد ميلادها بالدموع رفقة أطفال الأمل ببرج الأمل ( السرطان). #السودان https://t.co/86ishZtOu6</t>
  </si>
  <si>
    <t>حُدَّثاء توقع</t>
  </si>
  <si>
    <t>الفنانة \" نانسي عجاج\" تحتفل بعيد ميلادها بالدموع رفقة أطفال الأمل ببرج الأمل ( السرطان). #السودان https://t.co/86ishZtOu7</t>
  </si>
  <si>
    <t>غِلْمَان اشتياق</t>
  </si>
  <si>
    <t>بابلو إغليسياس في قلب الإعصار بسبب تشكيكه في الحياة الديمقراطية الطبيعية في اسبانيا https://t.co/8l125n2TJB</t>
  </si>
  <si>
    <t>قلب الإعصار</t>
  </si>
  <si>
    <t>لب صَرْصَرَة</t>
  </si>
  <si>
    <t>قلب زَعْزَع</t>
  </si>
  <si>
    <t>وصافة وتفوق هائل لـ"أرامكو #السعودية".. هنا "ترتيب أكبر شركات العالم ربحية". https://t.co/SOe7bsvUJk https://t.co/m42JaUyJFn</t>
  </si>
  <si>
    <t>وتفوق هائل</t>
  </si>
  <si>
    <t>ريادة هائل</t>
  </si>
  <si>
    <t>تفوق هائلٌ جداً</t>
  </si>
  <si>
    <t>تفوقّ ضخيم</t>
  </si>
  <si>
    <t>امتياز مُنْبَهِر</t>
  </si>
  <si>
    <t>وصافة وتفوق هائل لـ"أرامكو #السعودية".. هنا "ترتيب أكبر شركات العالم ربحية"</t>
  </si>
  <si>
    <t>وصافة وتفوق هائل لـ بترومين سعودية هنا ترتيبة أشد شركات وجود مَغْنَم</t>
  </si>
  <si>
    <t>وصافة تجاوز رهيب لـ نفطيةقابضة مملكة هنا ترتيب أعلا شركات عالم ربحية: رِجْحَة</t>
  </si>
  <si>
    <t>ظهور وتفوق جليل لـ طاقةقوي أرض قداسة هنا ترتيب أضخم شراكات كون فسيح مَغْنَم</t>
  </si>
  <si>
    <t>وصافة وتفوق رهيب لـ شركتنفط مملكة هنا نظام أضخم مؤسسية شهيد ربحية: رِجْحَة</t>
  </si>
  <si>
    <t>بعد مرور ساعة على انطلاقة حملة #سالمة_ياسودان القطرية لإغاثة الشعب السوداني جراء #فيضانات_السودان ، التبرعات تصل إلى أكثر من 79 مليون ريال قطري. #السودان https://t.co/MEaPgw2kHn</t>
  </si>
  <si>
    <t>لإغاثة</t>
  </si>
  <si>
    <t>مدد</t>
  </si>
  <si>
    <t>إنقاذ</t>
  </si>
  <si>
    <t>مؤازرة</t>
  </si>
  <si>
    <t>نجدة</t>
  </si>
  <si>
    <t>إعانة</t>
  </si>
  <si>
    <t>تحبس أنفاسها</t>
  </si>
  <si>
    <t>العالم لن يتجاوز أزمة #كورونا قبل تطعيم 70% من سكانه\".. منظمة الصحة العالمية تحبس أنفاسها بسبب ارتفاع أعداد المصابين بالسلالات المتحورة | تقرير: مريم أوباييش #الحصاد https://t.co/8CzD1MuLn6</t>
  </si>
  <si>
    <t>حجرت نَفَسها</t>
  </si>
  <si>
    <t>العالم لن يتجاوز أزمة #كورونا قبل تطعيم 70% من سكانه\".. منظمة الصحة العالمية تحبس أنفاسها بسبب ارتفاع أعداد المصابين بالسلالات المتحورة | تقرير: مريم أوباييش #الحصاد https://t.co/8CzD1MuLn7</t>
  </si>
  <si>
    <t>حبّقت أنفاسها</t>
  </si>
  <si>
    <t>العالم لن يتجاوز أزمة #كورونا قبل تطعيم 70% من سكانه\".. منظمة الصحة العالمية تحبس أنفاسها بسبب ارتفاع أعداد المصابين بالسلالات المتحورة | تقرير: مريم أوباييش #الحصاد https://t.co/8CzD1MuLn8</t>
  </si>
  <si>
    <t>تحبس نَسماتُها</t>
  </si>
  <si>
    <t>الوصال| #القدس في قلوبنا حلقة خاصة من #فوانيس_الوصال مع الدكتور المعتصم المعمري @mutasem_mamari #القدس_ينتفض #الأقصى_ينتفض #عمانيون_مع_القدس https://t.co/0B9HgdXTfg</t>
  </si>
  <si>
    <r>
      <rPr>
        <sz val="11"/>
        <color theme="1"/>
        <rFont val="Calibri"/>
        <family val="2"/>
        <charset val="1"/>
      </rPr>
      <t>#</t>
    </r>
    <r>
      <rPr>
        <sz val="11"/>
        <color theme="1"/>
        <rFont val="FreeSans"/>
        <family val="2"/>
      </rPr>
      <t>القدس</t>
    </r>
    <r>
      <rPr>
        <sz val="11"/>
        <color theme="1"/>
        <rFont val="Calibri"/>
        <family val="2"/>
        <charset val="1"/>
      </rPr>
      <t>_</t>
    </r>
    <r>
      <rPr>
        <sz val="11"/>
        <color theme="1"/>
        <rFont val="FreeSans"/>
        <family val="2"/>
      </rPr>
      <t>ينتفض</t>
    </r>
  </si>
  <si>
    <t>الـمـدينة ـمـُـقـدَّسـة يتمرّد</t>
  </si>
  <si>
    <t>بـيـتـانـيـا ينتفض</t>
  </si>
  <si>
    <t>الـمـدينة ـمـُـقـدَّسـة يتزعزع</t>
  </si>
  <si>
    <t>سـيـنـاء يتحرك</t>
  </si>
  <si>
    <t>الـمـدينة ـمـُـقـدَّسـة ينتفض</t>
  </si>
  <si>
    <t>الـمـدينة ـمـُـقـدَّسـة يتحرك</t>
  </si>
  <si>
    <r>
      <rPr>
        <sz val="11"/>
        <color theme="1"/>
        <rFont val="Calibri"/>
        <family val="2"/>
        <charset val="1"/>
      </rPr>
      <t>#</t>
    </r>
    <r>
      <rPr>
        <sz val="11"/>
        <color theme="1"/>
        <rFont val="FreeSans"/>
        <family val="2"/>
      </rPr>
      <t>الأقصى</t>
    </r>
    <r>
      <rPr>
        <sz val="11"/>
        <color theme="1"/>
        <rFont val="Calibri"/>
        <family val="2"/>
        <charset val="1"/>
      </rPr>
      <t>_</t>
    </r>
    <r>
      <rPr>
        <sz val="11"/>
        <color theme="1"/>
        <rFont val="FreeSans"/>
        <family val="2"/>
      </rPr>
      <t>ينتفض</t>
    </r>
  </si>
  <si>
    <t>نهاية شيء يهتز</t>
  </si>
  <si>
    <t>أقصى مدة يتأجج</t>
  </si>
  <si>
    <t>الأقصى يضطرب</t>
  </si>
  <si>
    <t>الأبعدي ينتفض</t>
  </si>
  <si>
    <r>
      <rPr>
        <sz val="11"/>
        <color theme="1"/>
        <rFont val="Calibri"/>
        <family val="2"/>
        <charset val="1"/>
      </rPr>
      <t>#</t>
    </r>
    <r>
      <rPr>
        <sz val="11"/>
        <color theme="1"/>
        <rFont val="FreeSans"/>
        <family val="2"/>
      </rPr>
      <t>عمانيون</t>
    </r>
    <r>
      <rPr>
        <sz val="11"/>
        <color theme="1"/>
        <rFont val="Calibri"/>
        <family val="2"/>
        <charset val="1"/>
      </rPr>
      <t>_</t>
    </r>
    <r>
      <rPr>
        <sz val="11"/>
        <color theme="1"/>
        <rFont val="FreeSans"/>
        <family val="2"/>
      </rPr>
      <t>مع</t>
    </r>
    <r>
      <rPr>
        <sz val="11"/>
        <color theme="1"/>
        <rFont val="Calibri"/>
        <family val="2"/>
        <charset val="1"/>
      </rPr>
      <t>_</t>
    </r>
    <r>
      <rPr>
        <sz val="11"/>
        <color theme="1"/>
        <rFont val="FreeSans"/>
        <family val="2"/>
      </rPr>
      <t>القدس</t>
    </r>
  </si>
  <si>
    <t>الأبْناء مع قدس</t>
  </si>
  <si>
    <t>الأبْناء مع بـارُك</t>
  </si>
  <si>
    <t>السَّبَئيّون مع بـلـدُ ـحـرم</t>
  </si>
  <si>
    <t>السُّكّان أصليّون مع ـمـُـشـرفـة</t>
  </si>
  <si>
    <t>السَّبَئيّون مع ـمـدِيـنـةُ ـمـُـقـدَّسـة</t>
  </si>
  <si>
    <t>العَقَداء مع بـلـدُ ـحـرم</t>
  </si>
  <si>
    <t>رئيس الوزراء الفرنسي يزور تونس لبحث ملفات \"الشراكة الاقتصادية\" و\"الأزمة الصحية\" 🇹🇳 🇫🇷 #تونس #فرنسا https://t.co/XCJQjGzORl</t>
  </si>
  <si>
    <t>الشراكة الاقتصادية</t>
  </si>
  <si>
    <t>الزمالة مُقتصدة جدا</t>
  </si>
  <si>
    <t>المصاحبة اقتصادية</t>
  </si>
  <si>
    <t>وصول عدد من الأطفال المصابين إلى مشفى أبو يوسف النجار بعد قصف منزلٍ في حي جنينة برفح تصوير: أنس الغول #GazaUnderAttack #غزة_تحت_القصف https://t.co/UPUpAdLy8B</t>
  </si>
  <si>
    <t xml:space="preserve"> قصف</t>
  </si>
  <si>
    <t>أبيد</t>
  </si>
  <si>
    <t>دك</t>
  </si>
  <si>
    <t>رجم</t>
  </si>
  <si>
    <t>اجتاح</t>
  </si>
  <si>
    <t>غزة تحت قَمع</t>
  </si>
  <si>
    <t>عزيمة تحت تَّهديم</t>
  </si>
  <si>
    <t>شاهد يا قارئ القرآن داوي قلوبنا بتلاوةٍ تـزدان بالتجويدِ.. برنامج #مزامير_الترتيل https://t.co/O0CY0qgI1H</t>
  </si>
  <si>
    <t>داوي</t>
  </si>
  <si>
    <t>شفِي</t>
  </si>
  <si>
    <t>عالَج</t>
  </si>
  <si>
    <t>مباشر مهرجان تكريم عوائل شهداء معركة \"سيف القدس\" في مدينة رفح. https://t.co/Ifp0p2nb9o</t>
  </si>
  <si>
    <t>مُبَارَزُون</t>
  </si>
  <si>
    <t>مُجَاهِدُون</t>
  </si>
  <si>
    <t>طيران الاحتلال يقصف شاحنة متوقفة غرب مخيم النصيرات وسط قطاع غزة، قبل قليل. #فلسطين</t>
  </si>
  <si>
    <t xml:space="preserve"> يقصف</t>
  </si>
  <si>
    <t>يقصف: يَبتر</t>
  </si>
  <si>
    <t>يَحطم</t>
  </si>
  <si>
    <t>يَخرس</t>
  </si>
  <si>
    <t>يَكسر</t>
  </si>
  <si>
    <t>يُدمّر</t>
  </si>
  <si>
    <t>المقعد الفارغ لوزير الدفاع يثير الحزن في جلسة مجلس الوزراء : https://t.co/7oxAkOgrXG : https://t.co/eH8CvQSqXm</t>
  </si>
  <si>
    <t>يثير الحزن</t>
  </si>
  <si>
    <t>يُنَبِّهُ هم</t>
  </si>
  <si>
    <t>يُبَعْثِرُ حزن</t>
  </si>
  <si>
    <t>يُنَبِّهُ حزن</t>
  </si>
  <si>
    <t>يُنْشِطُ حزن</t>
  </si>
  <si>
    <t>يُغَيِّرُ يأس</t>
  </si>
  <si>
    <t>الحياة متوقفة حدادا على من فقدوا حياتهم.. إضراب عام في كل المدن الفلسطينية تضامنا مع ضحايا قطاع غزة https://t.co/xep4MHadRo</t>
  </si>
  <si>
    <t>حدادا</t>
  </si>
  <si>
    <t>غمّا</t>
  </si>
  <si>
    <t>ألمًا</t>
  </si>
  <si>
    <t>يأسا</t>
  </si>
  <si>
    <t>هَالِكُون</t>
  </si>
  <si>
    <t>مَذْبُوحُون</t>
  </si>
  <si>
    <t>جَرْحى</t>
  </si>
  <si>
    <t>مَسْفُوحُو دِّمَاءِ</t>
  </si>
  <si>
    <t>ضَوَاعٍ</t>
  </si>
  <si>
    <t>مَفْقودون</t>
  </si>
  <si>
    <t>خَسائر</t>
  </si>
  <si>
    <t>مَسْحُوقون</t>
  </si>
  <si>
    <t>مَذْبُوحون</t>
  </si>
  <si>
    <t>مُهْزَمُون</t>
  </si>
  <si>
    <t>مَقْتُولون</t>
  </si>
  <si>
    <t>الشرطة الفلسطينية تمنع متظاهرين من الوصول لمقر المقاطعة احتجاجاً على زيارة وزير الخارجية الألماني ومواقفه المنحازة للاحتلال. #GazaUnderAttack #غزة_تحت_القصف https://t.co/J4wM5DYVxu</t>
  </si>
  <si>
    <t>احتجاجاً</t>
  </si>
  <si>
    <t>تذمرا</t>
  </si>
  <si>
    <t>تململا</t>
  </si>
  <si>
    <t>شكوى</t>
  </si>
  <si>
    <t>اعتراضا</t>
  </si>
  <si>
    <t>للاحتلال</t>
  </si>
  <si>
    <t>حصينة تحت قصف</t>
  </si>
  <si>
    <t>مرصدة تحت قصف</t>
  </si>
  <si>
    <t>حصينة تحت إغارة</t>
  </si>
  <si>
    <t>حامية تحت قصف</t>
  </si>
  <si>
    <t>عين_اليمن عاجل : وزير الإعلام معمر الإرياني يحذر من تكرار سيناريو مرفأ بيروت ، ويدعو لسرعة إحتواء مخاطر الناقلة صافر</t>
  </si>
  <si>
    <t>مخاطر</t>
  </si>
  <si>
    <t>مَغَامِرَاتٌ</t>
  </si>
  <si>
    <t>مَخَافٍ</t>
  </si>
  <si>
    <t>مَحَاذِيرُ</t>
  </si>
  <si>
    <t>الصحة العالمية: النظام الصحي في غزة متدهور ونزوح 70 ألفا من منازلهم يفرض تحديات كبيرة</t>
  </si>
  <si>
    <t>متدهور</t>
  </si>
  <si>
    <t>تدهس</t>
  </si>
  <si>
    <t>انحلال</t>
  </si>
  <si>
    <t>تحديات كبيرة</t>
  </si>
  <si>
    <t>تحديات ضخامة</t>
  </si>
  <si>
    <t>معضلات كبيرة</t>
  </si>
  <si>
    <t>حِقب كبيرة</t>
  </si>
  <si>
    <t>عقبات كبيرة</t>
  </si>
  <si>
    <t>تحديات عظيمة</t>
  </si>
  <si>
    <t>صعوبات عظيمة</t>
  </si>
  <si>
    <t>وارتياد المحلّات والمجمّعات التجارية والأسواق الشعبيّة في الأوقات المزدحمة، حمايةً للنفسِ والأسرةِ والمجتمعِ من انتشار الوباء</t>
  </si>
  <si>
    <t xml:space="preserve"> الوباء</t>
  </si>
  <si>
    <t>الدَمَار</t>
  </si>
  <si>
    <t>الوباءُ عُيَيني</t>
  </si>
  <si>
    <t>كلها فلسطين\".. تظاهرة ضخمة بالدوحة نصرةً للقدس وغزة وتنديداً بـعدوان الاحتلال. #GazaUnderAttack #غزة_تحت_القصف https://t.co/9Vnx9mFVfG</t>
  </si>
  <si>
    <t>ضخمة</t>
  </si>
  <si>
    <t>ضخامة</t>
  </si>
  <si>
    <t>هائلة حجم</t>
  </si>
  <si>
    <t>جبارة</t>
  </si>
  <si>
    <t>بـعدوان</t>
  </si>
  <si>
    <t>ضراوتا</t>
  </si>
  <si>
    <t>قسوة</t>
  </si>
  <si>
    <t>شرّ</t>
  </si>
  <si>
    <t>عدوانية</t>
  </si>
  <si>
    <t>ضراوة</t>
  </si>
  <si>
    <t>شرم</t>
  </si>
  <si>
    <t>حصن تحت حرق</t>
  </si>
  <si>
    <t>حصن تحت إغارة</t>
  </si>
  <si>
    <t>مصونة تحت إفناء</t>
  </si>
  <si>
    <t>دارع تحت سحق</t>
  </si>
  <si>
    <t>استشاري الأمراض المعدية ضرار بلعاوي: الفطر الأسود بكل مكان لكنه يؤثر مع ضعف المناعة.. وانتشاره بـ #الهند يرجع للإفراط في الكورتيزون وزيادة مرضى السكري #العربية https://t.co/R3UgnCR1Pj</t>
  </si>
  <si>
    <t>الفطر الأسود بكل مكان</t>
  </si>
  <si>
    <t>عيش غراب قَحْم بِمُجملِهِ مكان</t>
  </si>
  <si>
    <t>المُشْتَكَة قَحْم كُلَّما موئل</t>
  </si>
  <si>
    <t>القُطْف زَّرْقَم بكل سكن</t>
  </si>
  <si>
    <t>الفطر لَّيْل كُلَّما دار</t>
  </si>
  <si>
    <t>قاصرون مغاربة يصطدمون بواقع الإيواء ومشاكل التشرد والاعتداء في سبتة https://t.co/6leZJdIhtd #جهات #السلطات_الإسبانية #القاصرون_المغاربة</t>
  </si>
  <si>
    <t>يصطدمون</t>
  </si>
  <si>
    <t>الارتطام</t>
  </si>
  <si>
    <t>التضارب</t>
  </si>
  <si>
    <t>التصادم</t>
  </si>
  <si>
    <t>الاصدام</t>
  </si>
  <si>
    <t xml:space="preserve">مشاكل التشرد </t>
  </si>
  <si>
    <t>مُعضلات تَّهَرُّب</t>
  </si>
  <si>
    <t>متاعب تَّغَرُّب</t>
  </si>
  <si>
    <t>حُزازات تشرد</t>
  </si>
  <si>
    <t>مُشكلات تشرُّد</t>
  </si>
  <si>
    <t>مشاق تشرد</t>
  </si>
  <si>
    <t>التشرد</t>
  </si>
  <si>
    <t>العَيْشُ على هامش</t>
  </si>
  <si>
    <t>الضياع</t>
  </si>
  <si>
    <t>التشرّد</t>
  </si>
  <si>
    <t>التّيه</t>
  </si>
  <si>
    <t>الإضرار</t>
  </si>
  <si>
    <t>بوتين يدعو إلى اتخاذ جهود دولية لمحاربة الارهاب بعد هجوم لندن #بريطانيا #روسيا https://t.co/oFJOzxUwkN</t>
  </si>
  <si>
    <t>هجوم</t>
  </si>
  <si>
    <t>اقتحامٌ</t>
  </si>
  <si>
    <t>اغارة</t>
  </si>
  <si>
    <t>نسقو الاستجابة: عدم تجديد آلية دخول المساعدات الإنسانية سيسبب انهيار اقتصادي وإنساني https://t.co/kk1YvUICbz</t>
  </si>
  <si>
    <t>تفكك</t>
  </si>
  <si>
    <t>استسلام</t>
  </si>
  <si>
    <t>شباب فلسطيني يمطرون قوات الاحتلال بالألعاب النارية في اشتباكات عند مخيم شعفاط https://t.co/mgNGrBJcFe</t>
  </si>
  <si>
    <t>يمطرون</t>
  </si>
  <si>
    <t>تَرذَذُ</t>
  </si>
  <si>
    <t>تَصبُّ</t>
  </si>
  <si>
    <t>تَسحّجُ</t>
  </si>
  <si>
    <t>تَهطُلُ</t>
  </si>
  <si>
    <t>تَثجّرُ</t>
  </si>
  <si>
    <t>قوات الاحتلال</t>
  </si>
  <si>
    <t>فيالق احتلال</t>
  </si>
  <si>
    <t>أسراب امتلاك</t>
  </si>
  <si>
    <t>فرق استعباد</t>
  </si>
  <si>
    <t>اشتباكات</t>
  </si>
  <si>
    <t>معارك ضارية</t>
  </si>
  <si>
    <t>نزاعات</t>
  </si>
  <si>
    <t>صدامات</t>
  </si>
  <si>
    <t>صراعات</t>
  </si>
  <si>
    <t>مجابهات</t>
  </si>
  <si>
    <t>عاجل الجزيرة | خبراء الأمم المتحدة: نرحب بإعلان وقف اطلاق النار ونطالب بتحقيق للمحكمة الجنائية في الهجمات على المدنيين #غزة_تنتصر</t>
  </si>
  <si>
    <t>وقف اطلاق النار</t>
  </si>
  <si>
    <t>وقف اطلاق وقود</t>
  </si>
  <si>
    <t>وقف تفويض تأجج</t>
  </si>
  <si>
    <t>وقف تمكين نار</t>
  </si>
  <si>
    <t>وقف تفويق احتراق</t>
  </si>
  <si>
    <t>وقف إطلاق جمر</t>
  </si>
  <si>
    <t>حامية تَسْتَعْلِي</t>
  </si>
  <si>
    <t>دار عز تنتصر</t>
  </si>
  <si>
    <t>دار كرم تَقْهَرُ</t>
  </si>
  <si>
    <t>دار منعة تَفُوزُ</t>
  </si>
  <si>
    <t>دار كرم تَسْتَعْلِي</t>
  </si>
  <si>
    <t>دار عز تَرْتَفِعُ</t>
  </si>
  <si>
    <t>حضرة صاحب الجلالة السلطان #هيثم_بن_طارق المعظم القائد الأعلى - حفظه الله ورعاه – يقيم مساء اليوم حفل عشاء بمناسبة #يوم_القوات_المسلحة بقصر البركة العامر</t>
  </si>
  <si>
    <t>حضرة صاحب الجلالة السلطان</t>
  </si>
  <si>
    <t>حضرة صاحب سؤدد ملك</t>
  </si>
  <si>
    <t>حضرة أنيس ملكوة سلطان</t>
  </si>
  <si>
    <t>حضرة صاحب سيادة حاكم</t>
  </si>
  <si>
    <t>هامة خلّ قُدسية قائد</t>
  </si>
  <si>
    <t>حضرة رفيق سيادة مُتسلّط</t>
  </si>
  <si>
    <t>المعظم القائد الأعلى</t>
  </si>
  <si>
    <t>المعظم قائد أوج</t>
  </si>
  <si>
    <t>الأمجدّ قائد أعلى</t>
  </si>
  <si>
    <t>الأكرم قائد سمـاء</t>
  </si>
  <si>
    <t>المنيع مُنظِّم عُلا</t>
  </si>
  <si>
    <t>المعظم مُنظِّم سـقف</t>
  </si>
  <si>
    <t>مهابة ملازم جلالة سيادة غليظ بن طارق معظم سيد مُرْتَفَع احتوى واحد عناية به يُوَطِّدُ مساء يوم بهجة عشاء حول يوم محاربون مُهيأة مُقَصِّر خير مكتظ</t>
  </si>
  <si>
    <t>هيبة ملازم جلالة سلطان أدهم بن طارق مَوْقُوف قائد أعلى احتفظ واحد عناية به يُقِيمُ دَّعَائِمَ مساء يوم مأدبة عشاء في يوم محاربون محاربة بقصر زيادة مقيم</t>
  </si>
  <si>
    <t>حضرة زميل جلالة متسلط شديد بن غازٍ مُقَدَّم قائد سمـاء حفظه مُبدع ورعاه يقيم مساء يوم حفل عَشْوَة في يوم قوات مُهيأة مَمْنُوع وفرة ممتلئ</t>
  </si>
  <si>
    <t>هيبة ملازم ملكوت سيادة هيثم بن مُنقضّ مَوْقُوف إمام أعلى وثّق مُهيمن ورعاه يُثَبِّتُ مساء يوم لقاء عَشْوَة في يوم جيش مسلحةُ مَمْنُوع بركة مزدهي</t>
  </si>
  <si>
    <t>حضرة صديق جلالة ملك هيثم بن طارق فَضْل زعيم أعلى سجل أحد ورعاه يقيم مساء يوم وليمة عشاء عن يوم قوات مسلحة مُقَتَبِس نعمة عامر</t>
  </si>
  <si>
    <t>محمود_ياسين .. فقد أول حب في عمره بحادث سيارة وخطفته عيون #شهيره https://t.co/cRFSFFm8a5</t>
  </si>
  <si>
    <t>خطفته</t>
  </si>
  <si>
    <t>سطَا عليه</t>
  </si>
  <si>
    <t>محمود_ياسين .. فقد أول حب في عمره بحادث سيارة وخطفته عيون #شهيره https://t.co/cRFSFFm8a6</t>
  </si>
  <si>
    <t>انتزعه</t>
  </si>
  <si>
    <t>محمود_ياسين .. فقد أول حب في عمره بحادث سيارة وخطفته عيون #شهيره https://t.co/cRFSFFm8a9</t>
  </si>
  <si>
    <t>اختلسه</t>
  </si>
  <si>
    <t>محمود_ياسين .. فقد أول حب في عمره بحادث سيارة وخطفته عيون #شهيره https://t.co/cRFSFFm8a10</t>
  </si>
  <si>
    <t>فقد أول حب في عمره بحادث سيارة</t>
  </si>
  <si>
    <t>فقد أول حب في عمره كارثة عربة</t>
  </si>
  <si>
    <t>محمود_ياسين .. فقد أول حب في عمره بحادث سيارة وخطفته عيون #شهيره https://t.co/cRFSFFm8a11</t>
  </si>
  <si>
    <t>فقد أول حب في دَهْرُهُ نِقمة آلية</t>
  </si>
  <si>
    <t>محمود_ياسين .. فقد أول حب في عمره بحادث سيارة وخطفته عيون #شهيره https://t.co/cRFSFFm8a12</t>
  </si>
  <si>
    <t>فقد أول حب في مُدَّةُ عُمُرِهِ بلية سيارة</t>
  </si>
  <si>
    <t>محمود_ياسين .. فقد أول حب في عمره بحادث سيارة وخطفته عيون #شهيره https://t.co/cRFSFFm8a13</t>
  </si>
  <si>
    <t>فقد أول حب في بَقَاءُهُ نِقمة محرك</t>
  </si>
  <si>
    <t>محمود_ياسين .. فقد أول حب في عمره بحادث سيارة وخطفته عيون #شهيره https://t.co/cRFSFFm8a14</t>
  </si>
  <si>
    <t>فقد أول حب في عُمْرُهُ نكبة شاحنة</t>
  </si>
  <si>
    <t>محمود_ياسين .. فقد أول حب في عمره بحادث سيارة وخطفته عيون #شهيره https://t.co/cRFSFFm8a15</t>
  </si>
  <si>
    <t>فقد أول حب في بَقَاءُهُ بحادث آلية</t>
  </si>
  <si>
    <t>م.عبدالله السعيدي لـ #الوصال:مع مبادرة #ريادة لاحظت في تفائل وفرح وأن البلد والاقتصاد يعتمد عليهم @riyadaom @AbdullahSaaidi #يحدث_الآن #وزارة_العمل #صحار_العز_والفخر #عُمان https://t.co/XPRdDRxVKL</t>
  </si>
  <si>
    <r>
      <rPr>
        <sz val="11"/>
        <color theme="1"/>
        <rFont val="Calibri"/>
        <family val="2"/>
        <charset val="1"/>
      </rPr>
      <t>#</t>
    </r>
    <r>
      <rPr>
        <sz val="11"/>
        <color theme="1"/>
        <rFont val="FreeSans"/>
        <family val="2"/>
      </rPr>
      <t>صحار</t>
    </r>
    <r>
      <rPr>
        <sz val="11"/>
        <color theme="1"/>
        <rFont val="Calibri"/>
        <family val="2"/>
        <charset val="1"/>
      </rPr>
      <t>_</t>
    </r>
    <r>
      <rPr>
        <sz val="11"/>
        <color theme="1"/>
        <rFont val="FreeSans"/>
        <family val="2"/>
      </rPr>
      <t>العز</t>
    </r>
    <r>
      <rPr>
        <sz val="11"/>
        <color theme="1"/>
        <rFont val="Calibri"/>
        <family val="2"/>
        <charset val="1"/>
      </rPr>
      <t>_</t>
    </r>
    <r>
      <rPr>
        <sz val="11"/>
        <color theme="1"/>
        <rFont val="FreeSans"/>
        <family val="2"/>
      </rPr>
      <t>والفخر</t>
    </r>
  </si>
  <si>
    <t>حمم عز عزة</t>
  </si>
  <si>
    <t>قفار عظمة والفخر</t>
  </si>
  <si>
    <t>هضاب عز هيبة</t>
  </si>
  <si>
    <t>مراع عز والفخر</t>
  </si>
  <si>
    <t>القطاعات تتهاوى تباعا... \"مش هيدا لبنان اللي منعرفو\" https://t.co/p3OY69wack</t>
  </si>
  <si>
    <t>القطاعات تتهاوى تباعا</t>
  </si>
  <si>
    <t>الأجزاء تتلاشى تالي</t>
  </si>
  <si>
    <t>القطاعات تتزعزع تاليا</t>
  </si>
  <si>
    <t>الفئات تتزعزع لاحقا</t>
  </si>
  <si>
    <t>التصنيفات تسقط تواليا</t>
  </si>
  <si>
    <t>تتهاوى</t>
  </si>
  <si>
    <t>تتحطم</t>
  </si>
  <si>
    <t>تنهضس</t>
  </si>
  <si>
    <t>تتصدع</t>
  </si>
  <si>
    <t>تتداعى</t>
  </si>
  <si>
    <t>عاجل: السيسي: لن يستطيع أحد أن يأخذ نقطة مياه من مصر ومن يريد أن يجرب سيتحمل العواقب #اثيوبيا #مصر #السودان</t>
  </si>
  <si>
    <t>السيسي: لن يستطيع أحد أن يأخذ نقطة مياه من مصر ومن يريد أن يجرب سيتحمل العواقب</t>
  </si>
  <si>
    <t>الفاني لن أجاد أحد أن استلب إشارة مياه من قاهرة ومن يريد أن يتفحص جابه عواقب</t>
  </si>
  <si>
    <t>المسّن لن أحرز أحد أن يأخذ نقطة مياه/ ماء/ مائعة/ سوائل/ أمواه/ أنهار/ بحار/ مروج/ مسطحات مائية/ سواقٍ/ عيون من فراعنة ومن ينوي أن يختبر تحملّى آثار</t>
  </si>
  <si>
    <t>السيد لن أتقن أحد أن يأخذ فاصلة مياه من مصرية ومن يهدف أن يفتش صمد عقبى</t>
  </si>
  <si>
    <t>وزير الصحة اللبناني: 70 شهيداً وأكثر من 3 آلاف جريح وعدد من المفقودين جراء انفجار مرفأ #بيروت</t>
  </si>
  <si>
    <t xml:space="preserve"> انفجار</t>
  </si>
  <si>
    <t>تطاير</t>
  </si>
  <si>
    <t>اندفاع</t>
  </si>
  <si>
    <t>تشظي</t>
  </si>
  <si>
    <t>انطلاق</t>
  </si>
  <si>
    <t>مَقْتُول</t>
  </si>
  <si>
    <t>مَأْسُوف</t>
  </si>
  <si>
    <t>مُسْتَشْهَد</t>
  </si>
  <si>
    <t>مَجْنُود</t>
  </si>
  <si>
    <r>
      <rPr>
        <sz val="11"/>
        <color theme="1"/>
        <rFont val="Calibri"/>
        <family val="2"/>
        <charset val="1"/>
      </rPr>
      <t xml:space="preserve">70 </t>
    </r>
    <r>
      <rPr>
        <sz val="11"/>
        <color theme="1"/>
        <rFont val="FreeSans"/>
        <family val="2"/>
      </rPr>
      <t>شهيداً</t>
    </r>
  </si>
  <si>
    <t>مُجَاهِد</t>
  </si>
  <si>
    <t>مَغْدور</t>
  </si>
  <si>
    <t>شهيد</t>
  </si>
  <si>
    <t>قتيل</t>
  </si>
  <si>
    <t>وأكثر من 3 آلاف جريح</t>
  </si>
  <si>
    <t>وأكثر من رهط مصاب</t>
  </si>
  <si>
    <t>مفرط من جم مُكدّر</t>
  </si>
  <si>
    <t>مُكثّف من وف جريح</t>
  </si>
  <si>
    <t>مُبالغ من آلاف مُكدّر</t>
  </si>
  <si>
    <t>صور هذا هو بنك أهداف الاحتلال الذي صفقه في شمال القطاع ليلة أمس #غزة_تحت_القصف #GazzaUnderAttack #GazaUnderAttack #Gaza_Under_Attack #PalestineUnderAttack https://t.co/p5WZNyiwAL</t>
  </si>
  <si>
    <t>دارُ عـزّ تحت تعرية</t>
  </si>
  <si>
    <t>معقل تحت قصف</t>
  </si>
  <si>
    <t>حـوزة تحت إهلاك</t>
  </si>
  <si>
    <t>حصنٌ حصين تحت قصف</t>
  </si>
  <si>
    <t>حقيقة 2021 : أبي احمد شخص لا يمكن الثقة فيه</t>
  </si>
  <si>
    <t>أبي احمد شخص لا يمكن الثقة فيه</t>
  </si>
  <si>
    <t>أبي احمد مَحْضُ لا يمكن اعتقاد فيه</t>
  </si>
  <si>
    <t>والد حمد شخص لا يمكن ثقة فيه</t>
  </si>
  <si>
    <t>أبي مرغّب مَرْء لا يمكن تثبّت فيه</t>
  </si>
  <si>
    <t>سيد تقدير كائن لا يمكن ثقة فيه</t>
  </si>
  <si>
    <t>سيدي مدح فرد لا يمكن ثقة فيه</t>
  </si>
  <si>
    <t>بوريطة يستقبل وزير خارجية غامبيا الذي حمل رسالة إلى جلالة الملك #الصحراء_المغربية https://t.co/4cJsbqRGBL</t>
  </si>
  <si>
    <t>جلالة الملك</t>
  </si>
  <si>
    <t>مهابة ملك</t>
  </si>
  <si>
    <t>عِزَّة ملك</t>
  </si>
  <si>
    <t>عظمة رَّبّ</t>
  </si>
  <si>
    <t>جلالة مَلِك</t>
  </si>
  <si>
    <t>عِزَّة مَلِك</t>
  </si>
  <si>
    <r>
      <rPr>
        <sz val="11"/>
        <color theme="1"/>
        <rFont val="Calibri"/>
        <family val="2"/>
        <charset val="1"/>
      </rPr>
      <t>#</t>
    </r>
    <r>
      <rPr>
        <sz val="11"/>
        <color theme="1"/>
        <rFont val="FreeSans"/>
        <family val="2"/>
      </rPr>
      <t>الصحراء</t>
    </r>
    <r>
      <rPr>
        <sz val="11"/>
        <color theme="1"/>
        <rFont val="Calibri"/>
        <family val="2"/>
        <charset val="1"/>
      </rPr>
      <t>_</t>
    </r>
    <r>
      <rPr>
        <sz val="11"/>
        <color theme="1"/>
        <rFont val="FreeSans"/>
        <family val="2"/>
      </rPr>
      <t>المغربية</t>
    </r>
  </si>
  <si>
    <t>السهوب شمالية</t>
  </si>
  <si>
    <t>العَرْق مغربية</t>
  </si>
  <si>
    <t>الصحراء إفريقيّة</t>
  </si>
  <si>
    <t>الصحراء بربرية</t>
  </si>
  <si>
    <t>القفرُ مغربية</t>
  </si>
  <si>
    <t>عاجل | الشرطة الفرنسية تلاحق عدد من النشطاء بعد دعوات لتنظيم مظاهرة في #باريس للتنديد بالقصف على #غزة https://t.co/anrZLLLMb3</t>
  </si>
  <si>
    <t xml:space="preserve"> الشرطة الفرنسية تلاحق عدد من النشطاء بعد دعوات لتنظيم مظاهرة في #باريس للتنديد بالقصف على #غزة</t>
  </si>
  <si>
    <t>السّجانة فرنسية تطارد عدد من مُنجزون بعد مساع ضبط تظاهر في باريس للتنديد سحق على عزة</t>
  </si>
  <si>
    <t>عاجل | الشرطة الفرنسية تلاحق عدد من النشطاء بعد دعوات لتنظيم مظاهرة في #باريس للتنديد بالقصف على #غزة https://t.co/anrZLLLMb4</t>
  </si>
  <si>
    <t>العسكر فرنسية تلاحق عدد من مقاومون بعد دعوات ترشيد احتجاج في باريس تّأنيب ابادة على سطوة</t>
  </si>
  <si>
    <t>عاجل | الشرطة الفرنسية تلاحق عدد من النشطاء بعد دعوات لتنظيم مظاهرة في #باريس للتنديد بالقصف على #غزة https://t.co/anrZLLLMb5</t>
  </si>
  <si>
    <t>العسكر غالية تلاحق عدد من مقاومون بعد مناجاة تهيئة انتفاضة في باريز إخراج قصف على سطوة</t>
  </si>
  <si>
    <t>عاجل | الشرطة الفرنسية تلاحق عدد من النشطاء بعد دعوات لتنظيم مظاهرة في #باريس للتنديد بالقصف على #غزة https://t.co/anrZLLLMb6</t>
  </si>
  <si>
    <t>بالقصف</t>
  </si>
  <si>
    <t>تعذيب</t>
  </si>
  <si>
    <t>عاجل | الشرطة الفرنسية تلاحق عدد من النشطاء بعد دعوات لتنظيم مظاهرة في #باريس للتنديد بالقصف على #غزة https://t.co/anrZLLLMb7</t>
  </si>
  <si>
    <t>عاجل | الشرطة الفرنسية تلاحق عدد من النشطاء بعد دعوات لتنظيم مظاهرة في #باريس للتنديد بالقصف على #غزة https://t.co/anrZLLLMb8</t>
  </si>
  <si>
    <t>عاجل | الشرطة الفرنسية تلاحق عدد من النشطاء بعد دعوات لتنظيم مظاهرة في #باريس للتنديد بالقصف على #غزة https://t.co/anrZLLLMb9</t>
  </si>
  <si>
    <t>للتنديد</t>
  </si>
  <si>
    <t>التَّنبيه</t>
  </si>
  <si>
    <t>عاجل | الشرطة الفرنسية تلاحق عدد من النشطاء بعد دعوات لتنظيم مظاهرة في #باريس للتنديد بالقصف على #غزة https://t.co/anrZLLLMb10</t>
  </si>
  <si>
    <t>التّحذير</t>
  </si>
  <si>
    <t>عاجل | الشرطة الفرنسية تلاحق عدد من النشطاء بعد دعوات لتنظيم مظاهرة في #باريس للتنديد بالقصف على #غزة https://t.co/anrZLLLMb11</t>
  </si>
  <si>
    <t>التّأنيب</t>
  </si>
  <si>
    <t>تطبيق دردشة أمريكي يجتاح مدن الصين... ما قصته؟ https://t.co/dcnFpbf4dn</t>
  </si>
  <si>
    <t>يَسْتَولي</t>
  </si>
  <si>
    <t>يَسْتَبْدِر</t>
  </si>
  <si>
    <t>بمناسبة رمضان.. مدون أسترالي يدفع مشتريات الغرباء بالمتاجر.. هكذا يفاجئهم https://t.co/ocKqa17Xin https://t.co/kTUpWgrVhl</t>
  </si>
  <si>
    <t xml:space="preserve">يفاجئهم </t>
  </si>
  <si>
    <t>يُفاجأهم</t>
  </si>
  <si>
    <t>يُحير أذهانهم</t>
  </si>
  <si>
    <t>يُحيرهم</t>
  </si>
  <si>
    <t>يُذهلهم</t>
  </si>
  <si>
    <t>يُعجزهم</t>
  </si>
  <si>
    <t>مدون أسترالي يدفع مشتريات الغرباء بالمتاجر</t>
  </si>
  <si>
    <t>منسّخ أسترالي يدفع به مقتنيات شخصية وافدون دُكَّانَات</t>
  </si>
  <si>
    <t>كاتب أسترالي يقشط مقتنيات شخصية غَربَة بالمتاجر</t>
  </si>
  <si>
    <t>مؤرّخ مَرْجَانِيّ يقشط مشتريات غرباء معاملات</t>
  </si>
  <si>
    <t>كاتب يوميات مَرْجَانِيّ يُنفق مشتريات مُغترِبون سوق</t>
  </si>
  <si>
    <t>مؤرّخ أسترالي يقشط مشتريات وُحُوش مَحالُّ</t>
  </si>
  <si>
    <t>حصيلة السنة البرلمانية: هيمنة منطق السلطة على التشريعات وقصور المعارضة https://t.co/vfXHpncUHE https://t.co/SV1aWNtuCB</t>
  </si>
  <si>
    <t>هيمنة</t>
  </si>
  <si>
    <t>سطوة</t>
  </si>
  <si>
    <t>سُلطة</t>
  </si>
  <si>
    <t>وقصور</t>
  </si>
  <si>
    <t>انْكِسَارٌ</t>
  </si>
  <si>
    <t>إغْفَالٌ</t>
  </si>
  <si>
    <t>تَرَاخٍ</t>
  </si>
  <si>
    <t>تَقْصِيرٌ</t>
  </si>
  <si>
    <t>انْحِسَارٌ</t>
  </si>
  <si>
    <t>تَبَاطُؤٌ</t>
  </si>
  <si>
    <t>تظاهرة طلابية في مدينة حيفا المحتلة الليلة الماضية إسنادًا لأهالي حي الشيخ جراح في وجه مخططات الاحتلال</t>
  </si>
  <si>
    <t xml:space="preserve">حيفا المحتلة </t>
  </si>
  <si>
    <t>حيفا مسلوبة</t>
  </si>
  <si>
    <t>هَلَكَة محاصرة</t>
  </si>
  <si>
    <t>خَسَارَة محتلة</t>
  </si>
  <si>
    <t>حيفا مقيّدة</t>
  </si>
  <si>
    <t>إِضْرَار مقموحة</t>
  </si>
  <si>
    <t>مَضْيَعَة محتلة</t>
  </si>
  <si>
    <t>تظاهرة</t>
  </si>
  <si>
    <t>مسيرة</t>
  </si>
  <si>
    <t>تجمع جماهيري</t>
  </si>
  <si>
    <t>مظاهرة</t>
  </si>
  <si>
    <t>اعتصام</t>
  </si>
  <si>
    <t>في وجه مخططات الاحتلال</t>
  </si>
  <si>
    <t>في اتجاه مشاريع احتلال</t>
  </si>
  <si>
    <t>في وجه مخططات استيلاء</t>
  </si>
  <si>
    <t>في مقصَد مسارات تسلط</t>
  </si>
  <si>
    <t>في ناحية خطط هيمنة</t>
  </si>
  <si>
    <t>في وجه مخططات اجتياح</t>
  </si>
  <si>
    <t>سر إجبار #إيران للمحكوم عليهن بالاعدام على الزواج. #مهمة_خاصة https://t.co/LmcVyoK8dc</t>
  </si>
  <si>
    <t>سر إجبار #إيران للمحكوم عليهن بالاعدام على الزواج</t>
  </si>
  <si>
    <t>سر إجبار كِرْمان مُدان بشأنِها إقصاء على تزويج</t>
  </si>
  <si>
    <t>سر إجبار أصفهان مُدان عليهن بالاعدام على اقتران</t>
  </si>
  <si>
    <t>سر إمعان إيران مُسْتَبْدَد حولهن إهلاك على زواج</t>
  </si>
  <si>
    <t>للمحكوم عليهن بالاعدام</t>
  </si>
  <si>
    <t>للمحكوم عليهن إعدام رميا بالرصاص</t>
  </si>
  <si>
    <t>المَأْسُور فيهن إحالة إلى مشنقة</t>
  </si>
  <si>
    <t>المَسْجُون عليهن بالاعدام</t>
  </si>
  <si>
    <t>إجبار</t>
  </si>
  <si>
    <t>إجبارية</t>
  </si>
  <si>
    <t>إرغام</t>
  </si>
  <si>
    <t>فرض</t>
  </si>
  <si>
    <t>الإمارات: ندعم السعودية في كل ما تتخذه من إجراءات لحفظ أمنها وسلامة مواطنيها والمقيمين على أراضيها</t>
  </si>
  <si>
    <t>الإمارات نسانِد بلد حرام في كل ما تتخذه من خطوات وقائية حفظية هدوؤها سلامة عقل رعاياها والمقيمين على جهاتها</t>
  </si>
  <si>
    <t>ربوع ندعم أرض قداسة في كل ما اصطفاه من إجراءات عمليّة لحفظ ارتياحها اعتدال أهالي بلد مقيمين/ مستقرين/ دائمين/ مقيمين بها/ مستوطنين/ مستقرين بها/ ساكنين/ مقامين/ جالسين/ قارين/ ثابتين على أراضيها</t>
  </si>
  <si>
    <t>الإمارات ندعم أرض عروبة في كل ما ارتضاه من خطوات وقائية لحفظ ارتياحها سلامة أهاليها مقيمين/ مستقرين/ دائمين/ مقيمين بها/ مستوطنين/ مستقرين بها/ ساكنين/ مقامين/ جالسين/ قارين/ ثابتين على أراضيها</t>
  </si>
  <si>
    <t>أمّارة نعضدّ مهبط وحي في كل ما تتخذه من خطّة عمل لحفظ هدوؤها وسلامة سكان محليون والمقيمين على أرجائها</t>
  </si>
  <si>
    <t>بيرام : المجلس الدستوري عمق الأزمة وندعو للحوار https://t.co/cPW9Eq3jHz</t>
  </si>
  <si>
    <t>عمق الأزمة</t>
  </si>
  <si>
    <t>أَغْوار كَارِثَة</t>
  </si>
  <si>
    <t>أَجْوَف كَارِثَة</t>
  </si>
  <si>
    <t>عمق مُصِيبَة</t>
  </si>
  <si>
    <t>تَوَغُّل مَأْزَق</t>
  </si>
  <si>
    <t>عين_اليمن هذه دوله هادي باختصار فساد وسرقه ونهب ومحسوبيه لاتفرق عن مليشيا الحوثي بشي https://t.co/BNSjiRvXKE</t>
  </si>
  <si>
    <t xml:space="preserve"> فساد وسرقه ونهب ومحسوبيه</t>
  </si>
  <si>
    <t>فساد وسرقه اختلس أصحاب جاه</t>
  </si>
  <si>
    <t>فساد سلب سلب محسوبة</t>
  </si>
  <si>
    <t>خلل اغتصب انتزع معتمدية</t>
  </si>
  <si>
    <t>فساد سرق اختلس معتمدية</t>
  </si>
  <si>
    <t>مليشيا الحوثي</t>
  </si>
  <si>
    <t>ألوية حيدري</t>
  </si>
  <si>
    <t>مليشيا همداني</t>
  </si>
  <si>
    <t>كتائب حوثي</t>
  </si>
  <si>
    <t>هذه دوله هادي باختصار فساد وسرقه ونهب ومحسوبيه لاتفرق عن مليشيا الحوثي بشي</t>
  </si>
  <si>
    <t>هذه إقليم وديع باختصار فساد استولى عليها اختلس مقربون لاتفرق عن سرايا حوثي علامة</t>
  </si>
  <si>
    <t>هذه أمة مهاد باختصار خطيئة سلبها نهب ومحسوبيه لا تختلف عن فرسان متمرّن علامة</t>
  </si>
  <si>
    <t>هذه مقاطعة متأني باختصار فساد اغتصبها ونهب ومحسوبيه لا تتفاوت عن حشد زيدي واقعة</t>
  </si>
  <si>
    <t>هذه مقاطعة لطيف مجملاً إفساد اغتصبها اختلس ومحسوبيه لا تفترق عن مليشيا ثائر حقيقة</t>
  </si>
  <si>
    <t>دوله هادي</t>
  </si>
  <si>
    <t>مشيخة مُسالم</t>
  </si>
  <si>
    <t>مملكة هادي</t>
  </si>
  <si>
    <t>مملكة مُتzen</t>
  </si>
  <si>
    <t>جمهورية ساكن</t>
  </si>
  <si>
    <t>إضراب تام بمدينة منبج رفضاَ لممارسات \"قسد\" التعسفية بحق سكانها https://t.co/w8Rvnq3hgX</t>
  </si>
  <si>
    <t>إضراب تام</t>
  </si>
  <si>
    <t>عصيان مُكتمل نمو</t>
  </si>
  <si>
    <t>مقاطعة مُنته</t>
  </si>
  <si>
    <t>رفضاَ لممارسات "قسد" التعسفية</t>
  </si>
  <si>
    <t>اعتذارا تدريبات سِلاَح تعسفية</t>
  </si>
  <si>
    <t>امتناعا محاكاة سِلاَح فردية</t>
  </si>
  <si>
    <t>زجرا تدريبات حَرْب تعسفية</t>
  </si>
  <si>
    <t>رفضا سلوكيات قسد مستبدة</t>
  </si>
  <si>
    <t>رفضا لممارسات قسد تعسّية</t>
  </si>
  <si>
    <t>الوصال| الكاتب الصحفي يوسف البلوشي: لا يزال الوافد يتواجد في بعض المهن في #بث_مباشر لـ #ساعة_الظهيرة مع محمد العلوي @mo7_3law https://t.co/nFeIDMyw19</t>
  </si>
  <si>
    <t>لا يزال الوافد يتواجد في بعض المهن</t>
  </si>
  <si>
    <t>لا مُواظِب مستوطن يتواجَد في بعض وظيفة</t>
  </si>
  <si>
    <t>الوصال| الكاتب الصحفي يوسف البلوشي: لا يزال الوافد يتواجد في بعض المهن في #بث_مباشر لـ #ساعة_الظهيرة مع محمد العلوي @mo7_3law https://t.co/nFeIDMyw20</t>
  </si>
  <si>
    <t>لا يزال وافد يتواجد: يحضر في بعض تجارات</t>
  </si>
  <si>
    <t>الوصال| الكاتب الصحفي يوسف البلوشي: لا يزال الوافد يتواجد في بعض المهن في #بث_مباشر لـ #ساعة_الظهيرة مع محمد العلوي @mo7_3law https://t.co/nFeIDMyw21</t>
  </si>
  <si>
    <t>لا مُتصل غريب يتواجد في بعض عمل</t>
  </si>
  <si>
    <t>الوصال| الكاتب الصحفي يوسف البلوشي: لا يزال الوافد يتواجد في بعض المهن في #بث_مباشر لـ #ساعة_الظهيرة مع محمد العلوي @mo7_3law https://t.co/nFeIDMyw22</t>
  </si>
  <si>
    <t>لا يزال آتي يقيم في بعض مهن</t>
  </si>
  <si>
    <t>الوصال| الكاتب الصحفي يوسف البلوشي: لا يزال الوافد يتواجد في بعض المهن في #بث_مباشر لـ #ساعة_الظهيرة مع محمد العلوي @mo7_3law https://t.co/nFeIDMyw23</t>
  </si>
  <si>
    <t>لا دائم آتي يستقرّ في بعض اختصاصات</t>
  </si>
  <si>
    <t>الوصال| الكاتب الصحفي يوسف البلوشي: لا يزال الوافد يتواجد في بعض المهن في #بث_مباشر لـ #ساعة_الظهيرة مع محمد العلوي @mo7_3law https://t.co/nFeIDMyw24</t>
  </si>
  <si>
    <t>لا يزال مهاجر يوجد في بعض عمل</t>
  </si>
  <si>
    <t>بوحسين: حديث ولي العهد رئيس مجلس الوزراء حمل طموحات وطنية وخارطة طريق لنهضة رائدة https://t.co/JVSFhQVluJ</t>
  </si>
  <si>
    <t>لنهضة رائدة</t>
  </si>
  <si>
    <t>التطور رَائِدَة</t>
  </si>
  <si>
    <t>النهضة رائدة</t>
  </si>
  <si>
    <t>لنهضة فَاتِحَة</t>
  </si>
  <si>
    <t>لنهضة مُنْقَبِضَة</t>
  </si>
  <si>
    <t>حديث ولي العهد رئيس مجلس الوزراء حمل طموحات وطنية وخارطة طريق لنهضة رائدة</t>
  </si>
  <si>
    <t>سرد ولي مواثيق مُدِير مجلس أعوان أثقالة رغبات أَصِيلَة مسودة مسيرة استيقاظ مُتَألِّقَة</t>
  </si>
  <si>
    <t>كلام ولي عهد رئيس مَقْعَد وزراء أوزار مُـقاصَد قُطْريَّة خارط مسار نهوض رائدة</t>
  </si>
  <si>
    <t>محادثة حامي عهدَة مُتَوَلِّي مَجْتَمَع مساعدون حمل مُـقاصَد وطنية وخارطة دربة انبعاث رائدة</t>
  </si>
  <si>
    <t>حديث مؤازر عهد رئيس مَجْتَمَع وزراء حمل أماني مَحَلِّيَّة خريطة توضيحية طريق لنهضة مُتَألِّقَة</t>
  </si>
  <si>
    <t>طموحات وطنية</t>
  </si>
  <si>
    <t>طموحات عَلَم</t>
  </si>
  <si>
    <t>تطلعات مستقبل أَصْلِيَّة</t>
  </si>
  <si>
    <t>تَوَقُّعَات وطنية</t>
  </si>
  <si>
    <t>مُنْى مَحَلِّيَّة</t>
  </si>
  <si>
    <t>إبراهيم عيسى: ازدراء الأديان أم ازدراء العقل؟ شاهد حلقات برنامج #مختلف_عليه عبر الرابط: https://t.co/rhDcyfORNi #شاهد_الحرة @Ibrahim_3eissa https://t.co/NbN9PRTASx</t>
  </si>
  <si>
    <t>ازدراء</t>
  </si>
  <si>
    <t>استخفاف</t>
  </si>
  <si>
    <t>احتقار</t>
  </si>
  <si>
    <t>ازور</t>
  </si>
  <si>
    <t>ازوراد</t>
  </si>
  <si>
    <t>ازدراء الأديان أم ازدراء العقل؟</t>
  </si>
  <si>
    <t>تحقير ملل أم ازدراء فهم</t>
  </si>
  <si>
    <t>ازدراء أديان أم احتقار فهم</t>
  </si>
  <si>
    <t>احتقار ملل أم تحقير إدراك</t>
  </si>
  <si>
    <t>استهجان عقائد أم ازدراء إدراك</t>
  </si>
  <si>
    <t>السياحة في تونس: انتعاشة ظرفيّة تحجب أزمة هيكليّة https://t.co/fKmZ8O5ZXG https://t.co/rY2I6H75mi</t>
  </si>
  <si>
    <t>نَقْمَة</t>
  </si>
  <si>
    <t>ضَائِقَة</t>
  </si>
  <si>
    <t>انتعاشة</t>
  </si>
  <si>
    <t>انتعالة</t>
  </si>
  <si>
    <t>انتعاس</t>
  </si>
  <si>
    <t>انتعاز</t>
  </si>
  <si>
    <t>انتعاش</t>
  </si>
  <si>
    <t>انتعامة</t>
  </si>
  <si>
    <t>انتعاشة ظرفيّة تحجب أزمة هيكليّة</t>
  </si>
  <si>
    <t>انتعاز مُتَطَوِّرَة حجبت محنة تشكيلية</t>
  </si>
  <si>
    <t>انتعاز ظرفية سترت أزمة تَصَوُّريَّة</t>
  </si>
  <si>
    <t>انتعاظ ظرفية أخفت ضيق هيكلية</t>
  </si>
  <si>
    <t>انتعاشة مُتَقَلِّبَة سدت ضائقة مُتَكَوِّنَة</t>
  </si>
  <si>
    <t>انتعاز مُؤَقَّتَة عاقت مُصيبة بنائية</t>
  </si>
  <si>
    <t>مجموعة رينو سجلت خسارة تاريخية قدرها 8 مليارات يورو في العام 2020</t>
  </si>
  <si>
    <t>خسارة تاريخية</t>
  </si>
  <si>
    <t>فوات تاريخية</t>
  </si>
  <si>
    <t>مجموعة رينو سجلت خسارة تاريخية قدرها 8 مليارات يورو في العام 2021</t>
  </si>
  <si>
    <t>هدر تاريخية</t>
  </si>
  <si>
    <t>مجموعة رينو سجلت خسارة تاريخية قدرها 8 مليارات يورو في العام 2023</t>
  </si>
  <si>
    <t>فوات مَرْوِيَّة</t>
  </si>
  <si>
    <t>مجموعة رينو سجلت خسارة تاريخية قدرها 8 مليارات يورو في العام 2025</t>
  </si>
  <si>
    <t>نقصان تاريخية</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</si>
  <si>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https://t.co/ECp2lwB0h9</t>
  </si>
  <si>
    <t>الغزو سِبْطـي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</si>
  <si>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https://t.co/ECp2lwB0h10</t>
  </si>
  <si>
    <t>الغزو إسرائيلي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</si>
  <si>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https://t.co/ECp2lwB0h11</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</si>
  <si>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https://t.co/ECp2lwB0h12</t>
  </si>
  <si>
    <t>الاستعباد إسرائيلي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</si>
  <si>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https://t.co/ECp2lwB0h13</t>
  </si>
  <si>
    <t>القمع فلسطيني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</si>
  <si>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https://t.co/ECp2lwB0h14</t>
  </si>
  <si>
    <t>طفل فلسطيني يبكي</t>
  </si>
  <si>
    <t>طفل مَوْطِنِيٌّ يبكي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</si>
  <si>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https://t.co/ECp2lwB0h15</t>
  </si>
  <si>
    <t>صبي فِلَسْطِينِيٌّ ينوح</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</si>
  <si>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https://t.co/ECp2lwB0h16</t>
  </si>
  <si>
    <t>ولد مُنَاضِلٌ يبكي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</si>
  <si>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https://t.co/ECp2lwB0h17</t>
  </si>
  <si>
    <t>طفل مُحْتَلٌّ يندب</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</si>
  <si>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https://t.co/ECp2lwB0h18</t>
  </si>
  <si>
    <t>طفل فلسطيني يبكي لأن جنود الاحتلال الإسرائيلي منعوه من الصلاة في الأقصى</t>
  </si>
  <si>
    <t>صبي فلسطيني يضج لأن محاربين احتلال إسرائيلي حَجَزوه - مَنَعُوه - صَدُّوه - أَعْاقُوه - أَمْسَكُوه - قَبْضُوا عَلَيْهِ - حَبَسُوه - أَبْعَدُوه - نَحَّوه - حَرَمُوه - أَوْقَفُوه من عبادة - دعاء - سجود - ركوع - تضرع - مسألة - مناجاة - خشوع - تسبيح - تكبير - طاعة في أقصى</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</si>
  <si>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https://t.co/ECp2lwB0h19</t>
  </si>
  <si>
    <t>وليد حَيفَاوِي يضج لأن محاربين احتلال يهودى حَجَزوه - مَنَعُوه - صَدُّوه - أَعْاقُوه - أَمْسَكُوه - قَبْضُوا عَلَيْهِ - حَبَسُوه - أَبْعَدُوه - نَحَّوه - حَرَمُوه - أَوْقَفُوه من صلاة في أبعدي</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</si>
  <si>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https://t.co/ECp2lwB0h20</t>
  </si>
  <si>
    <t>طفل يَافَاوِي يندب لأن جنرال احتلال عبري حَجَزوه - مَنَعُوه - صَدُّوه - أَعْاقُوه - أَمْسَكُوه - قَبْضُوا عَلَيْهِ - حَبَسُوه - أَبْعَدُوه - نَحَّوه - حَرَمُوه - أَوْقَفُوه من عبادة - دعاء - سجود - ركوع - تضرع - مسألة - مناجاة - خشوع - تسبيح - تكبير - طاعة في نائيُ غاية</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</si>
  <si>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https://t.co/ECp2lwB0h21</t>
  </si>
  <si>
    <t>رضيع فلسطيني يذرف لأن جنود تسلط إسرائيلي حَجَزوه - مَنَعُوه - صَدُّوه - أَعْاقُوه - أَمْسَكُوه - قَبْضُوا عَلَيْهِ - حَبَسُوه - أَبْعَدُوه - نَحَّوه - حَرَمُوه - أَوْقَفُوه من صلاة في أبعدُ نُّقطة</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</si>
  <si>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https://t.co/ECp2lwB0h22</t>
  </si>
  <si>
    <t>نبكيك يا قدس</t>
  </si>
  <si>
    <t>رثاؤكِ يا جَبَلَةُ</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</si>
  <si>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https://t.co/ECp2lwB0h23</t>
  </si>
  <si>
    <t>لَمْلَمَةُ عينِ يا مَحْجَةُ</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</si>
  <si>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https://t.co/ECp2lwB0h24</t>
  </si>
  <si>
    <t>بكاؤكِ يا قدس</t>
  </si>
  <si>
    <t>طفل فلسطيني يبكي لأن جنود الاحتلال الإسرائيلي منعوه من الصلاة في الأقصى.. نبكيك يا قدس https://t.co/zGl6x9nsFX #عاجل #رؤيا_الإخباري #فلسطين #المسجد_الأقصى #القدس https://t.co/ECp2lwB0h25</t>
  </si>
  <si>
    <t>الغُصَّةُ في حَلْقِ يا قدس</t>
  </si>
  <si>
    <t>حبابك عشرة .. تحية أهل الكرم و الجود أهلنا في #السودان، الكريم لا يضام و شدة و تزول يا زول</t>
  </si>
  <si>
    <t>أهلنا</t>
  </si>
  <si>
    <t>أسرتنا</t>
  </si>
  <si>
    <t>جماعتنا</t>
  </si>
  <si>
    <t>خَلَّاننا</t>
  </si>
  <si>
    <t>بعد فرض عقوبات إقتصادية.. روسيا تعتبر منظمة حظر الكيماوي أداة لتحقيق مصالح أمريكا https://t.co/nc3C2cZg8n</t>
  </si>
  <si>
    <t>عقوبات</t>
  </si>
  <si>
    <t>مَثَلاَت</t>
  </si>
  <si>
    <t>مَضَار</t>
  </si>
  <si>
    <t>عَقَبَات</t>
  </si>
  <si>
    <t>جَزَاءات</t>
  </si>
  <si>
    <t>شاهد الاحتلال يعتقل شابين ويعتدي على أحدهما بالضرب في القدس المحتلة. https://t.co/7IR0Lxq6eM</t>
  </si>
  <si>
    <t>اعتدى</t>
  </si>
  <si>
    <t>بالضرب</t>
  </si>
  <si>
    <t>السَّحْق</t>
  </si>
  <si>
    <t>الطَحْن</t>
  </si>
  <si>
    <t>القَهْر</t>
  </si>
  <si>
    <t>الضرب</t>
  </si>
  <si>
    <t>الإبَادَة</t>
  </si>
  <si>
    <t>الفَتْك</t>
  </si>
  <si>
    <t>الزعبي: واقع الأردن المائي صعب ولا بد من تطوير مصادر المياه.. فيديو https://t.co/P0KzKPGz44 #عاجل #رؤيا_الإخباري #الأردن #وزارة_المياه #المياه</t>
  </si>
  <si>
    <t>صعب</t>
  </si>
  <si>
    <t>مُتَعَذِّر</t>
  </si>
  <si>
    <t>صَعْبُ مَنَال</t>
  </si>
  <si>
    <t>مُستَصْعَب</t>
  </si>
  <si>
    <t>الحرب على #سورية | حملات تظليل مستمرة .. لمحاولة النيل من #الشعب_السوري https://t.co/pq6zLdQ3xr عبر @YouTube</t>
  </si>
  <si>
    <t>تظليل</t>
  </si>
  <si>
    <t>إخفاء</t>
  </si>
  <si>
    <t>غشاوة</t>
  </si>
  <si>
    <t>تعمية</t>
  </si>
  <si>
    <t>النيل</t>
  </si>
  <si>
    <t>الوادي</t>
  </si>
  <si>
    <t>المسيل</t>
  </si>
  <si>
    <t>الجدولان</t>
  </si>
  <si>
    <t>السيل</t>
  </si>
  <si>
    <t>الجدول</t>
  </si>
  <si>
    <t>نهر نيل</t>
  </si>
  <si>
    <t>بعد تبادل اطلاق النار.. الاطاحة برئيس عصابة خطير في مدينة العمارة #أمن #العراق #السومرية https://t.co/PUDaK1tvNG</t>
  </si>
  <si>
    <t>ضَارٍ</t>
  </si>
  <si>
    <t>مُهِمٌّ</t>
  </si>
  <si>
    <t>خَبِيثٌ</t>
  </si>
  <si>
    <t>عَظِيمٌ</t>
  </si>
  <si>
    <t>مُفْتَرَدٌ</t>
  </si>
  <si>
    <t>جَسِيمٌ</t>
  </si>
  <si>
    <t>الاطاحة</t>
  </si>
  <si>
    <t>الإطاحة</t>
  </si>
  <si>
    <t>العزل</t>
  </si>
  <si>
    <t>الإقالة</t>
  </si>
  <si>
    <t>الإبعاد</t>
  </si>
  <si>
    <t>برئيس عصابة</t>
  </si>
  <si>
    <t>رئيسـي مَجْمُوعَةٌ</t>
  </si>
  <si>
    <t>برئيس حَزْبٌ</t>
  </si>
  <si>
    <t>مُدبِّر زُمْرَةٌ</t>
  </si>
  <si>
    <t>برئيس مَجْمُوعَةٌ</t>
  </si>
  <si>
    <t>مبـدع عصابة</t>
  </si>
  <si>
    <t>استشاري أمراض القلب يحذر: هذه الأطعمة تزيد من حدوث جلطة القلب.. ابتعدوا عنها. https://t.co/Nk8fNoEubI https://t.co/UGb3J5AiGS</t>
  </si>
  <si>
    <t>استشاري أمراض القلب يحذر: هذه الأطعمة تزيد من حدوث جلطة القلب.. ابتعدوا عنها</t>
  </si>
  <si>
    <t>استشاري عليلة معقل يحذر هذه مأكولات تنمي من حصول خثرة فِكر ابعدوا أنفسكم عنها</t>
  </si>
  <si>
    <t>مرشد علل قلب يخوف هذه أطعمة زيادة من قدوم انسداد شرياني نَّجْوى احشروا عنها</t>
  </si>
  <si>
    <t>استشاري أدواء قلب يحذر هذه مأكولات تزيد من حادثة تقطع فِكر ابتعدوا عنها</t>
  </si>
  <si>
    <t>استشاري آفات نَّجْوى يخوف هذه زاد تفوق من وقوع جلطة عقل ارتحلوا عنها</t>
  </si>
  <si>
    <t>ابتعدوا عنها</t>
  </si>
  <si>
    <t>ارتحلوا عنها</t>
  </si>
  <si>
    <t>تجنبوا عنها</t>
  </si>
  <si>
    <t>اخرجوا عنها</t>
  </si>
  <si>
    <t>انجرفوا عنها</t>
  </si>
  <si>
    <t>ابقوا بعيدًا عنها</t>
  </si>
  <si>
    <t>مرشد أسقام أساس يبشر هذه أطعمة ازدِياد من حدوثة طارئ ركيزة انفضوا عنها</t>
  </si>
  <si>
    <t>مُفتي أسقامٌ أصل يخبر هذه أطعمة تَزَيُّد من حدوث عَقْد أساس انفضوا عنها</t>
  </si>
  <si>
    <t>مرشد عللٌ جسدية جوهر يرشد هذه أطعمة ازدِياد من حدوث جلطة لب انسحبوا عنها</t>
  </si>
  <si>
    <t>موجِّه علل صدر يوجه هذه زاد ازدِياد من حصول جلطة صدر اهجروا عنها</t>
  </si>
  <si>
    <t>ممنوع_التجول قد يكون بداية "خفوت #ناصر_القصبي".. وماذا عن مارغريت؟ دراما #رمضان 2021 بعيون النقاد https://t.co/Bg6ZOfQFtL @aal3yyad</t>
  </si>
  <si>
    <t>ممنوع_التجول قد يكون بداية "خفوت #ناصر_القصبي".. وماذا عن مارغريت؟</t>
  </si>
  <si>
    <t>ممنوع تّجوّن قد يكون ابتداء ذبول مناصِر فُنْجُر إلى جانب عن ماريا</t>
  </si>
  <si>
    <t>محظورٌ عليك ترحال قد يكون بداية خفوت مناصِر قَصَب وماذا عن مارجريتا</t>
  </si>
  <si>
    <t>محرّم تجول قد يكون افتتاح خفوت مشجع وَحْد إلى جانب ذلك عن مارغريت؟</t>
  </si>
  <si>
    <t>السلطات الصحية الأمريكية توصي المواطنين بالتوقف عن تقبيل الدجاج.. لماذا؟ https://t.co/LY3rAmDRTS</t>
  </si>
  <si>
    <t>السلطات الصحية الأمريكية توصي المواطنين بالتوقف عن تقبيل الدجاج.. لماذا؟</t>
  </si>
  <si>
    <t>العليا صحية أمريكية أوصى مواطنون بالتوقف عن تقبيل دجاج مهلاً</t>
  </si>
  <si>
    <t>القيادة مُثْبَتَة شمالية أوصى شعب سُكونةً عن تَقْبِيلٌ دجاج فيمَ</t>
  </si>
  <si>
    <t>المسؤولة سليمة يانكية توصي قاطني دّيار انقطاعًا عن تَقْمِيمٌ ريش لماذا؟</t>
  </si>
  <si>
    <t>الإدارية وَقائِيَّة ولايات متحدة توصي مواطنين سكونًا عن تَحْمِيمٌ حبّحات لماذا؟</t>
  </si>
  <si>
    <t>العليا صحية أميركية توصي سُكَّان جمودًا عن تَبْرِيكٌ عناقيد لماذا؟</t>
  </si>
  <si>
    <t>الوصاة معافاة بدن أميركية لاتينية يُزكي جماهير توقُّفًا عن تقبيل دجاج لماذا؟</t>
  </si>
  <si>
    <t>القيّمين صحية أمريكية يُزكي أهل بالتوقف عن تقبيل دجاجيّات لماذا؟</t>
  </si>
  <si>
    <t>الرقيبين معافاة أمريكية ينصح عامة انقطاعًا عن تقبيل فراخ لمَ عَتَب؟</t>
  </si>
  <si>
    <t>الجهات رسمية صحية أمريكية توصي مواطنين سُباتًا عن تَبْرِيمٌ حبّاط لماذا؟</t>
  </si>
  <si>
    <t>القيّمين صحية ولايات متحدة يُزكي سكان أصليون بالتوقف عن تَبْرِيمٌ دجاج لم؟</t>
  </si>
  <si>
    <t>عــاجــل قصف صهيوني يستهدف منزلا في البريج وسط قطاع #غزة</t>
  </si>
  <si>
    <t>رَمْي</t>
  </si>
  <si>
    <t>هَدْم</t>
  </si>
  <si>
    <t>تَحْطِيم</t>
  </si>
  <si>
    <t>رَمْح</t>
  </si>
  <si>
    <t>قصف صهيوني</t>
  </si>
  <si>
    <t>قصف  •  رمي  •  قذف  •  إلقام  •  إيقاع  •  إصعاد  •  هدم  •  تدمير  •  تكسير  •  تفتيت  •  سحق يَهُودِي مُتَعَصِّب</t>
  </si>
  <si>
    <t>قصف  •  رمي  •  قذف  •  إلقام  •  إيقاع  •  إصعاد  •  هدم  •  تدمير  •  تكسير  •  تفتيت  •  سحق لَوْزِي</t>
  </si>
  <si>
    <t>قصف قَبْعَاتِي</t>
  </si>
  <si>
    <t>قصف  •  رمي  •  قذف  •  إلقام  •  إيقاع  •  إصعاد  •  هدم  •  تدمير  •  تكسير  •  تفتيت  •  سحق أَسْدُومِي</t>
  </si>
  <si>
    <t>قصف صهيوني يستهدف منزلا في البريج وسط قطاع #غزة.</t>
  </si>
  <si>
    <t>سحق صهيوني يَرمُوزُ مأوى في إكليل مُنْتَصَف حيز منعة</t>
  </si>
  <si>
    <t>قصف مُتَصَهْيِن يَنْوِي موطنا في دثار مَوْضِع قطاع عزة</t>
  </si>
  <si>
    <t>دمر فَاسِيّ يَزمعُ موطنا في قلنسوة مُنْتَصَف ميدان مقومة</t>
  </si>
  <si>
    <t>قصف مُتَصَهْيِن يَعتزمُ دارا في عِمامة وسط قطاع حصينة</t>
  </si>
  <si>
    <t>من موقع جريمة التدمير والتهجير .. وفد أممي يتجول بين أنقاض حمص وسط سوريا (فيديو) https://t.co/TqrJhAnE5C</t>
  </si>
  <si>
    <t>من موقع جريمة التدمير والتهجير .. وفد أممي يتجول بين أنقاض حمص وسط سوريا</t>
  </si>
  <si>
    <t>من موطن شرّ تدمير توطين وفد عالمي يَتَنَقَّلُ بين خَرَب زَرْع جَوْن سورية</t>
  </si>
  <si>
    <t>من موضـوع مخالفة تدمير توطين جمع أممي يَرْحَلُ بين خِرَبَة عَجَمة بَيْنَيْنِ سوريا</t>
  </si>
  <si>
    <t>من موضـوع جريمة تحطيم والتهجير وفد أممي يَتَرَحَّلُ بين أنقاض حَبُّ بَلَد وسط سوريا</t>
  </si>
  <si>
    <t>من محلة فاحشة إفساد انتقال قسري ساقَة أممي يتجول بين خِرَبَة حمص مَرْكَز سوريا</t>
  </si>
  <si>
    <t>جريمة التدمير والتهجير</t>
  </si>
  <si>
    <t>جريمة تدمير ذاتي والتهجير</t>
  </si>
  <si>
    <t>حَمْقَة هدم والتهجير</t>
  </si>
  <si>
    <t>جريمة تفتيت تهجير جماعي</t>
  </si>
  <si>
    <t>حَرْبُوقَة تدمير نزوح</t>
  </si>
  <si>
    <t>من موقع الجريمة .. النظام ينفي استخدام الكيماوي بـ\"فيلم\" مثير وينفي ضغط مخابراته ..!! https://t.co/Q1PpohqnSw</t>
  </si>
  <si>
    <t>من موقع الجريمة .. النظام ينفي استخدام الكيماوي بـ"فيلم" مثير وينفي ضغط مخابراته</t>
  </si>
  <si>
    <t>من موقع جريمة تدبير نَفَى - أَبْطَلَ - أَزالَ - أَلْغَى - نَقَضَ - حَذَفَ - أَزْحَى - أَبْعَدَ - أَخْلَى - اسْتَنْفَى - رَدَمَ انتفاع كيماوي بـ صورة مثير يحجب ضغط مخابراته</t>
  </si>
  <si>
    <t>من موئل جريمة سير ينفي تسخير كيماوي بـ تصوير مُغْرٍ يمحو كَظْم مخابراته</t>
  </si>
  <si>
    <t>من موقع حوبة نظام نَفَى - أَبْطَلَ - أَزالَ - أَلْغَى - نَقَضَ - حَذَفَ - أَزْحَى - أَبْعَدَ - أَخْلَى - اسْتَنْفَى - رَدَمَ استغلال مُخَدَّرات بـ إنتاج مثير يطمس اِعْصَار استخباراته</t>
  </si>
  <si>
    <t>من موقع جريمة انتظام نَفَى - أَبْطَلَ - أَزالَ - أَلْغَى - نَقَضَ - حَذَفَ - أَزْحَى - أَبْعَدَ - أَخْلَى - اسْتَنْفَى - رَدَمَ توظيف سُّموم بـ شريط شَيِّق يبدد إِكْرَاه تحرياته</t>
  </si>
  <si>
    <t>التنظيم</t>
  </si>
  <si>
    <t>التخطيط</t>
  </si>
  <si>
    <t>النسق</t>
  </si>
  <si>
    <t>من موقعـة سيئة تنظيم ينفي استثمار مُحرِق بـ تسجيل مثير ينفي عصرَة تجسسه</t>
  </si>
  <si>
    <t>من مكان سيئة نظام نَفَى - أَبْطَلَ - أَزالَ - أَحْبَطَ - أَلْغَى - رَدَّ - دَحَضَ - بَطَّلَ - نَقَضَ - أَبْطَلَجَ - أَزالَجَ تشغيل مُعَدِّل بـ مسرحية فَاتِن يقصي إحكام تجسسه</t>
  </si>
  <si>
    <t>من حال منكر تسلسل ينفي إعمال مُحرِق بـ مسرحية مُدَوٍّ وينفي تكدر مخابراته</t>
  </si>
  <si>
    <t>من موطئ جريمة ترتيب نَفَى - أَبْطَلَ - أَزالَ - أَحْبَطَ - أَلْغَى - رَدَّ - دَحَضَ - بَطَّلَ - نَقَضَ - أَبْطَلَجَ - أَزالَجَ تشغيل مُذَهِب بـ عمل درامي مُلَهِم يطمس إحكام تقصّيه</t>
  </si>
  <si>
    <r>
      <rPr>
        <sz val="11"/>
        <color theme="1"/>
        <rFont val="Calibri"/>
        <family val="2"/>
        <charset val="1"/>
      </rPr>
      <t>"</t>
    </r>
    <r>
      <rPr>
        <sz val="11"/>
        <color theme="1"/>
        <rFont val="FreeSans"/>
        <family val="2"/>
      </rPr>
      <t>فيلم</t>
    </r>
    <r>
      <rPr>
        <sz val="11"/>
        <color theme="1"/>
        <rFont val="Calibri"/>
        <family val="2"/>
        <charset val="1"/>
      </rPr>
      <t xml:space="preserve">" </t>
    </r>
    <r>
      <rPr>
        <sz val="11"/>
        <color theme="1"/>
        <rFont val="FreeSans"/>
        <family val="2"/>
      </rPr>
      <t>مثير</t>
    </r>
  </si>
  <si>
    <t>فيلم مغرٍ</t>
  </si>
  <si>
    <t>صورة مثير للاهتمام</t>
  </si>
  <si>
    <t>صورة مثير</t>
  </si>
  <si>
    <t>رواية مثير</t>
  </si>
  <si>
    <t>المَسْجِدُ الأَقْصَى قَضِيَّةُ أُمَّةٍ، لَا قَضِيَّة قَوْمِيَّةٍ https://t.co/3qcNu8FXKR #منبر_هسبريس #الشعب_الفلسطيني #القومية_العربية</t>
  </si>
  <si>
    <t xml:space="preserve">المَسْجِدُ الأَقْصَى قَضِيَّةُ أُمَّةٍ، لَا قَضِيَّة قَوْمِيَّةٍ </t>
  </si>
  <si>
    <t>محكمة خارجي قضية قبيلة لا مسألة إثنية</t>
  </si>
  <si>
    <t>المسجد أقصى خلاف أمة، لا خلاف قُبَليّة</t>
  </si>
  <si>
    <t>المسجد أقصى مسألة خلافية جماعة لا نزاع قومية</t>
  </si>
  <si>
    <t>مصلى نائي قضية أمة، لا موضوع قُبَليّة</t>
  </si>
  <si>
    <t>المسجد أقصي موضوع شعبية لا إشكالية قومية</t>
  </si>
  <si>
    <t>مسجد جامع أقصى مشكلة أمة، لا قضية أمْلَكية</t>
  </si>
  <si>
    <t>المَسْجِدُ الأَقْصَى قَضِيَّةُ أُمَّةٍ</t>
  </si>
  <si>
    <t>مسجدٌ جامع أقصى قضية أمة</t>
  </si>
  <si>
    <t>مُصلّى أقصى حجة أمة</t>
  </si>
  <si>
    <t>مسجدٌ حرام أبعدُ حادثة رَحِم</t>
  </si>
  <si>
    <t>بيت للعبادة أبعد حجة أمة</t>
  </si>
  <si>
    <t>عين_اليمن قصه مقاتل حوثي تبردق ثم تبندق وبعدها تصندق. يذهبون لمأرب فوق طقم ويعودون صوره على الطقم https://t.co/a6bHmUxK13</t>
  </si>
  <si>
    <t xml:space="preserve">قصه مقاتل حوثي تبردق ثم تبندق وبعدها تصندق. يذهبون لمأرب فوق طقم ويعودون صوره على الطقم </t>
  </si>
  <si>
    <t>قصه مَوْقِعُ قِتال محارب تذوب ثم تماوت وبعدها تتفتق يَتحركون لمأرب فوق بُنْيَة يتجهون ظل على الْوِعَاء</t>
  </si>
  <si>
    <t>عين_اليمن قصه مقاتل حوثي تبردق ثم تبندق وبعدها تصندق. يذهبون لمأرب فوق طقم ويعودون صوره على الطقم https://t.co/a6bHmUxK14</t>
  </si>
  <si>
    <t>ملحمة مَوْقِعُ قِتال حوثي تتفتت ثم تفليك لاحقا ل تصندق يَغادرون غرض فوق طقم ويعودون صوره على طقم</t>
  </si>
  <si>
    <t>عاجل ▪️ قوات الاحتلال تطلق النار على شاب داخل حاجز شارع الشهداء بالخليل</t>
  </si>
  <si>
    <t>فِرَق اجتياح</t>
  </si>
  <si>
    <t>أَطَوَام اقتحام</t>
  </si>
  <si>
    <t>قوات قهر</t>
  </si>
  <si>
    <t>مَعارِس ضم</t>
  </si>
  <si>
    <t>أَسْراب قهر</t>
  </si>
  <si>
    <t>قوات الاحتلال تطلق النار على شاب داخل حاجز شارع الشهداء بالخليل.</t>
  </si>
  <si>
    <t>أسراب احتلال تطلق نار على يافع داخل سد مسلك مغفورون بالخليل</t>
  </si>
  <si>
    <t>سرايا هيمنة أطلق سراح جمر على غُلام في سَدْل درب سعداء في حبرون</t>
  </si>
  <si>
    <t>قوات استعباد تطلق نار على فَتِيّ أَمْجَد حاجز شارع سعداء بالخليل</t>
  </si>
  <si>
    <t>أفواج قهر أطلق زمام شرر على شاب حَوْز سدود شارع شهداء بالخليل</t>
  </si>
  <si>
    <t>رشوة وتصاريح غير مستوفاة للشروط.. \"#نزاهة\" تعلن نتائج قضية انهيار سقف جامعة أهلية ومعاقبة الفاسدين. https://t.co/897EDnSVRV https://t.co/aKij9a2lE2</t>
  </si>
  <si>
    <t xml:space="preserve">رشوة وتصاريح غير مستوفاة للشروط.. "#نزاهة" تعلن نتائج قضية انهيار سقف جامعة أهلية ومعاقبة الفاسدين. </t>
  </si>
  <si>
    <t>هَبَة عفوات غير مُستَحقّة مواصفات تقوى نشر ثمرات حجة انحطاط عنان جامعة مُؤهَّلة تأديب فاسدين</t>
  </si>
  <si>
    <t>رشوة وتصاريح غير مستوفاة للشروط.. \"#نزاهة\" تعلن نتائج قضية انهيار سقف جامعة أهلية ومعاقبة الفاسدين. https://t.co/897EDnSVRV https://t.co/aKij9a2lE3</t>
  </si>
  <si>
    <t>هَبَّة تراخيص غير مُستَحقّة شروط شرف تنبيه مخرجات حجة تفكك عنان جامعة أهلية تأديب مُتسلطين</t>
  </si>
  <si>
    <t>رشوة وتصاريح غير مستوفاة للشروط.. \"#نزاهة\" تعلن نتائج قضية انهيار سقف جامعة أهلية ومعاقبة الفاسدين. https://t.co/897EDnSVRV https://t.co/aKij9a2lE4</t>
  </si>
  <si>
    <t>مَنْفَعَة عفوات غير مكتملة مقاصد تقوى إيقاع نتائج مشكلة استسلام خَيْمَة جامعة مُستحقة ردع فاسدين</t>
  </si>
  <si>
    <t>رشوة وتصاريح غير مستوفاة للشروط.. \"#نزاهة\" تعلن نتائج قضية انهيار سقف جامعة أهلية ومعاقبة الفاسدين. https://t.co/897EDnSVRV https://t.co/aKij9a2lE5</t>
  </si>
  <si>
    <t>هَبَّة موافقات غير مُنجزّة للشروط شرف نشر ثمار قضية انهيار عُلُوّ رابطة قادرة محاسبة مُستبدين</t>
  </si>
  <si>
    <t>رشوة وتصاريح غير مستوفاة للشروط.. \"#نزاهة\" تعلن نتائج قضية انهيار سقف جامعة أهلية ومعاقبة الفاسدين. https://t.co/897EDnSVRV https://t.co/aKij9a2lE6</t>
  </si>
  <si>
    <t>رشوة وتصاريح غير مستوفاة للشروط.. \"#نزاهة\" تعلن نتائج قضية انهيار سقف جامعة أهلية ومعاقبة الفاسدين. https://t.co/897EDnSVRV https://t.co/aKij9a2lE7</t>
  </si>
  <si>
    <t>انهزام</t>
  </si>
  <si>
    <t>رشوة وتصاريح غير مستوفاة للشروط.. \"#نزاهة\" تعلن نتائج قضية انهيار سقف جامعة أهلية ومعاقبة الفاسدين. https://t.co/897EDnSVRV https://t.co/aKij9a2lE8</t>
  </si>
  <si>
    <t>رشوة وتصاريح غير مستوفاة للشروط.. \"#نزاهة\" تعلن نتائج قضية انهيار سقف جامعة أهلية ومعاقبة الفاسدين. https://t.co/897EDnSVRV https://t.co/aKij9a2lE9</t>
  </si>
  <si>
    <t>رشوة وتصاريح غير مستوفاة للشروط.. \"#نزاهة\" تعلن نتائج قضية انهيار سقف جامعة أهلية ومعاقبة الفاسدين. https://t.co/897EDnSVRV https://t.co/aKij9a2lE10</t>
  </si>
  <si>
    <t>رشوة وتصاريح غير مستوفاة للشروط.. \"#نزاهة\" تعلن نتائج قضية انهيار سقف جامعة أهلية ومعاقبة الفاسدين. https://t.co/897EDnSVRV https://t.co/aKij9a2lE11</t>
  </si>
  <si>
    <t>رشوة وتصاريح غير مستوفاة للشروط.. \"#نزاهة\" تعلن نتائج قضية انهيار سقف جامعة أهلية ومعاقبة الفاسدين. https://t.co/897EDnSVRV https://t.co/aKij9a2lE12</t>
  </si>
  <si>
    <t>الفاسدين</t>
  </si>
  <si>
    <t>الشريرين</t>
  </si>
  <si>
    <t>رشوة وتصاريح غير مستوفاة للشروط.. \"#نزاهة\" تعلن نتائج قضية انهيار سقف جامعة أهلية ومعاقبة الفاسدين. https://t.co/897EDnSVRV https://t.co/aKij9a2lE13</t>
  </si>
  <si>
    <t>الظالمين</t>
  </si>
  <si>
    <t>رشوة وتصاريح غير مستوفاة للشروط.. \"#نزاهة\" تعلن نتائج قضية انهيار سقف جامعة أهلية ومعاقبة الفاسدين. https://t.co/897EDnSVRV https://t.co/aKij9a2lE14</t>
  </si>
  <si>
    <t>الضالين</t>
  </si>
  <si>
    <t>رشوة وتصاريح غير مستوفاة للشروط.. \"#نزاهة\" تعلن نتائج قضية انهيار سقف جامعة أهلية ومعاقبة الفاسدين. https://t.co/897EDnSVRV https://t.co/aKij9a2lE15</t>
  </si>
  <si>
    <t>المُفسدين</t>
  </si>
  <si>
    <t>رشوة وتصاريح غير مستوفاة للشروط.. \"#نزاهة\" تعلن نتائج قضية انهيار سقف جامعة أهلية ومعاقبة الفاسدين. https://t.co/897EDnSVRV https://t.co/aKij9a2lE16</t>
  </si>
  <si>
    <t>المُستبدين</t>
  </si>
  <si>
    <t>آيت منا يتهم العثماني و"البيجيدي" بـ"الكذب" https://t.co/GML41b7Ufo #جهات #24_ساعة #حزب_العدالة_والتنمية</t>
  </si>
  <si>
    <t>آيت منا يتهم العثماني و"البيجيدي" بـ"الكذب"</t>
  </si>
  <si>
    <t>علامة في عالمنا يتهم عثماني و عدالة والتنمية بـ بهتان</t>
  </si>
  <si>
    <t>آيت معنا نسبه إليه خَلْفاء و بيجيدي بـ افتراء</t>
  </si>
  <si>
    <t>شاهدة في دائرتنا أوقع عثماني و إخوان بـ كذب</t>
  </si>
  <si>
    <t>شاهدة في محيطنا أوقع حُكْم و بيجيدي بـ محاكاة</t>
  </si>
  <si>
    <t>بينة وسط جماعة يتهم إمامة و بيجيدي بـ إدعاء</t>
  </si>
  <si>
    <t>عين_اليمن #تعز، مقبنة صورة تبين حجم الفرح للسكان بوصول المقاتلين بعد تحرير مرتزقه الحوثي https://t.co/7j4kztB8yp</t>
  </si>
  <si>
    <t>مرتزقه الحوثي</t>
  </si>
  <si>
    <t>مرتزقه ثائر</t>
  </si>
  <si>
    <t>مُستأجَرون ثائر</t>
  </si>
  <si>
    <t>مُتَسَوِّلُون محارب</t>
  </si>
  <si>
    <t>مُحارِبُون مُرَحَّلُون محارب</t>
  </si>
  <si>
    <t>مرتزقه</t>
  </si>
  <si>
    <t>مُستَأجَفو قلوب</t>
  </si>
  <si>
    <t>رُعاع مستأجرين</t>
  </si>
  <si>
    <t>مُرَحَّلون</t>
  </si>
  <si>
    <t>مقاتلين بالأجر</t>
  </si>
  <si>
    <t>مقبنة صورة تبين حجم الفرح للسكان بوصول المقاتلين بعد تحرير مرتزقه الحوثي</t>
  </si>
  <si>
    <t>هُودج صورة تبين حجم سرور سكانو بلد بوصول مقاتلين بعد تحرير ذوو أجندات شيعي</t>
  </si>
  <si>
    <t>صَحراوية مَظهر تبين حجم مسرة سكانو بلد بوصول مقاتظين بعد تحرير جنودٌ مستأجرون شيعي</t>
  </si>
  <si>
    <t>مقبنة: قبّة مَحيا بَانَ مساحَة سرور للسكان مجيءً مقاتلين بعد إطلاق مرتزقه حوثي</t>
  </si>
  <si>
    <t>الكفيل شتمه وهانه وطرده من الشغل\".. استغاثة أم مصرية لتعرض نجلها للظلم من كفيله السعودي #مصر https://t.co/mKHHTzxATS</t>
  </si>
  <si>
    <t>استغاثة</t>
  </si>
  <si>
    <t>تملق</t>
  </si>
  <si>
    <t>طلب</t>
  </si>
  <si>
    <t>تضرع</t>
  </si>
  <si>
    <t>استنجاد</t>
  </si>
  <si>
    <t>صرخة</t>
  </si>
  <si>
    <t>شتمه وهانه وطرده</t>
  </si>
  <si>
    <t>احتقره استهزأ به أزاحه</t>
  </si>
  <si>
    <t>شتمه استهزأ به أبعده عن وطنه</t>
  </si>
  <si>
    <t>احتقره احتقاره أخرجوه</t>
  </si>
  <si>
    <t>جرحه استهان أخرجوه</t>
  </si>
  <si>
    <r>
      <rPr>
        <sz val="11"/>
        <color theme="1"/>
        <rFont val="Calibri"/>
        <family val="2"/>
        <charset val="1"/>
      </rPr>
      <t>"</t>
    </r>
    <r>
      <rPr>
        <sz val="11"/>
        <color theme="1"/>
        <rFont val="FreeSans"/>
        <family val="2"/>
      </rPr>
      <t>الكفيل شتمه وهانه وطرده من الشغل</t>
    </r>
    <r>
      <rPr>
        <sz val="11"/>
        <color theme="1"/>
        <rFont val="Calibri"/>
        <family val="2"/>
        <charset val="1"/>
      </rPr>
      <t xml:space="preserve">".. </t>
    </r>
    <r>
      <rPr>
        <sz val="11"/>
        <color theme="1"/>
        <rFont val="FreeSans"/>
        <family val="2"/>
      </rPr>
      <t>استغاثة أم مصرية لتعرض نجلها للظلم من كفيله السعودي</t>
    </r>
  </si>
  <si>
    <t>مُكفٍ لعنه وهانه وطرده من مسعى استغاثة أم رنكشية تعريض ابن بغي من كفيله حِجازِي</t>
  </si>
  <si>
    <t>حَمِيْل شتمه احتقار أبعده من مهنة نداء أم نيليّة توضيح تابع ضيم من كفيله مُقيم</t>
  </si>
  <si>
    <t>مُؤازر ذمّم أمره تهوينه أبعده من صنعة استغاثة أم مصراميّة إبانة نجلها حيف من وافية مَكِّي</t>
  </si>
  <si>
    <t>مُؤتمن أهانه استصغار أبعده عن وطنه من شغل مناشدة أم مصرية تبين أبناء بغي من راعية مُواطن</t>
  </si>
  <si>
    <t>صناعة شخصيات عامة\" .. سياسة ينتهجها النظام.. والمعتقلين في المسالخ البشرية أبرز ضحاياها https://t.co/7EfKyZZOU1</t>
  </si>
  <si>
    <t xml:space="preserve">سياسة ينتهجها النظام.. والمعتقلين في المسالخ البشرية أبرز ضحاياها </t>
  </si>
  <si>
    <t>سياسة ينتهجها التزام مُعتقَلين في مَذَابِحُ شعب كشف هلكى حرب</t>
  </si>
  <si>
    <t>صناعة شخصيات عامة\" .. سياسة ينتهجها النظام.. والمعتقلين في المسالخ البشرية أبرز ضحاياها https://t.co/7EfKyZZOU2</t>
  </si>
  <si>
    <t>مَكْرُوزَةٌ ينتهجها نظام أسرى في حَوَانِيتُ حياة أبان ضحوتها</t>
  </si>
  <si>
    <t>صناعة شخصيات عامة\" .. سياسة ينتهجها النظام.. والمعتقلين في المسالخ البشرية أبرز ضحاياها https://t.co/7EfKyZZOU3</t>
  </si>
  <si>
    <t>مَكْرٌ اقتفى أثرها نظام مُحتجَزين في مذابِحُ وجود أظهر ضحاياها</t>
  </si>
  <si>
    <t>صناعة شخصيات عامة\" .. سياسة ينتهجها النظام.. والمعتقلين في المسالخ البشرية أبرز ضحاياها https://t.co/7EfKyZZOU4</t>
  </si>
  <si>
    <t>مَكْرٌ سار على نهجها التزام مُحتجَرين في مسالخ بشرية أبرز ضحاياها</t>
  </si>
  <si>
    <t>صناعة شخصيات عامة\" .. سياسة ينتهجها النظام.. والمعتقلين في المسالخ البشرية أبرز ضحاياها https://t.co/7EfKyZZOU5</t>
  </si>
  <si>
    <t>المسالخ البشرية</t>
  </si>
  <si>
    <t>مجامِعُ ذَّبْح رَّحمة</t>
  </si>
  <si>
    <t>صناعة شخصيات عامة\" .. سياسة ينتهجها النظام.. والمعتقلين في المسالخ البشرية أبرز ضحاياها https://t.co/7EfKyZZOU6</t>
  </si>
  <si>
    <t>المسالخ كائِنية</t>
  </si>
  <si>
    <t>صناعة شخصيات عامة\" .. سياسة ينتهجها النظام.. والمعتقلين في المسالخ البشرية أبرز ضحاياها https://t.co/7EfKyZZOU7</t>
  </si>
  <si>
    <t xml:space="preserve">ضحاياها </t>
  </si>
  <si>
    <t>مَنكوبون</t>
  </si>
  <si>
    <t>صناعة شخصيات عامة\" .. سياسة ينتهجها النظام.. والمعتقلين في المسالخ البشرية أبرز ضحاياها https://t.co/7EfKyZZOU8</t>
  </si>
  <si>
    <t>رَحى</t>
  </si>
  <si>
    <t>صناعة شخصيات عامة\" .. سياسة ينتهجها النظام.. والمعتقلين في المسالخ البشرية أبرز ضحاياها https://t.co/7EfKyZZOU9</t>
  </si>
  <si>
    <t>صناعة شخصيات عامة\" .. سياسة ينتهجها النظام.. والمعتقلين في المسالخ البشرية أبرز ضحاياها https://t.co/7EfKyZZOU10</t>
  </si>
  <si>
    <t>مَذابح</t>
  </si>
  <si>
    <t>صناعة شخصيات عامة\" .. سياسة ينتهجها النظام.. والمعتقلين في المسالخ البشرية أبرز ضحاياها https://t.co/7EfKyZZOU11</t>
  </si>
  <si>
    <t>السَّيرَة</t>
  </si>
  <si>
    <t>صناعة شخصيات عامة\" .. سياسة ينتهجها النظام.. والمعتقلين في المسالخ البشرية أبرز ضحاياها https://t.co/7EfKyZZOU12</t>
  </si>
  <si>
    <t>الاعتداد</t>
  </si>
  <si>
    <t>صناعة شخصيات عامة\" .. سياسة ينتهجها النظام.. والمعتقلين في المسالخ البشرية أبرز ضحاياها https://t.co/7EfKyZZOU13</t>
  </si>
  <si>
    <t>ينتهجها</t>
  </si>
  <si>
    <t>سار على منوالها</t>
  </si>
  <si>
    <t>صناعة شخصيات عامة\" .. سياسة ينتهجها النظام.. والمعتقلين في المسالخ البشرية أبرز ضحاياها https://t.co/7EfKyZZOU14</t>
  </si>
  <si>
    <t>اتبعها</t>
  </si>
  <si>
    <t>صناعة شخصيات عامة\" .. سياسة ينتهجها النظام.. والمعتقلين في المسالخ البشرية أبرز ضحاياها https://t.co/7EfKyZZOU15</t>
  </si>
  <si>
    <t>سلكها</t>
  </si>
  <si>
    <t>صناعة شخصيات عامة\" .. سياسة ينتهجها النظام.. والمعتقلين في المسالخ البشرية أبرز ضحاياها https://t.co/7EfKyZZOU16</t>
  </si>
  <si>
    <t>اتخذها</t>
  </si>
  <si>
    <t>حوار - طلال أبو غزالة : لا يوجد أي حل آخر في فلسطين إلا بنهاية الاحتلال https://t.co/VL2X3QGDGR</t>
  </si>
  <si>
    <t xml:space="preserve">لا يوجد أي حل آخر في فلسطين إلا بنهاية الاحتلال </t>
  </si>
  <si>
    <t>لا يبرز أي حل آخر في الْخَلِيلِيَّةُ إلا انقضاء هيمنة</t>
  </si>
  <si>
    <t>لا يتجلى أي حل آخر في فلسطين إلا اكتمال استعباد</t>
  </si>
  <si>
    <t>لا يعيش أي حل آخر في الْخَلِيلِيَّةُ إلا فراغ غزو</t>
  </si>
  <si>
    <t>لا يعيش أي حل آخر في فلسطين إلا غاية سيطرة</t>
  </si>
  <si>
    <t>لا يوجد أي حل آخر في أَرْضُ الْمُنْتَظَرَةُ إلا إنجاز استعباد</t>
  </si>
  <si>
    <t>لا يحضر أي حل آخر في فِلَسْطِينُ إلا بنهاية سيطرة</t>
  </si>
  <si>
    <t>لا يوجد أي حل آخر في فلسطين إلا بنهاية الاحتلال</t>
  </si>
  <si>
    <t>لا يقيم أي حل آخر في جَنَّةُ شَّرْقِ إلا بنهاية انتزاع</t>
  </si>
  <si>
    <t>لا يوجد أي حل آخر في خَلِيجُ عَرَبِ إلا انتهاء قهر</t>
  </si>
  <si>
    <t>لا يقيم أي حل آخر في أُمُّ رَّحْمَةِ إلا نتيجة استحواذ</t>
  </si>
  <si>
    <t>لا يظهر وجوده أي حل آخر في فِلَسْطِينُ إلا ختام هيمنة</t>
  </si>
  <si>
    <t>مشهد مؤسف.. مجندة إسرائيلية تعتدي على سيدة فلسطينية أمام أعين أطفالها #فلسطين #هجوم #أطفال https://t.co/ZVizVZnnGV</t>
  </si>
  <si>
    <t>مؤسف</t>
  </si>
  <si>
    <t>محبط</t>
  </si>
  <si>
    <t>مزعج</t>
  </si>
  <si>
    <t>مأساوي</t>
  </si>
  <si>
    <t>مجندة إسرائيلية تعتدي على سيدة فلسطينية أمام أعين أطفالها</t>
  </si>
  <si>
    <t>مجندة مُحَارِبَة تعتدي على سَيِّدة محتلة أمام رؤوس وِلدانُها</t>
  </si>
  <si>
    <t>مجندة إسرائيلية تعدت على رَبَّة وطنية أمام أعين نسْلُها</t>
  </si>
  <si>
    <t>مجندة سِبْطِيَّة اعتبرت على مَرْأَة عربية أمام أعين أطفالها</t>
  </si>
  <si>
    <t>مجندة سِبْطِيَّة تعتدي على جَميلَة كنعانية أمام مصايد نسْلُها</t>
  </si>
  <si>
    <t>تعتدي على سيدة فلسطينية أمام أعين أطفالها</t>
  </si>
  <si>
    <t>تجاوزت على مَلِكَة رَحْوَانِيَّةٌ أمام شهب أولادُها</t>
  </si>
  <si>
    <t>تعتدي على فَاضِلَة رَحْوَانِيَّةٌ أمام بَصَر أطفالها</t>
  </si>
  <si>
    <t>تعدت حد على سيدة فِلَسْطِينِيَّةٌ أمام أعين أبناءُها</t>
  </si>
  <si>
    <t>تجاسرت على سيدة فلسطينية أمام أعين فراخُها</t>
  </si>
  <si>
    <t>مجندة إسرائيلية</t>
  </si>
  <si>
    <t>مجندة سُلَحْفَاتِيَّة</t>
  </si>
  <si>
    <t>مُقاتِلة إسرائيلية</t>
  </si>
  <si>
    <t>جندية سِبْطِيَّة</t>
  </si>
  <si>
    <t>مُقاتِلة مُحْتَلَّة</t>
  </si>
  <si>
    <t>النوري اللجمي رئيس الهايكا : الحكومة لم تحرك ساكنا أمام تجاوزات سعيد الجزيري.. و رئيس الحكومة طلبنا نقابلوه عديد المرات و ما رجعش علينا.. #MidiShow</t>
  </si>
  <si>
    <t>الحكومة لم تحرك ساكنا أمام تجاوزات سعيد الجزيري</t>
  </si>
  <si>
    <t>السلطة لم تحركوا ساكنا أمام تجاوزات مبتهج جَزْريّ</t>
  </si>
  <si>
    <t>الحكومة لم سار مُستقرٌ أمام تطاول سعيد قُطْبي</t>
  </si>
  <si>
    <t>الدولة لم انتقل مُتَزَنٌ أمام تجاوزات سعيد جزراوي</t>
  </si>
  <si>
    <t>الدولة لم انتقلت ساكنا أمام تطاول مبتهج جزيري</t>
  </si>
  <si>
    <t>السلطة لم انتقل ساكنا أمام تجاوزات سعيد مَرْسَمي</t>
  </si>
  <si>
    <t>و رئيس الحكومة طلبنا نقابلوه عديد المرات و ما رجعش علينا</t>
  </si>
  <si>
    <t>و قائد أعلى قيادة تاقت نفوسنا نلاقيه كثير مرات و ما رجعش في مسؤوليتنا</t>
  </si>
  <si>
    <t>و مسؤول قيادة طلبنا نقابله وافر وقائع و ما رُعَاشٌ إلينا</t>
  </si>
  <si>
    <t>و ربان إدارة تاقت نفوسنا نتعامل معـه مُتَوَفِّر مرات و ما رَغْفَةٌ في حوزتنا</t>
  </si>
  <si>
    <t>و مدير جهة حاكمة تطلعنا نقابلوه مُتَكاثِر ظروف و ما رجعش علينا</t>
  </si>
  <si>
    <t>لم تحرك ساكنا</t>
  </si>
  <si>
    <t>لم تحرك مستقرا</t>
  </si>
  <si>
    <t>لم جال ساكنا</t>
  </si>
  <si>
    <t>لم انطلق راقدا</t>
  </si>
  <si>
    <t>لم انتقل جامدا</t>
  </si>
  <si>
    <t>تجاوزات</t>
  </si>
  <si>
    <t>انتهاكات</t>
  </si>
  <si>
    <t>خروقات</t>
  </si>
  <si>
    <t>تجاوزات حدود</t>
  </si>
  <si>
    <t>تجاوزات قانونية</t>
  </si>
  <si>
    <t>مخالفات</t>
  </si>
  <si>
    <t>الغارديان: انفجار #أصفهان في #إيران كان بمصنع للطائرات المسيرة ومرتبط بتهديدات إسرائيل</t>
  </si>
  <si>
    <t>بتهديدات</t>
  </si>
  <si>
    <t>تلميحات</t>
  </si>
  <si>
    <t>إيماءات</t>
  </si>
  <si>
    <t xml:space="preserve">انفجار #أصفهان في #إيران كان بمصنع للطائرات المسيرة ومرتبط بتهديدات إسرائيل </t>
  </si>
  <si>
    <t>تطشّق ضيعة في عجم كان مَصْنَعِيّ للطائرات مَنْهَج متداخل إنذارات يَهُود</t>
  </si>
  <si>
    <t>انفجار ريف في بلاد فارس كان بِمَحْرَث أجنحة مَسْعَى ملتحم رَمْزُ إِبْطَحِ سَبْطَة</t>
  </si>
  <si>
    <t>تنفجر عاصمة في إيران كان بمصنع سماوات مَقْصِد متصل تهديدات يَهُود</t>
  </si>
  <si>
    <t>عاجل.. خطيب الأقصى: الاحتلال يحاول إثبات عدم الهزيمة ورد الاعتبار بالاقتحامات  #صحيفة_الرأي #الأردن https://t.co/3BCbymlndn</t>
  </si>
  <si>
    <t>الاحتلال يحاول إثبات عدم الهزيمة ورد الاعتبار بالاقتحامات</t>
  </si>
  <si>
    <t>الاستعباد يخوض إثبات عدم فشل ورد تدبر بالاقتحامات</t>
  </si>
  <si>
    <t>الاحتلال يخوض قرينة عدم انحسار ورد اعتبار تدافع</t>
  </si>
  <si>
    <t>الانتزاع يُحاول قرينة عدم هزيمة ورد انتباه هجمات</t>
  </si>
  <si>
    <t>الغزو يحاول إثبات عدم فشل ورد تبصّر اندفاعات</t>
  </si>
  <si>
    <t>بالاقتحامات</t>
  </si>
  <si>
    <t>الدهم</t>
  </si>
  <si>
    <t>الانقضاضات</t>
  </si>
  <si>
    <t>الاقتحامات</t>
  </si>
  <si>
    <t>عاجل | محكمة الاحتلال الإسرائيلية ترجئ البت في قضية حي بطن الهوى في سلوان #فلسطين #القدس #غزة #سلوان #حي_الشيخ_جراح #بطن_الهوى #رؤيا_الاخباري https://t.co/UrXAnfjS5T</t>
  </si>
  <si>
    <t>محكمة الاحتلال الإسرائيلية</t>
  </si>
  <si>
    <t>دعوى استعمار سليمانية</t>
  </si>
  <si>
    <t>محكمة استعباد إسرائيلية</t>
  </si>
  <si>
    <t>مجلس قضاء استعمار داودية</t>
  </si>
  <si>
    <t>دار عدل احتلال إسرائيلية</t>
  </si>
  <si>
    <t>محكمة الاحتلال الإسرائيلية ترجئ البت في قضية حي بطن الهوى في سلوان</t>
  </si>
  <si>
    <t>محكمة ضم صهيونية أرجئ بنت في إشكالية حي بطن وله في مرح</t>
  </si>
  <si>
    <t>مَجْلِس قَضَاء سيطرة إسرائيلية إرجاء مُؤنث في موضوع حي بطن محبة في سلوان</t>
  </si>
  <si>
    <t>ثَابِتَة استيلاء يهودية أجل غُلامة في حيرة حي بطن محبة في سلوان</t>
  </si>
  <si>
    <t>محكمة استيلاء عَدْنية ترجئ نّسلة في مُعضلة حي جَوْف إعجاب في سلوان</t>
  </si>
  <si>
    <t>أحمد نجيب الشابي : حاجة وحدة ثابتة عند حركة النهضة و هي التمكن من أجهزة الدولة.. #MidiShow</t>
  </si>
  <si>
    <t>حاجة وحدة ثابتة عند حركة النهضة و هي التمكن من أجهزة الدولة..</t>
  </si>
  <si>
    <t>مُسْتَلْزَم انفرادية ثابت عند تغير انبعاث و هي تمكن من أجهزة كهربائية بلد</t>
  </si>
  <si>
    <t>وَاجِب انفراد ثابتة عند تموج زهرة و هي تمكن من أجهزة كهربائية دولة</t>
  </si>
  <si>
    <t>اِحْتِمَال استقلال ثابتة عند حركة نهضة و هي سيطرة من أدوات ميكانيكية حكومة</t>
  </si>
  <si>
    <t>حاجة انفرادية ثابتة عند تغير ظهور و هي إتقان من أجهزة إلكترونية أمة</t>
  </si>
  <si>
    <t>عاجل| الاحتلال الإسرائيلي يزعم اغتيال قيادي بارز في كتائب القسام #رؤيا_الاخباري #فلسطين #غزه_تقاوم #غزة_تنتصر_للقدس https://t.co/PV8eiDB9Rc</t>
  </si>
  <si>
    <t>الاغتصاب إفرايمي</t>
  </si>
  <si>
    <t>الاستحواذ فلسطيني</t>
  </si>
  <si>
    <t>يزعم</t>
  </si>
  <si>
    <t>يَدَّعِي</t>
  </si>
  <si>
    <t>يُقال</t>
  </si>
  <si>
    <t>يَدَّاثَر</t>
  </si>
  <si>
    <t>يدّعي</t>
  </si>
  <si>
    <t>الاحتلال الإسرائيلي يزعم اغتيال قيادي بارز في كتائب القسام</t>
  </si>
  <si>
    <t>الاحتلال إسرائيلي يقول إعدام قيادي مبرّز في كتائب قسام</t>
  </si>
  <si>
    <t>الضم إسرائيلي يزعم تصفية مسير مبرّز في جنود مُقسِّم</t>
  </si>
  <si>
    <t>الامتلاك صِهْني يدعيها اغتيال مُوجه بيّن في فرق مُحَصِّن</t>
  </si>
  <si>
    <t>الامتلاك يهودي يدّعي إزهاق قائد بارز في كتلة مُقسِم</t>
  </si>
  <si>
    <t>غزه تقاثد</t>
  </si>
  <si>
    <t>غزه تواجه</t>
  </si>
  <si>
    <t>عزّ تقاثد</t>
  </si>
  <si>
    <t>معقل تواجه</t>
  </si>
  <si>
    <r>
      <rPr>
        <sz val="11"/>
        <color theme="1"/>
        <rFont val="Calibri"/>
        <family val="2"/>
        <charset val="1"/>
      </rPr>
      <t>#</t>
    </r>
    <r>
      <rPr>
        <sz val="11"/>
        <color theme="1"/>
        <rFont val="FreeSans"/>
        <family val="2"/>
      </rPr>
      <t>غزة</t>
    </r>
    <r>
      <rPr>
        <sz val="11"/>
        <color theme="1"/>
        <rFont val="Calibri"/>
        <family val="2"/>
        <charset val="1"/>
      </rPr>
      <t>_</t>
    </r>
    <r>
      <rPr>
        <sz val="11"/>
        <color theme="1"/>
        <rFont val="FreeSans"/>
        <family val="2"/>
      </rPr>
      <t>تنتصر</t>
    </r>
    <r>
      <rPr>
        <sz val="11"/>
        <color theme="1"/>
        <rFont val="Calibri"/>
        <family val="2"/>
        <charset val="1"/>
      </rPr>
      <t>_</t>
    </r>
    <r>
      <rPr>
        <sz val="11"/>
        <color theme="1"/>
        <rFont val="FreeSans"/>
        <family val="2"/>
      </rPr>
      <t>للقدس</t>
    </r>
  </si>
  <si>
    <t>غزة تَسْتَبْدِلُ مَهْد</t>
  </si>
  <si>
    <t>عزيمة تَنْتَصِرُ هَيْكَل</t>
  </si>
  <si>
    <t>منعة تَسُودُ للقدس</t>
  </si>
  <si>
    <t>منعة تَغْلُبُ كنعان</t>
  </si>
  <si>
    <t>دراسة تكشف دور "أبو ولاء العراقي" في تجنيد الشباب الألمان لمصلحة "داعش" https://t.co/TOtlVOKdpE</t>
  </si>
  <si>
    <t>دراسة تكشف دور "أبو ولاء العراقي" في تجنيد الشباب الألمان لمصلحة "داعش"</t>
  </si>
  <si>
    <t>فحص تجليّة مسار أبو ولاء بغدادي في تجنيش سُّنْبُلَة ألوات لنفعها متشددون</t>
  </si>
  <si>
    <t>تعلم تجلو جولة أبو عهود كَرْبَلائي في تجنيد عسكري خُضْرة نازيون لِما فيه خير داعش</t>
  </si>
  <si>
    <t>دراسة انبثاق دور أبو صدق مُعَرَّبي في تجنيش فَتَانة نازيون لمصلحة داعش</t>
  </si>
  <si>
    <t>تطّلع تكشف مسار أبو وفاق عراقي في حشد بَهْجَة غوطة لمنفوع متشددون</t>
  </si>
  <si>
    <t>شاهد| تظاهرة أمام مقر سفارة الاحتلال في #لندن، تنديدًا بجـــرائم الاحتلال في #القدس وغزة https://t.co/kdm30mTzE2</t>
  </si>
  <si>
    <t>تنديدًا</t>
  </si>
  <si>
    <t>رفضا</t>
  </si>
  <si>
    <t>شاهد| تظاهرة أمام مقر سفارة الاحتلال في #لندن، تنديدًا بجـــرائم الاحتلال في #القدس وغزة https://t.co/kdm30mTzE3</t>
  </si>
  <si>
    <t>وعيدا</t>
  </si>
  <si>
    <t>شاهد| تظاهرة أمام مقر سفارة الاحتلال في #لندن، تنديدًا بجـــرائم الاحتلال في #القدس وغزة https://t.co/kdm30mTzE4</t>
  </si>
  <si>
    <t>شاهد| تظاهرة أمام مقر سفارة الاحتلال في #لندن، تنديدًا بجـــرائم الاحتلال في #القدس وغزة https://t.co/kdm30mTzE5</t>
  </si>
  <si>
    <t>شاهد| تظاهرة أمام مقر سفارة الاحتلال في #لندن، تنديدًا بجـــرائم الاحتلال في #القدس وغزة https://t.co/kdm30mTzE6</t>
  </si>
  <si>
    <t>شاهد| تظاهرة أمام مقر سفارة الاحتلال في #لندن، تنديدًا بجـــرائم الاحتلال في #القدس وغزة https://t.co/kdm30mTzE7</t>
  </si>
  <si>
    <t>تظاهرة أمام مقر سفارة الاحتلال في #لندن، تنديدًا بجـــرائم الاحتلال في #القدس وغزة</t>
  </si>
  <si>
    <t>تظاهرة أمام مقر سفارة احتلال في خَراج استنكارا كَبائِر سيطرة في قـبـلـة ـنـبـيـيـن وغزة</t>
  </si>
  <si>
    <t>شاهد| تظاهرة أمام مقر سفارة الاحتلال في #لندن، تنديدًا بجـــرائم الاحتلال في #القدس وغزة https://t.co/kdm30mTzE8</t>
  </si>
  <si>
    <t>شاهد| تظاهرة أمام مقر سفارة الاحتلال في #لندن، تنديدًا بجـــرائم الاحتلال في #القدس وغزة https://t.co/kdm30mTzE9</t>
  </si>
  <si>
    <t>انتفاضة أمام مَثْوَى مندوبية احتلال في مَدينة عَظيمة استنكارا فَواحِش هيمنة في قدس وغزة</t>
  </si>
  <si>
    <t>شاهد| تظاهرة أمام مقر سفارة الاحتلال في #لندن، تنديدًا بجـــرائم الاحتلال في #القدس وغزة https://t.co/kdm30mTzE10</t>
  </si>
  <si>
    <t>مسيرة أمام مقر سفارة هيمنة في باترياركة تذمّما بجـــرائم اجتياح في بـاريسـيـعـا وغزة</t>
  </si>
  <si>
    <t>شاهد| تظاهرة أمام مقر سفارة الاحتلال في #لندن، تنديدًا بجـــرائم الاحتلال في #القدس وغزة https://t.co/kdm30mTzE11</t>
  </si>
  <si>
    <t>احتشاد أمام مَوْطِنُ قنصلية استيلاء في لندن، توبيخا كَبائِر احتلال في ـمـغـتـربـة عَسْر</t>
  </si>
  <si>
    <t>شاهد| تظاهرة أمام مقر سفارة الاحتلال في #لندن، تنديدًا بجـــرائم الاحتلال في #القدس وغزة https://t.co/kdm30mTzE12</t>
  </si>
  <si>
    <t>شاهد| تظاهرة أمام مقر سفارة الاحتلال في #لندن، تنديدًا بجـــرائم الاحتلال في #القدس وغزة https://t.co/kdm30mTzE13</t>
  </si>
  <si>
    <t>شاهد| تظاهرة أمام مقر سفارة الاحتلال في #لندن، تنديدًا بجـــرائم الاحتلال في #القدس وغزة https://t.co/kdm30mTzE14</t>
  </si>
  <si>
    <t>بجـــرائم الاحتلال</t>
  </si>
  <si>
    <t>حَنَق احتلال</t>
  </si>
  <si>
    <t>شاهد| تظاهرة أمام مقر سفارة الاحتلال في #لندن، تنديدًا بجـــرائم الاحتلال في #القدس وغزة https://t.co/kdm30mTzE15</t>
  </si>
  <si>
    <t>فَوَاحِش سيطرة</t>
  </si>
  <si>
    <t>شاهد| تظاهرة أمام مقر سفارة الاحتلال في #لندن، تنديدًا بجـــرائم الاحتلال في #القدس وغزة https://t.co/kdm30mTzE16</t>
  </si>
  <si>
    <t>مُوبِئَات ضم</t>
  </si>
  <si>
    <t>شاهد| تظاهرة أمام مقر سفارة الاحتلال في #لندن، تنديدًا بجـــرائم الاحتلال في #القدس وغزة https://t.co/kdm30mTzE17</t>
  </si>
  <si>
    <t>مُنكَرَات هيمنة</t>
  </si>
  <si>
    <t>عقوبات إدارة #ترامب على \"المحكمة الجنائية الدولية\" إمعان في التقاعس الأمريكي عن إحقاق العدالة في أفظع الجرائم العالمية https://t.co/S7pyuhR1nE https://t.co/R9gWAQouYI</t>
  </si>
  <si>
    <t>عقوبات إدارة #ترامب على "المحكمة الجنائية الدولية" إمعان في التقاعس الأمريكي عن إحقاق العدالة في أفظع الجرائم العالمية</t>
  </si>
  <si>
    <t>تَبِعات رعاية مُتَكبِّر على دَّار جنائية دولية إمعان في تقاعس رَابِطِيّ عن تحقيق إنصاف في أفظع خطايا عالمية</t>
  </si>
  <si>
    <t>تَبِعات تحكم مُتَعَظِّم على محكمة حُسْبِيَّة فسيحة تمحيص في تواني أمريكي عن إحقاق تكافؤ في أفظع جرائم كونية</t>
  </si>
  <si>
    <t>عقابَات تنظيمية متغطرس على حِصَانَة حُسْبِيَّة دولية تعميق في تردد رَابِطِيّ عن إحقاق حكمة في أقسى منكرات كونية</t>
  </si>
  <si>
    <t>مُجازاة توجيه مُتَعَجْرف على حَرَم مُخالِفَة كونفدرالية تمييز في تردد نِيُويُورْكِي عن إحقاق تكافؤ في أفظع حوب دولية</t>
  </si>
  <si>
    <t>أفظع الجرائم العالمية</t>
  </si>
  <si>
    <t>أفظع جرائم عامة</t>
  </si>
  <si>
    <t>أشني آثام عالمية</t>
  </si>
  <si>
    <t>أفظع جرائم كوكبية</t>
  </si>
  <si>
    <t>التقاعس</t>
  </si>
  <si>
    <t>تواني</t>
  </si>
  <si>
    <t>تهاون</t>
  </si>
  <si>
    <t>إهمال</t>
  </si>
  <si>
    <t>إبطاء</t>
  </si>
  <si>
    <t>لطفي المرايحي : قيس سعيد ما يستحقش حتى وقت الحديث عليه.. نحب نحكي في ما ينفع الناس.. #MidiShow</t>
  </si>
  <si>
    <t>قيس سعيد ما يستحقش حتى وقت الحديث عليه</t>
  </si>
  <si>
    <t>قياس فرحان ما لا يستوجب حتى مدة حديث عليه</t>
  </si>
  <si>
    <t>قيس فرحان ما لا يستحق ثناء حتى لحظة قصة عليه</t>
  </si>
  <si>
    <t>مَحْكَمَة مُبارك ما يستحقش حتى زمن حديث عليه</t>
  </si>
  <si>
    <t>قياس مسرور ما لا يستحق ذكر حتى وقت حديث: محادثة عليه</t>
  </si>
  <si>
    <t>سقوط مبنى برج الجلاء في غزة بالكامل إثر قصف إسرائيلي مباشر بالصواريخ. البرج يضم عددا من المكاتب والكوادر الإعلامية منها مكتب وكالة أسوشيتد بريس. https://t.co/Mp6Os7wvte</t>
  </si>
  <si>
    <t>سقوط مبنى برج الجلاء في غزة بالكامل إثر قصف إسرائيلي مباشر بالصواريخ</t>
  </si>
  <si>
    <t>سقوط مبنى برج بيان في عزوة بالكامل إثر رَمْي محتل سَوْقي كالحريق</t>
  </si>
  <si>
    <t>سقوط مبنى برج جلاء في حصن حصين تامة عقب قصف إسرائيلي مباشر عاصفة صواريخ</t>
  </si>
  <si>
    <t>سقوطٌ مبنىً حُصُون انجلاء في عزوة بالكامل بعد سَحْق غاصب مباشر زخات صواريخ</t>
  </si>
  <si>
    <t>هبوط منشأة برج كشف في منعة بالكامل خلف تَقَشُّف إسرائيلي لحظي سريعاً</t>
  </si>
  <si>
    <t>سقوط مبنى برج بيان في غزة تكميليًا إثر قصف صهيوني مباشر زخات صواريخ</t>
  </si>
  <si>
    <t>سقوط مبنى برج الجلاء في غزة بالكامل</t>
  </si>
  <si>
    <t>تَدَحْرُجٌ بنيان برج تبيين في صلابة تامة بهاء</t>
  </si>
  <si>
    <t>تَصَدُّعٌ تشييد مِئذَنَة جلاء في صلابة بالكامل</t>
  </si>
  <si>
    <t>سقوط إنشاءات رُمْح تجلّي في حصن كاملة</t>
  </si>
  <si>
    <t>هَلَعٌ تشييد رَاوِيَة تبيين في ثبات بالكامل</t>
  </si>
  <si>
    <t>سقوط بناء رُمْح تجلّي في غزة بالكامل</t>
  </si>
  <si>
    <t>قصف إسرائيلي مباشر بالصواريخ</t>
  </si>
  <si>
    <t>تَقَشُّف إسرائيلي مباشر مدفعية</t>
  </si>
  <si>
    <t>قصف يهودي مباشر بالصواريخ</t>
  </si>
  <si>
    <t>إغارة إسرائيلي مباشر قصفًا بالمقذوفات صاروخية</t>
  </si>
  <si>
    <t>إغارة محتل مباشر قصفاً صاروخياً</t>
  </si>
  <si>
    <t>عاجل | الرئاسة الفلسطينية تطالب المجتمع الدولي بالتدخل لوقف عمليات القتل اليومي للفلسطينيين والانتهاكات في #القدس</t>
  </si>
  <si>
    <t>الرئاسة الفلسطينية تطالب المجتمع الدولي بالتدخل لوقف عمليات القتل اليومي للفلسطينيين والانتهاكات في #القدس</t>
  </si>
  <si>
    <t>القيادة مَحْلِيَّةً استجداء رَّعِيَّة خارجي بالتدخل تعطيل مهام ضرب يوميّ سكان فلسطين أصليون والانتهاكات في بيت مقدس</t>
  </si>
  <si>
    <t>السيادة بِلاَدُنَا تطلب مجتمع دولي بالتدخل تعطيل عمليات تصفية روتيني أهالي فلسطين والانتهاكات في بيت مقدس</t>
  </si>
  <si>
    <t>الرئاسة عَرَبِيَّةً ابتغاء مجتمع عالمي تَّعَسُّف إرجاء مهام قتل يومي شعب فلسطيني اعتداءات في بكة</t>
  </si>
  <si>
    <t>الانتهاكات</t>
  </si>
  <si>
    <t>التجاوزات صارخة</t>
  </si>
  <si>
    <t>الخروقات</t>
  </si>
  <si>
    <t>الاعتداءات</t>
  </si>
  <si>
    <t>الإساءات</t>
  </si>
  <si>
    <t>عمليات القتل اليومي</t>
  </si>
  <si>
    <t>تحركات فناء اعتيادي</t>
  </si>
  <si>
    <t>عمليات قتل حالي</t>
  </si>
  <si>
    <t>عمليات فناء يوميّا</t>
  </si>
  <si>
    <t>عاجل | وزيرة الصحة الفلسطينية: ما قامت به إسرائيل من استهداف المنشآت الصحية في غزة يرقى إلى جرائم حرب</t>
  </si>
  <si>
    <t>ما قامت به إسرائيل من استهداف المنشآت الصحية في غزة يرقى إلى جرائم حرب</t>
  </si>
  <si>
    <t>ما وقفت به فِلَسْطِين من توجيه هياكل صحية في عزة يرقى إلى معاصي قِتال</t>
  </si>
  <si>
    <t>ما قامت به فِلَسْطِين من تقصد أبنية سليمة في قوية صعد إلى جرائم صِراع</t>
  </si>
  <si>
    <t>ما علاّ به الْخَلِيلُ من استهداف هياكل فَتِيَّة في غزة ارتقى إلى ذنوب غَزو</t>
  </si>
  <si>
    <t>جرائم حرب</t>
  </si>
  <si>
    <t>انتهاكات سِجال</t>
  </si>
  <si>
    <t>خروقات قِتال</t>
  </si>
  <si>
    <t>ترامب» يتهم رئيس كوريا الجنوبية بـنهب الولايات المتحدة #عين_ليبيا https://t.co/lxy4ViZ4sy</t>
  </si>
  <si>
    <t>نهبغنم</t>
  </si>
  <si>
    <t>سرق</t>
  </si>
  <si>
    <r>
      <rPr>
        <sz val="11"/>
        <color theme="1"/>
        <rFont val="Calibri"/>
        <family val="2"/>
        <charset val="1"/>
      </rPr>
      <t>«</t>
    </r>
    <r>
      <rPr>
        <sz val="11"/>
        <color theme="1"/>
        <rFont val="FreeSans"/>
        <family val="2"/>
      </rPr>
      <t>ترامب</t>
    </r>
    <r>
      <rPr>
        <sz val="11"/>
        <color theme="1"/>
        <rFont val="Calibri"/>
        <family val="2"/>
        <charset val="1"/>
      </rPr>
      <t xml:space="preserve">» </t>
    </r>
    <r>
      <rPr>
        <sz val="11"/>
        <color theme="1"/>
        <rFont val="FreeSans"/>
        <family val="2"/>
      </rPr>
      <t>يتهم رئيس كوريا الجنوبية بـنهب الولايات المتحدة</t>
    </r>
  </si>
  <si>
    <t>ترامب نسب زعيم سَوِيد جنوبية بـنهب أَمْصَار متآلفة</t>
  </si>
  <si>
    <t>إِسْرَاف يتهم رَئِيسِيّ فَرَنْسَة جنوبية اختلس تَخُوم متحالفة</t>
  </si>
  <si>
    <t>ترامب يتهم رَبّ يُونَان خلفية سَيْبَل ولايات قَطْرِيَّة متضامنة</t>
  </si>
  <si>
    <t>خُيَلاَء عَلّل سَيِّد بَوْلَندَة جنوبية = جنوبية بـنهب بِلاد متحدة</t>
  </si>
  <si>
    <t>بعد سنوات من الإنكار لإستعمال المخدرات في عدوانها على الجزائر والعديد من دول العالم ، المغرب يخرج للعلن عبر مشروع قانون يُشرع استخدام هذه السموم ... https://t.co/ARQAoRKjTK</t>
  </si>
  <si>
    <t>بعد سنوات من الإنكار لإستعمال المخدرات في عدوانها على الجزائر والعديد من دول العالم ، المغرب يخرج للعلن عبر مشروع قانون يُشرع استخدام هذه السموم</t>
  </si>
  <si>
    <t>بعد سنوات من إنكار تنفيذه مُفَرّحات في فظاظتها على جَزائر وفير من دول محيي ، مَطْلِعُ الْفَجْرِ يَطلُعُ جلي عبر مشروع سُنّة يُوضِح استخدام هذه سموم</t>
  </si>
  <si>
    <t>بعد سنوات من إنكار استثمار مُنَوّمات في ظلمها على أرض جم من أراضٍ خليقة ، مَغْربُ شَّمْسِ يخرج ظاهر عبّر برنامج نظام يشرع إستخدامها هذه عَقارَم</t>
  </si>
  <si>
    <t>بعد سنوات من تمويه استخدامات مخدرات في عدوانها على إقليم موفور من ممالك وجود شامل ، مغرب يَتَفجَّرُ واضح جال فكرة سُنّة يُظهِر إستعمالت هذه سموم</t>
  </si>
  <si>
    <t>عدوانها</t>
  </si>
  <si>
    <t>جورها</t>
  </si>
  <si>
    <t>إساءتها</t>
  </si>
  <si>
    <t>بطشها</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</si>
  <si>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https://t.co/spondDqYb8</t>
  </si>
  <si>
    <t>مستشفيات غزة بحاجة عاجلة للأدوية والمستلزمات الطبية، وإغلاق المعابر جريمة أخرى ضد الفلسطينيين في القطاع</t>
  </si>
  <si>
    <t>أماكن تداوي غزة مضطر سريعةُ إنجاز أدوية والمستلزمات تداويية وإغلاق مُجازات جريمة بدل ضد فلسطيو أصل في فئة</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</si>
  <si>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https://t.co/spondDqYb9</t>
  </si>
  <si>
    <t>مراكز علاجية غزة واجب عاجلة للأدوية والمستلزمات تداويية قفل معابر: ممرات حَماقة خلاف ضد فلسطينيين في قطاع</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</si>
  <si>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https://t.co/spondDqYb10</t>
  </si>
  <si>
    <t>مستشفيات غزة مفروض سريعةُ إنجاز عقاقير وسائل طبية، حصار معابر ذنب أخرى ثانية ضد أبناء سام في قسم</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</si>
  <si>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https://t.co/spondDqYb11</t>
  </si>
  <si>
    <t>مرافق علاجية حصن مضطر عاجلة للأدوية أدوات سِّجامية إحكام مَسارب مُوبقة أخرى ضد فلسطينيين في مجال</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</si>
  <si>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https://t.co/spondDqYb12</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</si>
  <si>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https://t.co/spondDqYb13</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</si>
  <si>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https://t.co/spondDqYb14</t>
  </si>
  <si>
    <t>جريمة</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</si>
  <si>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https://t.co/spondDqYb15</t>
  </si>
  <si>
    <t>ذنب</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</si>
  <si>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https://t.co/spondDqYb16</t>
  </si>
  <si>
    <t>جناية</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</si>
  <si>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https://t.co/spondDqYb17</t>
  </si>
  <si>
    <t>آثام</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</si>
  <si>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https://t.co/spondDqYb18</t>
  </si>
  <si>
    <t>مخالفة</t>
  </si>
  <si>
    <t>عاجل | المتحدث باسم وزارة الصحة الفلسطينية في #غزة: مستشفيات غزة بحاجة عاجلة للأدوية والمستلزمات الطبية، وإغلاق المعابر جريمة أخرى ضد الفلسطينيين في القطاع https://t.co/spondDqYb19</t>
  </si>
  <si>
    <t>معصية</t>
  </si>
  <si>
    <t>متاجر عديدة في الكويت تبدأ بإزالة المنتجات الفرنسية بعد تصريحات الرئيس الفرنسي إيمانويل ماكرون المسيئة للإسلام</t>
  </si>
  <si>
    <t>معامِل مُتعدِّدَة أنواع في كويت انبرى إزالة مصنوعات فرنسية بعد مسوّدات رئيس فَرْنَـكُـو مُنْتَظَر مُزوِّر مسيئة للإسلام</t>
  </si>
  <si>
    <t>أسواق كثيرة في كويت بادَر حذف سلع فرنسية بعد تصريحات رَئِيس فرنسي مَسِيَّا ملتوٍ مسيئة للإسلام</t>
  </si>
  <si>
    <t>مَعاطِن عديدة في دولة انهمك تنحية ثمار رومانسية بعد خطب رئيس فرنسي إيمانويل محتال مهينة إيمان</t>
  </si>
  <si>
    <t>أسواق غزيرة في كويت بادَر إمحاء بضائع فصحة بعد تصريحات مُقَدَّم فَرنجيَّـة رَسُول مُزوِّر مسيئة إيمان</t>
  </si>
  <si>
    <t>رئيس المجموعة العربية: مجلس الأمن غير قادر حتى الآن على تبني وثيقة تعبر عن موقف موحد تجاه القمع الذي يعانيه الفلسطينيون</t>
  </si>
  <si>
    <t>مجلس الأمن غير قادر حتى الآن على تبني وثيقة تعبر عن موقف موحد تجاه القمع الذي يعانيه الفلسطينيون</t>
  </si>
  <si>
    <t>محضر عافِيَة غير مُسَبِّب حتى آن على تأييد وثيقة اجتيازة عن مَسْأَلَة مُؤتَفِق تجاه استبداد ذي يعانيه فلسطينيون</t>
  </si>
  <si>
    <t>جمع اطمئنان غير عَلَى فور حتى آن على تبني صحيفة عبوره عن مَحَطّة مُوافِق تجاه قمع ذي يلاقي فلسطينيون</t>
  </si>
  <si>
    <t>ملتقى أمن غير قادر حتى آن على تعزيز سند تعبر عن مَسْأَلَة مُتَّحِد تجاه قمع ذي يَجُد أبناء وطن</t>
  </si>
  <si>
    <t>مجلس سِّلْم غير مُمكِن حتى آن على تقرير عَهد اجتيازة عن موقف مُنسَجِم تجاه قمع ذي يَجُد شعب فلسطيني</t>
  </si>
  <si>
    <t>إقصاء</t>
  </si>
  <si>
    <t>تكميم</t>
  </si>
  <si>
    <t>مقال رأي: النهضة ومنظومة بن علي وجهان لعملة واحدة https://t.co/e7sm9PJ1IE https://t.co/85GznjenCW</t>
  </si>
  <si>
    <t>النهضة ومنظومة بن علي وجهان لعملة واحدة</t>
  </si>
  <si>
    <t>النهضة تساوق بن علي مُتَغَيِّر أموال وحيدة</t>
  </si>
  <si>
    <t>الإحياء تناغم بن علي مُتَحَوِّر لعملة أُحاديّة</t>
  </si>
  <si>
    <t>التنوير ومنظومة بن علي وجهان نقود أَوْحَدةً</t>
  </si>
  <si>
    <t>النهضة تناغم بن علي مُتَحَوِّر ذهب منفردة</t>
  </si>
  <si>
    <t>الإزدهار توازن بن علي مُتَبَدِيّ أموال وحيدةً</t>
  </si>
  <si>
    <t>الإنطلاقة نسق بن علي وجهان دراهم واحدة</t>
  </si>
  <si>
    <t>اليقظة مجموعة بن علي ذُو الْمَعْنَيَيْنِ فضة واحدة</t>
  </si>
  <si>
    <t>الإشراقة نظام بن علي مُتَلَوِّنٌ لعملة أحادية</t>
  </si>
  <si>
    <t>النهضة ومنظومة بن علي مُتَشَكِّلٌ فضة واحدة</t>
  </si>
  <si>
    <t>من أفغانستان إلى العراق إلى ثورة يناير كيف زيفت \"سينرجي\" التاريخ بوصاية المخابرات العامة؟ https://t.co/MTAFoxBVhW https://t.co/aaINQrDi99</t>
  </si>
  <si>
    <t>زيفت</t>
  </si>
  <si>
    <t>من أفغانستان إلى العراق إلى ثورة يناير كيف زيفت \"سينرجي\" التاريخ بوصاية المخابرات العامة؟ https://t.co/MTAFoxBVhW https://t.co/aaINQrDi100</t>
  </si>
  <si>
    <t>إفك</t>
  </si>
  <si>
    <t>من أفغانستان إلى العراق إلى ثورة يناير كيف زيفت \"سينرجي\" التاريخ بوصاية المخابرات العامة؟ https://t.co/MTAFoxBVhW https://t.co/aaINQrDi101</t>
  </si>
  <si>
    <t>من أفغانستان إلى العراق إلى ثورة يناير كيف زيفت \"سينرجي\" التاريخ بوصاية المخابرات العامة؟ https://t.co/MTAFoxBVhW https://t.co/aaINQrDi102</t>
  </si>
  <si>
    <t>من أفغانستان إلى العراق إلى ثورة يناير كيف زيفت \"سينرجي\" التاريخ بوصاية المخابرات العامة؟ https://t.co/MTAFoxBVhW https://t.co/aaINQrDi103</t>
  </si>
  <si>
    <t>من أفغانستان إلى العراق إلى ثورة يناير كيف زيفت "سينرجي" التاريخ بوصاية المخابرات العامة؟</t>
  </si>
  <si>
    <t>من تخار إلى عراق إلى عصيان يناير كيف مُحَرَّف سينرجي تاريخ هَيْمَنَة اطلاع دهماء</t>
  </si>
  <si>
    <t>من أفغانستان إلى العراق إلى ثورة يناير كيف زيفت \"سينرجي\" التاريخ بوصاية المخابرات العامة؟ https://t.co/MTAFoxBVhW https://t.co/aaINQrDi104</t>
  </si>
  <si>
    <t>من أفغانستان إلى أمّ فصائل إلى ثورة يناير كيف زيفت تكامل حقب تَحَكُّم اطلاع عامة؟</t>
  </si>
  <si>
    <t>من أفغانستان إلى العراق إلى ثورة يناير كيف زيفت \"سينرجي\" التاريخ بوصاية المخابرات العامة؟ https://t.co/MTAFoxBVhW https://t.co/aaINQrDi105</t>
  </si>
  <si>
    <t>من بدخشان إلى عراق إلى انتفاض يناير كيف زيفت تآزر أحداث إِمْسَاك كشف حشود</t>
  </si>
  <si>
    <t>من أفغانستان إلى العراق إلى ثورة يناير كيف زيفت \"سينرجي\" التاريخ بوصاية المخابرات العامة؟ https://t.co/MTAFoxBVhW https://t.co/aaINQrDi106</t>
  </si>
  <si>
    <t>من بلخار إلى حبيبة إلى انقلاب يناير كيف بَاطِل تآلف تاريخ إِمْسَاك تعقب سوقة</t>
  </si>
  <si>
    <t>من أفغانستان إلى العراق إلى ثورة يناير كيف زيفت \"سينرجي\" التاريخ بوصاية المخابرات العامة؟ https://t.co/MTAFoxBVhW https://t.co/aaINQrDi107</t>
  </si>
  <si>
    <t>من كابُل إلى جنّة إلى استنهاض يناير كيف زيفت تآلف أزمنة إِمْسَاك اطلاع جماهير</t>
  </si>
  <si>
    <t>من أفغانستان إلى العراق إلى ثورة يناير كيف زيفت \"سينرجي\" التاريخ بوصاية المخابرات العامة؟ https://t.co/MTAFoxBVhW https://t.co/aaINQrDi108</t>
  </si>
  <si>
    <t>من قندز إلى مهد حضارات إلى ثورة يناير كيف زيفت تعاضد أحداث هَيْمَنَة تحري ناس</t>
  </si>
  <si>
    <t>الأمين العام للجامعة العربية: إسرائيل مسؤولة عن \"التصعيد الخطير\" في القدس</t>
  </si>
  <si>
    <t>التصعيد الخطير</t>
  </si>
  <si>
    <t>الإشعال سَامّ</t>
  </si>
  <si>
    <t>التَّصَلْبُ جَسِيم</t>
  </si>
  <si>
    <t>التصعيد مُقلِق</t>
  </si>
  <si>
    <t>الاحتدام خطير</t>
  </si>
  <si>
    <t>إسرائيل مسؤولة عن "التصعيد الخطير" في القدس</t>
  </si>
  <si>
    <t>الأرض مقدسة واجِبَة عن تصعيد خطير في قدس</t>
  </si>
  <si>
    <t>أورشليم مُستَحِقَّة عن تصعيد عَظِيم خَطَر في قدس</t>
  </si>
  <si>
    <t>حَبْرُون مُوجِبَة عن تصعيد جَدير بِالاحترام في قُـدْسُ أَقْداس</t>
  </si>
  <si>
    <t>عامان على قتل الصحفي #جمال_خاشقجي على يد عملاء سعوديين دون أي مساءلة... و #السعودية تنظم فعاليات ترفيهية مع مشاهير لتلميع صورتها https://t.co/DqPcQsDF0L https://t.co/rDJXFog1ha</t>
  </si>
  <si>
    <t>عامان على قتل الصحفي #جمال_خاشقجي على يد عملاء سعوديين دون أي مساءلة... و #السعودية تنظم فعاليات ترفيهية مع مشاهير لتلميع صورتها</t>
  </si>
  <si>
    <t>عامين على إبادة جماعية مُنقِب جمال قلمجي على يد وكلاء سعوديين دون أي استيضاح و بلاد توحيد رص تحريك تسامريّة مع مشاهير تلمّع صورتها</t>
  </si>
  <si>
    <t>عامان على قتل عام إعْلامِي جمال مُخفي على يد مستخدمون عرب سعوديون دون أي مساءلة و سعودية تهذيب عمليات مسلية مع مشاهد تنظيف نُسخَتهَا</t>
  </si>
  <si>
    <t>عامان على ذبح مُدوِّن جمال مُستتر على يد عملاء سعوديين دون أي تحقيق و نجد والحجاز تنظم تحفيزات ترفيهية مع معروفات لتلميع رَسمَتها</t>
  </si>
  <si>
    <t>عامان على قتل عام صحفي بهاء خاشقجي على يد حلفاء سعوديين دون أي تدقيق و مهبط وحي ترتيب فعاليات ترويح مع معروفون لتلميع صورتها</t>
  </si>
  <si>
    <t>التغريدات المقبولة</t>
  </si>
  <si>
    <t>التغريدات المرفوضة</t>
  </si>
  <si>
    <t>تم حسابها عن طريق حساب لكل id كم عدد النصوص الجديدة التي تم اضافتها لكل تقنية داخلها ثم احتساب اقل عدد لضمان انه يشمل كل التقنيات التابعة لكل id ومن ثم جمع هذه التغريدات الكاملة الجديدة</t>
  </si>
  <si>
    <t>البند</t>
  </si>
  <si>
    <t>القيمة</t>
  </si>
  <si>
    <t>ملاحظات</t>
  </si>
  <si>
    <t>المقبول + المرفوض</t>
  </si>
  <si>
    <t>الإجمالي</t>
  </si>
  <si>
    <t>نسبة المرفوض</t>
  </si>
  <si>
    <t>new name for accepted</t>
  </si>
  <si>
    <t>تكرار (id + original + technique) لقيم is_taken = 0 المرفوضة</t>
  </si>
  <si>
    <t>تم حسابها باستخدام العمود المساعد (new name for accepted) الذي ينشئ صيغة فريدة لكل سطر تم قبوله ناتج من دمج رقم التغريدة و رقم النسخة الناتجة. يتم حساب العمجموع بحيث لكل id يتم حساب عدد التغريدات الجديدة والمقبولة ومن ثم يتم جمع كل التغريدات المقبولة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</si>
</sst>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8">
    <font>
      <sz val="11"/>
      <color theme="1"/>
      <name val="Calibri"/>
      <family val="2"/>
      <charset val="1"/>
    </font>
    <font>
      <sz val="11"/>
      <color theme="1"/>
      <name val="FreeSans"/>
      <family val="2"/>
      <charset val="1"/>
    </font>
    <font>
      <sz val="11"/>
      <color theme="1"/>
      <name val="FreeSans"/>
      <family val="2"/>
    </font>
    <font>
      <sz val="10"/>
      <name val="Arial"/>
      <charset val="1"/>
    </font>
    <font>
      <b/>
      <sz val="11"/>
      <color theme="1"/>
      <name val="Calibri"/>
      <family val="2"/>
      <charset val="1"/>
    </font>
    <font>
      <b/>
      <sz val="11"/>
      <color theme="1"/>
      <name val="FreeSans"/>
      <family val="2"/>
      <charset val="1"/>
    </font>
    <font>
      <b/>
      <sz val="10"/>
      <name val="Arial"/>
      <family val="2"/>
    </font>
    <font>
      <b/>
      <sz val="11"/>
      <color theme="1"/>
      <name val="Calibri"/>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xf numFmtId="0" fontId="1" fillId="0" borderId="0" xfId="0" applyFont="1" applyAlignment="1"/>
    <xf numFmtId="0" fontId="3" fillId="0" borderId="0" xfId="0" applyFont="1" applyAlignment="1"/>
    <xf numFmtId="164" fontId="3" fillId="0" borderId="0" xfId="0" applyNumberFormat="1" applyFont="1" applyAlignment="1"/>
    <xf numFmtId="0" fontId="1"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164" fontId="3" fillId="0" borderId="1" xfId="0" applyNumberFormat="1" applyFont="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6" fillId="0" borderId="0" xfId="0" applyFont="1" applyAlignment="1">
      <alignment vertical="center" wrapText="1"/>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34"/>
  <sheetViews>
    <sheetView zoomScaleNormal="100" workbookViewId="0">
      <selection activeCell="H1" sqref="H1"/>
    </sheetView>
  </sheetViews>
  <sheetFormatPr defaultColWidth="8.6640625" defaultRowHeight="14.4"/>
  <cols>
    <col min="1" max="1" width="12.6640625" customWidth="1"/>
    <col min="2" max="2" width="17.33203125" customWidth="1"/>
    <col min="3" max="3" width="24.77734375" customWidth="1"/>
    <col min="4" max="4" width="20.33203125" customWidth="1"/>
    <col min="5" max="5" width="16.109375" customWidth="1"/>
    <col min="6" max="6" width="18.6640625" customWidth="1"/>
    <col min="7" max="7" width="12.88671875" customWidth="1"/>
    <col min="8" max="8" width="12.21875" customWidth="1"/>
    <col min="9" max="9" width="14" style="1" customWidth="1"/>
    <col min="11" max="11" width="30.77734375" style="1" customWidth="1"/>
    <col min="12" max="12" width="16" style="1" customWidth="1"/>
    <col min="13" max="13" width="18" style="1" customWidth="1"/>
  </cols>
  <sheetData>
    <row r="1" spans="1:13" ht="30" customHeight="1">
      <c r="A1" s="13" t="s">
        <v>0</v>
      </c>
      <c r="B1" s="13" t="s">
        <v>1</v>
      </c>
      <c r="C1" s="13" t="s">
        <v>2</v>
      </c>
      <c r="D1" s="13" t="s">
        <v>3</v>
      </c>
      <c r="E1" s="13" t="s">
        <v>4</v>
      </c>
      <c r="F1" s="13" t="s">
        <v>5</v>
      </c>
      <c r="G1" s="13" t="s">
        <v>6</v>
      </c>
      <c r="H1" s="14" t="s">
        <v>5629</v>
      </c>
      <c r="I1" s="13"/>
      <c r="J1" s="13"/>
      <c r="K1" s="15" t="s">
        <v>5630</v>
      </c>
      <c r="L1" s="16" t="s">
        <v>7</v>
      </c>
      <c r="M1" s="16" t="s">
        <v>8</v>
      </c>
    </row>
    <row r="2" spans="1:13" ht="15" customHeight="1">
      <c r="A2" s="1">
        <v>7036</v>
      </c>
      <c r="B2" s="1" t="s">
        <v>9</v>
      </c>
      <c r="C2" s="1" t="s">
        <v>10</v>
      </c>
      <c r="D2" s="2" t="s">
        <v>11</v>
      </c>
      <c r="E2" s="1">
        <v>0</v>
      </c>
      <c r="F2" s="2" t="s">
        <v>12</v>
      </c>
      <c r="H2" s="1" t="str">
        <f t="shared" ref="H2:H61" si="0">IF(OR(E2&lt;&gt;1,G2=""),"","k"&amp;A2&amp;"_"&amp;G2)</f>
        <v/>
      </c>
      <c r="K2" s="1">
        <f>IF(E2=0,SUMPRODUCT(($A$2:$A$4734=A2)*($B$2:$B$4734=B2)*($D$2:$D$4734=D2)*($E$2:$E$4734=0)),0)</f>
        <v>4</v>
      </c>
      <c r="L2" s="1">
        <f>IF(E2=0,SUMPRODUCT(MIN($K$2:$K$4734+((($A$2:$A$4734&lt;&gt;A2)+($E$2:$E$4734&lt;&gt;0))&gt;0)*1000000)),"")</f>
        <v>3</v>
      </c>
      <c r="M2" s="1">
        <f>IF(AND(E2=0,COUNTIFS($A$2:A2,A2,$E$2:E2,0)=1),L2,0)</f>
        <v>3</v>
      </c>
    </row>
    <row r="3" spans="1:13" ht="15" customHeight="1">
      <c r="A3" s="1">
        <v>7036</v>
      </c>
      <c r="B3" s="1" t="s">
        <v>9</v>
      </c>
      <c r="C3" s="1" t="s">
        <v>10</v>
      </c>
      <c r="D3" s="2" t="s">
        <v>11</v>
      </c>
      <c r="E3" s="1">
        <v>0</v>
      </c>
      <c r="F3" s="2" t="s">
        <v>13</v>
      </c>
      <c r="H3" s="1" t="str">
        <f t="shared" si="0"/>
        <v/>
      </c>
      <c r="K3" s="1">
        <f>IF(E3=0,SUMPRODUCT(($A$2:$A$4734=A3)*($B$2:$B$4734=B3)*($D$2:$D$4734=D3)*($E$2:$E$4734=0)),0)</f>
        <v>4</v>
      </c>
      <c r="L3" s="1">
        <f>IF(E3=0,SUMPRODUCT(MIN($K$2:$K$4734+((($A$2:$A$4734&lt;&gt;A3)+($E$2:$E$4734&lt;&gt;0))&gt;0)*1000000)),"")</f>
        <v>3</v>
      </c>
      <c r="M3" s="1">
        <f>IF(AND(E3=0,COUNTIFS($A$2:A3,A3,$E$2:E3,0)=1),L3,0)</f>
        <v>0</v>
      </c>
    </row>
    <row r="4" spans="1:13" ht="15" customHeight="1">
      <c r="A4" s="1">
        <v>7036</v>
      </c>
      <c r="B4" s="1" t="s">
        <v>9</v>
      </c>
      <c r="C4" s="1" t="s">
        <v>10</v>
      </c>
      <c r="D4" s="2" t="s">
        <v>11</v>
      </c>
      <c r="E4" s="1">
        <v>0</v>
      </c>
      <c r="F4" s="2" t="s">
        <v>14</v>
      </c>
      <c r="H4" s="1" t="str">
        <f t="shared" si="0"/>
        <v/>
      </c>
      <c r="K4" s="1">
        <f>IF(E4=0,SUMPRODUCT(($A$2:$A$4734=A4)*($B$2:$B$4734=B4)*($D$2:$D$4734=D4)*($E$2:$E$4734=0)),0)</f>
        <v>4</v>
      </c>
      <c r="L4" s="1">
        <f>IF(E4=0,SUMPRODUCT(MIN($K$2:$K$4734+((($A$2:$A$4734&lt;&gt;A4)+($E$2:$E$4734&lt;&gt;0))&gt;0)*1000000)),"")</f>
        <v>3</v>
      </c>
      <c r="M4" s="1">
        <f>IF(AND(E4=0,COUNTIFS($A$2:A4,A4,$E$2:E4,0)=1),L4,0)</f>
        <v>0</v>
      </c>
    </row>
    <row r="5" spans="1:13" ht="15" customHeight="1">
      <c r="A5" s="1">
        <v>7036</v>
      </c>
      <c r="B5" s="1" t="s">
        <v>9</v>
      </c>
      <c r="C5" s="1" t="s">
        <v>10</v>
      </c>
      <c r="D5" s="2" t="s">
        <v>11</v>
      </c>
      <c r="E5" s="1">
        <v>0</v>
      </c>
      <c r="F5" s="2" t="s">
        <v>15</v>
      </c>
      <c r="H5" s="1" t="str">
        <f t="shared" si="0"/>
        <v/>
      </c>
      <c r="I5" s="3"/>
      <c r="K5" s="1">
        <f>IF(E5=0,SUMPRODUCT(($A$2:$A$4734=A5)*($B$2:$B$4734=B5)*($D$2:$D$4734=D5)*($E$2:$E$4734=0)),0)</f>
        <v>4</v>
      </c>
      <c r="L5" s="1">
        <f>IF(E5=0,SUMPRODUCT(MIN($K$2:$K$4734+((($A$2:$A$4734&lt;&gt;A5)+($E$2:$E$4734&lt;&gt;0))&gt;0)*1000000)),"")</f>
        <v>3</v>
      </c>
      <c r="M5" s="1">
        <f>IF(AND(E5=0,COUNTIFS($A$2:A5,A5,$E$2:E5,0)=1),L5,0)</f>
        <v>0</v>
      </c>
    </row>
    <row r="6" spans="1:13" ht="15" customHeight="1">
      <c r="A6" s="1">
        <v>7036</v>
      </c>
      <c r="B6" s="1" t="s">
        <v>16</v>
      </c>
      <c r="C6" s="1" t="s">
        <v>10</v>
      </c>
      <c r="D6" s="2" t="s">
        <v>17</v>
      </c>
      <c r="E6" s="1">
        <v>0</v>
      </c>
      <c r="F6" s="2" t="s">
        <v>18</v>
      </c>
      <c r="H6" s="1" t="str">
        <f t="shared" si="0"/>
        <v/>
      </c>
      <c r="I6" s="3"/>
      <c r="K6" s="1">
        <f>IF(E6=0,SUMPRODUCT(($A$2:$A$4734=A6)*($B$2:$B$4734=B6)*($D$2:$D$4734=D6)*($E$2:$E$4734=0)),0)</f>
        <v>3</v>
      </c>
      <c r="L6" s="1">
        <f>IF(E6=0,SUMPRODUCT(MIN($K$2:$K$4734+((($A$2:$A$4734&lt;&gt;A6)+($E$2:$E$4734&lt;&gt;0))&gt;0)*1000000)),"")</f>
        <v>3</v>
      </c>
      <c r="M6" s="1">
        <f>IF(AND(E6=0,COUNTIFS($A$2:A6,A6,$E$2:E6,0)=1),L6,0)</f>
        <v>0</v>
      </c>
    </row>
    <row r="7" spans="1:13" ht="15" customHeight="1">
      <c r="A7" s="1">
        <v>7036</v>
      </c>
      <c r="B7" s="1" t="s">
        <v>16</v>
      </c>
      <c r="C7" s="1" t="s">
        <v>10</v>
      </c>
      <c r="D7" s="2" t="s">
        <v>17</v>
      </c>
      <c r="E7" s="1">
        <v>0</v>
      </c>
      <c r="F7" s="2" t="s">
        <v>19</v>
      </c>
      <c r="H7" s="1" t="str">
        <f t="shared" si="0"/>
        <v/>
      </c>
      <c r="I7" s="3"/>
      <c r="K7" s="1">
        <f>IF(E7=0,SUMPRODUCT(($A$2:$A$4734=A7)*($B$2:$B$4734=B7)*($D$2:$D$4734=D7)*($E$2:$E$4734=0)),0)</f>
        <v>3</v>
      </c>
      <c r="L7" s="1">
        <f>IF(E7=0,SUMPRODUCT(MIN($K$2:$K$4734+((($A$2:$A$4734&lt;&gt;A7)+($E$2:$E$4734&lt;&gt;0))&gt;0)*1000000)),"")</f>
        <v>3</v>
      </c>
      <c r="M7" s="1">
        <f>IF(AND(E7=0,COUNTIFS($A$2:A7,A7,$E$2:E7,0)=1),L7,0)</f>
        <v>0</v>
      </c>
    </row>
    <row r="8" spans="1:13" ht="15" customHeight="1">
      <c r="A8" s="1">
        <v>7036</v>
      </c>
      <c r="B8" s="1" t="s">
        <v>16</v>
      </c>
      <c r="C8" s="1" t="s">
        <v>10</v>
      </c>
      <c r="D8" s="2" t="s">
        <v>17</v>
      </c>
      <c r="E8" s="1">
        <v>0</v>
      </c>
      <c r="F8" s="2" t="s">
        <v>20</v>
      </c>
      <c r="H8" s="1" t="str">
        <f t="shared" si="0"/>
        <v/>
      </c>
      <c r="I8" s="4"/>
      <c r="K8" s="1">
        <f>IF(E8=0,SUMPRODUCT(($A$2:$A$4734=A8)*($B$2:$B$4734=B8)*($D$2:$D$4734=D8)*($E$2:$E$4734=0)),0)</f>
        <v>3</v>
      </c>
      <c r="L8" s="1">
        <f>IF(E8=0,SUMPRODUCT(MIN($K$2:$K$4734+((($A$2:$A$4734&lt;&gt;A8)+($E$2:$E$4734&lt;&gt;0))&gt;0)*1000000)),"")</f>
        <v>3</v>
      </c>
      <c r="M8" s="1">
        <f>IF(AND(E8=0,COUNTIFS($A$2:A8,A8,$E$2:E8,0)=1),L8,0)</f>
        <v>0</v>
      </c>
    </row>
    <row r="9" spans="1:13" ht="15" customHeight="1">
      <c r="A9" s="1">
        <v>7036</v>
      </c>
      <c r="B9" s="1" t="s">
        <v>9</v>
      </c>
      <c r="C9" s="1" t="s">
        <v>10</v>
      </c>
      <c r="D9" s="2" t="s">
        <v>22</v>
      </c>
      <c r="E9" s="1">
        <v>0</v>
      </c>
      <c r="F9" s="2" t="s">
        <v>23</v>
      </c>
      <c r="H9" s="1" t="str">
        <f t="shared" si="0"/>
        <v/>
      </c>
      <c r="I9" s="4"/>
      <c r="K9" s="1">
        <f>IF(E9=0,SUMPRODUCT(($A$2:$A$4734=A9)*($B$2:$B$4734=B9)*($D$2:$D$4734=D9)*($E$2:$E$4734=0)),0)</f>
        <v>5</v>
      </c>
      <c r="L9" s="1">
        <f>IF(E9=0,SUMPRODUCT(MIN($K$2:$K$4734+((($A$2:$A$4734&lt;&gt;A9)+($E$2:$E$4734&lt;&gt;0))&gt;0)*1000000)),"")</f>
        <v>3</v>
      </c>
      <c r="M9" s="1">
        <f>IF(AND(E9=0,COUNTIFS($A$2:A9,A9,$E$2:E9,0)=1),L9,0)</f>
        <v>0</v>
      </c>
    </row>
    <row r="10" spans="1:13" ht="15" customHeight="1">
      <c r="A10" s="1">
        <v>7036</v>
      </c>
      <c r="B10" s="1" t="s">
        <v>9</v>
      </c>
      <c r="C10" s="1" t="s">
        <v>10</v>
      </c>
      <c r="D10" s="2" t="s">
        <v>22</v>
      </c>
      <c r="E10" s="1">
        <v>0</v>
      </c>
      <c r="F10" s="2" t="s">
        <v>24</v>
      </c>
      <c r="H10" s="1" t="str">
        <f t="shared" si="0"/>
        <v/>
      </c>
      <c r="K10" s="1">
        <f>IF(E10=0,SUMPRODUCT(($A$2:$A$4734=A10)*($B$2:$B$4734=B10)*($D$2:$D$4734=D10)*($E$2:$E$4734=0)),0)</f>
        <v>5</v>
      </c>
      <c r="L10" s="1">
        <f>IF(E10=0,SUMPRODUCT(MIN($K$2:$K$4734+((($A$2:$A$4734&lt;&gt;A10)+($E$2:$E$4734&lt;&gt;0))&gt;0)*1000000)),"")</f>
        <v>3</v>
      </c>
      <c r="M10" s="1">
        <f>IF(AND(E10=0,COUNTIFS($A$2:A10,A10,$E$2:E10,0)=1),L10,0)</f>
        <v>0</v>
      </c>
    </row>
    <row r="11" spans="1:13" ht="15" customHeight="1">
      <c r="A11" s="1">
        <v>7036</v>
      </c>
      <c r="B11" s="1" t="s">
        <v>9</v>
      </c>
      <c r="C11" s="1" t="s">
        <v>10</v>
      </c>
      <c r="D11" s="2" t="s">
        <v>22</v>
      </c>
      <c r="E11" s="1">
        <v>0</v>
      </c>
      <c r="F11" s="2" t="s">
        <v>25</v>
      </c>
      <c r="H11" s="1" t="str">
        <f t="shared" si="0"/>
        <v/>
      </c>
      <c r="I11" s="3"/>
      <c r="K11" s="1">
        <f>IF(E11=0,SUMPRODUCT(($A$2:$A$4734=A11)*($B$2:$B$4734=B11)*($D$2:$D$4734=D11)*($E$2:$E$4734=0)),0)</f>
        <v>5</v>
      </c>
      <c r="L11" s="1">
        <f>IF(E11=0,SUMPRODUCT(MIN($K$2:$K$4734+((($A$2:$A$4734&lt;&gt;A11)+($E$2:$E$4734&lt;&gt;0))&gt;0)*1000000)),"")</f>
        <v>3</v>
      </c>
      <c r="M11" s="1">
        <f>IF(AND(E11=0,COUNTIFS($A$2:A11,A11,$E$2:E11,0)=1),L11,0)</f>
        <v>0</v>
      </c>
    </row>
    <row r="12" spans="1:13" ht="15" customHeight="1">
      <c r="A12" s="1">
        <v>7036</v>
      </c>
      <c r="B12" s="1" t="s">
        <v>9</v>
      </c>
      <c r="C12" s="1" t="s">
        <v>10</v>
      </c>
      <c r="D12" s="2" t="s">
        <v>22</v>
      </c>
      <c r="E12" s="1">
        <v>0</v>
      </c>
      <c r="F12" s="2" t="s">
        <v>26</v>
      </c>
      <c r="H12" s="1" t="str">
        <f t="shared" si="0"/>
        <v/>
      </c>
      <c r="I12" s="3"/>
      <c r="K12" s="1">
        <f>IF(E12=0,SUMPRODUCT(($A$2:$A$4734=A12)*($B$2:$B$4734=B12)*($D$2:$D$4734=D12)*($E$2:$E$4734=0)),0)</f>
        <v>5</v>
      </c>
      <c r="L12" s="1">
        <f>IF(E12=0,SUMPRODUCT(MIN($K$2:$K$4734+((($A$2:$A$4734&lt;&gt;A12)+($E$2:$E$4734&lt;&gt;0))&gt;0)*1000000)),"")</f>
        <v>3</v>
      </c>
      <c r="M12" s="1">
        <f>IF(AND(E12=0,COUNTIFS($A$2:A12,A12,$E$2:E12,0)=1),L12,0)</f>
        <v>0</v>
      </c>
    </row>
    <row r="13" spans="1:13" ht="15" customHeight="1">
      <c r="A13" s="1">
        <v>7036</v>
      </c>
      <c r="B13" s="1" t="s">
        <v>9</v>
      </c>
      <c r="C13" s="1" t="s">
        <v>10</v>
      </c>
      <c r="D13" s="2" t="s">
        <v>22</v>
      </c>
      <c r="E13" s="1">
        <v>0</v>
      </c>
      <c r="F13" s="2" t="s">
        <v>27</v>
      </c>
      <c r="H13" s="1" t="str">
        <f t="shared" si="0"/>
        <v/>
      </c>
      <c r="I13" s="4"/>
      <c r="K13" s="1">
        <f>IF(E13=0,SUMPRODUCT(($A$2:$A$4734=A13)*($B$2:$B$4734=B13)*($D$2:$D$4734=D13)*($E$2:$E$4734=0)),0)</f>
        <v>5</v>
      </c>
      <c r="L13" s="1">
        <f>IF(E13=0,SUMPRODUCT(MIN($K$2:$K$4734+((($A$2:$A$4734&lt;&gt;A13)+($E$2:$E$4734&lt;&gt;0))&gt;0)*1000000)),"")</f>
        <v>3</v>
      </c>
      <c r="M13" s="1">
        <f>IF(AND(E13=0,COUNTIFS($A$2:A13,A13,$E$2:E13,0)=1),L13,0)</f>
        <v>0</v>
      </c>
    </row>
    <row r="14" spans="1:13" ht="15" customHeight="1">
      <c r="A14" s="1">
        <v>7036</v>
      </c>
      <c r="B14" s="1" t="s">
        <v>16</v>
      </c>
      <c r="C14" s="1" t="s">
        <v>10</v>
      </c>
      <c r="D14" s="2" t="s">
        <v>22</v>
      </c>
      <c r="E14" s="1">
        <v>0</v>
      </c>
      <c r="F14" s="2" t="s">
        <v>28</v>
      </c>
      <c r="H14" s="1" t="str">
        <f t="shared" si="0"/>
        <v/>
      </c>
      <c r="I14" s="4"/>
      <c r="K14" s="1">
        <f>IF(E14=0,SUMPRODUCT(($A$2:$A$4734=A14)*($B$2:$B$4734=B14)*($D$2:$D$4734=D14)*($E$2:$E$4734=0)),0)</f>
        <v>6</v>
      </c>
      <c r="L14" s="1">
        <f>IF(E14=0,SUMPRODUCT(MIN($K$2:$K$4734+((($A$2:$A$4734&lt;&gt;A14)+($E$2:$E$4734&lt;&gt;0))&gt;0)*1000000)),"")</f>
        <v>3</v>
      </c>
      <c r="M14" s="1">
        <f>IF(AND(E14=0,COUNTIFS($A$2:A14,A14,$E$2:E14,0)=1),L14,0)</f>
        <v>0</v>
      </c>
    </row>
    <row r="15" spans="1:13" ht="15" customHeight="1">
      <c r="A15" s="1">
        <v>7036</v>
      </c>
      <c r="B15" s="1" t="s">
        <v>16</v>
      </c>
      <c r="C15" s="1" t="s">
        <v>10</v>
      </c>
      <c r="D15" s="2" t="s">
        <v>22</v>
      </c>
      <c r="E15" s="1">
        <v>0</v>
      </c>
      <c r="F15" s="2" t="s">
        <v>29</v>
      </c>
      <c r="H15" s="1" t="str">
        <f t="shared" si="0"/>
        <v/>
      </c>
      <c r="I15" s="3"/>
      <c r="K15" s="1">
        <f>IF(E15=0,SUMPRODUCT(($A$2:$A$4734=A15)*($B$2:$B$4734=B15)*($D$2:$D$4734=D15)*($E$2:$E$4734=0)),0)</f>
        <v>6</v>
      </c>
      <c r="L15" s="1">
        <f>IF(E15=0,SUMPRODUCT(MIN($K$2:$K$4734+((($A$2:$A$4734&lt;&gt;A15)+($E$2:$E$4734&lt;&gt;0))&gt;0)*1000000)),"")</f>
        <v>3</v>
      </c>
      <c r="M15" s="1">
        <f>IF(AND(E15=0,COUNTIFS($A$2:A15,A15,$E$2:E15,0)=1),L15,0)</f>
        <v>0</v>
      </c>
    </row>
    <row r="16" spans="1:13" ht="15" customHeight="1">
      <c r="A16" s="1">
        <v>7036</v>
      </c>
      <c r="B16" s="1" t="s">
        <v>16</v>
      </c>
      <c r="C16" s="1" t="s">
        <v>10</v>
      </c>
      <c r="D16" s="2" t="s">
        <v>22</v>
      </c>
      <c r="E16" s="1">
        <v>0</v>
      </c>
      <c r="F16" s="2" t="s">
        <v>30</v>
      </c>
      <c r="H16" s="1" t="str">
        <f t="shared" si="0"/>
        <v/>
      </c>
      <c r="I16" s="3"/>
      <c r="K16" s="1">
        <f>IF(E16=0,SUMPRODUCT(($A$2:$A$4734=A16)*($B$2:$B$4734=B16)*($D$2:$D$4734=D16)*($E$2:$E$4734=0)),0)</f>
        <v>6</v>
      </c>
      <c r="L16" s="1">
        <f>IF(E16=0,SUMPRODUCT(MIN($K$2:$K$4734+((($A$2:$A$4734&lt;&gt;A16)+($E$2:$E$4734&lt;&gt;0))&gt;0)*1000000)),"")</f>
        <v>3</v>
      </c>
      <c r="M16" s="1">
        <f>IF(AND(E16=0,COUNTIFS($A$2:A16,A16,$E$2:E16,0)=1),L16,0)</f>
        <v>0</v>
      </c>
    </row>
    <row r="17" spans="1:13" ht="15" customHeight="1">
      <c r="A17" s="1">
        <v>7036</v>
      </c>
      <c r="B17" s="1" t="s">
        <v>16</v>
      </c>
      <c r="C17" s="1" t="s">
        <v>10</v>
      </c>
      <c r="D17" s="2" t="s">
        <v>22</v>
      </c>
      <c r="E17" s="1">
        <v>0</v>
      </c>
      <c r="F17" s="2" t="s">
        <v>31</v>
      </c>
      <c r="H17" s="1" t="str">
        <f t="shared" si="0"/>
        <v/>
      </c>
      <c r="K17" s="1">
        <f>IF(E17=0,SUMPRODUCT(($A$2:$A$4734=A17)*($B$2:$B$4734=B17)*($D$2:$D$4734=D17)*($E$2:$E$4734=0)),0)</f>
        <v>6</v>
      </c>
      <c r="L17" s="1">
        <f>IF(E17=0,SUMPRODUCT(MIN($K$2:$K$4734+((($A$2:$A$4734&lt;&gt;A17)+($E$2:$E$4734&lt;&gt;0))&gt;0)*1000000)),"")</f>
        <v>3</v>
      </c>
      <c r="M17" s="1">
        <f>IF(AND(E17=0,COUNTIFS($A$2:A17,A17,$E$2:E17,0)=1),L17,0)</f>
        <v>0</v>
      </c>
    </row>
    <row r="18" spans="1:13" ht="15" customHeight="1">
      <c r="A18" s="1">
        <v>7036</v>
      </c>
      <c r="B18" s="1" t="s">
        <v>16</v>
      </c>
      <c r="C18" s="1" t="s">
        <v>10</v>
      </c>
      <c r="D18" s="2" t="s">
        <v>22</v>
      </c>
      <c r="E18" s="1">
        <v>0</v>
      </c>
      <c r="F18" s="2" t="s">
        <v>32</v>
      </c>
      <c r="H18" s="1" t="str">
        <f t="shared" si="0"/>
        <v/>
      </c>
      <c r="K18" s="1">
        <f>IF(E18=0,SUMPRODUCT(($A$2:$A$4734=A18)*($B$2:$B$4734=B18)*($D$2:$D$4734=D18)*($E$2:$E$4734=0)),0)</f>
        <v>6</v>
      </c>
      <c r="L18" s="1">
        <f>IF(E18=0,SUMPRODUCT(MIN($K$2:$K$4734+((($A$2:$A$4734&lt;&gt;A18)+($E$2:$E$4734&lt;&gt;0))&gt;0)*1000000)),"")</f>
        <v>3</v>
      </c>
      <c r="M18" s="1">
        <f>IF(AND(E18=0,COUNTIFS($A$2:A18,A18,$E$2:E18,0)=1),L18,0)</f>
        <v>0</v>
      </c>
    </row>
    <row r="19" spans="1:13" ht="15" customHeight="1">
      <c r="A19" s="1">
        <v>7036</v>
      </c>
      <c r="B19" s="1" t="s">
        <v>16</v>
      </c>
      <c r="C19" s="1" t="s">
        <v>10</v>
      </c>
      <c r="D19" s="2" t="s">
        <v>22</v>
      </c>
      <c r="E19" s="1">
        <v>0</v>
      </c>
      <c r="F19" s="2" t="s">
        <v>33</v>
      </c>
      <c r="H19" s="1" t="str">
        <f t="shared" si="0"/>
        <v/>
      </c>
      <c r="K19" s="1">
        <f>IF(E19=0,SUMPRODUCT(($A$2:$A$4734=A19)*($B$2:$B$4734=B19)*($D$2:$D$4734=D19)*($E$2:$E$4734=0)),0)</f>
        <v>6</v>
      </c>
      <c r="L19" s="1">
        <f>IF(E19=0,SUMPRODUCT(MIN($K$2:$K$4734+((($A$2:$A$4734&lt;&gt;A19)+($E$2:$E$4734&lt;&gt;0))&gt;0)*1000000)),"")</f>
        <v>3</v>
      </c>
      <c r="M19" s="1">
        <f>IF(AND(E19=0,COUNTIFS($A$2:A19,A19,$E$2:E19,0)=1),L19,0)</f>
        <v>0</v>
      </c>
    </row>
    <row r="20" spans="1:13" ht="15" customHeight="1">
      <c r="A20" s="1">
        <v>7038</v>
      </c>
      <c r="B20" s="1" t="s">
        <v>16</v>
      </c>
      <c r="C20" s="2" t="s">
        <v>34</v>
      </c>
      <c r="D20" s="2" t="s">
        <v>35</v>
      </c>
      <c r="E20" s="1">
        <v>0</v>
      </c>
      <c r="F20" s="2" t="s">
        <v>36</v>
      </c>
      <c r="H20" s="1" t="str">
        <f t="shared" si="0"/>
        <v/>
      </c>
      <c r="K20" s="1">
        <f>IF(E20=0,SUMPRODUCT(($A$2:$A$4734=A20)*($B$2:$B$4734=B20)*($D$2:$D$4734=D20)*($E$2:$E$4734=0)),0)</f>
        <v>5</v>
      </c>
      <c r="L20" s="1">
        <f>IF(E20=0,SUMPRODUCT(MIN($K$2:$K$4734+((($A$2:$A$4734&lt;&gt;A20)+($E$2:$E$4734&lt;&gt;0))&gt;0)*1000000)),"")</f>
        <v>3</v>
      </c>
      <c r="M20" s="1">
        <f>IF(AND(E20=0,COUNTIFS($A$2:A20,A20,$E$2:E20,0)=1),L20,0)</f>
        <v>3</v>
      </c>
    </row>
    <row r="21" spans="1:13" ht="15" customHeight="1">
      <c r="A21" s="1">
        <v>7038</v>
      </c>
      <c r="B21" s="1" t="s">
        <v>16</v>
      </c>
      <c r="C21" s="2" t="s">
        <v>34</v>
      </c>
      <c r="D21" s="2" t="s">
        <v>35</v>
      </c>
      <c r="E21" s="1">
        <v>0</v>
      </c>
      <c r="F21" s="2" t="s">
        <v>37</v>
      </c>
      <c r="H21" s="1" t="str">
        <f t="shared" si="0"/>
        <v/>
      </c>
      <c r="K21" s="1">
        <f>IF(E21=0,SUMPRODUCT(($A$2:$A$4734=A21)*($B$2:$B$4734=B21)*($D$2:$D$4734=D21)*($E$2:$E$4734=0)),0)</f>
        <v>5</v>
      </c>
      <c r="L21" s="1">
        <f>IF(E21=0,SUMPRODUCT(MIN($K$2:$K$4734+((($A$2:$A$4734&lt;&gt;A21)+($E$2:$E$4734&lt;&gt;0))&gt;0)*1000000)),"")</f>
        <v>3</v>
      </c>
      <c r="M21" s="1">
        <f>IF(AND(E21=0,COUNTIFS($A$2:A21,A21,$E$2:E21,0)=1),L21,0)</f>
        <v>0</v>
      </c>
    </row>
    <row r="22" spans="1:13" ht="15" customHeight="1">
      <c r="A22" s="1">
        <v>7038</v>
      </c>
      <c r="B22" s="1" t="s">
        <v>16</v>
      </c>
      <c r="C22" s="2" t="s">
        <v>34</v>
      </c>
      <c r="D22" s="2" t="s">
        <v>35</v>
      </c>
      <c r="E22" s="1">
        <v>0</v>
      </c>
      <c r="F22" s="2" t="s">
        <v>38</v>
      </c>
      <c r="H22" s="1" t="str">
        <f t="shared" si="0"/>
        <v/>
      </c>
      <c r="K22" s="1">
        <f>IF(E22=0,SUMPRODUCT(($A$2:$A$4734=A22)*($B$2:$B$4734=B22)*($D$2:$D$4734=D22)*($E$2:$E$4734=0)),0)</f>
        <v>5</v>
      </c>
      <c r="L22" s="1">
        <f>IF(E22=0,SUMPRODUCT(MIN($K$2:$K$4734+((($A$2:$A$4734&lt;&gt;A22)+($E$2:$E$4734&lt;&gt;0))&gt;0)*1000000)),"")</f>
        <v>3</v>
      </c>
      <c r="M22" s="1">
        <f>IF(AND(E22=0,COUNTIFS($A$2:A22,A22,$E$2:E22,0)=1),L22,0)</f>
        <v>0</v>
      </c>
    </row>
    <row r="23" spans="1:13" ht="15" customHeight="1">
      <c r="A23" s="1">
        <v>7038</v>
      </c>
      <c r="B23" s="1" t="s">
        <v>16</v>
      </c>
      <c r="C23" s="2" t="s">
        <v>34</v>
      </c>
      <c r="D23" s="2" t="s">
        <v>35</v>
      </c>
      <c r="E23" s="1">
        <v>0</v>
      </c>
      <c r="F23" s="2" t="s">
        <v>39</v>
      </c>
      <c r="H23" s="1" t="str">
        <f t="shared" si="0"/>
        <v/>
      </c>
      <c r="K23" s="1">
        <f>IF(E23=0,SUMPRODUCT(($A$2:$A$4734=A23)*($B$2:$B$4734=B23)*($D$2:$D$4734=D23)*($E$2:$E$4734=0)),0)</f>
        <v>5</v>
      </c>
      <c r="L23" s="1">
        <f>IF(E23=0,SUMPRODUCT(MIN($K$2:$K$4734+((($A$2:$A$4734&lt;&gt;A23)+($E$2:$E$4734&lt;&gt;0))&gt;0)*1000000)),"")</f>
        <v>3</v>
      </c>
      <c r="M23" s="1">
        <f>IF(AND(E23=0,COUNTIFS($A$2:A23,A23,$E$2:E23,0)=1),L23,0)</f>
        <v>0</v>
      </c>
    </row>
    <row r="24" spans="1:13" ht="15" customHeight="1">
      <c r="A24" s="1">
        <v>7038</v>
      </c>
      <c r="B24" s="1" t="s">
        <v>16</v>
      </c>
      <c r="C24" s="2" t="s">
        <v>34</v>
      </c>
      <c r="D24" s="2" t="s">
        <v>35</v>
      </c>
      <c r="E24" s="1">
        <v>0</v>
      </c>
      <c r="F24" s="2" t="s">
        <v>40</v>
      </c>
      <c r="H24" s="1" t="str">
        <f t="shared" si="0"/>
        <v/>
      </c>
      <c r="K24" s="1">
        <f>IF(E24=0,SUMPRODUCT(($A$2:$A$4734=A24)*($B$2:$B$4734=B24)*($D$2:$D$4734=D24)*($E$2:$E$4734=0)),0)</f>
        <v>5</v>
      </c>
      <c r="L24" s="1">
        <f>IF(E24=0,SUMPRODUCT(MIN($K$2:$K$4734+((($A$2:$A$4734&lt;&gt;A24)+($E$2:$E$4734&lt;&gt;0))&gt;0)*1000000)),"")</f>
        <v>3</v>
      </c>
      <c r="M24" s="1">
        <f>IF(AND(E24=0,COUNTIFS($A$2:A24,A24,$E$2:E24,0)=1),L24,0)</f>
        <v>0</v>
      </c>
    </row>
    <row r="25" spans="1:13" ht="15" customHeight="1">
      <c r="A25" s="1">
        <v>7038</v>
      </c>
      <c r="B25" s="1" t="s">
        <v>9</v>
      </c>
      <c r="C25" s="2" t="s">
        <v>34</v>
      </c>
      <c r="D25" s="2" t="s">
        <v>41</v>
      </c>
      <c r="E25" s="1">
        <v>0</v>
      </c>
      <c r="F25" s="2" t="s">
        <v>42</v>
      </c>
      <c r="H25" s="1" t="str">
        <f t="shared" si="0"/>
        <v/>
      </c>
      <c r="K25" s="1">
        <f>IF(E25=0,SUMPRODUCT(($A$2:$A$4734=A25)*($B$2:$B$4734=B25)*($D$2:$D$4734=D25)*($E$2:$E$4734=0)),0)</f>
        <v>3</v>
      </c>
      <c r="L25" s="1">
        <f>IF(E25=0,SUMPRODUCT(MIN($K$2:$K$4734+((($A$2:$A$4734&lt;&gt;A25)+($E$2:$E$4734&lt;&gt;0))&gt;0)*1000000)),"")</f>
        <v>3</v>
      </c>
      <c r="M25" s="1">
        <f>IF(AND(E25=0,COUNTIFS($A$2:A25,A25,$E$2:E25,0)=1),L25,0)</f>
        <v>0</v>
      </c>
    </row>
    <row r="26" spans="1:13" ht="15" customHeight="1">
      <c r="A26" s="1">
        <v>7038</v>
      </c>
      <c r="B26" s="1" t="s">
        <v>9</v>
      </c>
      <c r="C26" s="2" t="s">
        <v>34</v>
      </c>
      <c r="D26" s="2" t="s">
        <v>41</v>
      </c>
      <c r="E26" s="1">
        <v>0</v>
      </c>
      <c r="F26" s="2" t="s">
        <v>43</v>
      </c>
      <c r="H26" s="1" t="str">
        <f t="shared" si="0"/>
        <v/>
      </c>
      <c r="K26" s="1">
        <f>IF(E26=0,SUMPRODUCT(($A$2:$A$4734=A26)*($B$2:$B$4734=B26)*($D$2:$D$4734=D26)*($E$2:$E$4734=0)),0)</f>
        <v>3</v>
      </c>
      <c r="L26" s="1">
        <f>IF(E26=0,SUMPRODUCT(MIN($K$2:$K$4734+((($A$2:$A$4734&lt;&gt;A26)+($E$2:$E$4734&lt;&gt;0))&gt;0)*1000000)),"")</f>
        <v>3</v>
      </c>
      <c r="M26" s="1">
        <f>IF(AND(E26=0,COUNTIFS($A$2:A26,A26,$E$2:E26,0)=1),L26,0)</f>
        <v>0</v>
      </c>
    </row>
    <row r="27" spans="1:13" ht="15" customHeight="1">
      <c r="A27" s="1">
        <v>7038</v>
      </c>
      <c r="B27" s="1" t="s">
        <v>9</v>
      </c>
      <c r="C27" s="2" t="s">
        <v>34</v>
      </c>
      <c r="D27" s="2" t="s">
        <v>41</v>
      </c>
      <c r="E27" s="1">
        <v>0</v>
      </c>
      <c r="F27" s="2" t="s">
        <v>44</v>
      </c>
      <c r="H27" s="1" t="str">
        <f t="shared" si="0"/>
        <v/>
      </c>
      <c r="K27" s="1">
        <f>IF(E27=0,SUMPRODUCT(($A$2:$A$4734=A27)*($B$2:$B$4734=B27)*($D$2:$D$4734=D27)*($E$2:$E$4734=0)),0)</f>
        <v>3</v>
      </c>
      <c r="L27" s="1">
        <f>IF(E27=0,SUMPRODUCT(MIN($K$2:$K$4734+((($A$2:$A$4734&lt;&gt;A27)+($E$2:$E$4734&lt;&gt;0))&gt;0)*1000000)),"")</f>
        <v>3</v>
      </c>
      <c r="M27" s="1">
        <f>IF(AND(E27=0,COUNTIFS($A$2:A27,A27,$E$2:E27,0)=1),L27,0)</f>
        <v>0</v>
      </c>
    </row>
    <row r="28" spans="1:13" ht="15" customHeight="1">
      <c r="A28" s="1">
        <v>7038</v>
      </c>
      <c r="B28" s="1" t="s">
        <v>9</v>
      </c>
      <c r="C28" s="2" t="s">
        <v>34</v>
      </c>
      <c r="D28" s="2" t="s">
        <v>45</v>
      </c>
      <c r="E28" s="1">
        <v>0</v>
      </c>
      <c r="F28" s="2" t="s">
        <v>46</v>
      </c>
      <c r="H28" s="1" t="str">
        <f t="shared" si="0"/>
        <v/>
      </c>
      <c r="K28" s="1">
        <f>IF(E28=0,SUMPRODUCT(($A$2:$A$4734=A28)*($B$2:$B$4734=B28)*($D$2:$D$4734=D28)*($E$2:$E$4734=0)),0)</f>
        <v>4</v>
      </c>
      <c r="L28" s="1">
        <f>IF(E28=0,SUMPRODUCT(MIN($K$2:$K$4734+((($A$2:$A$4734&lt;&gt;A28)+($E$2:$E$4734&lt;&gt;0))&gt;0)*1000000)),"")</f>
        <v>3</v>
      </c>
      <c r="M28" s="1">
        <f>IF(AND(E28=0,COUNTIFS($A$2:A28,A28,$E$2:E28,0)=1),L28,0)</f>
        <v>0</v>
      </c>
    </row>
    <row r="29" spans="1:13" ht="15" customHeight="1">
      <c r="A29" s="1">
        <v>7038</v>
      </c>
      <c r="B29" s="1" t="s">
        <v>9</v>
      </c>
      <c r="C29" s="2" t="s">
        <v>34</v>
      </c>
      <c r="D29" s="2" t="s">
        <v>45</v>
      </c>
      <c r="E29" s="1">
        <v>0</v>
      </c>
      <c r="F29" s="2" t="s">
        <v>47</v>
      </c>
      <c r="H29" s="1" t="str">
        <f t="shared" si="0"/>
        <v/>
      </c>
      <c r="K29" s="1">
        <f>IF(E29=0,SUMPRODUCT(($A$2:$A$4734=A29)*($B$2:$B$4734=B29)*($D$2:$D$4734=D29)*($E$2:$E$4734=0)),0)</f>
        <v>4</v>
      </c>
      <c r="L29" s="1">
        <f>IF(E29=0,SUMPRODUCT(MIN($K$2:$K$4734+((($A$2:$A$4734&lt;&gt;A29)+($E$2:$E$4734&lt;&gt;0))&gt;0)*1000000)),"")</f>
        <v>3</v>
      </c>
      <c r="M29" s="1">
        <f>IF(AND(E29=0,COUNTIFS($A$2:A29,A29,$E$2:E29,0)=1),L29,0)</f>
        <v>0</v>
      </c>
    </row>
    <row r="30" spans="1:13" ht="15" customHeight="1">
      <c r="A30" s="1">
        <v>7038</v>
      </c>
      <c r="B30" s="1" t="s">
        <v>9</v>
      </c>
      <c r="C30" s="2" t="s">
        <v>34</v>
      </c>
      <c r="D30" s="2" t="s">
        <v>45</v>
      </c>
      <c r="E30" s="1">
        <v>0</v>
      </c>
      <c r="F30" s="2" t="s">
        <v>48</v>
      </c>
      <c r="H30" s="1" t="str">
        <f t="shared" si="0"/>
        <v/>
      </c>
      <c r="K30" s="1">
        <f>IF(E30=0,SUMPRODUCT(($A$2:$A$4734=A30)*($B$2:$B$4734=B30)*($D$2:$D$4734=D30)*($E$2:$E$4734=0)),0)</f>
        <v>4</v>
      </c>
      <c r="L30" s="1">
        <f>IF(E30=0,SUMPRODUCT(MIN($K$2:$K$4734+((($A$2:$A$4734&lt;&gt;A30)+($E$2:$E$4734&lt;&gt;0))&gt;0)*1000000)),"")</f>
        <v>3</v>
      </c>
      <c r="M30" s="1">
        <f>IF(AND(E30=0,COUNTIFS($A$2:A30,A30,$E$2:E30,0)=1),L30,0)</f>
        <v>0</v>
      </c>
    </row>
    <row r="31" spans="1:13" ht="15" customHeight="1">
      <c r="A31" s="1">
        <v>7038</v>
      </c>
      <c r="B31" s="1" t="s">
        <v>9</v>
      </c>
      <c r="C31" s="2" t="s">
        <v>34</v>
      </c>
      <c r="D31" s="2" t="s">
        <v>45</v>
      </c>
      <c r="E31" s="1">
        <v>0</v>
      </c>
      <c r="F31" s="2" t="s">
        <v>49</v>
      </c>
      <c r="H31" s="1" t="str">
        <f t="shared" si="0"/>
        <v/>
      </c>
      <c r="K31" s="1">
        <f>IF(E31=0,SUMPRODUCT(($A$2:$A$4734=A31)*($B$2:$B$4734=B31)*($D$2:$D$4734=D31)*($E$2:$E$4734=0)),0)</f>
        <v>4</v>
      </c>
      <c r="L31" s="1">
        <f>IF(E31=0,SUMPRODUCT(MIN($K$2:$K$4734+((($A$2:$A$4734&lt;&gt;A31)+($E$2:$E$4734&lt;&gt;0))&gt;0)*1000000)),"")</f>
        <v>3</v>
      </c>
      <c r="M31" s="1">
        <f>IF(AND(E31=0,COUNTIFS($A$2:A31,A31,$E$2:E31,0)=1),L31,0)</f>
        <v>0</v>
      </c>
    </row>
    <row r="32" spans="1:13" ht="15" customHeight="1">
      <c r="A32" s="1">
        <v>7038</v>
      </c>
      <c r="B32" s="1" t="s">
        <v>9</v>
      </c>
      <c r="C32" s="2" t="s">
        <v>34</v>
      </c>
      <c r="D32" s="2" t="s">
        <v>50</v>
      </c>
      <c r="E32" s="1">
        <v>0</v>
      </c>
      <c r="F32" s="2" t="s">
        <v>51</v>
      </c>
      <c r="H32" s="1" t="str">
        <f t="shared" si="0"/>
        <v/>
      </c>
      <c r="K32" s="1">
        <f>IF(E32=0,SUMPRODUCT(($A$2:$A$4734=A32)*($B$2:$B$4734=B32)*($D$2:$D$4734=D32)*($E$2:$E$4734=0)),0)</f>
        <v>5</v>
      </c>
      <c r="L32" s="1">
        <f>IF(E32=0,SUMPRODUCT(MIN($K$2:$K$4734+((($A$2:$A$4734&lt;&gt;A32)+($E$2:$E$4734&lt;&gt;0))&gt;0)*1000000)),"")</f>
        <v>3</v>
      </c>
      <c r="M32" s="1">
        <f>IF(AND(E32=0,COUNTIFS($A$2:A32,A32,$E$2:E32,0)=1),L32,0)</f>
        <v>0</v>
      </c>
    </row>
    <row r="33" spans="1:13" ht="15" customHeight="1">
      <c r="A33" s="1">
        <v>7038</v>
      </c>
      <c r="B33" s="1" t="s">
        <v>9</v>
      </c>
      <c r="C33" s="2" t="s">
        <v>34</v>
      </c>
      <c r="D33" s="2" t="s">
        <v>50</v>
      </c>
      <c r="E33" s="1">
        <v>0</v>
      </c>
      <c r="F33" s="2" t="s">
        <v>52</v>
      </c>
      <c r="H33" s="1" t="str">
        <f t="shared" si="0"/>
        <v/>
      </c>
      <c r="K33" s="1">
        <f>IF(E33=0,SUMPRODUCT(($A$2:$A$4734=A33)*($B$2:$B$4734=B33)*($D$2:$D$4734=D33)*($E$2:$E$4734=0)),0)</f>
        <v>5</v>
      </c>
      <c r="L33" s="1">
        <f>IF(E33=0,SUMPRODUCT(MIN($K$2:$K$4734+((($A$2:$A$4734&lt;&gt;A33)+($E$2:$E$4734&lt;&gt;0))&gt;0)*1000000)),"")</f>
        <v>3</v>
      </c>
      <c r="M33" s="1">
        <f>IF(AND(E33=0,COUNTIFS($A$2:A33,A33,$E$2:E33,0)=1),L33,0)</f>
        <v>0</v>
      </c>
    </row>
    <row r="34" spans="1:13" ht="15" customHeight="1">
      <c r="A34" s="1">
        <v>7038</v>
      </c>
      <c r="B34" s="1" t="s">
        <v>9</v>
      </c>
      <c r="C34" s="2" t="s">
        <v>34</v>
      </c>
      <c r="D34" s="2" t="s">
        <v>50</v>
      </c>
      <c r="E34" s="1">
        <v>0</v>
      </c>
      <c r="F34" s="2" t="s">
        <v>53</v>
      </c>
      <c r="H34" s="1" t="str">
        <f t="shared" si="0"/>
        <v/>
      </c>
      <c r="K34" s="1">
        <f>IF(E34=0,SUMPRODUCT(($A$2:$A$4734=A34)*($B$2:$B$4734=B34)*($D$2:$D$4734=D34)*($E$2:$E$4734=0)),0)</f>
        <v>5</v>
      </c>
      <c r="L34" s="1">
        <f>IF(E34=0,SUMPRODUCT(MIN($K$2:$K$4734+((($A$2:$A$4734&lt;&gt;A34)+($E$2:$E$4734&lt;&gt;0))&gt;0)*1000000)),"")</f>
        <v>3</v>
      </c>
      <c r="M34" s="1">
        <f>IF(AND(E34=0,COUNTIFS($A$2:A34,A34,$E$2:E34,0)=1),L34,0)</f>
        <v>0</v>
      </c>
    </row>
    <row r="35" spans="1:13" ht="15" customHeight="1">
      <c r="A35" s="1">
        <v>7038</v>
      </c>
      <c r="B35" s="1" t="s">
        <v>9</v>
      </c>
      <c r="C35" s="2" t="s">
        <v>34</v>
      </c>
      <c r="D35" s="2" t="s">
        <v>50</v>
      </c>
      <c r="E35" s="1">
        <v>0</v>
      </c>
      <c r="F35" s="2" t="s">
        <v>54</v>
      </c>
      <c r="H35" s="1" t="str">
        <f t="shared" si="0"/>
        <v/>
      </c>
      <c r="K35" s="1">
        <f>IF(E35=0,SUMPRODUCT(($A$2:$A$4734=A35)*($B$2:$B$4734=B35)*($D$2:$D$4734=D35)*($E$2:$E$4734=0)),0)</f>
        <v>5</v>
      </c>
      <c r="L35" s="1">
        <f>IF(E35=0,SUMPRODUCT(MIN($K$2:$K$4734+((($A$2:$A$4734&lt;&gt;A35)+($E$2:$E$4734&lt;&gt;0))&gt;0)*1000000)),"")</f>
        <v>3</v>
      </c>
      <c r="M35" s="1">
        <f>IF(AND(E35=0,COUNTIFS($A$2:A35,A35,$E$2:E35,0)=1),L35,0)</f>
        <v>0</v>
      </c>
    </row>
    <row r="36" spans="1:13" ht="15" customHeight="1">
      <c r="A36" s="1">
        <v>7038</v>
      </c>
      <c r="B36" s="1" t="s">
        <v>9</v>
      </c>
      <c r="C36" s="2" t="s">
        <v>34</v>
      </c>
      <c r="D36" s="2" t="s">
        <v>50</v>
      </c>
      <c r="E36" s="1">
        <v>0</v>
      </c>
      <c r="F36" s="2" t="s">
        <v>55</v>
      </c>
      <c r="H36" s="1" t="str">
        <f t="shared" si="0"/>
        <v/>
      </c>
      <c r="K36" s="1">
        <f>IF(E36=0,SUMPRODUCT(($A$2:$A$4734=A36)*($B$2:$B$4734=B36)*($D$2:$D$4734=D36)*($E$2:$E$4734=0)),0)</f>
        <v>5</v>
      </c>
      <c r="L36" s="1">
        <f>IF(E36=0,SUMPRODUCT(MIN($K$2:$K$4734+((($A$2:$A$4734&lt;&gt;A36)+($E$2:$E$4734&lt;&gt;0))&gt;0)*1000000)),"")</f>
        <v>3</v>
      </c>
      <c r="M36" s="1">
        <f>IF(AND(E36=0,COUNTIFS($A$2:A36,A36,$E$2:E36,0)=1),L36,0)</f>
        <v>0</v>
      </c>
    </row>
    <row r="37" spans="1:13" ht="15" customHeight="1">
      <c r="A37" s="1">
        <v>7038</v>
      </c>
      <c r="B37" s="1" t="s">
        <v>9</v>
      </c>
      <c r="C37" s="2" t="s">
        <v>34</v>
      </c>
      <c r="D37" s="2" t="s">
        <v>56</v>
      </c>
      <c r="E37" s="1">
        <v>0</v>
      </c>
      <c r="F37" s="2" t="s">
        <v>57</v>
      </c>
      <c r="H37" s="1" t="str">
        <f t="shared" si="0"/>
        <v/>
      </c>
      <c r="K37" s="1">
        <f>IF(E37=0,SUMPRODUCT(($A$2:$A$4734=A37)*($B$2:$B$4734=B37)*($D$2:$D$4734=D37)*($E$2:$E$4734=0)),0)</f>
        <v>5</v>
      </c>
      <c r="L37" s="1">
        <f>IF(E37=0,SUMPRODUCT(MIN($K$2:$K$4734+((($A$2:$A$4734&lt;&gt;A37)+($E$2:$E$4734&lt;&gt;0))&gt;0)*1000000)),"")</f>
        <v>3</v>
      </c>
      <c r="M37" s="1">
        <f>IF(AND(E37=0,COUNTIFS($A$2:A37,A37,$E$2:E37,0)=1),L37,0)</f>
        <v>0</v>
      </c>
    </row>
    <row r="38" spans="1:13" ht="15" customHeight="1">
      <c r="A38" s="1">
        <v>7038</v>
      </c>
      <c r="B38" s="1" t="s">
        <v>9</v>
      </c>
      <c r="C38" s="2" t="s">
        <v>34</v>
      </c>
      <c r="D38" s="2" t="s">
        <v>56</v>
      </c>
      <c r="E38" s="1">
        <v>0</v>
      </c>
      <c r="F38" s="2" t="s">
        <v>58</v>
      </c>
      <c r="H38" s="1" t="str">
        <f t="shared" si="0"/>
        <v/>
      </c>
      <c r="K38" s="1">
        <f>IF(E38=0,SUMPRODUCT(($A$2:$A$4734=A38)*($B$2:$B$4734=B38)*($D$2:$D$4734=D38)*($E$2:$E$4734=0)),0)</f>
        <v>5</v>
      </c>
      <c r="L38" s="1">
        <f>IF(E38=0,SUMPRODUCT(MIN($K$2:$K$4734+((($A$2:$A$4734&lt;&gt;A38)+($E$2:$E$4734&lt;&gt;0))&gt;0)*1000000)),"")</f>
        <v>3</v>
      </c>
      <c r="M38" s="1">
        <f>IF(AND(E38=0,COUNTIFS($A$2:A38,A38,$E$2:E38,0)=1),L38,0)</f>
        <v>0</v>
      </c>
    </row>
    <row r="39" spans="1:13" ht="15" customHeight="1">
      <c r="A39" s="1">
        <v>7038</v>
      </c>
      <c r="B39" s="1" t="s">
        <v>9</v>
      </c>
      <c r="C39" s="2" t="s">
        <v>34</v>
      </c>
      <c r="D39" s="2" t="s">
        <v>56</v>
      </c>
      <c r="E39" s="1">
        <v>0</v>
      </c>
      <c r="F39" s="2" t="s">
        <v>59</v>
      </c>
      <c r="H39" s="1" t="str">
        <f t="shared" si="0"/>
        <v/>
      </c>
      <c r="K39" s="1">
        <f>IF(E39=0,SUMPRODUCT(($A$2:$A$4734=A39)*($B$2:$B$4734=B39)*($D$2:$D$4734=D39)*($E$2:$E$4734=0)),0)</f>
        <v>5</v>
      </c>
      <c r="L39" s="1">
        <f>IF(E39=0,SUMPRODUCT(MIN($K$2:$K$4734+((($A$2:$A$4734&lt;&gt;A39)+($E$2:$E$4734&lt;&gt;0))&gt;0)*1000000)),"")</f>
        <v>3</v>
      </c>
      <c r="M39" s="1">
        <f>IF(AND(E39=0,COUNTIFS($A$2:A39,A39,$E$2:E39,0)=1),L39,0)</f>
        <v>0</v>
      </c>
    </row>
    <row r="40" spans="1:13" ht="15" customHeight="1">
      <c r="A40" s="1">
        <v>7038</v>
      </c>
      <c r="B40" s="1" t="s">
        <v>9</v>
      </c>
      <c r="C40" s="2" t="s">
        <v>34</v>
      </c>
      <c r="D40" s="2" t="s">
        <v>56</v>
      </c>
      <c r="E40" s="1">
        <v>0</v>
      </c>
      <c r="F40" s="2" t="s">
        <v>60</v>
      </c>
      <c r="H40" s="1" t="str">
        <f t="shared" si="0"/>
        <v/>
      </c>
      <c r="K40" s="1">
        <f>IF(E40=0,SUMPRODUCT(($A$2:$A$4734=A40)*($B$2:$B$4734=B40)*($D$2:$D$4734=D40)*($E$2:$E$4734=0)),0)</f>
        <v>5</v>
      </c>
      <c r="L40" s="1">
        <f>IF(E40=0,SUMPRODUCT(MIN($K$2:$K$4734+((($A$2:$A$4734&lt;&gt;A40)+($E$2:$E$4734&lt;&gt;0))&gt;0)*1000000)),"")</f>
        <v>3</v>
      </c>
      <c r="M40" s="1">
        <f>IF(AND(E40=0,COUNTIFS($A$2:A40,A40,$E$2:E40,0)=1),L40,0)</f>
        <v>0</v>
      </c>
    </row>
    <row r="41" spans="1:13" ht="15" customHeight="1">
      <c r="A41" s="1">
        <v>7038</v>
      </c>
      <c r="B41" s="1" t="s">
        <v>9</v>
      </c>
      <c r="C41" s="2" t="s">
        <v>34</v>
      </c>
      <c r="D41" s="2" t="s">
        <v>56</v>
      </c>
      <c r="E41" s="1">
        <v>0</v>
      </c>
      <c r="F41" s="2" t="s">
        <v>61</v>
      </c>
      <c r="H41" s="1" t="str">
        <f t="shared" si="0"/>
        <v/>
      </c>
      <c r="K41" s="1">
        <f>IF(E41=0,SUMPRODUCT(($A$2:$A$4734=A41)*($B$2:$B$4734=B41)*($D$2:$D$4734=D41)*($E$2:$E$4734=0)),0)</f>
        <v>5</v>
      </c>
      <c r="L41" s="1">
        <f>IF(E41=0,SUMPRODUCT(MIN($K$2:$K$4734+((($A$2:$A$4734&lt;&gt;A41)+($E$2:$E$4734&lt;&gt;0))&gt;0)*1000000)),"")</f>
        <v>3</v>
      </c>
      <c r="M41" s="1">
        <f>IF(AND(E41=0,COUNTIFS($A$2:A41,A41,$E$2:E41,0)=1),L41,0)</f>
        <v>0</v>
      </c>
    </row>
    <row r="42" spans="1:13" ht="15" customHeight="1">
      <c r="A42" s="1">
        <v>7038</v>
      </c>
      <c r="B42" s="1" t="s">
        <v>9</v>
      </c>
      <c r="C42" s="2" t="s">
        <v>34</v>
      </c>
      <c r="D42" s="2" t="s">
        <v>62</v>
      </c>
      <c r="E42" s="1">
        <v>0</v>
      </c>
      <c r="F42" s="2" t="s">
        <v>63</v>
      </c>
      <c r="H42" s="1" t="str">
        <f t="shared" si="0"/>
        <v/>
      </c>
      <c r="K42" s="1">
        <f>IF(E42=0,SUMPRODUCT(($A$2:$A$4734=A42)*($B$2:$B$4734=B42)*($D$2:$D$4734=D42)*($E$2:$E$4734=0)),0)</f>
        <v>6</v>
      </c>
      <c r="L42" s="1">
        <f>IF(E42=0,SUMPRODUCT(MIN($K$2:$K$4734+((($A$2:$A$4734&lt;&gt;A42)+($E$2:$E$4734&lt;&gt;0))&gt;0)*1000000)),"")</f>
        <v>3</v>
      </c>
      <c r="M42" s="1">
        <f>IF(AND(E42=0,COUNTIFS($A$2:A42,A42,$E$2:E42,0)=1),L42,0)</f>
        <v>0</v>
      </c>
    </row>
    <row r="43" spans="1:13" ht="15" customHeight="1">
      <c r="A43" s="1">
        <v>7038</v>
      </c>
      <c r="B43" s="1" t="s">
        <v>9</v>
      </c>
      <c r="C43" s="2" t="s">
        <v>34</v>
      </c>
      <c r="D43" s="2" t="s">
        <v>62</v>
      </c>
      <c r="E43" s="1">
        <v>0</v>
      </c>
      <c r="F43" s="2" t="s">
        <v>64</v>
      </c>
      <c r="H43" s="1" t="str">
        <f t="shared" si="0"/>
        <v/>
      </c>
      <c r="K43" s="1">
        <f>IF(E43=0,SUMPRODUCT(($A$2:$A$4734=A43)*($B$2:$B$4734=B43)*($D$2:$D$4734=D43)*($E$2:$E$4734=0)),0)</f>
        <v>6</v>
      </c>
      <c r="L43" s="1">
        <f>IF(E43=0,SUMPRODUCT(MIN($K$2:$K$4734+((($A$2:$A$4734&lt;&gt;A43)+($E$2:$E$4734&lt;&gt;0))&gt;0)*1000000)),"")</f>
        <v>3</v>
      </c>
      <c r="M43" s="1">
        <f>IF(AND(E43=0,COUNTIFS($A$2:A43,A43,$E$2:E43,0)=1),L43,0)</f>
        <v>0</v>
      </c>
    </row>
    <row r="44" spans="1:13" ht="15" customHeight="1">
      <c r="A44" s="1">
        <v>7038</v>
      </c>
      <c r="B44" s="1" t="s">
        <v>9</v>
      </c>
      <c r="C44" s="2" t="s">
        <v>34</v>
      </c>
      <c r="D44" s="2" t="s">
        <v>62</v>
      </c>
      <c r="E44" s="1">
        <v>0</v>
      </c>
      <c r="F44" s="2" t="s">
        <v>65</v>
      </c>
      <c r="H44" s="1" t="str">
        <f t="shared" si="0"/>
        <v/>
      </c>
      <c r="K44" s="1">
        <f>IF(E44=0,SUMPRODUCT(($A$2:$A$4734=A44)*($B$2:$B$4734=B44)*($D$2:$D$4734=D44)*($E$2:$E$4734=0)),0)</f>
        <v>6</v>
      </c>
      <c r="L44" s="1">
        <f>IF(E44=0,SUMPRODUCT(MIN($K$2:$K$4734+((($A$2:$A$4734&lt;&gt;A44)+($E$2:$E$4734&lt;&gt;0))&gt;0)*1000000)),"")</f>
        <v>3</v>
      </c>
      <c r="M44" s="1">
        <f>IF(AND(E44=0,COUNTIFS($A$2:A44,A44,$E$2:E44,0)=1),L44,0)</f>
        <v>0</v>
      </c>
    </row>
    <row r="45" spans="1:13" ht="15" customHeight="1">
      <c r="A45" s="1">
        <v>7038</v>
      </c>
      <c r="B45" s="1" t="s">
        <v>9</v>
      </c>
      <c r="C45" s="2" t="s">
        <v>34</v>
      </c>
      <c r="D45" s="2" t="s">
        <v>62</v>
      </c>
      <c r="E45" s="1">
        <v>0</v>
      </c>
      <c r="F45" s="2" t="s">
        <v>66</v>
      </c>
      <c r="H45" s="1" t="str">
        <f t="shared" si="0"/>
        <v/>
      </c>
      <c r="K45" s="1">
        <f>IF(E45=0,SUMPRODUCT(($A$2:$A$4734=A45)*($B$2:$B$4734=B45)*($D$2:$D$4734=D45)*($E$2:$E$4734=0)),0)</f>
        <v>6</v>
      </c>
      <c r="L45" s="1">
        <f>IF(E45=0,SUMPRODUCT(MIN($K$2:$K$4734+((($A$2:$A$4734&lt;&gt;A45)+($E$2:$E$4734&lt;&gt;0))&gt;0)*1000000)),"")</f>
        <v>3</v>
      </c>
      <c r="M45" s="1">
        <f>IF(AND(E45=0,COUNTIFS($A$2:A45,A45,$E$2:E45,0)=1),L45,0)</f>
        <v>0</v>
      </c>
    </row>
    <row r="46" spans="1:13" ht="15" customHeight="1">
      <c r="A46" s="1">
        <v>7038</v>
      </c>
      <c r="B46" s="1" t="s">
        <v>9</v>
      </c>
      <c r="C46" s="2" t="s">
        <v>34</v>
      </c>
      <c r="D46" s="2" t="s">
        <v>62</v>
      </c>
      <c r="E46" s="1">
        <v>0</v>
      </c>
      <c r="F46" s="2" t="s">
        <v>67</v>
      </c>
      <c r="H46" s="1" t="str">
        <f t="shared" si="0"/>
        <v/>
      </c>
      <c r="K46" s="1">
        <f>IF(E46=0,SUMPRODUCT(($A$2:$A$4734=A46)*($B$2:$B$4734=B46)*($D$2:$D$4734=D46)*($E$2:$E$4734=0)),0)</f>
        <v>6</v>
      </c>
      <c r="L46" s="1">
        <f>IF(E46=0,SUMPRODUCT(MIN($K$2:$K$4734+((($A$2:$A$4734&lt;&gt;A46)+($E$2:$E$4734&lt;&gt;0))&gt;0)*1000000)),"")</f>
        <v>3</v>
      </c>
      <c r="M46" s="1">
        <f>IF(AND(E46=0,COUNTIFS($A$2:A46,A46,$E$2:E46,0)=1),L46,0)</f>
        <v>0</v>
      </c>
    </row>
    <row r="47" spans="1:13" ht="15" customHeight="1">
      <c r="A47" s="1">
        <v>7038</v>
      </c>
      <c r="B47" s="1" t="s">
        <v>9</v>
      </c>
      <c r="C47" s="2" t="s">
        <v>34</v>
      </c>
      <c r="D47" s="2" t="s">
        <v>62</v>
      </c>
      <c r="E47" s="1">
        <v>0</v>
      </c>
      <c r="F47" s="2" t="s">
        <v>68</v>
      </c>
      <c r="H47" s="1" t="str">
        <f t="shared" si="0"/>
        <v/>
      </c>
      <c r="K47" s="1">
        <f>IF(E47=0,SUMPRODUCT(($A$2:$A$4734=A47)*($B$2:$B$4734=B47)*($D$2:$D$4734=D47)*($E$2:$E$4734=0)),0)</f>
        <v>6</v>
      </c>
      <c r="L47" s="1">
        <f>IF(E47=0,SUMPRODUCT(MIN($K$2:$K$4734+((($A$2:$A$4734&lt;&gt;A47)+($E$2:$E$4734&lt;&gt;0))&gt;0)*1000000)),"")</f>
        <v>3</v>
      </c>
      <c r="M47" s="1">
        <f>IF(AND(E47=0,COUNTIFS($A$2:A47,A47,$E$2:E47,0)=1),L47,0)</f>
        <v>0</v>
      </c>
    </row>
    <row r="48" spans="1:13" ht="15" customHeight="1">
      <c r="A48" s="1">
        <v>7039</v>
      </c>
      <c r="B48" s="1" t="s">
        <v>69</v>
      </c>
      <c r="C48" s="2" t="s">
        <v>70</v>
      </c>
      <c r="D48" s="2" t="s">
        <v>71</v>
      </c>
      <c r="E48" s="1">
        <v>1</v>
      </c>
      <c r="F48" s="2" t="s">
        <v>72</v>
      </c>
      <c r="G48" s="1">
        <v>1</v>
      </c>
      <c r="H48" s="1" t="str">
        <f t="shared" si="0"/>
        <v>k7039_1</v>
      </c>
      <c r="K48" s="1">
        <f>IF(E48=0,SUMPRODUCT(($A$2:$A$4734=A48)*($B$2:$B$4734=B48)*($D$2:$D$4734=D48)*($E$2:$E$4734=0)),0)</f>
        <v>0</v>
      </c>
      <c r="L48" s="1" t="str">
        <f>IF(E48=0,SUMPRODUCT(MIN($K$2:$K$4734+((($A$2:$A$4734&lt;&gt;A48)+($E$2:$E$4734&lt;&gt;0))&gt;0)*1000000)),"")</f>
        <v/>
      </c>
      <c r="M48" s="1">
        <f>IF(AND(E48=0,COUNTIFS($A$2:A48,A48,$E$2:E48,0)=1),L48,0)</f>
        <v>0</v>
      </c>
    </row>
    <row r="49" spans="1:13" ht="15" customHeight="1">
      <c r="A49" s="1">
        <v>7039</v>
      </c>
      <c r="B49" s="1" t="s">
        <v>69</v>
      </c>
      <c r="C49" s="2" t="s">
        <v>70</v>
      </c>
      <c r="D49" s="2" t="s">
        <v>71</v>
      </c>
      <c r="E49" s="1">
        <v>1</v>
      </c>
      <c r="F49" s="2" t="s">
        <v>73</v>
      </c>
      <c r="G49" s="1">
        <v>4</v>
      </c>
      <c r="H49" s="1" t="str">
        <f t="shared" si="0"/>
        <v>k7039_4</v>
      </c>
      <c r="K49" s="1">
        <f>IF(E49=0,SUMPRODUCT(($A$2:$A$4734=A49)*($B$2:$B$4734=B49)*($D$2:$D$4734=D49)*($E$2:$E$4734=0)),0)</f>
        <v>0</v>
      </c>
      <c r="L49" s="1" t="str">
        <f>IF(E49=0,SUMPRODUCT(MIN($K$2:$K$4734+((($A$2:$A$4734&lt;&gt;A49)+($E$2:$E$4734&lt;&gt;0))&gt;0)*1000000)),"")</f>
        <v/>
      </c>
      <c r="M49" s="1">
        <f>IF(AND(E49=0,COUNTIFS($A$2:A49,A49,$E$2:E49,0)=1),L49,0)</f>
        <v>0</v>
      </c>
    </row>
    <row r="50" spans="1:13" ht="15" customHeight="1">
      <c r="A50" s="1">
        <v>7039</v>
      </c>
      <c r="B50" s="1" t="s">
        <v>69</v>
      </c>
      <c r="C50" s="2" t="s">
        <v>70</v>
      </c>
      <c r="D50" s="2" t="s">
        <v>71</v>
      </c>
      <c r="E50" s="1">
        <v>1</v>
      </c>
      <c r="F50" s="2" t="s">
        <v>73</v>
      </c>
      <c r="G50" s="1">
        <v>2</v>
      </c>
      <c r="H50" s="1" t="str">
        <f t="shared" si="0"/>
        <v>k7039_2</v>
      </c>
      <c r="K50" s="1">
        <f>IF(E50=0,SUMPRODUCT(($A$2:$A$4734=A50)*($B$2:$B$4734=B50)*($D$2:$D$4734=D50)*($E$2:$E$4734=0)),0)</f>
        <v>0</v>
      </c>
      <c r="L50" s="1" t="str">
        <f>IF(E50=0,SUMPRODUCT(MIN($K$2:$K$4734+((($A$2:$A$4734&lt;&gt;A50)+($E$2:$E$4734&lt;&gt;0))&gt;0)*1000000)),"")</f>
        <v/>
      </c>
      <c r="M50" s="1">
        <f>IF(AND(E50=0,COUNTIFS($A$2:A50,A50,$E$2:E50,0)=1),L50,0)</f>
        <v>0</v>
      </c>
    </row>
    <row r="51" spans="1:13" ht="15" customHeight="1">
      <c r="A51" s="1">
        <v>7039</v>
      </c>
      <c r="B51" s="1" t="s">
        <v>69</v>
      </c>
      <c r="C51" s="2" t="s">
        <v>70</v>
      </c>
      <c r="D51" s="2" t="s">
        <v>71</v>
      </c>
      <c r="E51" s="1">
        <v>1</v>
      </c>
      <c r="F51" s="2" t="s">
        <v>74</v>
      </c>
      <c r="G51" s="1">
        <v>3</v>
      </c>
      <c r="H51" s="1" t="str">
        <f t="shared" si="0"/>
        <v>k7039_3</v>
      </c>
      <c r="K51" s="1">
        <f>IF(E51=0,SUMPRODUCT(($A$2:$A$4734=A51)*($B$2:$B$4734=B51)*($D$2:$D$4734=D51)*($E$2:$E$4734=0)),0)</f>
        <v>0</v>
      </c>
      <c r="L51" s="1" t="str">
        <f>IF(E51=0,SUMPRODUCT(MIN($K$2:$K$4734+((($A$2:$A$4734&lt;&gt;A51)+($E$2:$E$4734&lt;&gt;0))&gt;0)*1000000)),"")</f>
        <v/>
      </c>
      <c r="M51" s="1">
        <f>IF(AND(E51=0,COUNTIFS($A$2:A51,A51,$E$2:E51,0)=1),L51,0)</f>
        <v>0</v>
      </c>
    </row>
    <row r="52" spans="1:13" ht="15" customHeight="1">
      <c r="A52" s="1">
        <v>7039</v>
      </c>
      <c r="B52" s="1" t="s">
        <v>69</v>
      </c>
      <c r="C52" s="2" t="s">
        <v>70</v>
      </c>
      <c r="D52" s="2" t="s">
        <v>71</v>
      </c>
      <c r="E52" s="1">
        <v>1</v>
      </c>
      <c r="F52" s="2" t="s">
        <v>73</v>
      </c>
      <c r="G52" s="1">
        <v>5</v>
      </c>
      <c r="H52" s="1" t="str">
        <f t="shared" si="0"/>
        <v>k7039_5</v>
      </c>
      <c r="K52" s="1">
        <f>IF(E52=0,SUMPRODUCT(($A$2:$A$4734=A52)*($B$2:$B$4734=B52)*($D$2:$D$4734=D52)*($E$2:$E$4734=0)),0)</f>
        <v>0</v>
      </c>
      <c r="L52" s="1" t="str">
        <f>IF(E52=0,SUMPRODUCT(MIN($K$2:$K$4734+((($A$2:$A$4734&lt;&gt;A52)+($E$2:$E$4734&lt;&gt;0))&gt;0)*1000000)),"")</f>
        <v/>
      </c>
      <c r="M52" s="1">
        <f>IF(AND(E52=0,COUNTIFS($A$2:A52,A52,$E$2:E52,0)=1),L52,0)</f>
        <v>0</v>
      </c>
    </row>
    <row r="53" spans="1:13" ht="15" customHeight="1">
      <c r="A53" s="1">
        <v>7039</v>
      </c>
      <c r="B53" s="1" t="s">
        <v>69</v>
      </c>
      <c r="C53" s="2" t="s">
        <v>70</v>
      </c>
      <c r="D53" s="2" t="s">
        <v>71</v>
      </c>
      <c r="E53" s="1">
        <v>1</v>
      </c>
      <c r="F53" s="2" t="s">
        <v>74</v>
      </c>
      <c r="G53" s="1">
        <v>6</v>
      </c>
      <c r="H53" s="1" t="str">
        <f t="shared" si="0"/>
        <v>k7039_6</v>
      </c>
      <c r="K53" s="1">
        <f>IF(E53=0,SUMPRODUCT(($A$2:$A$4734=A53)*($B$2:$B$4734=B53)*($D$2:$D$4734=D53)*($E$2:$E$4734=0)),0)</f>
        <v>0</v>
      </c>
      <c r="L53" s="1" t="str">
        <f>IF(E53=0,SUMPRODUCT(MIN($K$2:$K$4734+((($A$2:$A$4734&lt;&gt;A53)+($E$2:$E$4734&lt;&gt;0))&gt;0)*1000000)),"")</f>
        <v/>
      </c>
      <c r="M53" s="1">
        <f>IF(AND(E53=0,COUNTIFS($A$2:A53,A53,$E$2:E53,0)=1),L53,0)</f>
        <v>0</v>
      </c>
    </row>
    <row r="54" spans="1:13" ht="15" customHeight="1">
      <c r="A54" s="1">
        <v>7039</v>
      </c>
      <c r="B54" s="1" t="s">
        <v>9</v>
      </c>
      <c r="C54" s="2" t="s">
        <v>70</v>
      </c>
      <c r="D54" s="2" t="s">
        <v>75</v>
      </c>
      <c r="E54" s="1">
        <v>1</v>
      </c>
      <c r="F54" s="2" t="s">
        <v>76</v>
      </c>
      <c r="G54" s="1">
        <v>1</v>
      </c>
      <c r="H54" s="1" t="str">
        <f t="shared" si="0"/>
        <v>k7039_1</v>
      </c>
      <c r="K54" s="1">
        <f>IF(E54=0,SUMPRODUCT(($A$2:$A$4734=A54)*($B$2:$B$4734=B54)*($D$2:$D$4734=D54)*($E$2:$E$4734=0)),0)</f>
        <v>0</v>
      </c>
      <c r="L54" s="1" t="str">
        <f>IF(E54=0,SUMPRODUCT(MIN($K$2:$K$4734+((($A$2:$A$4734&lt;&gt;A54)+($E$2:$E$4734&lt;&gt;0))&gt;0)*1000000)),"")</f>
        <v/>
      </c>
      <c r="M54" s="1">
        <f>IF(AND(E54=0,COUNTIFS($A$2:A54,A54,$E$2:E54,0)=1),L54,0)</f>
        <v>0</v>
      </c>
    </row>
    <row r="55" spans="1:13" ht="15" customHeight="1">
      <c r="A55" s="1">
        <v>7039</v>
      </c>
      <c r="B55" s="1" t="s">
        <v>9</v>
      </c>
      <c r="C55" s="2" t="s">
        <v>70</v>
      </c>
      <c r="D55" s="2" t="s">
        <v>75</v>
      </c>
      <c r="E55" s="1">
        <v>1</v>
      </c>
      <c r="F55" s="2" t="s">
        <v>77</v>
      </c>
      <c r="G55" s="1">
        <v>2</v>
      </c>
      <c r="H55" s="1" t="str">
        <f t="shared" si="0"/>
        <v>k7039_2</v>
      </c>
      <c r="K55" s="1">
        <f>IF(E55=0,SUMPRODUCT(($A$2:$A$4734=A55)*($B$2:$B$4734=B55)*($D$2:$D$4734=D55)*($E$2:$E$4734=0)),0)</f>
        <v>0</v>
      </c>
      <c r="L55" s="1" t="str">
        <f>IF(E55=0,SUMPRODUCT(MIN($K$2:$K$4734+((($A$2:$A$4734&lt;&gt;A55)+($E$2:$E$4734&lt;&gt;0))&gt;0)*1000000)),"")</f>
        <v/>
      </c>
      <c r="M55" s="1">
        <f>IF(AND(E55=0,COUNTIFS($A$2:A55,A55,$E$2:E55,0)=1),L55,0)</f>
        <v>0</v>
      </c>
    </row>
    <row r="56" spans="1:13" ht="15" customHeight="1">
      <c r="A56" s="1">
        <v>7039</v>
      </c>
      <c r="B56" s="1" t="s">
        <v>9</v>
      </c>
      <c r="C56" s="2" t="s">
        <v>70</v>
      </c>
      <c r="D56" s="2" t="s">
        <v>75</v>
      </c>
      <c r="E56" s="1">
        <v>1</v>
      </c>
      <c r="F56" s="2" t="s">
        <v>78</v>
      </c>
      <c r="G56" s="1">
        <v>3</v>
      </c>
      <c r="H56" s="1" t="str">
        <f t="shared" si="0"/>
        <v>k7039_3</v>
      </c>
      <c r="K56" s="1">
        <f>IF(E56=0,SUMPRODUCT(($A$2:$A$4734=A56)*($B$2:$B$4734=B56)*($D$2:$D$4734=D56)*($E$2:$E$4734=0)),0)</f>
        <v>0</v>
      </c>
      <c r="L56" s="1" t="str">
        <f>IF(E56=0,SUMPRODUCT(MIN($K$2:$K$4734+((($A$2:$A$4734&lt;&gt;A56)+($E$2:$E$4734&lt;&gt;0))&gt;0)*1000000)),"")</f>
        <v/>
      </c>
      <c r="M56" s="1">
        <f>IF(AND(E56=0,COUNTIFS($A$2:A56,A56,$E$2:E56,0)=1),L56,0)</f>
        <v>0</v>
      </c>
    </row>
    <row r="57" spans="1:13" ht="15" customHeight="1">
      <c r="A57" s="1">
        <v>7039</v>
      </c>
      <c r="B57" s="1" t="s">
        <v>9</v>
      </c>
      <c r="C57" s="2" t="s">
        <v>70</v>
      </c>
      <c r="D57" s="2" t="s">
        <v>75</v>
      </c>
      <c r="E57" s="1">
        <v>1</v>
      </c>
      <c r="F57" s="2" t="s">
        <v>79</v>
      </c>
      <c r="G57" s="1">
        <v>4</v>
      </c>
      <c r="H57" s="1" t="str">
        <f t="shared" si="0"/>
        <v>k7039_4</v>
      </c>
      <c r="K57" s="1">
        <f>IF(E57=0,SUMPRODUCT(($A$2:$A$4734=A57)*($B$2:$B$4734=B57)*($D$2:$D$4734=D57)*($E$2:$E$4734=0)),0)</f>
        <v>0</v>
      </c>
      <c r="L57" s="1" t="str">
        <f>IF(E57=0,SUMPRODUCT(MIN($K$2:$K$4734+((($A$2:$A$4734&lt;&gt;A57)+($E$2:$E$4734&lt;&gt;0))&gt;0)*1000000)),"")</f>
        <v/>
      </c>
      <c r="M57" s="1">
        <f>IF(AND(E57=0,COUNTIFS($A$2:A57,A57,$E$2:E57,0)=1),L57,0)</f>
        <v>0</v>
      </c>
    </row>
    <row r="58" spans="1:13" ht="15" customHeight="1">
      <c r="A58" s="1">
        <v>7039</v>
      </c>
      <c r="B58" s="1" t="s">
        <v>16</v>
      </c>
      <c r="C58" s="2" t="s">
        <v>70</v>
      </c>
      <c r="D58" s="2" t="s">
        <v>80</v>
      </c>
      <c r="E58" s="1">
        <v>1</v>
      </c>
      <c r="F58" s="2" t="s">
        <v>81</v>
      </c>
      <c r="G58" s="1">
        <v>1</v>
      </c>
      <c r="H58" s="1" t="str">
        <f t="shared" si="0"/>
        <v>k7039_1</v>
      </c>
      <c r="K58" s="1">
        <f>IF(E58=0,SUMPRODUCT(($A$2:$A$4734=A58)*($B$2:$B$4734=B58)*($D$2:$D$4734=D58)*($E$2:$E$4734=0)),0)</f>
        <v>0</v>
      </c>
      <c r="L58" s="1" t="str">
        <f>IF(E58=0,SUMPRODUCT(MIN($K$2:$K$4734+((($A$2:$A$4734&lt;&gt;A58)+($E$2:$E$4734&lt;&gt;0))&gt;0)*1000000)),"")</f>
        <v/>
      </c>
      <c r="M58" s="1">
        <f>IF(AND(E58=0,COUNTIFS($A$2:A58,A58,$E$2:E58,0)=1),L58,0)</f>
        <v>0</v>
      </c>
    </row>
    <row r="59" spans="1:13" ht="15" customHeight="1">
      <c r="A59" s="1">
        <v>7039</v>
      </c>
      <c r="B59" s="1" t="s">
        <v>16</v>
      </c>
      <c r="C59" s="2" t="s">
        <v>70</v>
      </c>
      <c r="D59" s="2" t="s">
        <v>80</v>
      </c>
      <c r="E59" s="1">
        <v>1</v>
      </c>
      <c r="F59" s="2" t="s">
        <v>82</v>
      </c>
      <c r="G59" s="1">
        <v>3</v>
      </c>
      <c r="H59" s="1" t="str">
        <f t="shared" si="0"/>
        <v>k7039_3</v>
      </c>
      <c r="K59" s="1">
        <f>IF(E59=0,SUMPRODUCT(($A$2:$A$4734=A59)*($B$2:$B$4734=B59)*($D$2:$D$4734=D59)*($E$2:$E$4734=0)),0)</f>
        <v>0</v>
      </c>
      <c r="L59" s="1" t="str">
        <f>IF(E59=0,SUMPRODUCT(MIN($K$2:$K$4734+((($A$2:$A$4734&lt;&gt;A59)+($E$2:$E$4734&lt;&gt;0))&gt;0)*1000000)),"")</f>
        <v/>
      </c>
      <c r="M59" s="1">
        <f>IF(AND(E59=0,COUNTIFS($A$2:A59,A59,$E$2:E59,0)=1),L59,0)</f>
        <v>0</v>
      </c>
    </row>
    <row r="60" spans="1:13" ht="15" customHeight="1">
      <c r="A60" s="1">
        <v>7039</v>
      </c>
      <c r="B60" s="1" t="s">
        <v>9</v>
      </c>
      <c r="C60" s="2" t="s">
        <v>70</v>
      </c>
      <c r="D60" s="2" t="s">
        <v>80</v>
      </c>
      <c r="E60" s="1">
        <v>1</v>
      </c>
      <c r="F60" s="2" t="s">
        <v>83</v>
      </c>
      <c r="G60" s="1">
        <v>4</v>
      </c>
      <c r="H60" s="1" t="str">
        <f t="shared" si="0"/>
        <v>k7039_4</v>
      </c>
      <c r="K60" s="1">
        <f>IF(E60=0,SUMPRODUCT(($A$2:$A$4734=A60)*($B$2:$B$4734=B60)*($D$2:$D$4734=D60)*($E$2:$E$4734=0)),0)</f>
        <v>0</v>
      </c>
      <c r="L60" s="1" t="str">
        <f>IF(E60=0,SUMPRODUCT(MIN($K$2:$K$4734+((($A$2:$A$4734&lt;&gt;A60)+($E$2:$E$4734&lt;&gt;0))&gt;0)*1000000)),"")</f>
        <v/>
      </c>
      <c r="M60" s="1">
        <f>IF(AND(E60=0,COUNTIFS($A$2:A60,A60,$E$2:E60,0)=1),L60,0)</f>
        <v>0</v>
      </c>
    </row>
    <row r="61" spans="1:13" ht="15" customHeight="1">
      <c r="A61" s="1">
        <v>7039</v>
      </c>
      <c r="B61" s="1" t="s">
        <v>9</v>
      </c>
      <c r="C61" s="2" t="s">
        <v>70</v>
      </c>
      <c r="D61" s="2" t="s">
        <v>80</v>
      </c>
      <c r="E61" s="1">
        <v>1</v>
      </c>
      <c r="F61" s="2" t="s">
        <v>84</v>
      </c>
      <c r="G61" s="1">
        <v>2</v>
      </c>
      <c r="H61" s="1" t="str">
        <f t="shared" si="0"/>
        <v>k7039_2</v>
      </c>
      <c r="K61" s="1">
        <f>IF(E61=0,SUMPRODUCT(($A$2:$A$4734=A61)*($B$2:$B$4734=B61)*($D$2:$D$4734=D61)*($E$2:$E$4734=0)),0)</f>
        <v>0</v>
      </c>
      <c r="L61" s="1" t="str">
        <f>IF(E61=0,SUMPRODUCT(MIN($K$2:$K$4734+((($A$2:$A$4734&lt;&gt;A61)+($E$2:$E$4734&lt;&gt;0))&gt;0)*1000000)),"")</f>
        <v/>
      </c>
      <c r="M61" s="1">
        <f>IF(AND(E61=0,COUNTIFS($A$2:A61,A61,$E$2:E61,0)=1),L61,0)</f>
        <v>0</v>
      </c>
    </row>
    <row r="62" spans="1:13" ht="15" customHeight="1">
      <c r="A62" s="1">
        <v>7039</v>
      </c>
      <c r="B62" s="1" t="s">
        <v>9</v>
      </c>
      <c r="C62" s="2" t="s">
        <v>70</v>
      </c>
      <c r="D62" s="2" t="s">
        <v>85</v>
      </c>
      <c r="E62" s="1">
        <v>1</v>
      </c>
      <c r="F62" s="2" t="s">
        <v>86</v>
      </c>
      <c r="G62" s="1">
        <v>2</v>
      </c>
      <c r="H62" s="1" t="str">
        <f t="shared" ref="H62:H123" si="1">IF(OR(E62&lt;&gt;1,G62=""),"","k"&amp;A62&amp;"_"&amp;G62)</f>
        <v>k7039_2</v>
      </c>
      <c r="K62" s="1">
        <f>IF(E62=0,SUMPRODUCT(($A$2:$A$4734=A62)*($B$2:$B$4734=B62)*($D$2:$D$4734=D62)*($E$2:$E$4734=0)),0)</f>
        <v>0</v>
      </c>
      <c r="L62" s="1" t="str">
        <f>IF(E62=0,SUMPRODUCT(MIN($K$2:$K$4734+((($A$2:$A$4734&lt;&gt;A62)+($E$2:$E$4734&lt;&gt;0))&gt;0)*1000000)),"")</f>
        <v/>
      </c>
      <c r="M62" s="1">
        <f>IF(AND(E62=0,COUNTIFS($A$2:A62,A62,$E$2:E62,0)=1),L62,0)</f>
        <v>0</v>
      </c>
    </row>
    <row r="63" spans="1:13" ht="15" customHeight="1">
      <c r="A63" s="1">
        <v>7039</v>
      </c>
      <c r="B63" s="1" t="s">
        <v>9</v>
      </c>
      <c r="C63" s="2" t="s">
        <v>70</v>
      </c>
      <c r="D63" s="2" t="s">
        <v>85</v>
      </c>
      <c r="E63" s="1">
        <v>1</v>
      </c>
      <c r="F63" s="2" t="s">
        <v>87</v>
      </c>
      <c r="G63" s="1">
        <v>3</v>
      </c>
      <c r="H63" s="1" t="str">
        <f t="shared" si="1"/>
        <v>k7039_3</v>
      </c>
      <c r="K63" s="1">
        <f>IF(E63=0,SUMPRODUCT(($A$2:$A$4734=A63)*($B$2:$B$4734=B63)*($D$2:$D$4734=D63)*($E$2:$E$4734=0)),0)</f>
        <v>0</v>
      </c>
      <c r="L63" s="1" t="str">
        <f>IF(E63=0,SUMPRODUCT(MIN($K$2:$K$4734+((($A$2:$A$4734&lt;&gt;A63)+($E$2:$E$4734&lt;&gt;0))&gt;0)*1000000)),"")</f>
        <v/>
      </c>
      <c r="M63" s="1">
        <f>IF(AND(E63=0,COUNTIFS($A$2:A63,A63,$E$2:E63,0)=1),L63,0)</f>
        <v>0</v>
      </c>
    </row>
    <row r="64" spans="1:13" ht="15" customHeight="1">
      <c r="A64" s="1">
        <v>7039</v>
      </c>
      <c r="B64" s="1" t="s">
        <v>9</v>
      </c>
      <c r="C64" s="2" t="s">
        <v>70</v>
      </c>
      <c r="D64" s="2" t="s">
        <v>85</v>
      </c>
      <c r="E64" s="1">
        <v>1</v>
      </c>
      <c r="F64" s="2" t="s">
        <v>88</v>
      </c>
      <c r="G64" s="1">
        <v>4</v>
      </c>
      <c r="H64" s="1" t="str">
        <f t="shared" si="1"/>
        <v>k7039_4</v>
      </c>
      <c r="K64" s="1">
        <f>IF(E64=0,SUMPRODUCT(($A$2:$A$4734=A64)*($B$2:$B$4734=B64)*($D$2:$D$4734=D64)*($E$2:$E$4734=0)),0)</f>
        <v>0</v>
      </c>
      <c r="L64" s="1" t="str">
        <f>IF(E64=0,SUMPRODUCT(MIN($K$2:$K$4734+((($A$2:$A$4734&lt;&gt;A64)+($E$2:$E$4734&lt;&gt;0))&gt;0)*1000000)),"")</f>
        <v/>
      </c>
      <c r="M64" s="1">
        <f>IF(AND(E64=0,COUNTIFS($A$2:A64,A64,$E$2:E64,0)=1),L64,0)</f>
        <v>0</v>
      </c>
    </row>
    <row r="65" spans="1:13" ht="15" customHeight="1">
      <c r="A65" s="1">
        <v>7039</v>
      </c>
      <c r="B65" s="1" t="s">
        <v>9</v>
      </c>
      <c r="C65" s="2" t="s">
        <v>70</v>
      </c>
      <c r="D65" s="2" t="s">
        <v>85</v>
      </c>
      <c r="E65" s="1">
        <v>1</v>
      </c>
      <c r="F65" s="2" t="s">
        <v>89</v>
      </c>
      <c r="G65" s="1">
        <v>1</v>
      </c>
      <c r="H65" s="1" t="str">
        <f t="shared" si="1"/>
        <v>k7039_1</v>
      </c>
      <c r="K65" s="1">
        <f>IF(E65=0,SUMPRODUCT(($A$2:$A$4734=A65)*($B$2:$B$4734=B65)*($D$2:$D$4734=D65)*($E$2:$E$4734=0)),0)</f>
        <v>0</v>
      </c>
      <c r="L65" s="1" t="str">
        <f>IF(E65=0,SUMPRODUCT(MIN($K$2:$K$4734+((($A$2:$A$4734&lt;&gt;A65)+($E$2:$E$4734&lt;&gt;0))&gt;0)*1000000)),"")</f>
        <v/>
      </c>
      <c r="M65" s="1">
        <f>IF(AND(E65=0,COUNTIFS($A$2:A65,A65,$E$2:E65,0)=1),L65,0)</f>
        <v>0</v>
      </c>
    </row>
    <row r="66" spans="1:13" ht="15" customHeight="1">
      <c r="A66" s="1">
        <v>7039</v>
      </c>
      <c r="B66" s="1" t="s">
        <v>9</v>
      </c>
      <c r="C66" s="2" t="s">
        <v>70</v>
      </c>
      <c r="D66" s="2" t="s">
        <v>90</v>
      </c>
      <c r="E66" s="1">
        <v>1</v>
      </c>
      <c r="F66" s="2" t="s">
        <v>91</v>
      </c>
      <c r="G66" s="1">
        <v>1</v>
      </c>
      <c r="H66" s="1" t="str">
        <f t="shared" si="1"/>
        <v>k7039_1</v>
      </c>
      <c r="K66" s="1">
        <f>IF(E66=0,SUMPRODUCT(($A$2:$A$4734=A66)*($B$2:$B$4734=B66)*($D$2:$D$4734=D66)*($E$2:$E$4734=0)),0)</f>
        <v>0</v>
      </c>
      <c r="L66" s="1" t="str">
        <f>IF(E66=0,SUMPRODUCT(MIN($K$2:$K$4734+((($A$2:$A$4734&lt;&gt;A66)+($E$2:$E$4734&lt;&gt;0))&gt;0)*1000000)),"")</f>
        <v/>
      </c>
      <c r="M66" s="1">
        <f>IF(AND(E66=0,COUNTIFS($A$2:A66,A66,$E$2:E66,0)=1),L66,0)</f>
        <v>0</v>
      </c>
    </row>
    <row r="67" spans="1:13" ht="15" customHeight="1">
      <c r="A67" s="1">
        <v>7039</v>
      </c>
      <c r="B67" s="1" t="s">
        <v>9</v>
      </c>
      <c r="C67" s="2" t="s">
        <v>70</v>
      </c>
      <c r="D67" s="2" t="s">
        <v>90</v>
      </c>
      <c r="E67" s="1">
        <v>1</v>
      </c>
      <c r="F67" s="2" t="s">
        <v>92</v>
      </c>
      <c r="G67" s="1">
        <v>2</v>
      </c>
      <c r="H67" s="1" t="str">
        <f t="shared" si="1"/>
        <v>k7039_2</v>
      </c>
      <c r="K67" s="1">
        <f>IF(E67=0,SUMPRODUCT(($A$2:$A$4734=A67)*($B$2:$B$4734=B67)*($D$2:$D$4734=D67)*($E$2:$E$4734=0)),0)</f>
        <v>0</v>
      </c>
      <c r="L67" s="1" t="str">
        <f>IF(E67=0,SUMPRODUCT(MIN($K$2:$K$4734+((($A$2:$A$4734&lt;&gt;A67)+($E$2:$E$4734&lt;&gt;0))&gt;0)*1000000)),"")</f>
        <v/>
      </c>
      <c r="M67" s="1">
        <f>IF(AND(E67=0,COUNTIFS($A$2:A67,A67,$E$2:E67,0)=1),L67,0)</f>
        <v>0</v>
      </c>
    </row>
    <row r="68" spans="1:13" ht="15" customHeight="1">
      <c r="A68" s="1">
        <v>7039</v>
      </c>
      <c r="B68" s="1" t="s">
        <v>9</v>
      </c>
      <c r="C68" s="2" t="s">
        <v>70</v>
      </c>
      <c r="D68" s="2" t="s">
        <v>90</v>
      </c>
      <c r="E68" s="1">
        <v>1</v>
      </c>
      <c r="F68" s="2" t="s">
        <v>93</v>
      </c>
      <c r="G68" s="1">
        <v>3</v>
      </c>
      <c r="H68" s="1" t="str">
        <f t="shared" si="1"/>
        <v>k7039_3</v>
      </c>
      <c r="K68" s="1">
        <f>IF(E68=0,SUMPRODUCT(($A$2:$A$4734=A68)*($B$2:$B$4734=B68)*($D$2:$D$4734=D68)*($E$2:$E$4734=0)),0)</f>
        <v>0</v>
      </c>
      <c r="L68" s="1" t="str">
        <f>IF(E68=0,SUMPRODUCT(MIN($K$2:$K$4734+((($A$2:$A$4734&lt;&gt;A68)+($E$2:$E$4734&lt;&gt;0))&gt;0)*1000000)),"")</f>
        <v/>
      </c>
      <c r="M68" s="1">
        <f>IF(AND(E68=0,COUNTIFS($A$2:A68,A68,$E$2:E68,0)=1),L68,0)</f>
        <v>0</v>
      </c>
    </row>
    <row r="69" spans="1:13" ht="15" customHeight="1">
      <c r="A69" s="1">
        <v>7039</v>
      </c>
      <c r="B69" s="1" t="s">
        <v>9</v>
      </c>
      <c r="C69" s="2" t="s">
        <v>70</v>
      </c>
      <c r="D69" s="2" t="s">
        <v>90</v>
      </c>
      <c r="E69" s="1">
        <v>1</v>
      </c>
      <c r="F69" s="2" t="s">
        <v>94</v>
      </c>
      <c r="G69" s="1">
        <v>4</v>
      </c>
      <c r="H69" s="1" t="str">
        <f t="shared" si="1"/>
        <v>k7039_4</v>
      </c>
      <c r="K69" s="1">
        <f>IF(E69=0,SUMPRODUCT(($A$2:$A$4734=A69)*($B$2:$B$4734=B69)*($D$2:$D$4734=D69)*($E$2:$E$4734=0)),0)</f>
        <v>0</v>
      </c>
      <c r="L69" s="1" t="str">
        <f>IF(E69=0,SUMPRODUCT(MIN($K$2:$K$4734+((($A$2:$A$4734&lt;&gt;A69)+($E$2:$E$4734&lt;&gt;0))&gt;0)*1000000)),"")</f>
        <v/>
      </c>
      <c r="M69" s="1">
        <f>IF(AND(E69=0,COUNTIFS($A$2:A69,A69,$E$2:E69,0)=1),L69,0)</f>
        <v>0</v>
      </c>
    </row>
    <row r="70" spans="1:13" ht="15" customHeight="1">
      <c r="A70" s="1">
        <v>7039</v>
      </c>
      <c r="B70" s="1" t="s">
        <v>9</v>
      </c>
      <c r="C70" s="2" t="s">
        <v>70</v>
      </c>
      <c r="D70" s="2" t="s">
        <v>90</v>
      </c>
      <c r="E70" s="1">
        <v>1</v>
      </c>
      <c r="F70" s="2" t="s">
        <v>93</v>
      </c>
      <c r="G70" s="1">
        <v>5</v>
      </c>
      <c r="H70" s="1" t="str">
        <f t="shared" si="1"/>
        <v>k7039_5</v>
      </c>
      <c r="K70" s="1">
        <f>IF(E70=0,SUMPRODUCT(($A$2:$A$4734=A70)*($B$2:$B$4734=B70)*($D$2:$D$4734=D70)*($E$2:$E$4734=0)),0)</f>
        <v>0</v>
      </c>
      <c r="L70" s="1" t="str">
        <f>IF(E70=0,SUMPRODUCT(MIN($K$2:$K$4734+((($A$2:$A$4734&lt;&gt;A70)+($E$2:$E$4734&lt;&gt;0))&gt;0)*1000000)),"")</f>
        <v/>
      </c>
      <c r="M70" s="1">
        <f>IF(AND(E70=0,COUNTIFS($A$2:A70,A70,$E$2:E70,0)=1),L70,0)</f>
        <v>0</v>
      </c>
    </row>
    <row r="71" spans="1:13" ht="15" customHeight="1">
      <c r="A71" s="1">
        <v>7039</v>
      </c>
      <c r="B71" s="1" t="s">
        <v>9</v>
      </c>
      <c r="C71" s="2" t="s">
        <v>70</v>
      </c>
      <c r="D71" s="2" t="s">
        <v>90</v>
      </c>
      <c r="E71" s="1">
        <v>1</v>
      </c>
      <c r="F71" s="2" t="s">
        <v>94</v>
      </c>
      <c r="G71" s="1">
        <v>6</v>
      </c>
      <c r="H71" s="1" t="str">
        <f t="shared" si="1"/>
        <v>k7039_6</v>
      </c>
      <c r="K71" s="1">
        <f>IF(E71=0,SUMPRODUCT(($A$2:$A$4734=A71)*($B$2:$B$4734=B71)*($D$2:$D$4734=D71)*($E$2:$E$4734=0)),0)</f>
        <v>0</v>
      </c>
      <c r="L71" s="1" t="str">
        <f>IF(E71=0,SUMPRODUCT(MIN($K$2:$K$4734+((($A$2:$A$4734&lt;&gt;A71)+($E$2:$E$4734&lt;&gt;0))&gt;0)*1000000)),"")</f>
        <v/>
      </c>
      <c r="M71" s="1">
        <f>IF(AND(E71=0,COUNTIFS($A$2:A71,A71,$E$2:E71,0)=1),L71,0)</f>
        <v>0</v>
      </c>
    </row>
    <row r="72" spans="1:13" ht="15" customHeight="1">
      <c r="A72" s="1">
        <v>7039</v>
      </c>
      <c r="B72" s="1" t="s">
        <v>95</v>
      </c>
      <c r="C72" s="2" t="s">
        <v>70</v>
      </c>
      <c r="D72" s="2" t="s">
        <v>96</v>
      </c>
      <c r="E72" s="1">
        <v>1</v>
      </c>
      <c r="F72" s="2" t="s">
        <v>97</v>
      </c>
      <c r="G72" s="1">
        <v>1</v>
      </c>
      <c r="H72" s="1" t="str">
        <f t="shared" si="1"/>
        <v>k7039_1</v>
      </c>
      <c r="K72" s="1">
        <f>IF(E72=0,SUMPRODUCT(($A$2:$A$4734=A72)*($B$2:$B$4734=B72)*($D$2:$D$4734=D72)*($E$2:$E$4734=0)),0)</f>
        <v>0</v>
      </c>
      <c r="L72" s="1" t="str">
        <f>IF(E72=0,SUMPRODUCT(MIN($K$2:$K$4734+((($A$2:$A$4734&lt;&gt;A72)+($E$2:$E$4734&lt;&gt;0))&gt;0)*1000000)),"")</f>
        <v/>
      </c>
      <c r="M72" s="1">
        <f>IF(AND(E72=0,COUNTIFS($A$2:A72,A72,$E$2:E72,0)=1),L72,0)</f>
        <v>0</v>
      </c>
    </row>
    <row r="73" spans="1:13" ht="15" customHeight="1">
      <c r="A73" s="1">
        <v>7039</v>
      </c>
      <c r="B73" s="1" t="s">
        <v>95</v>
      </c>
      <c r="C73" s="2" t="s">
        <v>70</v>
      </c>
      <c r="D73" s="2" t="s">
        <v>96</v>
      </c>
      <c r="E73" s="1">
        <v>1</v>
      </c>
      <c r="F73" s="2" t="s">
        <v>98</v>
      </c>
      <c r="G73" s="1">
        <v>3</v>
      </c>
      <c r="H73" s="1" t="str">
        <f t="shared" si="1"/>
        <v>k7039_3</v>
      </c>
      <c r="K73" s="1">
        <f>IF(E73=0,SUMPRODUCT(($A$2:$A$4734=A73)*($B$2:$B$4734=B73)*($D$2:$D$4734=D73)*($E$2:$E$4734=0)),0)</f>
        <v>0</v>
      </c>
      <c r="L73" s="1" t="str">
        <f>IF(E73=0,SUMPRODUCT(MIN($K$2:$K$4734+((($A$2:$A$4734&lt;&gt;A73)+($E$2:$E$4734&lt;&gt;0))&gt;0)*1000000)),"")</f>
        <v/>
      </c>
      <c r="M73" s="1">
        <f>IF(AND(E73=0,COUNTIFS($A$2:A73,A73,$E$2:E73,0)=1),L73,0)</f>
        <v>0</v>
      </c>
    </row>
    <row r="74" spans="1:13" ht="15" customHeight="1">
      <c r="A74" s="1">
        <v>7039</v>
      </c>
      <c r="B74" s="1" t="s">
        <v>95</v>
      </c>
      <c r="C74" s="2" t="s">
        <v>70</v>
      </c>
      <c r="D74" s="2" t="s">
        <v>96</v>
      </c>
      <c r="E74" s="1">
        <v>1</v>
      </c>
      <c r="F74" s="2" t="s">
        <v>99</v>
      </c>
      <c r="G74" s="1">
        <v>2</v>
      </c>
      <c r="H74" s="1" t="str">
        <f t="shared" si="1"/>
        <v>k7039_2</v>
      </c>
      <c r="K74" s="1">
        <f>IF(E74=0,SUMPRODUCT(($A$2:$A$4734=A74)*($B$2:$B$4734=B74)*($D$2:$D$4734=D74)*($E$2:$E$4734=0)),0)</f>
        <v>0</v>
      </c>
      <c r="L74" s="1" t="str">
        <f>IF(E74=0,SUMPRODUCT(MIN($K$2:$K$4734+((($A$2:$A$4734&lt;&gt;A74)+($E$2:$E$4734&lt;&gt;0))&gt;0)*1000000)),"")</f>
        <v/>
      </c>
      <c r="M74" s="1">
        <f>IF(AND(E74=0,COUNTIFS($A$2:A74,A74,$E$2:E74,0)=1),L74,0)</f>
        <v>0</v>
      </c>
    </row>
    <row r="75" spans="1:13" ht="15" customHeight="1">
      <c r="A75" s="1">
        <v>7039</v>
      </c>
      <c r="B75" s="1" t="s">
        <v>95</v>
      </c>
      <c r="C75" s="2" t="s">
        <v>70</v>
      </c>
      <c r="D75" s="2" t="s">
        <v>96</v>
      </c>
      <c r="E75" s="1">
        <v>1</v>
      </c>
      <c r="F75" s="2" t="s">
        <v>100</v>
      </c>
      <c r="G75" s="1">
        <v>4</v>
      </c>
      <c r="H75" s="1" t="str">
        <f t="shared" si="1"/>
        <v>k7039_4</v>
      </c>
      <c r="K75" s="1">
        <f>IF(E75=0,SUMPRODUCT(($A$2:$A$4734=A75)*($B$2:$B$4734=B75)*($D$2:$D$4734=D75)*($E$2:$E$4734=0)),0)</f>
        <v>0</v>
      </c>
      <c r="L75" s="1" t="str">
        <f>IF(E75=0,SUMPRODUCT(MIN($K$2:$K$4734+((($A$2:$A$4734&lt;&gt;A75)+($E$2:$E$4734&lt;&gt;0))&gt;0)*1000000)),"")</f>
        <v/>
      </c>
      <c r="M75" s="1">
        <f>IF(AND(E75=0,COUNTIFS($A$2:A75,A75,$E$2:E75,0)=1),L75,0)</f>
        <v>0</v>
      </c>
    </row>
    <row r="76" spans="1:13" ht="15" customHeight="1">
      <c r="A76" s="1">
        <v>7039</v>
      </c>
      <c r="B76" s="1" t="s">
        <v>95</v>
      </c>
      <c r="C76" s="2" t="s">
        <v>70</v>
      </c>
      <c r="D76" s="2" t="s">
        <v>96</v>
      </c>
      <c r="E76" s="1">
        <v>1</v>
      </c>
      <c r="F76" s="2" t="s">
        <v>101</v>
      </c>
      <c r="G76" s="1">
        <v>5</v>
      </c>
      <c r="H76" s="1" t="str">
        <f t="shared" si="1"/>
        <v>k7039_5</v>
      </c>
      <c r="K76" s="1">
        <f>IF(E76=0,SUMPRODUCT(($A$2:$A$4734=A76)*($B$2:$B$4734=B76)*($D$2:$D$4734=D76)*($E$2:$E$4734=0)),0)</f>
        <v>0</v>
      </c>
      <c r="L76" s="1" t="str">
        <f>IF(E76=0,SUMPRODUCT(MIN($K$2:$K$4734+((($A$2:$A$4734&lt;&gt;A76)+($E$2:$E$4734&lt;&gt;0))&gt;0)*1000000)),"")</f>
        <v/>
      </c>
      <c r="M76" s="1">
        <f>IF(AND(E76=0,COUNTIFS($A$2:A76,A76,$E$2:E76,0)=1),L76,0)</f>
        <v>0</v>
      </c>
    </row>
    <row r="77" spans="1:13" ht="15" customHeight="1">
      <c r="A77" s="1">
        <v>7039</v>
      </c>
      <c r="B77" s="1" t="s">
        <v>95</v>
      </c>
      <c r="C77" s="2" t="s">
        <v>70</v>
      </c>
      <c r="D77" s="2" t="s">
        <v>96</v>
      </c>
      <c r="E77" s="1">
        <v>1</v>
      </c>
      <c r="F77" s="2" t="s">
        <v>102</v>
      </c>
      <c r="G77" s="1">
        <v>6</v>
      </c>
      <c r="H77" s="1" t="str">
        <f t="shared" si="1"/>
        <v>k7039_6</v>
      </c>
      <c r="K77" s="1">
        <f>IF(E77=0,SUMPRODUCT(($A$2:$A$4734=A77)*($B$2:$B$4734=B77)*($D$2:$D$4734=D77)*($E$2:$E$4734=0)),0)</f>
        <v>0</v>
      </c>
      <c r="L77" s="1" t="str">
        <f>IF(E77=0,SUMPRODUCT(MIN($K$2:$K$4734+((($A$2:$A$4734&lt;&gt;A77)+($E$2:$E$4734&lt;&gt;0))&gt;0)*1000000)),"")</f>
        <v/>
      </c>
      <c r="M77" s="1">
        <f>IF(AND(E77=0,COUNTIFS($A$2:A77,A77,$E$2:E77,0)=1),L77,0)</f>
        <v>0</v>
      </c>
    </row>
    <row r="78" spans="1:13" ht="15" customHeight="1">
      <c r="A78" s="1">
        <v>7040</v>
      </c>
      <c r="B78" s="1" t="s">
        <v>69</v>
      </c>
      <c r="C78" s="2" t="s">
        <v>103</v>
      </c>
      <c r="D78" s="2" t="s">
        <v>104</v>
      </c>
      <c r="E78" s="1">
        <v>1</v>
      </c>
      <c r="F78" s="2" t="s">
        <v>105</v>
      </c>
      <c r="G78" s="1">
        <v>1</v>
      </c>
      <c r="H78" s="1" t="str">
        <f t="shared" si="1"/>
        <v>k7040_1</v>
      </c>
      <c r="K78" s="1">
        <f>IF(E78=0,SUMPRODUCT(($A$2:$A$4734=A78)*($B$2:$B$4734=B78)*($D$2:$D$4734=D78)*($E$2:$E$4734=0)),0)</f>
        <v>0</v>
      </c>
      <c r="L78" s="1" t="str">
        <f>IF(E78=0,SUMPRODUCT(MIN($K$2:$K$4734+((($A$2:$A$4734&lt;&gt;A78)+($E$2:$E$4734&lt;&gt;0))&gt;0)*1000000)),"")</f>
        <v/>
      </c>
      <c r="M78" s="1">
        <f>IF(AND(E78=0,COUNTIFS($A$2:A78,A78,$E$2:E78,0)=1),L78,0)</f>
        <v>0</v>
      </c>
    </row>
    <row r="79" spans="1:13" ht="15" customHeight="1">
      <c r="A79" s="1">
        <v>7040</v>
      </c>
      <c r="B79" s="1" t="s">
        <v>69</v>
      </c>
      <c r="C79" s="2" t="s">
        <v>103</v>
      </c>
      <c r="D79" s="2" t="s">
        <v>104</v>
      </c>
      <c r="E79" s="1">
        <v>1</v>
      </c>
      <c r="F79" s="2" t="s">
        <v>106</v>
      </c>
      <c r="G79" s="1">
        <v>2</v>
      </c>
      <c r="H79" s="1" t="str">
        <f t="shared" si="1"/>
        <v>k7040_2</v>
      </c>
      <c r="K79" s="1">
        <f>IF(E79=0,SUMPRODUCT(($A$2:$A$4734=A79)*($B$2:$B$4734=B79)*($D$2:$D$4734=D79)*($E$2:$E$4734=0)),0)</f>
        <v>0</v>
      </c>
      <c r="L79" s="1" t="str">
        <f>IF(E79=0,SUMPRODUCT(MIN($K$2:$K$4734+((($A$2:$A$4734&lt;&gt;A79)+($E$2:$E$4734&lt;&gt;0))&gt;0)*1000000)),"")</f>
        <v/>
      </c>
      <c r="M79" s="1">
        <f>IF(AND(E79=0,COUNTIFS($A$2:A79,A79,$E$2:E79,0)=1),L79,0)</f>
        <v>0</v>
      </c>
    </row>
    <row r="80" spans="1:13" ht="15" customHeight="1">
      <c r="A80" s="1">
        <v>7040</v>
      </c>
      <c r="B80" s="1" t="s">
        <v>69</v>
      </c>
      <c r="C80" s="2" t="s">
        <v>103</v>
      </c>
      <c r="D80" s="2" t="s">
        <v>104</v>
      </c>
      <c r="E80" s="1">
        <v>1</v>
      </c>
      <c r="F80" s="2" t="s">
        <v>107</v>
      </c>
      <c r="G80" s="1">
        <v>3</v>
      </c>
      <c r="H80" s="1" t="str">
        <f t="shared" si="1"/>
        <v>k7040_3</v>
      </c>
      <c r="K80" s="1">
        <f>IF(E80=0,SUMPRODUCT(($A$2:$A$4734=A80)*($B$2:$B$4734=B80)*($D$2:$D$4734=D80)*($E$2:$E$4734=0)),0)</f>
        <v>0</v>
      </c>
      <c r="L80" s="1" t="str">
        <f>IF(E80=0,SUMPRODUCT(MIN($K$2:$K$4734+((($A$2:$A$4734&lt;&gt;A80)+($E$2:$E$4734&lt;&gt;0))&gt;0)*1000000)),"")</f>
        <v/>
      </c>
      <c r="M80" s="1">
        <f>IF(AND(E80=0,COUNTIFS($A$2:A80,A80,$E$2:E80,0)=1),L80,0)</f>
        <v>0</v>
      </c>
    </row>
    <row r="81" spans="1:13" ht="15" customHeight="1">
      <c r="A81" s="1">
        <v>7040</v>
      </c>
      <c r="B81" s="1" t="s">
        <v>69</v>
      </c>
      <c r="C81" s="2" t="s">
        <v>103</v>
      </c>
      <c r="D81" s="2" t="s">
        <v>104</v>
      </c>
      <c r="E81" s="1">
        <v>1</v>
      </c>
      <c r="F81" s="2" t="s">
        <v>108</v>
      </c>
      <c r="G81" s="1">
        <v>4</v>
      </c>
      <c r="H81" s="1" t="str">
        <f t="shared" si="1"/>
        <v>k7040_4</v>
      </c>
      <c r="K81" s="1">
        <f>IF(E81=0,SUMPRODUCT(($A$2:$A$4734=A81)*($B$2:$B$4734=B81)*($D$2:$D$4734=D81)*($E$2:$E$4734=0)),0)</f>
        <v>0</v>
      </c>
      <c r="L81" s="1" t="str">
        <f>IF(E81=0,SUMPRODUCT(MIN($K$2:$K$4734+((($A$2:$A$4734&lt;&gt;A81)+($E$2:$E$4734&lt;&gt;0))&gt;0)*1000000)),"")</f>
        <v/>
      </c>
      <c r="M81" s="1">
        <f>IF(AND(E81=0,COUNTIFS($A$2:A81,A81,$E$2:E81,0)=1),L81,0)</f>
        <v>0</v>
      </c>
    </row>
    <row r="82" spans="1:13" ht="15" customHeight="1">
      <c r="A82" s="1">
        <v>7040</v>
      </c>
      <c r="B82" s="1" t="s">
        <v>9</v>
      </c>
      <c r="C82" s="2" t="s">
        <v>103</v>
      </c>
      <c r="D82" s="2" t="s">
        <v>109</v>
      </c>
      <c r="E82" s="1">
        <v>1</v>
      </c>
      <c r="F82" s="2" t="s">
        <v>110</v>
      </c>
      <c r="G82" s="1">
        <v>1</v>
      </c>
      <c r="H82" s="1" t="str">
        <f t="shared" si="1"/>
        <v>k7040_1</v>
      </c>
      <c r="K82" s="1">
        <f>IF(E82=0,SUMPRODUCT(($A$2:$A$4734=A82)*($B$2:$B$4734=B82)*($D$2:$D$4734=D82)*($E$2:$E$4734=0)),0)</f>
        <v>0</v>
      </c>
      <c r="L82" s="1" t="str">
        <f>IF(E82=0,SUMPRODUCT(MIN($K$2:$K$4734+((($A$2:$A$4734&lt;&gt;A82)+($E$2:$E$4734&lt;&gt;0))&gt;0)*1000000)),"")</f>
        <v/>
      </c>
      <c r="M82" s="1">
        <f>IF(AND(E82=0,COUNTIFS($A$2:A82,A82,$E$2:E82,0)=1),L82,0)</f>
        <v>0</v>
      </c>
    </row>
    <row r="83" spans="1:13" ht="15" customHeight="1">
      <c r="A83" s="1">
        <v>7040</v>
      </c>
      <c r="B83" s="1" t="s">
        <v>9</v>
      </c>
      <c r="C83" s="2" t="s">
        <v>103</v>
      </c>
      <c r="D83" s="2" t="s">
        <v>109</v>
      </c>
      <c r="E83" s="1">
        <v>1</v>
      </c>
      <c r="F83" s="2" t="s">
        <v>111</v>
      </c>
      <c r="G83" s="1">
        <v>2</v>
      </c>
      <c r="H83" s="1" t="str">
        <f t="shared" si="1"/>
        <v>k7040_2</v>
      </c>
      <c r="K83" s="1">
        <f>IF(E83=0,SUMPRODUCT(($A$2:$A$4734=A83)*($B$2:$B$4734=B83)*($D$2:$D$4734=D83)*($E$2:$E$4734=0)),0)</f>
        <v>0</v>
      </c>
      <c r="L83" s="1" t="str">
        <f>IF(E83=0,SUMPRODUCT(MIN($K$2:$K$4734+((($A$2:$A$4734&lt;&gt;A83)+($E$2:$E$4734&lt;&gt;0))&gt;0)*1000000)),"")</f>
        <v/>
      </c>
      <c r="M83" s="1">
        <f>IF(AND(E83=0,COUNTIFS($A$2:A83,A83,$E$2:E83,0)=1),L83,0)</f>
        <v>0</v>
      </c>
    </row>
    <row r="84" spans="1:13" ht="15" customHeight="1">
      <c r="A84" s="1">
        <v>7040</v>
      </c>
      <c r="B84" s="1" t="s">
        <v>9</v>
      </c>
      <c r="C84" s="2" t="s">
        <v>103</v>
      </c>
      <c r="D84" s="2" t="s">
        <v>109</v>
      </c>
      <c r="E84" s="1">
        <v>1</v>
      </c>
      <c r="F84" s="2" t="s">
        <v>112</v>
      </c>
      <c r="G84" s="1">
        <v>3</v>
      </c>
      <c r="H84" s="1" t="str">
        <f t="shared" si="1"/>
        <v>k7040_3</v>
      </c>
      <c r="K84" s="1">
        <f>IF(E84=0,SUMPRODUCT(($A$2:$A$4734=A84)*($B$2:$B$4734=B84)*($D$2:$D$4734=D84)*($E$2:$E$4734=0)),0)</f>
        <v>0</v>
      </c>
      <c r="L84" s="1" t="str">
        <f>IF(E84=0,SUMPRODUCT(MIN($K$2:$K$4734+((($A$2:$A$4734&lt;&gt;A84)+($E$2:$E$4734&lt;&gt;0))&gt;0)*1000000)),"")</f>
        <v/>
      </c>
      <c r="M84" s="1">
        <f>IF(AND(E84=0,COUNTIFS($A$2:A84,A84,$E$2:E84,0)=1),L84,0)</f>
        <v>0</v>
      </c>
    </row>
    <row r="85" spans="1:13" ht="15" customHeight="1">
      <c r="A85" s="1">
        <v>7040</v>
      </c>
      <c r="B85" s="1" t="s">
        <v>9</v>
      </c>
      <c r="C85" s="2" t="s">
        <v>103</v>
      </c>
      <c r="D85" s="2" t="s">
        <v>109</v>
      </c>
      <c r="E85" s="1">
        <v>1</v>
      </c>
      <c r="F85" s="2" t="s">
        <v>113</v>
      </c>
      <c r="G85" s="1">
        <v>4</v>
      </c>
      <c r="H85" s="1" t="str">
        <f t="shared" si="1"/>
        <v>k7040_4</v>
      </c>
      <c r="K85" s="1">
        <f>IF(E85=0,SUMPRODUCT(($A$2:$A$4734=A85)*($B$2:$B$4734=B85)*($D$2:$D$4734=D85)*($E$2:$E$4734=0)),0)</f>
        <v>0</v>
      </c>
      <c r="L85" s="1" t="str">
        <f>IF(E85=0,SUMPRODUCT(MIN($K$2:$K$4734+((($A$2:$A$4734&lt;&gt;A85)+($E$2:$E$4734&lt;&gt;0))&gt;0)*1000000)),"")</f>
        <v/>
      </c>
      <c r="M85" s="1">
        <f>IF(AND(E85=0,COUNTIFS($A$2:A85,A85,$E$2:E85,0)=1),L85,0)</f>
        <v>0</v>
      </c>
    </row>
    <row r="86" spans="1:13" ht="15" customHeight="1">
      <c r="A86" s="1">
        <v>7040</v>
      </c>
      <c r="B86" s="1" t="s">
        <v>9</v>
      </c>
      <c r="C86" s="2" t="s">
        <v>103</v>
      </c>
      <c r="D86" s="2" t="s">
        <v>114</v>
      </c>
      <c r="E86" s="1">
        <v>1</v>
      </c>
      <c r="F86" s="2" t="s">
        <v>115</v>
      </c>
      <c r="G86" s="1">
        <v>1</v>
      </c>
      <c r="H86" s="1" t="str">
        <f t="shared" si="1"/>
        <v>k7040_1</v>
      </c>
      <c r="K86" s="1">
        <f>IF(E86=0,SUMPRODUCT(($A$2:$A$4734=A86)*($B$2:$B$4734=B86)*($D$2:$D$4734=D86)*($E$2:$E$4734=0)),0)</f>
        <v>0</v>
      </c>
      <c r="L86" s="1" t="str">
        <f>IF(E86=0,SUMPRODUCT(MIN($K$2:$K$4734+((($A$2:$A$4734&lt;&gt;A86)+($E$2:$E$4734&lt;&gt;0))&gt;0)*1000000)),"")</f>
        <v/>
      </c>
      <c r="M86" s="1">
        <f>IF(AND(E86=0,COUNTIFS($A$2:A86,A86,$E$2:E86,0)=1),L86,0)</f>
        <v>0</v>
      </c>
    </row>
    <row r="87" spans="1:13" ht="15" customHeight="1">
      <c r="A87" s="1">
        <v>7040</v>
      </c>
      <c r="B87" s="1" t="s">
        <v>9</v>
      </c>
      <c r="C87" s="2" t="s">
        <v>103</v>
      </c>
      <c r="D87" s="2" t="s">
        <v>114</v>
      </c>
      <c r="E87" s="1">
        <v>1</v>
      </c>
      <c r="F87" s="2" t="s">
        <v>116</v>
      </c>
      <c r="G87" s="1">
        <v>2</v>
      </c>
      <c r="H87" s="1" t="str">
        <f t="shared" si="1"/>
        <v>k7040_2</v>
      </c>
      <c r="K87" s="1">
        <f>IF(E87=0,SUMPRODUCT(($A$2:$A$4734=A87)*($B$2:$B$4734=B87)*($D$2:$D$4734=D87)*($E$2:$E$4734=0)),0)</f>
        <v>0</v>
      </c>
      <c r="L87" s="1" t="str">
        <f>IF(E87=0,SUMPRODUCT(MIN($K$2:$K$4734+((($A$2:$A$4734&lt;&gt;A87)+($E$2:$E$4734&lt;&gt;0))&gt;0)*1000000)),"")</f>
        <v/>
      </c>
      <c r="M87" s="1">
        <f>IF(AND(E87=0,COUNTIFS($A$2:A87,A87,$E$2:E87,0)=1),L87,0)</f>
        <v>0</v>
      </c>
    </row>
    <row r="88" spans="1:13" ht="15" customHeight="1">
      <c r="A88" s="1">
        <v>7040</v>
      </c>
      <c r="B88" s="1" t="s">
        <v>9</v>
      </c>
      <c r="C88" s="2" t="s">
        <v>103</v>
      </c>
      <c r="D88" s="2" t="s">
        <v>114</v>
      </c>
      <c r="E88" s="1">
        <v>1</v>
      </c>
      <c r="F88" s="2" t="s">
        <v>117</v>
      </c>
      <c r="G88" s="1">
        <v>3</v>
      </c>
      <c r="H88" s="1" t="str">
        <f t="shared" si="1"/>
        <v>k7040_3</v>
      </c>
      <c r="K88" s="1">
        <f>IF(E88=0,SUMPRODUCT(($A$2:$A$4734=A88)*($B$2:$B$4734=B88)*($D$2:$D$4734=D88)*($E$2:$E$4734=0)),0)</f>
        <v>0</v>
      </c>
      <c r="L88" s="1" t="str">
        <f>IF(E88=0,SUMPRODUCT(MIN($K$2:$K$4734+((($A$2:$A$4734&lt;&gt;A88)+($E$2:$E$4734&lt;&gt;0))&gt;0)*1000000)),"")</f>
        <v/>
      </c>
      <c r="M88" s="1">
        <f>IF(AND(E88=0,COUNTIFS($A$2:A88,A88,$E$2:E88,0)=1),L88,0)</f>
        <v>0</v>
      </c>
    </row>
    <row r="89" spans="1:13" ht="15" customHeight="1">
      <c r="A89" s="1">
        <v>7040</v>
      </c>
      <c r="B89" s="1" t="s">
        <v>9</v>
      </c>
      <c r="C89" s="2" t="s">
        <v>103</v>
      </c>
      <c r="D89" s="2" t="s">
        <v>114</v>
      </c>
      <c r="E89" s="1">
        <v>1</v>
      </c>
      <c r="F89" s="2" t="s">
        <v>118</v>
      </c>
      <c r="G89" s="1">
        <v>4</v>
      </c>
      <c r="H89" s="1" t="str">
        <f t="shared" si="1"/>
        <v>k7040_4</v>
      </c>
      <c r="K89" s="1">
        <f>IF(E89=0,SUMPRODUCT(($A$2:$A$4734=A89)*($B$2:$B$4734=B89)*($D$2:$D$4734=D89)*($E$2:$E$4734=0)),0)</f>
        <v>0</v>
      </c>
      <c r="L89" s="1" t="str">
        <f>IF(E89=0,SUMPRODUCT(MIN($K$2:$K$4734+((($A$2:$A$4734&lt;&gt;A89)+($E$2:$E$4734&lt;&gt;0))&gt;0)*1000000)),"")</f>
        <v/>
      </c>
      <c r="M89" s="1">
        <f>IF(AND(E89=0,COUNTIFS($A$2:A89,A89,$E$2:E89,0)=1),L89,0)</f>
        <v>0</v>
      </c>
    </row>
    <row r="90" spans="1:13" ht="15" customHeight="1">
      <c r="A90" s="1">
        <v>7040</v>
      </c>
      <c r="B90" s="1" t="s">
        <v>16</v>
      </c>
      <c r="C90" s="2" t="s">
        <v>103</v>
      </c>
      <c r="D90" s="2" t="s">
        <v>119</v>
      </c>
      <c r="E90" s="1">
        <v>1</v>
      </c>
      <c r="F90" s="2" t="s">
        <v>120</v>
      </c>
      <c r="G90" s="1">
        <v>1</v>
      </c>
      <c r="H90" s="1" t="str">
        <f t="shared" si="1"/>
        <v>k7040_1</v>
      </c>
      <c r="K90" s="1">
        <f>IF(E90=0,SUMPRODUCT(($A$2:$A$4734=A90)*($B$2:$B$4734=B90)*($D$2:$D$4734=D90)*($E$2:$E$4734=0)),0)</f>
        <v>0</v>
      </c>
      <c r="L90" s="1" t="str">
        <f>IF(E90=0,SUMPRODUCT(MIN($K$2:$K$4734+((($A$2:$A$4734&lt;&gt;A90)+($E$2:$E$4734&lt;&gt;0))&gt;0)*1000000)),"")</f>
        <v/>
      </c>
      <c r="M90" s="1">
        <f>IF(AND(E90=0,COUNTIFS($A$2:A90,A90,$E$2:E90,0)=1),L90,0)</f>
        <v>0</v>
      </c>
    </row>
    <row r="91" spans="1:13" ht="15" customHeight="1">
      <c r="A91" s="1">
        <v>7040</v>
      </c>
      <c r="B91" s="1" t="s">
        <v>16</v>
      </c>
      <c r="C91" s="2" t="s">
        <v>103</v>
      </c>
      <c r="D91" s="2" t="s">
        <v>119</v>
      </c>
      <c r="E91" s="1">
        <v>1</v>
      </c>
      <c r="F91" s="2" t="s">
        <v>121</v>
      </c>
      <c r="G91" s="1">
        <v>2</v>
      </c>
      <c r="H91" s="1" t="str">
        <f t="shared" si="1"/>
        <v>k7040_2</v>
      </c>
      <c r="K91" s="1">
        <f>IF(E91=0,SUMPRODUCT(($A$2:$A$4734=A91)*($B$2:$B$4734=B91)*($D$2:$D$4734=D91)*($E$2:$E$4734=0)),0)</f>
        <v>0</v>
      </c>
      <c r="L91" s="1" t="str">
        <f>IF(E91=0,SUMPRODUCT(MIN($K$2:$K$4734+((($A$2:$A$4734&lt;&gt;A91)+($E$2:$E$4734&lt;&gt;0))&gt;0)*1000000)),"")</f>
        <v/>
      </c>
      <c r="M91" s="1">
        <f>IF(AND(E91=0,COUNTIFS($A$2:A91,A91,$E$2:E91,0)=1),L91,0)</f>
        <v>0</v>
      </c>
    </row>
    <row r="92" spans="1:13" ht="15" customHeight="1">
      <c r="A92" s="1">
        <v>7040</v>
      </c>
      <c r="B92" s="1" t="s">
        <v>16</v>
      </c>
      <c r="C92" s="2" t="s">
        <v>103</v>
      </c>
      <c r="D92" s="2" t="s">
        <v>119</v>
      </c>
      <c r="E92" s="1">
        <v>1</v>
      </c>
      <c r="F92" s="2" t="s">
        <v>122</v>
      </c>
      <c r="G92" s="1">
        <v>3</v>
      </c>
      <c r="H92" s="1" t="str">
        <f t="shared" si="1"/>
        <v>k7040_3</v>
      </c>
      <c r="K92" s="1">
        <f>IF(E92=0,SUMPRODUCT(($A$2:$A$4734=A92)*($B$2:$B$4734=B92)*($D$2:$D$4734=D92)*($E$2:$E$4734=0)),0)</f>
        <v>0</v>
      </c>
      <c r="L92" s="1" t="str">
        <f>IF(E92=0,SUMPRODUCT(MIN($K$2:$K$4734+((($A$2:$A$4734&lt;&gt;A92)+($E$2:$E$4734&lt;&gt;0))&gt;0)*1000000)),"")</f>
        <v/>
      </c>
      <c r="M92" s="1">
        <f>IF(AND(E92=0,COUNTIFS($A$2:A92,A92,$E$2:E92,0)=1),L92,0)</f>
        <v>0</v>
      </c>
    </row>
    <row r="93" spans="1:13" ht="15" customHeight="1">
      <c r="A93" s="1">
        <v>7040</v>
      </c>
      <c r="B93" s="1" t="s">
        <v>16</v>
      </c>
      <c r="C93" s="2" t="s">
        <v>103</v>
      </c>
      <c r="D93" s="2" t="s">
        <v>119</v>
      </c>
      <c r="E93" s="1">
        <v>1</v>
      </c>
      <c r="F93" s="2" t="s">
        <v>123</v>
      </c>
      <c r="G93" s="1">
        <v>4</v>
      </c>
      <c r="H93" s="1" t="str">
        <f t="shared" si="1"/>
        <v>k7040_4</v>
      </c>
      <c r="K93" s="1">
        <f>IF(E93=0,SUMPRODUCT(($A$2:$A$4734=A93)*($B$2:$B$4734=B93)*($D$2:$D$4734=D93)*($E$2:$E$4734=0)),0)</f>
        <v>0</v>
      </c>
      <c r="L93" s="1" t="str">
        <f>IF(E93=0,SUMPRODUCT(MIN($K$2:$K$4734+((($A$2:$A$4734&lt;&gt;A93)+($E$2:$E$4734&lt;&gt;0))&gt;0)*1000000)),"")</f>
        <v/>
      </c>
      <c r="M93" s="1">
        <f>IF(AND(E93=0,COUNTIFS($A$2:A93,A93,$E$2:E93,0)=1),L93,0)</f>
        <v>0</v>
      </c>
    </row>
    <row r="94" spans="1:13" ht="15" customHeight="1">
      <c r="A94" s="1">
        <v>7041</v>
      </c>
      <c r="B94" s="1" t="s">
        <v>16</v>
      </c>
      <c r="C94" s="2" t="s">
        <v>124</v>
      </c>
      <c r="D94" s="2" t="s">
        <v>125</v>
      </c>
      <c r="E94" s="1">
        <v>0</v>
      </c>
      <c r="F94" s="2" t="s">
        <v>126</v>
      </c>
      <c r="H94" s="1" t="str">
        <f t="shared" si="1"/>
        <v/>
      </c>
      <c r="K94" s="1">
        <f>IF(E94=0,SUMPRODUCT(($A$2:$A$4734=A94)*($B$2:$B$4734=B94)*($D$2:$D$4734=D94)*($E$2:$E$4734=0)),0)</f>
        <v>4</v>
      </c>
      <c r="L94" s="1">
        <f>IF(E94=0,SUMPRODUCT(MIN($K$2:$K$4734+((($A$2:$A$4734&lt;&gt;A94)+($E$2:$E$4734&lt;&gt;0))&gt;0)*1000000)),"")</f>
        <v>4</v>
      </c>
      <c r="M94" s="1">
        <f>IF(AND(E94=0,COUNTIFS($A$2:A94,A94,$E$2:E94,0)=1),L94,0)</f>
        <v>4</v>
      </c>
    </row>
    <row r="95" spans="1:13" ht="15" customHeight="1">
      <c r="A95" s="1">
        <v>7041</v>
      </c>
      <c r="B95" s="1" t="s">
        <v>16</v>
      </c>
      <c r="C95" s="2" t="s">
        <v>124</v>
      </c>
      <c r="D95" s="2" t="s">
        <v>125</v>
      </c>
      <c r="E95" s="1">
        <v>0</v>
      </c>
      <c r="F95" s="2" t="s">
        <v>127</v>
      </c>
      <c r="H95" s="1" t="str">
        <f t="shared" si="1"/>
        <v/>
      </c>
      <c r="K95" s="1">
        <f>IF(E95=0,SUMPRODUCT(($A$2:$A$4734=A95)*($B$2:$B$4734=B95)*($D$2:$D$4734=D95)*($E$2:$E$4734=0)),0)</f>
        <v>4</v>
      </c>
      <c r="L95" s="1">
        <f>IF(E95=0,SUMPRODUCT(MIN($K$2:$K$4734+((($A$2:$A$4734&lt;&gt;A95)+($E$2:$E$4734&lt;&gt;0))&gt;0)*1000000)),"")</f>
        <v>4</v>
      </c>
      <c r="M95" s="1">
        <f>IF(AND(E95=0,COUNTIFS($A$2:A95,A95,$E$2:E95,0)=1),L95,0)</f>
        <v>0</v>
      </c>
    </row>
    <row r="96" spans="1:13" ht="15" customHeight="1">
      <c r="A96" s="1">
        <v>7041</v>
      </c>
      <c r="B96" s="1" t="s">
        <v>16</v>
      </c>
      <c r="C96" s="2" t="s">
        <v>124</v>
      </c>
      <c r="D96" s="2" t="s">
        <v>125</v>
      </c>
      <c r="E96" s="1">
        <v>0</v>
      </c>
      <c r="F96" s="2" t="s">
        <v>128</v>
      </c>
      <c r="H96" s="1" t="str">
        <f t="shared" si="1"/>
        <v/>
      </c>
      <c r="K96" s="1">
        <f>IF(E96=0,SUMPRODUCT(($A$2:$A$4734=A96)*($B$2:$B$4734=B96)*($D$2:$D$4734=D96)*($E$2:$E$4734=0)),0)</f>
        <v>4</v>
      </c>
      <c r="L96" s="1">
        <f>IF(E96=0,SUMPRODUCT(MIN($K$2:$K$4734+((($A$2:$A$4734&lt;&gt;A96)+($E$2:$E$4734&lt;&gt;0))&gt;0)*1000000)),"")</f>
        <v>4</v>
      </c>
      <c r="M96" s="1">
        <f>IF(AND(E96=0,COUNTIFS($A$2:A96,A96,$E$2:E96,0)=1),L96,0)</f>
        <v>0</v>
      </c>
    </row>
    <row r="97" spans="1:13" ht="15" customHeight="1">
      <c r="A97" s="1">
        <v>7041</v>
      </c>
      <c r="B97" s="1" t="s">
        <v>16</v>
      </c>
      <c r="C97" s="2" t="s">
        <v>124</v>
      </c>
      <c r="D97" s="2" t="s">
        <v>125</v>
      </c>
      <c r="E97" s="1">
        <v>0</v>
      </c>
      <c r="F97" s="2" t="s">
        <v>129</v>
      </c>
      <c r="H97" s="1" t="str">
        <f t="shared" si="1"/>
        <v/>
      </c>
      <c r="K97" s="1">
        <f>IF(E97=0,SUMPRODUCT(($A$2:$A$4734=A97)*($B$2:$B$4734=B97)*($D$2:$D$4734=D97)*($E$2:$E$4734=0)),0)</f>
        <v>4</v>
      </c>
      <c r="L97" s="1">
        <f>IF(E97=0,SUMPRODUCT(MIN($K$2:$K$4734+((($A$2:$A$4734&lt;&gt;A97)+($E$2:$E$4734&lt;&gt;0))&gt;0)*1000000)),"")</f>
        <v>4</v>
      </c>
      <c r="M97" s="1">
        <f>IF(AND(E97=0,COUNTIFS($A$2:A97,A97,$E$2:E97,0)=1),L97,0)</f>
        <v>0</v>
      </c>
    </row>
    <row r="98" spans="1:13" ht="15" customHeight="1">
      <c r="A98" s="1">
        <v>7041</v>
      </c>
      <c r="B98" s="1" t="s">
        <v>9</v>
      </c>
      <c r="C98" s="2" t="s">
        <v>124</v>
      </c>
      <c r="D98" s="2" t="s">
        <v>130</v>
      </c>
      <c r="E98" s="1">
        <v>0</v>
      </c>
      <c r="F98" s="2" t="s">
        <v>131</v>
      </c>
      <c r="H98" s="1" t="str">
        <f t="shared" si="1"/>
        <v/>
      </c>
      <c r="K98" s="1">
        <f>IF(E98=0,SUMPRODUCT(($A$2:$A$4734=A98)*($B$2:$B$4734=B98)*($D$2:$D$4734=D98)*($E$2:$E$4734=0)),0)</f>
        <v>6</v>
      </c>
      <c r="L98" s="1">
        <f>IF(E98=0,SUMPRODUCT(MIN($K$2:$K$4734+((($A$2:$A$4734&lt;&gt;A98)+($E$2:$E$4734&lt;&gt;0))&gt;0)*1000000)),"")</f>
        <v>4</v>
      </c>
      <c r="M98" s="1">
        <f>IF(AND(E98=0,COUNTIFS($A$2:A98,A98,$E$2:E98,0)=1),L98,0)</f>
        <v>0</v>
      </c>
    </row>
    <row r="99" spans="1:13" ht="15" customHeight="1">
      <c r="A99" s="1">
        <v>7041</v>
      </c>
      <c r="B99" s="1" t="s">
        <v>9</v>
      </c>
      <c r="C99" s="2" t="s">
        <v>124</v>
      </c>
      <c r="D99" s="2" t="s">
        <v>130</v>
      </c>
      <c r="E99" s="1">
        <v>0</v>
      </c>
      <c r="F99" s="2" t="s">
        <v>132</v>
      </c>
      <c r="H99" s="1" t="str">
        <f t="shared" si="1"/>
        <v/>
      </c>
      <c r="K99" s="1">
        <f>IF(E99=0,SUMPRODUCT(($A$2:$A$4734=A99)*($B$2:$B$4734=B99)*($D$2:$D$4734=D99)*($E$2:$E$4734=0)),0)</f>
        <v>6</v>
      </c>
      <c r="L99" s="1">
        <f>IF(E99=0,SUMPRODUCT(MIN($K$2:$K$4734+((($A$2:$A$4734&lt;&gt;A99)+($E$2:$E$4734&lt;&gt;0))&gt;0)*1000000)),"")</f>
        <v>4</v>
      </c>
      <c r="M99" s="1">
        <f>IF(AND(E99=0,COUNTIFS($A$2:A99,A99,$E$2:E99,0)=1),L99,0)</f>
        <v>0</v>
      </c>
    </row>
    <row r="100" spans="1:13" ht="15" customHeight="1">
      <c r="A100" s="1">
        <v>7041</v>
      </c>
      <c r="B100" s="1" t="s">
        <v>9</v>
      </c>
      <c r="C100" s="2" t="s">
        <v>124</v>
      </c>
      <c r="D100" s="2" t="s">
        <v>130</v>
      </c>
      <c r="E100" s="1">
        <v>0</v>
      </c>
      <c r="F100" s="2" t="s">
        <v>133</v>
      </c>
      <c r="H100" s="1" t="str">
        <f t="shared" si="1"/>
        <v/>
      </c>
      <c r="K100" s="1">
        <f>IF(E100=0,SUMPRODUCT(($A$2:$A$4734=A100)*($B$2:$B$4734=B100)*($D$2:$D$4734=D100)*($E$2:$E$4734=0)),0)</f>
        <v>6</v>
      </c>
      <c r="L100" s="1">
        <f>IF(E100=0,SUMPRODUCT(MIN($K$2:$K$4734+((($A$2:$A$4734&lt;&gt;A100)+($E$2:$E$4734&lt;&gt;0))&gt;0)*1000000)),"")</f>
        <v>4</v>
      </c>
      <c r="M100" s="1">
        <f>IF(AND(E100=0,COUNTIFS($A$2:A100,A100,$E$2:E100,0)=1),L100,0)</f>
        <v>0</v>
      </c>
    </row>
    <row r="101" spans="1:13" ht="15" customHeight="1">
      <c r="A101" s="1">
        <v>7041</v>
      </c>
      <c r="B101" s="1" t="s">
        <v>9</v>
      </c>
      <c r="C101" s="2" t="s">
        <v>124</v>
      </c>
      <c r="D101" s="2" t="s">
        <v>130</v>
      </c>
      <c r="E101" s="1">
        <v>0</v>
      </c>
      <c r="F101" s="2" t="s">
        <v>134</v>
      </c>
      <c r="H101" s="1" t="str">
        <f t="shared" si="1"/>
        <v/>
      </c>
      <c r="K101" s="1">
        <f>IF(E101=0,SUMPRODUCT(($A$2:$A$4734=A101)*($B$2:$B$4734=B101)*($D$2:$D$4734=D101)*($E$2:$E$4734=0)),0)</f>
        <v>6</v>
      </c>
      <c r="L101" s="1">
        <f>IF(E101=0,SUMPRODUCT(MIN($K$2:$K$4734+((($A$2:$A$4734&lt;&gt;A101)+($E$2:$E$4734&lt;&gt;0))&gt;0)*1000000)),"")</f>
        <v>4</v>
      </c>
      <c r="M101" s="1">
        <f>IF(AND(E101=0,COUNTIFS($A$2:A101,A101,$E$2:E101,0)=1),L101,0)</f>
        <v>0</v>
      </c>
    </row>
    <row r="102" spans="1:13" ht="15" customHeight="1">
      <c r="A102" s="1">
        <v>7041</v>
      </c>
      <c r="B102" s="1" t="s">
        <v>9</v>
      </c>
      <c r="C102" s="2" t="s">
        <v>124</v>
      </c>
      <c r="D102" s="2" t="s">
        <v>130</v>
      </c>
      <c r="E102" s="1">
        <v>0</v>
      </c>
      <c r="F102" s="2" t="s">
        <v>135</v>
      </c>
      <c r="H102" s="1" t="str">
        <f t="shared" si="1"/>
        <v/>
      </c>
      <c r="K102" s="1">
        <f>IF(E102=0,SUMPRODUCT(($A$2:$A$4734=A102)*($B$2:$B$4734=B102)*($D$2:$D$4734=D102)*($E$2:$E$4734=0)),0)</f>
        <v>6</v>
      </c>
      <c r="L102" s="1">
        <f>IF(E102=0,SUMPRODUCT(MIN($K$2:$K$4734+((($A$2:$A$4734&lt;&gt;A102)+($E$2:$E$4734&lt;&gt;0))&gt;0)*1000000)),"")</f>
        <v>4</v>
      </c>
      <c r="M102" s="1">
        <f>IF(AND(E102=0,COUNTIFS($A$2:A102,A102,$E$2:E102,0)=1),L102,0)</f>
        <v>0</v>
      </c>
    </row>
    <row r="103" spans="1:13" ht="15" customHeight="1">
      <c r="A103" s="1">
        <v>7041</v>
      </c>
      <c r="B103" s="1" t="s">
        <v>9</v>
      </c>
      <c r="C103" s="2" t="s">
        <v>124</v>
      </c>
      <c r="D103" s="2" t="s">
        <v>130</v>
      </c>
      <c r="E103" s="1">
        <v>0</v>
      </c>
      <c r="F103" s="2" t="s">
        <v>136</v>
      </c>
      <c r="H103" s="1" t="str">
        <f t="shared" si="1"/>
        <v/>
      </c>
      <c r="K103" s="1">
        <f>IF(E103=0,SUMPRODUCT(($A$2:$A$4734=A103)*($B$2:$B$4734=B103)*($D$2:$D$4734=D103)*($E$2:$E$4734=0)),0)</f>
        <v>6</v>
      </c>
      <c r="L103" s="1">
        <f>IF(E103=0,SUMPRODUCT(MIN($K$2:$K$4734+((($A$2:$A$4734&lt;&gt;A103)+($E$2:$E$4734&lt;&gt;0))&gt;0)*1000000)),"")</f>
        <v>4</v>
      </c>
      <c r="M103" s="1">
        <f>IF(AND(E103=0,COUNTIFS($A$2:A103,A103,$E$2:E103,0)=1),L103,0)</f>
        <v>0</v>
      </c>
    </row>
    <row r="104" spans="1:13" ht="15" customHeight="1">
      <c r="A104" s="1">
        <v>7044</v>
      </c>
      <c r="B104" s="1" t="s">
        <v>9</v>
      </c>
      <c r="C104" s="2" t="s">
        <v>137</v>
      </c>
      <c r="D104" s="2" t="s">
        <v>138</v>
      </c>
      <c r="E104" s="1">
        <v>1</v>
      </c>
      <c r="F104" s="2" t="s">
        <v>139</v>
      </c>
      <c r="G104" s="1">
        <v>1</v>
      </c>
      <c r="H104" s="1" t="str">
        <f t="shared" si="1"/>
        <v>k7044_1</v>
      </c>
      <c r="K104" s="1">
        <f>IF(E104=0,SUMPRODUCT(($A$2:$A$4734=A104)*($B$2:$B$4734=B104)*($D$2:$D$4734=D104)*($E$2:$E$4734=0)),0)</f>
        <v>0</v>
      </c>
      <c r="L104" s="1" t="str">
        <f>IF(E104=0,SUMPRODUCT(MIN($K$2:$K$4734+((($A$2:$A$4734&lt;&gt;A104)+($E$2:$E$4734&lt;&gt;0))&gt;0)*1000000)),"")</f>
        <v/>
      </c>
      <c r="M104" s="1">
        <f>IF(AND(E104=0,COUNTIFS($A$2:A104,A104,$E$2:E104,0)=1),L104,0)</f>
        <v>0</v>
      </c>
    </row>
    <row r="105" spans="1:13" ht="15" customHeight="1">
      <c r="A105" s="1">
        <v>7044</v>
      </c>
      <c r="B105" s="1" t="s">
        <v>9</v>
      </c>
      <c r="C105" s="2" t="s">
        <v>137</v>
      </c>
      <c r="D105" s="2" t="s">
        <v>138</v>
      </c>
      <c r="E105" s="1">
        <v>1</v>
      </c>
      <c r="F105" s="2" t="s">
        <v>140</v>
      </c>
      <c r="G105" s="1">
        <v>2</v>
      </c>
      <c r="H105" s="1" t="str">
        <f t="shared" si="1"/>
        <v>k7044_2</v>
      </c>
      <c r="K105" s="1">
        <f>IF(E105=0,SUMPRODUCT(($A$2:$A$4734=A105)*($B$2:$B$4734=B105)*($D$2:$D$4734=D105)*($E$2:$E$4734=0)),0)</f>
        <v>0</v>
      </c>
      <c r="L105" s="1" t="str">
        <f>IF(E105=0,SUMPRODUCT(MIN($K$2:$K$4734+((($A$2:$A$4734&lt;&gt;A105)+($E$2:$E$4734&lt;&gt;0))&gt;0)*1000000)),"")</f>
        <v/>
      </c>
      <c r="M105" s="1">
        <f>IF(AND(E105=0,COUNTIFS($A$2:A105,A105,$E$2:E105,0)=1),L105,0)</f>
        <v>0</v>
      </c>
    </row>
    <row r="106" spans="1:13" ht="15" customHeight="1">
      <c r="A106" s="1">
        <v>7044</v>
      </c>
      <c r="B106" s="1" t="s">
        <v>9</v>
      </c>
      <c r="C106" s="2" t="s">
        <v>137</v>
      </c>
      <c r="D106" s="2" t="s">
        <v>138</v>
      </c>
      <c r="E106" s="1">
        <v>1</v>
      </c>
      <c r="F106" s="2" t="s">
        <v>141</v>
      </c>
      <c r="G106" s="1">
        <v>3</v>
      </c>
      <c r="H106" s="1" t="str">
        <f t="shared" si="1"/>
        <v>k7044_3</v>
      </c>
      <c r="K106" s="1">
        <f>IF(E106=0,SUMPRODUCT(($A$2:$A$4734=A106)*($B$2:$B$4734=B106)*($D$2:$D$4734=D106)*($E$2:$E$4734=0)),0)</f>
        <v>0</v>
      </c>
      <c r="L106" s="1" t="str">
        <f>IF(E106=0,SUMPRODUCT(MIN($K$2:$K$4734+((($A$2:$A$4734&lt;&gt;A106)+($E$2:$E$4734&lt;&gt;0))&gt;0)*1000000)),"")</f>
        <v/>
      </c>
      <c r="M106" s="1">
        <f>IF(AND(E106=0,COUNTIFS($A$2:A106,A106,$E$2:E106,0)=1),L106,0)</f>
        <v>0</v>
      </c>
    </row>
    <row r="107" spans="1:13" ht="15" customHeight="1">
      <c r="A107" s="1">
        <v>7044</v>
      </c>
      <c r="B107" s="1" t="s">
        <v>9</v>
      </c>
      <c r="C107" s="2" t="s">
        <v>137</v>
      </c>
      <c r="D107" s="2" t="s">
        <v>138</v>
      </c>
      <c r="E107" s="1">
        <v>1</v>
      </c>
      <c r="F107" s="2" t="s">
        <v>142</v>
      </c>
      <c r="G107" s="1">
        <v>4</v>
      </c>
      <c r="H107" s="1" t="str">
        <f t="shared" si="1"/>
        <v>k7044_4</v>
      </c>
      <c r="K107" s="1">
        <f>IF(E107=0,SUMPRODUCT(($A$2:$A$4734=A107)*($B$2:$B$4734=B107)*($D$2:$D$4734=D107)*($E$2:$E$4734=0)),0)</f>
        <v>0</v>
      </c>
      <c r="L107" s="1" t="str">
        <f>IF(E107=0,SUMPRODUCT(MIN($K$2:$K$4734+((($A$2:$A$4734&lt;&gt;A107)+($E$2:$E$4734&lt;&gt;0))&gt;0)*1000000)),"")</f>
        <v/>
      </c>
      <c r="M107" s="1">
        <f>IF(AND(E107=0,COUNTIFS($A$2:A107,A107,$E$2:E107,0)=1),L107,0)</f>
        <v>0</v>
      </c>
    </row>
    <row r="108" spans="1:13" ht="15" customHeight="1">
      <c r="A108" s="1">
        <v>7044</v>
      </c>
      <c r="B108" s="1" t="s">
        <v>9</v>
      </c>
      <c r="C108" s="2" t="s">
        <v>137</v>
      </c>
      <c r="D108" s="2" t="s">
        <v>138</v>
      </c>
      <c r="E108" s="1">
        <v>1</v>
      </c>
      <c r="F108" s="2" t="s">
        <v>143</v>
      </c>
      <c r="G108" s="1">
        <v>5</v>
      </c>
      <c r="H108" s="1" t="str">
        <f t="shared" si="1"/>
        <v>k7044_5</v>
      </c>
      <c r="K108" s="1">
        <f>IF(E108=0,SUMPRODUCT(($A$2:$A$4734=A108)*($B$2:$B$4734=B108)*($D$2:$D$4734=D108)*($E$2:$E$4734=0)),0)</f>
        <v>0</v>
      </c>
      <c r="L108" s="1" t="str">
        <f>IF(E108=0,SUMPRODUCT(MIN($K$2:$K$4734+((($A$2:$A$4734&lt;&gt;A108)+($E$2:$E$4734&lt;&gt;0))&gt;0)*1000000)),"")</f>
        <v/>
      </c>
      <c r="M108" s="1">
        <f>IF(AND(E108=0,COUNTIFS($A$2:A108,A108,$E$2:E108,0)=1),L108,0)</f>
        <v>0</v>
      </c>
    </row>
    <row r="109" spans="1:13" ht="15" customHeight="1">
      <c r="A109" s="1">
        <v>7044</v>
      </c>
      <c r="B109" s="1" t="s">
        <v>144</v>
      </c>
      <c r="C109" s="2" t="s">
        <v>137</v>
      </c>
      <c r="D109" s="2" t="s">
        <v>145</v>
      </c>
      <c r="E109" s="1">
        <v>1</v>
      </c>
      <c r="F109" s="2" t="s">
        <v>146</v>
      </c>
      <c r="G109" s="1">
        <v>1</v>
      </c>
      <c r="H109" s="1" t="str">
        <f t="shared" si="1"/>
        <v>k7044_1</v>
      </c>
      <c r="K109" s="1">
        <f>IF(E109=0,SUMPRODUCT(($A$2:$A$4734=A109)*($B$2:$B$4734=B109)*($D$2:$D$4734=D109)*($E$2:$E$4734=0)),0)</f>
        <v>0</v>
      </c>
      <c r="L109" s="1" t="str">
        <f>IF(E109=0,SUMPRODUCT(MIN($K$2:$K$4734+((($A$2:$A$4734&lt;&gt;A109)+($E$2:$E$4734&lt;&gt;0))&gt;0)*1000000)),"")</f>
        <v/>
      </c>
      <c r="M109" s="1">
        <f>IF(AND(E109=0,COUNTIFS($A$2:A109,A109,$E$2:E109,0)=1),L109,0)</f>
        <v>0</v>
      </c>
    </row>
    <row r="110" spans="1:13" ht="15" customHeight="1">
      <c r="A110" s="1">
        <v>7044</v>
      </c>
      <c r="B110" s="1" t="s">
        <v>144</v>
      </c>
      <c r="C110" s="2" t="s">
        <v>137</v>
      </c>
      <c r="D110" s="2" t="s">
        <v>145</v>
      </c>
      <c r="E110" s="1">
        <v>1</v>
      </c>
      <c r="F110" s="2" t="s">
        <v>147</v>
      </c>
      <c r="G110" s="1">
        <v>2</v>
      </c>
      <c r="H110" s="1" t="str">
        <f t="shared" si="1"/>
        <v>k7044_2</v>
      </c>
      <c r="K110" s="1">
        <f>IF(E110=0,SUMPRODUCT(($A$2:$A$4734=A110)*($B$2:$B$4734=B110)*($D$2:$D$4734=D110)*($E$2:$E$4734=0)),0)</f>
        <v>0</v>
      </c>
      <c r="L110" s="1" t="str">
        <f>IF(E110=0,SUMPRODUCT(MIN($K$2:$K$4734+((($A$2:$A$4734&lt;&gt;A110)+($E$2:$E$4734&lt;&gt;0))&gt;0)*1000000)),"")</f>
        <v/>
      </c>
      <c r="M110" s="1">
        <f>IF(AND(E110=0,COUNTIFS($A$2:A110,A110,$E$2:E110,0)=1),L110,0)</f>
        <v>0</v>
      </c>
    </row>
    <row r="111" spans="1:13" ht="15" customHeight="1">
      <c r="A111" s="1">
        <v>7044</v>
      </c>
      <c r="B111" s="1" t="s">
        <v>144</v>
      </c>
      <c r="C111" s="2" t="s">
        <v>137</v>
      </c>
      <c r="D111" s="2" t="s">
        <v>145</v>
      </c>
      <c r="E111" s="1">
        <v>1</v>
      </c>
      <c r="F111" s="2" t="s">
        <v>148</v>
      </c>
      <c r="G111" s="1">
        <v>3</v>
      </c>
      <c r="H111" s="1" t="str">
        <f t="shared" si="1"/>
        <v>k7044_3</v>
      </c>
      <c r="K111" s="1">
        <f>IF(E111=0,SUMPRODUCT(($A$2:$A$4734=A111)*($B$2:$B$4734=B111)*($D$2:$D$4734=D111)*($E$2:$E$4734=0)),0)</f>
        <v>0</v>
      </c>
      <c r="L111" s="1" t="str">
        <f>IF(E111=0,SUMPRODUCT(MIN($K$2:$K$4734+((($A$2:$A$4734&lt;&gt;A111)+($E$2:$E$4734&lt;&gt;0))&gt;0)*1000000)),"")</f>
        <v/>
      </c>
      <c r="M111" s="1">
        <f>IF(AND(E111=0,COUNTIFS($A$2:A111,A111,$E$2:E111,0)=1),L111,0)</f>
        <v>0</v>
      </c>
    </row>
    <row r="112" spans="1:13" ht="15" customHeight="1">
      <c r="A112" s="1">
        <v>7044</v>
      </c>
      <c r="B112" s="1" t="s">
        <v>144</v>
      </c>
      <c r="C112" s="2" t="s">
        <v>137</v>
      </c>
      <c r="D112" s="2" t="s">
        <v>145</v>
      </c>
      <c r="E112" s="1">
        <v>1</v>
      </c>
      <c r="F112" s="2" t="s">
        <v>149</v>
      </c>
      <c r="G112" s="1">
        <v>4</v>
      </c>
      <c r="H112" s="1" t="str">
        <f t="shared" si="1"/>
        <v>k7044_4</v>
      </c>
      <c r="K112" s="1">
        <f>IF(E112=0,SUMPRODUCT(($A$2:$A$4734=A112)*($B$2:$B$4734=B112)*($D$2:$D$4734=D112)*($E$2:$E$4734=0)),0)</f>
        <v>0</v>
      </c>
      <c r="L112" s="1" t="str">
        <f>IF(E112=0,SUMPRODUCT(MIN($K$2:$K$4734+((($A$2:$A$4734&lt;&gt;A112)+($E$2:$E$4734&lt;&gt;0))&gt;0)*1000000)),"")</f>
        <v/>
      </c>
      <c r="M112" s="1">
        <f>IF(AND(E112=0,COUNTIFS($A$2:A112,A112,$E$2:E112,0)=1),L112,0)</f>
        <v>0</v>
      </c>
    </row>
    <row r="113" spans="1:13" ht="15" customHeight="1">
      <c r="A113" s="1">
        <v>7044</v>
      </c>
      <c r="B113" s="1" t="s">
        <v>144</v>
      </c>
      <c r="C113" s="2" t="s">
        <v>137</v>
      </c>
      <c r="D113" s="2" t="s">
        <v>145</v>
      </c>
      <c r="E113" s="1">
        <v>1</v>
      </c>
      <c r="F113" s="2" t="s">
        <v>150</v>
      </c>
      <c r="G113" s="1">
        <v>5</v>
      </c>
      <c r="H113" s="1" t="str">
        <f t="shared" si="1"/>
        <v>k7044_5</v>
      </c>
      <c r="K113" s="1">
        <f>IF(E113=0,SUMPRODUCT(($A$2:$A$4734=A113)*($B$2:$B$4734=B113)*($D$2:$D$4734=D113)*($E$2:$E$4734=0)),0)</f>
        <v>0</v>
      </c>
      <c r="L113" s="1" t="str">
        <f>IF(E113=0,SUMPRODUCT(MIN($K$2:$K$4734+((($A$2:$A$4734&lt;&gt;A113)+($E$2:$E$4734&lt;&gt;0))&gt;0)*1000000)),"")</f>
        <v/>
      </c>
      <c r="M113" s="1">
        <f>IF(AND(E113=0,COUNTIFS($A$2:A113,A113,$E$2:E113,0)=1),L113,0)</f>
        <v>0</v>
      </c>
    </row>
    <row r="114" spans="1:13" ht="15" customHeight="1">
      <c r="A114" s="1">
        <v>7045</v>
      </c>
      <c r="B114" s="1" t="s">
        <v>69</v>
      </c>
      <c r="C114" s="2" t="s">
        <v>151</v>
      </c>
      <c r="D114" s="2" t="s">
        <v>152</v>
      </c>
      <c r="E114" s="1">
        <v>1</v>
      </c>
      <c r="F114" s="2" t="s">
        <v>153</v>
      </c>
      <c r="G114" s="1">
        <v>1</v>
      </c>
      <c r="H114" s="1" t="str">
        <f t="shared" si="1"/>
        <v>k7045_1</v>
      </c>
      <c r="K114" s="1">
        <f>IF(E114=0,SUMPRODUCT(($A$2:$A$4734=A114)*($B$2:$B$4734=B114)*($D$2:$D$4734=D114)*($E$2:$E$4734=0)),0)</f>
        <v>0</v>
      </c>
      <c r="L114" s="1" t="str">
        <f>IF(E114=0,SUMPRODUCT(MIN($K$2:$K$4734+((($A$2:$A$4734&lt;&gt;A114)+($E$2:$E$4734&lt;&gt;0))&gt;0)*1000000)),"")</f>
        <v/>
      </c>
      <c r="M114" s="1">
        <f>IF(AND(E114=0,COUNTIFS($A$2:A114,A114,$E$2:E114,0)=1),L114,0)</f>
        <v>0</v>
      </c>
    </row>
    <row r="115" spans="1:13" ht="15" customHeight="1">
      <c r="A115" s="1">
        <v>7045</v>
      </c>
      <c r="B115" s="1" t="s">
        <v>69</v>
      </c>
      <c r="C115" s="2" t="s">
        <v>151</v>
      </c>
      <c r="D115" s="2" t="s">
        <v>152</v>
      </c>
      <c r="E115" s="1">
        <v>1</v>
      </c>
      <c r="F115" s="2" t="s">
        <v>154</v>
      </c>
      <c r="G115" s="1">
        <v>2</v>
      </c>
      <c r="H115" s="1" t="str">
        <f t="shared" si="1"/>
        <v>k7045_2</v>
      </c>
      <c r="K115" s="1">
        <f>IF(E115=0,SUMPRODUCT(($A$2:$A$4734=A115)*($B$2:$B$4734=B115)*($D$2:$D$4734=D115)*($E$2:$E$4734=0)),0)</f>
        <v>0</v>
      </c>
      <c r="L115" s="1" t="str">
        <f>IF(E115=0,SUMPRODUCT(MIN($K$2:$K$4734+((($A$2:$A$4734&lt;&gt;A115)+($E$2:$E$4734&lt;&gt;0))&gt;0)*1000000)),"")</f>
        <v/>
      </c>
      <c r="M115" s="1">
        <f>IF(AND(E115=0,COUNTIFS($A$2:A115,A115,$E$2:E115,0)=1),L115,0)</f>
        <v>0</v>
      </c>
    </row>
    <row r="116" spans="1:13" ht="15" customHeight="1">
      <c r="A116" s="1">
        <v>7045</v>
      </c>
      <c r="B116" s="1" t="s">
        <v>69</v>
      </c>
      <c r="C116" s="2" t="s">
        <v>151</v>
      </c>
      <c r="D116" s="2" t="s">
        <v>152</v>
      </c>
      <c r="E116" s="1">
        <v>1</v>
      </c>
      <c r="F116" s="2" t="s">
        <v>155</v>
      </c>
      <c r="G116" s="1">
        <v>3</v>
      </c>
      <c r="H116" s="1" t="str">
        <f t="shared" si="1"/>
        <v>k7045_3</v>
      </c>
      <c r="K116" s="1">
        <f>IF(E116=0,SUMPRODUCT(($A$2:$A$4734=A116)*($B$2:$B$4734=B116)*($D$2:$D$4734=D116)*($E$2:$E$4734=0)),0)</f>
        <v>0</v>
      </c>
      <c r="L116" s="1" t="str">
        <f>IF(E116=0,SUMPRODUCT(MIN($K$2:$K$4734+((($A$2:$A$4734&lt;&gt;A116)+($E$2:$E$4734&lt;&gt;0))&gt;0)*1000000)),"")</f>
        <v/>
      </c>
      <c r="M116" s="1">
        <f>IF(AND(E116=0,COUNTIFS($A$2:A116,A116,$E$2:E116,0)=1),L116,0)</f>
        <v>0</v>
      </c>
    </row>
    <row r="117" spans="1:13" ht="15" customHeight="1">
      <c r="A117" s="1">
        <v>7045</v>
      </c>
      <c r="B117" s="1" t="s">
        <v>69</v>
      </c>
      <c r="C117" s="2" t="s">
        <v>151</v>
      </c>
      <c r="D117" s="2" t="s">
        <v>152</v>
      </c>
      <c r="E117" s="1">
        <v>1</v>
      </c>
      <c r="F117" s="2" t="s">
        <v>156</v>
      </c>
      <c r="G117" s="1">
        <v>4</v>
      </c>
      <c r="H117" s="1" t="str">
        <f t="shared" si="1"/>
        <v>k7045_4</v>
      </c>
      <c r="K117" s="1">
        <f>IF(E117=0,SUMPRODUCT(($A$2:$A$4734=A117)*($B$2:$B$4734=B117)*($D$2:$D$4734=D117)*($E$2:$E$4734=0)),0)</f>
        <v>0</v>
      </c>
      <c r="L117" s="1" t="str">
        <f>IF(E117=0,SUMPRODUCT(MIN($K$2:$K$4734+((($A$2:$A$4734&lt;&gt;A117)+($E$2:$E$4734&lt;&gt;0))&gt;0)*1000000)),"")</f>
        <v/>
      </c>
      <c r="M117" s="1">
        <f>IF(AND(E117=0,COUNTIFS($A$2:A117,A117,$E$2:E117,0)=1),L117,0)</f>
        <v>0</v>
      </c>
    </row>
    <row r="118" spans="1:13" ht="15" customHeight="1">
      <c r="A118" s="1">
        <v>7045</v>
      </c>
      <c r="B118" s="1" t="s">
        <v>9</v>
      </c>
      <c r="C118" s="2" t="s">
        <v>151</v>
      </c>
      <c r="D118" s="2" t="s">
        <v>62</v>
      </c>
      <c r="E118" s="1">
        <v>1</v>
      </c>
      <c r="F118" s="2" t="s">
        <v>157</v>
      </c>
      <c r="G118" s="1">
        <v>1</v>
      </c>
      <c r="H118" s="1" t="str">
        <f t="shared" si="1"/>
        <v>k7045_1</v>
      </c>
      <c r="K118" s="1">
        <f>IF(E118=0,SUMPRODUCT(($A$2:$A$4734=A118)*($B$2:$B$4734=B118)*($D$2:$D$4734=D118)*($E$2:$E$4734=0)),0)</f>
        <v>0</v>
      </c>
      <c r="L118" s="1" t="str">
        <f>IF(E118=0,SUMPRODUCT(MIN($K$2:$K$4734+((($A$2:$A$4734&lt;&gt;A118)+($E$2:$E$4734&lt;&gt;0))&gt;0)*1000000)),"")</f>
        <v/>
      </c>
      <c r="M118" s="1">
        <f>IF(AND(E118=0,COUNTIFS($A$2:A118,A118,$E$2:E118,0)=1),L118,0)</f>
        <v>0</v>
      </c>
    </row>
    <row r="119" spans="1:13" ht="15" customHeight="1">
      <c r="A119" s="1">
        <v>7045</v>
      </c>
      <c r="B119" s="1" t="s">
        <v>9</v>
      </c>
      <c r="C119" s="2" t="s">
        <v>151</v>
      </c>
      <c r="D119" s="2" t="s">
        <v>62</v>
      </c>
      <c r="E119" s="1">
        <v>1</v>
      </c>
      <c r="F119" s="2" t="s">
        <v>158</v>
      </c>
      <c r="G119" s="1">
        <v>2</v>
      </c>
      <c r="H119" s="1" t="str">
        <f t="shared" si="1"/>
        <v>k7045_2</v>
      </c>
      <c r="K119" s="1">
        <f>IF(E119=0,SUMPRODUCT(($A$2:$A$4734=A119)*($B$2:$B$4734=B119)*($D$2:$D$4734=D119)*($E$2:$E$4734=0)),0)</f>
        <v>0</v>
      </c>
      <c r="L119" s="1" t="str">
        <f>IF(E119=0,SUMPRODUCT(MIN($K$2:$K$4734+((($A$2:$A$4734&lt;&gt;A119)+($E$2:$E$4734&lt;&gt;0))&gt;0)*1000000)),"")</f>
        <v/>
      </c>
      <c r="M119" s="1">
        <f>IF(AND(E119=0,COUNTIFS($A$2:A119,A119,$E$2:E119,0)=1),L119,0)</f>
        <v>0</v>
      </c>
    </row>
    <row r="120" spans="1:13" ht="15" customHeight="1">
      <c r="A120" s="1">
        <v>7045</v>
      </c>
      <c r="B120" s="1" t="s">
        <v>9</v>
      </c>
      <c r="C120" s="2" t="s">
        <v>151</v>
      </c>
      <c r="D120" s="2" t="s">
        <v>62</v>
      </c>
      <c r="E120" s="1">
        <v>1</v>
      </c>
      <c r="F120" s="2" t="s">
        <v>159</v>
      </c>
      <c r="G120" s="1">
        <v>3</v>
      </c>
      <c r="H120" s="1" t="str">
        <f t="shared" si="1"/>
        <v>k7045_3</v>
      </c>
      <c r="K120" s="1">
        <f>IF(E120=0,SUMPRODUCT(($A$2:$A$4734=A120)*($B$2:$B$4734=B120)*($D$2:$D$4734=D120)*($E$2:$E$4734=0)),0)</f>
        <v>0</v>
      </c>
      <c r="L120" s="1" t="str">
        <f>IF(E120=0,SUMPRODUCT(MIN($K$2:$K$4734+((($A$2:$A$4734&lt;&gt;A120)+($E$2:$E$4734&lt;&gt;0))&gt;0)*1000000)),"")</f>
        <v/>
      </c>
      <c r="M120" s="1">
        <f>IF(AND(E120=0,COUNTIFS($A$2:A120,A120,$E$2:E120,0)=1),L120,0)</f>
        <v>0</v>
      </c>
    </row>
    <row r="121" spans="1:13" ht="15" customHeight="1">
      <c r="A121" s="1">
        <v>7045</v>
      </c>
      <c r="B121" s="1" t="s">
        <v>9</v>
      </c>
      <c r="C121" s="2" t="s">
        <v>151</v>
      </c>
      <c r="D121" s="2" t="s">
        <v>62</v>
      </c>
      <c r="E121" s="1">
        <v>1</v>
      </c>
      <c r="F121" s="2" t="s">
        <v>160</v>
      </c>
      <c r="G121" s="1">
        <v>4</v>
      </c>
      <c r="H121" s="1" t="str">
        <f t="shared" si="1"/>
        <v>k7045_4</v>
      </c>
      <c r="K121" s="1">
        <f>IF(E121=0,SUMPRODUCT(($A$2:$A$4734=A121)*($B$2:$B$4734=B121)*($D$2:$D$4734=D121)*($E$2:$E$4734=0)),0)</f>
        <v>0</v>
      </c>
      <c r="L121" s="1" t="str">
        <f>IF(E121=0,SUMPRODUCT(MIN($K$2:$K$4734+((($A$2:$A$4734&lt;&gt;A121)+($E$2:$E$4734&lt;&gt;0))&gt;0)*1000000)),"")</f>
        <v/>
      </c>
      <c r="M121" s="1">
        <f>IF(AND(E121=0,COUNTIFS($A$2:A121,A121,$E$2:E121,0)=1),L121,0)</f>
        <v>0</v>
      </c>
    </row>
    <row r="122" spans="1:13" ht="15" customHeight="1">
      <c r="A122" s="1">
        <v>7045</v>
      </c>
      <c r="B122" s="1" t="s">
        <v>161</v>
      </c>
      <c r="C122" s="2" t="s">
        <v>151</v>
      </c>
      <c r="D122" s="2" t="s">
        <v>162</v>
      </c>
      <c r="E122" s="1">
        <v>1</v>
      </c>
      <c r="F122" s="2" t="s">
        <v>163</v>
      </c>
      <c r="G122" s="1">
        <v>1</v>
      </c>
      <c r="H122" s="1" t="str">
        <f t="shared" si="1"/>
        <v>k7045_1</v>
      </c>
      <c r="K122" s="1">
        <f>IF(E122=0,SUMPRODUCT(($A$2:$A$4734=A122)*($B$2:$B$4734=B122)*($D$2:$D$4734=D122)*($E$2:$E$4734=0)),0)</f>
        <v>0</v>
      </c>
      <c r="L122" s="1" t="str">
        <f>IF(E122=0,SUMPRODUCT(MIN($K$2:$K$4734+((($A$2:$A$4734&lt;&gt;A122)+($E$2:$E$4734&lt;&gt;0))&gt;0)*1000000)),"")</f>
        <v/>
      </c>
      <c r="M122" s="1">
        <f>IF(AND(E122=0,COUNTIFS($A$2:A122,A122,$E$2:E122,0)=1),L122,0)</f>
        <v>0</v>
      </c>
    </row>
    <row r="123" spans="1:13" ht="15" customHeight="1">
      <c r="A123" s="1">
        <v>7045</v>
      </c>
      <c r="B123" s="1" t="s">
        <v>161</v>
      </c>
      <c r="C123" s="2" t="s">
        <v>151</v>
      </c>
      <c r="D123" s="2" t="s">
        <v>162</v>
      </c>
      <c r="E123" s="1">
        <v>1</v>
      </c>
      <c r="F123" s="2" t="s">
        <v>164</v>
      </c>
      <c r="G123" s="1">
        <v>2</v>
      </c>
      <c r="H123" s="1" t="str">
        <f t="shared" si="1"/>
        <v>k7045_2</v>
      </c>
      <c r="K123" s="1">
        <f>IF(E123=0,SUMPRODUCT(($A$2:$A$4734=A123)*($B$2:$B$4734=B123)*($D$2:$D$4734=D123)*($E$2:$E$4734=0)),0)</f>
        <v>0</v>
      </c>
      <c r="L123" s="1" t="str">
        <f>IF(E123=0,SUMPRODUCT(MIN($K$2:$K$4734+((($A$2:$A$4734&lt;&gt;A123)+($E$2:$E$4734&lt;&gt;0))&gt;0)*1000000)),"")</f>
        <v/>
      </c>
      <c r="M123" s="1">
        <f>IF(AND(E123=0,COUNTIFS($A$2:A123,A123,$E$2:E123,0)=1),L123,0)</f>
        <v>0</v>
      </c>
    </row>
    <row r="124" spans="1:13" ht="15" customHeight="1">
      <c r="A124" s="1">
        <v>7045</v>
      </c>
      <c r="B124" s="1" t="s">
        <v>161</v>
      </c>
      <c r="C124" s="2" t="s">
        <v>151</v>
      </c>
      <c r="D124" s="2" t="s">
        <v>162</v>
      </c>
      <c r="E124" s="1">
        <v>1</v>
      </c>
      <c r="F124" s="2" t="s">
        <v>165</v>
      </c>
      <c r="G124" s="1">
        <v>3</v>
      </c>
      <c r="H124" s="1" t="str">
        <f t="shared" ref="H124:H187" si="2">IF(OR(E124&lt;&gt;1,G124=""),"","k"&amp;A124&amp;"_"&amp;G124)</f>
        <v>k7045_3</v>
      </c>
      <c r="K124" s="1">
        <f>IF(E124=0,SUMPRODUCT(($A$2:$A$4734=A124)*($B$2:$B$4734=B124)*($D$2:$D$4734=D124)*($E$2:$E$4734=0)),0)</f>
        <v>0</v>
      </c>
      <c r="L124" s="1" t="str">
        <f>IF(E124=0,SUMPRODUCT(MIN($K$2:$K$4734+((($A$2:$A$4734&lt;&gt;A124)+($E$2:$E$4734&lt;&gt;0))&gt;0)*1000000)),"")</f>
        <v/>
      </c>
      <c r="M124" s="1">
        <f>IF(AND(E124=0,COUNTIFS($A$2:A124,A124,$E$2:E124,0)=1),L124,0)</f>
        <v>0</v>
      </c>
    </row>
    <row r="125" spans="1:13" ht="15" customHeight="1">
      <c r="A125" s="1">
        <v>7045</v>
      </c>
      <c r="B125" s="1" t="s">
        <v>161</v>
      </c>
      <c r="C125" s="2" t="s">
        <v>151</v>
      </c>
      <c r="D125" s="2" t="s">
        <v>162</v>
      </c>
      <c r="E125" s="1">
        <v>1</v>
      </c>
      <c r="F125" s="2" t="s">
        <v>166</v>
      </c>
      <c r="G125" s="1">
        <v>4</v>
      </c>
      <c r="H125" s="1" t="str">
        <f t="shared" si="2"/>
        <v>k7045_4</v>
      </c>
      <c r="K125" s="1">
        <f>IF(E125=0,SUMPRODUCT(($A$2:$A$4734=A125)*($B$2:$B$4734=B125)*($D$2:$D$4734=D125)*($E$2:$E$4734=0)),0)</f>
        <v>0</v>
      </c>
      <c r="L125" s="1" t="str">
        <f>IF(E125=0,SUMPRODUCT(MIN($K$2:$K$4734+((($A$2:$A$4734&lt;&gt;A125)+($E$2:$E$4734&lt;&gt;0))&gt;0)*1000000)),"")</f>
        <v/>
      </c>
      <c r="M125" s="1">
        <f>IF(AND(E125=0,COUNTIFS($A$2:A125,A125,$E$2:E125,0)=1),L125,0)</f>
        <v>0</v>
      </c>
    </row>
    <row r="126" spans="1:13" ht="15" customHeight="1">
      <c r="A126" s="1">
        <v>7045</v>
      </c>
      <c r="B126" s="1" t="s">
        <v>167</v>
      </c>
      <c r="C126" s="2" t="s">
        <v>151</v>
      </c>
      <c r="D126" s="2" t="s">
        <v>168</v>
      </c>
      <c r="E126" s="1">
        <v>1</v>
      </c>
      <c r="F126" s="2" t="s">
        <v>169</v>
      </c>
      <c r="G126" s="1">
        <v>1</v>
      </c>
      <c r="H126" s="1" t="str">
        <f t="shared" si="2"/>
        <v>k7045_1</v>
      </c>
      <c r="K126" s="1">
        <f>IF(E126=0,SUMPRODUCT(($A$2:$A$4734=A126)*($B$2:$B$4734=B126)*($D$2:$D$4734=D126)*($E$2:$E$4734=0)),0)</f>
        <v>0</v>
      </c>
      <c r="L126" s="1" t="str">
        <f>IF(E126=0,SUMPRODUCT(MIN($K$2:$K$4734+((($A$2:$A$4734&lt;&gt;A126)+($E$2:$E$4734&lt;&gt;0))&gt;0)*1000000)),"")</f>
        <v/>
      </c>
      <c r="M126" s="1">
        <f>IF(AND(E126=0,COUNTIFS($A$2:A126,A126,$E$2:E126,0)=1),L126,0)</f>
        <v>0</v>
      </c>
    </row>
    <row r="127" spans="1:13" ht="15" customHeight="1">
      <c r="A127" s="1">
        <v>7045</v>
      </c>
      <c r="B127" s="1" t="s">
        <v>167</v>
      </c>
      <c r="C127" s="2" t="s">
        <v>151</v>
      </c>
      <c r="D127" s="2" t="s">
        <v>168</v>
      </c>
      <c r="E127" s="1">
        <v>1</v>
      </c>
      <c r="F127" s="2" t="s">
        <v>170</v>
      </c>
      <c r="G127" s="1">
        <v>2</v>
      </c>
      <c r="H127" s="1" t="str">
        <f t="shared" si="2"/>
        <v>k7045_2</v>
      </c>
      <c r="K127" s="1">
        <f>IF(E127=0,SUMPRODUCT(($A$2:$A$4734=A127)*($B$2:$B$4734=B127)*($D$2:$D$4734=D127)*($E$2:$E$4734=0)),0)</f>
        <v>0</v>
      </c>
      <c r="L127" s="1" t="str">
        <f>IF(E127=0,SUMPRODUCT(MIN($K$2:$K$4734+((($A$2:$A$4734&lt;&gt;A127)+($E$2:$E$4734&lt;&gt;0))&gt;0)*1000000)),"")</f>
        <v/>
      </c>
      <c r="M127" s="1">
        <f>IF(AND(E127=0,COUNTIFS($A$2:A127,A127,$E$2:E127,0)=1),L127,0)</f>
        <v>0</v>
      </c>
    </row>
    <row r="128" spans="1:13" ht="15" customHeight="1">
      <c r="A128" s="1">
        <v>7045</v>
      </c>
      <c r="B128" s="1" t="s">
        <v>167</v>
      </c>
      <c r="C128" s="2" t="s">
        <v>151</v>
      </c>
      <c r="D128" s="2" t="s">
        <v>168</v>
      </c>
      <c r="E128" s="1">
        <v>1</v>
      </c>
      <c r="F128" s="2" t="s">
        <v>171</v>
      </c>
      <c r="G128" s="1">
        <v>3</v>
      </c>
      <c r="H128" s="1" t="str">
        <f t="shared" si="2"/>
        <v>k7045_3</v>
      </c>
      <c r="K128" s="1">
        <f>IF(E128=0,SUMPRODUCT(($A$2:$A$4734=A128)*($B$2:$B$4734=B128)*($D$2:$D$4734=D128)*($E$2:$E$4734=0)),0)</f>
        <v>0</v>
      </c>
      <c r="L128" s="1" t="str">
        <f>IF(E128=0,SUMPRODUCT(MIN($K$2:$K$4734+((($A$2:$A$4734&lt;&gt;A128)+($E$2:$E$4734&lt;&gt;0))&gt;0)*1000000)),"")</f>
        <v/>
      </c>
      <c r="M128" s="1">
        <f>IF(AND(E128=0,COUNTIFS($A$2:A128,A128,$E$2:E128,0)=1),L128,0)</f>
        <v>0</v>
      </c>
    </row>
    <row r="129" spans="1:13" ht="15" customHeight="1">
      <c r="A129" s="1">
        <v>7045</v>
      </c>
      <c r="B129" s="1" t="s">
        <v>167</v>
      </c>
      <c r="C129" s="2" t="s">
        <v>151</v>
      </c>
      <c r="D129" s="2" t="s">
        <v>168</v>
      </c>
      <c r="E129" s="1">
        <v>1</v>
      </c>
      <c r="F129" s="2" t="s">
        <v>172</v>
      </c>
      <c r="G129" s="1">
        <v>4</v>
      </c>
      <c r="H129" s="1" t="str">
        <f t="shared" si="2"/>
        <v>k7045_4</v>
      </c>
      <c r="K129" s="1">
        <f>IF(E129=0,SUMPRODUCT(($A$2:$A$4734=A129)*($B$2:$B$4734=B129)*($D$2:$D$4734=D129)*($E$2:$E$4734=0)),0)</f>
        <v>0</v>
      </c>
      <c r="L129" s="1" t="str">
        <f>IF(E129=0,SUMPRODUCT(MIN($K$2:$K$4734+((($A$2:$A$4734&lt;&gt;A129)+($E$2:$E$4734&lt;&gt;0))&gt;0)*1000000)),"")</f>
        <v/>
      </c>
      <c r="M129" s="1">
        <f>IF(AND(E129=0,COUNTIFS($A$2:A129,A129,$E$2:E129,0)=1),L129,0)</f>
        <v>0</v>
      </c>
    </row>
    <row r="130" spans="1:13" ht="15" customHeight="1">
      <c r="A130" s="1">
        <v>7046</v>
      </c>
      <c r="B130" s="1" t="s">
        <v>173</v>
      </c>
      <c r="C130" s="1" t="s">
        <v>174</v>
      </c>
      <c r="D130" s="1" t="s">
        <v>175</v>
      </c>
      <c r="E130" s="1">
        <v>1</v>
      </c>
      <c r="F130" s="2" t="s">
        <v>176</v>
      </c>
      <c r="G130" s="1">
        <v>1</v>
      </c>
      <c r="H130" s="1" t="str">
        <f t="shared" si="2"/>
        <v>k7046_1</v>
      </c>
      <c r="K130" s="1">
        <f>IF(E130=0,SUMPRODUCT(($A$2:$A$4734=A130)*($B$2:$B$4734=B130)*($D$2:$D$4734=D130)*($E$2:$E$4734=0)),0)</f>
        <v>0</v>
      </c>
      <c r="L130" s="1" t="str">
        <f>IF(E130=0,SUMPRODUCT(MIN($K$2:$K$4734+((($A$2:$A$4734&lt;&gt;A130)+($E$2:$E$4734&lt;&gt;0))&gt;0)*1000000)),"")</f>
        <v/>
      </c>
      <c r="M130" s="1">
        <f>IF(AND(E130=0,COUNTIFS($A$2:A130,A130,$E$2:E130,0)=1),L130,0)</f>
        <v>0</v>
      </c>
    </row>
    <row r="131" spans="1:13" ht="15" customHeight="1">
      <c r="A131" s="1">
        <v>7046</v>
      </c>
      <c r="B131" s="1" t="s">
        <v>173</v>
      </c>
      <c r="C131" s="1" t="s">
        <v>174</v>
      </c>
      <c r="D131" s="1" t="s">
        <v>175</v>
      </c>
      <c r="E131" s="1">
        <v>1</v>
      </c>
      <c r="F131" s="2" t="s">
        <v>177</v>
      </c>
      <c r="G131" s="1">
        <v>2</v>
      </c>
      <c r="H131" s="1" t="str">
        <f t="shared" si="2"/>
        <v>k7046_2</v>
      </c>
      <c r="K131" s="1">
        <f>IF(E131=0,SUMPRODUCT(($A$2:$A$4734=A131)*($B$2:$B$4734=B131)*($D$2:$D$4734=D131)*($E$2:$E$4734=0)),0)</f>
        <v>0</v>
      </c>
      <c r="L131" s="1" t="str">
        <f>IF(E131=0,SUMPRODUCT(MIN($K$2:$K$4734+((($A$2:$A$4734&lt;&gt;A131)+($E$2:$E$4734&lt;&gt;0))&gt;0)*1000000)),"")</f>
        <v/>
      </c>
      <c r="M131" s="1">
        <f>IF(AND(E131=0,COUNTIFS($A$2:A131,A131,$E$2:E131,0)=1),L131,0)</f>
        <v>0</v>
      </c>
    </row>
    <row r="132" spans="1:13" ht="15" customHeight="1">
      <c r="A132" s="1">
        <v>7046</v>
      </c>
      <c r="B132" s="1" t="s">
        <v>173</v>
      </c>
      <c r="C132" s="1" t="s">
        <v>174</v>
      </c>
      <c r="D132" s="1" t="s">
        <v>175</v>
      </c>
      <c r="E132" s="1">
        <v>1</v>
      </c>
      <c r="F132" s="2" t="s">
        <v>178</v>
      </c>
      <c r="G132" s="1">
        <v>3</v>
      </c>
      <c r="H132" s="1" t="str">
        <f t="shared" si="2"/>
        <v>k7046_3</v>
      </c>
      <c r="K132" s="1">
        <f>IF(E132=0,SUMPRODUCT(($A$2:$A$4734=A132)*($B$2:$B$4734=B132)*($D$2:$D$4734=D132)*($E$2:$E$4734=0)),0)</f>
        <v>0</v>
      </c>
      <c r="L132" s="1" t="str">
        <f>IF(E132=0,SUMPRODUCT(MIN($K$2:$K$4734+((($A$2:$A$4734&lt;&gt;A132)+($E$2:$E$4734&lt;&gt;0))&gt;0)*1000000)),"")</f>
        <v/>
      </c>
      <c r="M132" s="1">
        <f>IF(AND(E132=0,COUNTIFS($A$2:A132,A132,$E$2:E132,0)=1),L132,0)</f>
        <v>0</v>
      </c>
    </row>
    <row r="133" spans="1:13" ht="15" customHeight="1">
      <c r="A133" s="1">
        <v>7046</v>
      </c>
      <c r="B133" s="1" t="s">
        <v>173</v>
      </c>
      <c r="C133" s="1" t="s">
        <v>174</v>
      </c>
      <c r="D133" s="1" t="s">
        <v>175</v>
      </c>
      <c r="E133" s="1">
        <v>1</v>
      </c>
      <c r="F133" s="2" t="s">
        <v>179</v>
      </c>
      <c r="G133" s="1">
        <v>4</v>
      </c>
      <c r="H133" s="1" t="str">
        <f t="shared" si="2"/>
        <v>k7046_4</v>
      </c>
      <c r="K133" s="1">
        <f>IF(E133=0,SUMPRODUCT(($A$2:$A$4734=A133)*($B$2:$B$4734=B133)*($D$2:$D$4734=D133)*($E$2:$E$4734=0)),0)</f>
        <v>0</v>
      </c>
      <c r="L133" s="1" t="str">
        <f>IF(E133=0,SUMPRODUCT(MIN($K$2:$K$4734+((($A$2:$A$4734&lt;&gt;A133)+($E$2:$E$4734&lt;&gt;0))&gt;0)*1000000)),"")</f>
        <v/>
      </c>
      <c r="M133" s="1">
        <f>IF(AND(E133=0,COUNTIFS($A$2:A133,A133,$E$2:E133,0)=1),L133,0)</f>
        <v>0</v>
      </c>
    </row>
    <row r="134" spans="1:13" ht="15" customHeight="1">
      <c r="A134" s="1">
        <v>7046</v>
      </c>
      <c r="B134" s="1" t="s">
        <v>95</v>
      </c>
      <c r="C134" s="1" t="s">
        <v>174</v>
      </c>
      <c r="D134" s="2" t="s">
        <v>180</v>
      </c>
      <c r="E134" s="1">
        <v>1</v>
      </c>
      <c r="F134" s="2" t="s">
        <v>181</v>
      </c>
      <c r="G134" s="1">
        <v>1</v>
      </c>
      <c r="H134" s="1" t="str">
        <f t="shared" si="2"/>
        <v>k7046_1</v>
      </c>
      <c r="K134" s="1">
        <f>IF(E134=0,SUMPRODUCT(($A$2:$A$4734=A134)*($B$2:$B$4734=B134)*($D$2:$D$4734=D134)*($E$2:$E$4734=0)),0)</f>
        <v>0</v>
      </c>
      <c r="L134" s="1" t="str">
        <f>IF(E134=0,SUMPRODUCT(MIN($K$2:$K$4734+((($A$2:$A$4734&lt;&gt;A134)+($E$2:$E$4734&lt;&gt;0))&gt;0)*1000000)),"")</f>
        <v/>
      </c>
      <c r="M134" s="1">
        <f>IF(AND(E134=0,COUNTIFS($A$2:A134,A134,$E$2:E134,0)=1),L134,0)</f>
        <v>0</v>
      </c>
    </row>
    <row r="135" spans="1:13" ht="15" customHeight="1">
      <c r="A135" s="1">
        <v>7046</v>
      </c>
      <c r="B135" s="1" t="s">
        <v>95</v>
      </c>
      <c r="C135" s="1" t="s">
        <v>174</v>
      </c>
      <c r="D135" s="2" t="s">
        <v>180</v>
      </c>
      <c r="E135" s="1">
        <v>1</v>
      </c>
      <c r="F135" s="2" t="s">
        <v>182</v>
      </c>
      <c r="G135" s="1">
        <v>3</v>
      </c>
      <c r="H135" s="1" t="str">
        <f t="shared" si="2"/>
        <v>k7046_3</v>
      </c>
      <c r="K135" s="1">
        <f>IF(E135=0,SUMPRODUCT(($A$2:$A$4734=A135)*($B$2:$B$4734=B135)*($D$2:$D$4734=D135)*($E$2:$E$4734=0)),0)</f>
        <v>0</v>
      </c>
      <c r="L135" s="1" t="str">
        <f>IF(E135=0,SUMPRODUCT(MIN($K$2:$K$4734+((($A$2:$A$4734&lt;&gt;A135)+($E$2:$E$4734&lt;&gt;0))&gt;0)*1000000)),"")</f>
        <v/>
      </c>
      <c r="M135" s="1">
        <f>IF(AND(E135=0,COUNTIFS($A$2:A135,A135,$E$2:E135,0)=1),L135,0)</f>
        <v>0</v>
      </c>
    </row>
    <row r="136" spans="1:13" ht="15" customHeight="1">
      <c r="A136" s="1">
        <v>7046</v>
      </c>
      <c r="B136" s="1" t="s">
        <v>95</v>
      </c>
      <c r="C136" s="1" t="s">
        <v>174</v>
      </c>
      <c r="D136" s="2" t="s">
        <v>180</v>
      </c>
      <c r="E136" s="1">
        <v>1</v>
      </c>
      <c r="F136" s="2" t="s">
        <v>183</v>
      </c>
      <c r="G136" s="1">
        <v>2</v>
      </c>
      <c r="H136" s="1" t="str">
        <f t="shared" si="2"/>
        <v>k7046_2</v>
      </c>
      <c r="K136" s="1">
        <f>IF(E136=0,SUMPRODUCT(($A$2:$A$4734=A136)*($B$2:$B$4734=B136)*($D$2:$D$4734=D136)*($E$2:$E$4734=0)),0)</f>
        <v>0</v>
      </c>
      <c r="L136" s="1" t="str">
        <f>IF(E136=0,SUMPRODUCT(MIN($K$2:$K$4734+((($A$2:$A$4734&lt;&gt;A136)+($E$2:$E$4734&lt;&gt;0))&gt;0)*1000000)),"")</f>
        <v/>
      </c>
      <c r="M136" s="1">
        <f>IF(AND(E136=0,COUNTIFS($A$2:A136,A136,$E$2:E136,0)=1),L136,0)</f>
        <v>0</v>
      </c>
    </row>
    <row r="137" spans="1:13" ht="15" customHeight="1">
      <c r="A137" s="1">
        <v>7046</v>
      </c>
      <c r="B137" s="1" t="s">
        <v>95</v>
      </c>
      <c r="C137" s="1" t="s">
        <v>174</v>
      </c>
      <c r="D137" s="2" t="s">
        <v>180</v>
      </c>
      <c r="E137" s="1">
        <v>1</v>
      </c>
      <c r="F137" s="2" t="s">
        <v>184</v>
      </c>
      <c r="G137" s="1">
        <v>4</v>
      </c>
      <c r="H137" s="1" t="str">
        <f t="shared" si="2"/>
        <v>k7046_4</v>
      </c>
      <c r="K137" s="1">
        <f>IF(E137=0,SUMPRODUCT(($A$2:$A$4734=A137)*($B$2:$B$4734=B137)*($D$2:$D$4734=D137)*($E$2:$E$4734=0)),0)</f>
        <v>0</v>
      </c>
      <c r="L137" s="1" t="str">
        <f>IF(E137=0,SUMPRODUCT(MIN($K$2:$K$4734+((($A$2:$A$4734&lt;&gt;A137)+($E$2:$E$4734&lt;&gt;0))&gt;0)*1000000)),"")</f>
        <v/>
      </c>
      <c r="M137" s="1">
        <f>IF(AND(E137=0,COUNTIFS($A$2:A137,A137,$E$2:E137,0)=1),L137,0)</f>
        <v>0</v>
      </c>
    </row>
    <row r="138" spans="1:13" ht="15" customHeight="1">
      <c r="A138" s="1">
        <v>7046</v>
      </c>
      <c r="B138" s="1" t="s">
        <v>16</v>
      </c>
      <c r="C138" s="1" t="s">
        <v>174</v>
      </c>
      <c r="D138" s="2" t="s">
        <v>185</v>
      </c>
      <c r="E138" s="1">
        <v>1</v>
      </c>
      <c r="F138" s="2" t="s">
        <v>186</v>
      </c>
      <c r="G138" s="1">
        <v>2</v>
      </c>
      <c r="H138" s="1" t="str">
        <f t="shared" si="2"/>
        <v>k7046_2</v>
      </c>
      <c r="K138" s="1">
        <f>IF(E138=0,SUMPRODUCT(($A$2:$A$4734=A138)*($B$2:$B$4734=B138)*($D$2:$D$4734=D138)*($E$2:$E$4734=0)),0)</f>
        <v>0</v>
      </c>
      <c r="L138" s="1" t="str">
        <f>IF(E138=0,SUMPRODUCT(MIN($K$2:$K$4734+((($A$2:$A$4734&lt;&gt;A138)+($E$2:$E$4734&lt;&gt;0))&gt;0)*1000000)),"")</f>
        <v/>
      </c>
      <c r="M138" s="1">
        <f>IF(AND(E138=0,COUNTIFS($A$2:A138,A138,$E$2:E138,0)=1),L138,0)</f>
        <v>0</v>
      </c>
    </row>
    <row r="139" spans="1:13" ht="15" customHeight="1">
      <c r="A139" s="1">
        <v>7046</v>
      </c>
      <c r="B139" s="1" t="s">
        <v>16</v>
      </c>
      <c r="C139" s="1" t="s">
        <v>174</v>
      </c>
      <c r="D139" s="2" t="s">
        <v>185</v>
      </c>
      <c r="E139" s="1">
        <v>1</v>
      </c>
      <c r="F139" s="2" t="s">
        <v>187</v>
      </c>
      <c r="G139" s="1">
        <v>3</v>
      </c>
      <c r="H139" s="1" t="str">
        <f t="shared" si="2"/>
        <v>k7046_3</v>
      </c>
      <c r="K139" s="1">
        <f>IF(E139=0,SUMPRODUCT(($A$2:$A$4734=A139)*($B$2:$B$4734=B139)*($D$2:$D$4734=D139)*($E$2:$E$4734=0)),0)</f>
        <v>0</v>
      </c>
      <c r="L139" s="1" t="str">
        <f>IF(E139=0,SUMPRODUCT(MIN($K$2:$K$4734+((($A$2:$A$4734&lt;&gt;A139)+($E$2:$E$4734&lt;&gt;0))&gt;0)*1000000)),"")</f>
        <v/>
      </c>
      <c r="M139" s="1">
        <f>IF(AND(E139=0,COUNTIFS($A$2:A139,A139,$E$2:E139,0)=1),L139,0)</f>
        <v>0</v>
      </c>
    </row>
    <row r="140" spans="1:13" ht="15" customHeight="1">
      <c r="A140" s="1">
        <v>7046</v>
      </c>
      <c r="B140" s="1" t="s">
        <v>16</v>
      </c>
      <c r="C140" s="1" t="s">
        <v>174</v>
      </c>
      <c r="D140" s="2" t="s">
        <v>185</v>
      </c>
      <c r="E140" s="1">
        <v>1</v>
      </c>
      <c r="F140" s="2" t="s">
        <v>188</v>
      </c>
      <c r="G140" s="1">
        <v>4</v>
      </c>
      <c r="H140" s="1" t="str">
        <f t="shared" si="2"/>
        <v>k7046_4</v>
      </c>
      <c r="K140" s="1">
        <f>IF(E140=0,SUMPRODUCT(($A$2:$A$4734=A140)*($B$2:$B$4734=B140)*($D$2:$D$4734=D140)*($E$2:$E$4734=0)),0)</f>
        <v>0</v>
      </c>
      <c r="L140" s="1" t="str">
        <f>IF(E140=0,SUMPRODUCT(MIN($K$2:$K$4734+((($A$2:$A$4734&lt;&gt;A140)+($E$2:$E$4734&lt;&gt;0))&gt;0)*1000000)),"")</f>
        <v/>
      </c>
      <c r="M140" s="1">
        <f>IF(AND(E140=0,COUNTIFS($A$2:A140,A140,$E$2:E140,0)=1),L140,0)</f>
        <v>0</v>
      </c>
    </row>
    <row r="141" spans="1:13" ht="15" customHeight="1">
      <c r="A141" s="1">
        <v>7046</v>
      </c>
      <c r="B141" s="1" t="s">
        <v>16</v>
      </c>
      <c r="C141" s="1" t="s">
        <v>174</v>
      </c>
      <c r="D141" s="2" t="s">
        <v>185</v>
      </c>
      <c r="E141" s="1">
        <v>1</v>
      </c>
      <c r="F141" s="2" t="s">
        <v>189</v>
      </c>
      <c r="G141" s="1">
        <v>1</v>
      </c>
      <c r="H141" s="1" t="str">
        <f t="shared" si="2"/>
        <v>k7046_1</v>
      </c>
      <c r="K141" s="1">
        <f>IF(E141=0,SUMPRODUCT(($A$2:$A$4734=A141)*($B$2:$B$4734=B141)*($D$2:$D$4734=D141)*($E$2:$E$4734=0)),0)</f>
        <v>0</v>
      </c>
      <c r="L141" s="1" t="str">
        <f>IF(E141=0,SUMPRODUCT(MIN($K$2:$K$4734+((($A$2:$A$4734&lt;&gt;A141)+($E$2:$E$4734&lt;&gt;0))&gt;0)*1000000)),"")</f>
        <v/>
      </c>
      <c r="M141" s="1">
        <f>IF(AND(E141=0,COUNTIFS($A$2:A141,A141,$E$2:E141,0)=1),L141,0)</f>
        <v>0</v>
      </c>
    </row>
    <row r="142" spans="1:13" ht="15" customHeight="1">
      <c r="A142" s="1">
        <v>7046</v>
      </c>
      <c r="B142" s="1" t="s">
        <v>69</v>
      </c>
      <c r="C142" s="1" t="s">
        <v>174</v>
      </c>
      <c r="D142" s="1" t="s">
        <v>190</v>
      </c>
      <c r="E142" s="1">
        <v>1</v>
      </c>
      <c r="F142" s="2" t="s">
        <v>191</v>
      </c>
      <c r="G142" s="1">
        <v>1</v>
      </c>
      <c r="H142" s="1" t="str">
        <f t="shared" si="2"/>
        <v>k7046_1</v>
      </c>
      <c r="K142" s="1">
        <f>IF(E142=0,SUMPRODUCT(($A$2:$A$4734=A142)*($B$2:$B$4734=B142)*($D$2:$D$4734=D142)*($E$2:$E$4734=0)),0)</f>
        <v>0</v>
      </c>
      <c r="L142" s="1" t="str">
        <f>IF(E142=0,SUMPRODUCT(MIN($K$2:$K$4734+((($A$2:$A$4734&lt;&gt;A142)+($E$2:$E$4734&lt;&gt;0))&gt;0)*1000000)),"")</f>
        <v/>
      </c>
      <c r="M142" s="1">
        <f>IF(AND(E142=0,COUNTIFS($A$2:A142,A142,$E$2:E142,0)=1),L142,0)</f>
        <v>0</v>
      </c>
    </row>
    <row r="143" spans="1:13" ht="15" customHeight="1">
      <c r="A143" s="1">
        <v>7046</v>
      </c>
      <c r="B143" s="1" t="s">
        <v>69</v>
      </c>
      <c r="C143" s="1" t="s">
        <v>174</v>
      </c>
      <c r="D143" s="1" t="s">
        <v>190</v>
      </c>
      <c r="E143" s="1">
        <v>1</v>
      </c>
      <c r="F143" s="2" t="s">
        <v>192</v>
      </c>
      <c r="G143" s="1">
        <v>2</v>
      </c>
      <c r="H143" s="1" t="str">
        <f t="shared" si="2"/>
        <v>k7046_2</v>
      </c>
      <c r="K143" s="1">
        <f>IF(E143=0,SUMPRODUCT(($A$2:$A$4734=A143)*($B$2:$B$4734=B143)*($D$2:$D$4734=D143)*($E$2:$E$4734=0)),0)</f>
        <v>0</v>
      </c>
      <c r="L143" s="1" t="str">
        <f>IF(E143=0,SUMPRODUCT(MIN($K$2:$K$4734+((($A$2:$A$4734&lt;&gt;A143)+($E$2:$E$4734&lt;&gt;0))&gt;0)*1000000)),"")</f>
        <v/>
      </c>
      <c r="M143" s="1">
        <f>IF(AND(E143=0,COUNTIFS($A$2:A143,A143,$E$2:E143,0)=1),L143,0)</f>
        <v>0</v>
      </c>
    </row>
    <row r="144" spans="1:13" ht="15" customHeight="1">
      <c r="A144" s="1">
        <v>7046</v>
      </c>
      <c r="B144" s="1" t="s">
        <v>69</v>
      </c>
      <c r="C144" s="1" t="s">
        <v>174</v>
      </c>
      <c r="D144" s="1" t="s">
        <v>190</v>
      </c>
      <c r="E144" s="1">
        <v>1</v>
      </c>
      <c r="F144" s="2" t="s">
        <v>193</v>
      </c>
      <c r="G144" s="1">
        <v>3</v>
      </c>
      <c r="H144" s="1" t="str">
        <f t="shared" si="2"/>
        <v>k7046_3</v>
      </c>
      <c r="K144" s="1">
        <f>IF(E144=0,SUMPRODUCT(($A$2:$A$4734=A144)*($B$2:$B$4734=B144)*($D$2:$D$4734=D144)*($E$2:$E$4734=0)),0)</f>
        <v>0</v>
      </c>
      <c r="L144" s="1" t="str">
        <f>IF(E144=0,SUMPRODUCT(MIN($K$2:$K$4734+((($A$2:$A$4734&lt;&gt;A144)+($E$2:$E$4734&lt;&gt;0))&gt;0)*1000000)),"")</f>
        <v/>
      </c>
      <c r="M144" s="1">
        <f>IF(AND(E144=0,COUNTIFS($A$2:A144,A144,$E$2:E144,0)=1),L144,0)</f>
        <v>0</v>
      </c>
    </row>
    <row r="145" spans="1:13" ht="15" customHeight="1">
      <c r="A145" s="1">
        <v>7046</v>
      </c>
      <c r="B145" s="1" t="s">
        <v>69</v>
      </c>
      <c r="C145" s="1" t="s">
        <v>174</v>
      </c>
      <c r="D145" s="1" t="s">
        <v>190</v>
      </c>
      <c r="E145" s="1">
        <v>1</v>
      </c>
      <c r="F145" s="2" t="s">
        <v>194</v>
      </c>
      <c r="G145" s="1">
        <v>4</v>
      </c>
      <c r="H145" s="1" t="str">
        <f t="shared" si="2"/>
        <v>k7046_4</v>
      </c>
      <c r="K145" s="1">
        <f>IF(E145=0,SUMPRODUCT(($A$2:$A$4734=A145)*($B$2:$B$4734=B145)*($D$2:$D$4734=D145)*($E$2:$E$4734=0)),0)</f>
        <v>0</v>
      </c>
      <c r="L145" s="1" t="str">
        <f>IF(E145=0,SUMPRODUCT(MIN($K$2:$K$4734+((($A$2:$A$4734&lt;&gt;A145)+($E$2:$E$4734&lt;&gt;0))&gt;0)*1000000)),"")</f>
        <v/>
      </c>
      <c r="M145" s="1">
        <f>IF(AND(E145=0,COUNTIFS($A$2:A145,A145,$E$2:E145,0)=1),L145,0)</f>
        <v>0</v>
      </c>
    </row>
    <row r="146" spans="1:13" ht="15" customHeight="1">
      <c r="A146" s="1">
        <v>7046</v>
      </c>
      <c r="B146" s="1" t="s">
        <v>16</v>
      </c>
      <c r="C146" s="1" t="s">
        <v>174</v>
      </c>
      <c r="D146" s="2" t="s">
        <v>195</v>
      </c>
      <c r="E146" s="1">
        <v>1</v>
      </c>
      <c r="F146" s="2" t="s">
        <v>196</v>
      </c>
      <c r="G146" s="1">
        <v>1</v>
      </c>
      <c r="H146" s="1" t="str">
        <f t="shared" si="2"/>
        <v>k7046_1</v>
      </c>
      <c r="K146" s="1">
        <f>IF(E146=0,SUMPRODUCT(($A$2:$A$4734=A146)*($B$2:$B$4734=B146)*($D$2:$D$4734=D146)*($E$2:$E$4734=0)),0)</f>
        <v>0</v>
      </c>
      <c r="L146" s="1" t="str">
        <f>IF(E146=0,SUMPRODUCT(MIN($K$2:$K$4734+((($A$2:$A$4734&lt;&gt;A146)+($E$2:$E$4734&lt;&gt;0))&gt;0)*1000000)),"")</f>
        <v/>
      </c>
      <c r="M146" s="1">
        <f>IF(AND(E146=0,COUNTIFS($A$2:A146,A146,$E$2:E146,0)=1),L146,0)</f>
        <v>0</v>
      </c>
    </row>
    <row r="147" spans="1:13" ht="15" customHeight="1">
      <c r="A147" s="1">
        <v>7046</v>
      </c>
      <c r="B147" s="1" t="s">
        <v>16</v>
      </c>
      <c r="C147" s="1" t="s">
        <v>174</v>
      </c>
      <c r="D147" s="2" t="s">
        <v>195</v>
      </c>
      <c r="E147" s="1">
        <v>1</v>
      </c>
      <c r="F147" s="2" t="s">
        <v>197</v>
      </c>
      <c r="G147" s="1">
        <v>2</v>
      </c>
      <c r="H147" s="1" t="str">
        <f t="shared" si="2"/>
        <v>k7046_2</v>
      </c>
      <c r="K147" s="1">
        <f>IF(E147=0,SUMPRODUCT(($A$2:$A$4734=A147)*($B$2:$B$4734=B147)*($D$2:$D$4734=D147)*($E$2:$E$4734=0)),0)</f>
        <v>0</v>
      </c>
      <c r="L147" s="1" t="str">
        <f>IF(E147=0,SUMPRODUCT(MIN($K$2:$K$4734+((($A$2:$A$4734&lt;&gt;A147)+($E$2:$E$4734&lt;&gt;0))&gt;0)*1000000)),"")</f>
        <v/>
      </c>
      <c r="M147" s="1">
        <f>IF(AND(E147=0,COUNTIFS($A$2:A147,A147,$E$2:E147,0)=1),L147,0)</f>
        <v>0</v>
      </c>
    </row>
    <row r="148" spans="1:13" ht="15" customHeight="1">
      <c r="A148" s="1">
        <v>7046</v>
      </c>
      <c r="B148" s="1" t="s">
        <v>16</v>
      </c>
      <c r="C148" s="1" t="s">
        <v>174</v>
      </c>
      <c r="D148" s="2" t="s">
        <v>195</v>
      </c>
      <c r="E148" s="1">
        <v>1</v>
      </c>
      <c r="F148" s="2" t="s">
        <v>198</v>
      </c>
      <c r="G148" s="1">
        <v>3</v>
      </c>
      <c r="H148" s="1" t="str">
        <f t="shared" si="2"/>
        <v>k7046_3</v>
      </c>
      <c r="K148" s="1">
        <f>IF(E148=0,SUMPRODUCT(($A$2:$A$4734=A148)*($B$2:$B$4734=B148)*($D$2:$D$4734=D148)*($E$2:$E$4734=0)),0)</f>
        <v>0</v>
      </c>
      <c r="L148" s="1" t="str">
        <f>IF(E148=0,SUMPRODUCT(MIN($K$2:$K$4734+((($A$2:$A$4734&lt;&gt;A148)+($E$2:$E$4734&lt;&gt;0))&gt;0)*1000000)),"")</f>
        <v/>
      </c>
      <c r="M148" s="1">
        <f>IF(AND(E148=0,COUNTIFS($A$2:A148,A148,$E$2:E148,0)=1),L148,0)</f>
        <v>0</v>
      </c>
    </row>
    <row r="149" spans="1:13" ht="15" customHeight="1">
      <c r="A149" s="1">
        <v>7046</v>
      </c>
      <c r="B149" s="1" t="s">
        <v>16</v>
      </c>
      <c r="C149" s="1" t="s">
        <v>174</v>
      </c>
      <c r="D149" s="2" t="s">
        <v>195</v>
      </c>
      <c r="E149" s="1">
        <v>1</v>
      </c>
      <c r="F149" s="2" t="s">
        <v>199</v>
      </c>
      <c r="G149" s="1">
        <v>4</v>
      </c>
      <c r="H149" s="1" t="str">
        <f t="shared" si="2"/>
        <v>k7046_4</v>
      </c>
      <c r="K149" s="1">
        <f>IF(E149=0,SUMPRODUCT(($A$2:$A$4734=A149)*($B$2:$B$4734=B149)*($D$2:$D$4734=D149)*($E$2:$E$4734=0)),0)</f>
        <v>0</v>
      </c>
      <c r="L149" s="1" t="str">
        <f>IF(E149=0,SUMPRODUCT(MIN($K$2:$K$4734+((($A$2:$A$4734&lt;&gt;A149)+($E$2:$E$4734&lt;&gt;0))&gt;0)*1000000)),"")</f>
        <v/>
      </c>
      <c r="M149" s="1">
        <f>IF(AND(E149=0,COUNTIFS($A$2:A149,A149,$E$2:E149,0)=1),L149,0)</f>
        <v>0</v>
      </c>
    </row>
    <row r="150" spans="1:13" ht="15" customHeight="1">
      <c r="A150" s="1">
        <v>7046</v>
      </c>
      <c r="B150" s="1" t="s">
        <v>9</v>
      </c>
      <c r="C150" s="1" t="s">
        <v>174</v>
      </c>
      <c r="D150" s="2" t="s">
        <v>200</v>
      </c>
      <c r="E150" s="1">
        <v>1</v>
      </c>
      <c r="F150" s="2" t="s">
        <v>201</v>
      </c>
      <c r="G150" s="1">
        <v>1</v>
      </c>
      <c r="H150" s="1" t="str">
        <f t="shared" si="2"/>
        <v>k7046_1</v>
      </c>
      <c r="K150" s="1">
        <f>IF(E150=0,SUMPRODUCT(($A$2:$A$4734=A150)*($B$2:$B$4734=B150)*($D$2:$D$4734=D150)*($E$2:$E$4734=0)),0)</f>
        <v>0</v>
      </c>
      <c r="L150" s="1" t="str">
        <f>IF(E150=0,SUMPRODUCT(MIN($K$2:$K$4734+((($A$2:$A$4734&lt;&gt;A150)+($E$2:$E$4734&lt;&gt;0))&gt;0)*1000000)),"")</f>
        <v/>
      </c>
      <c r="M150" s="1">
        <f>IF(AND(E150=0,COUNTIFS($A$2:A150,A150,$E$2:E150,0)=1),L150,0)</f>
        <v>0</v>
      </c>
    </row>
    <row r="151" spans="1:13" ht="15" customHeight="1">
      <c r="A151" s="1">
        <v>7046</v>
      </c>
      <c r="B151" s="1" t="s">
        <v>9</v>
      </c>
      <c r="C151" s="1" t="s">
        <v>174</v>
      </c>
      <c r="D151" s="2" t="s">
        <v>200</v>
      </c>
      <c r="E151" s="1">
        <v>1</v>
      </c>
      <c r="F151" s="2" t="s">
        <v>202</v>
      </c>
      <c r="G151" s="1">
        <v>2</v>
      </c>
      <c r="H151" s="1" t="str">
        <f t="shared" si="2"/>
        <v>k7046_2</v>
      </c>
      <c r="K151" s="1">
        <f>IF(E151=0,SUMPRODUCT(($A$2:$A$4734=A151)*($B$2:$B$4734=B151)*($D$2:$D$4734=D151)*($E$2:$E$4734=0)),0)</f>
        <v>0</v>
      </c>
      <c r="L151" s="1" t="str">
        <f>IF(E151=0,SUMPRODUCT(MIN($K$2:$K$4734+((($A$2:$A$4734&lt;&gt;A151)+($E$2:$E$4734&lt;&gt;0))&gt;0)*1000000)),"")</f>
        <v/>
      </c>
      <c r="M151" s="1">
        <f>IF(AND(E151=0,COUNTIFS($A$2:A151,A151,$E$2:E151,0)=1),L151,0)</f>
        <v>0</v>
      </c>
    </row>
    <row r="152" spans="1:13" ht="15" customHeight="1">
      <c r="A152" s="1">
        <v>7046</v>
      </c>
      <c r="B152" s="1" t="s">
        <v>9</v>
      </c>
      <c r="C152" s="1" t="s">
        <v>174</v>
      </c>
      <c r="D152" s="2" t="s">
        <v>200</v>
      </c>
      <c r="E152" s="1">
        <v>1</v>
      </c>
      <c r="F152" s="2" t="s">
        <v>203</v>
      </c>
      <c r="G152" s="1">
        <v>3</v>
      </c>
      <c r="H152" s="1" t="str">
        <f t="shared" si="2"/>
        <v>k7046_3</v>
      </c>
      <c r="K152" s="1">
        <f>IF(E152=0,SUMPRODUCT(($A$2:$A$4734=A152)*($B$2:$B$4734=B152)*($D$2:$D$4734=D152)*($E$2:$E$4734=0)),0)</f>
        <v>0</v>
      </c>
      <c r="L152" s="1" t="str">
        <f>IF(E152=0,SUMPRODUCT(MIN($K$2:$K$4734+((($A$2:$A$4734&lt;&gt;A152)+($E$2:$E$4734&lt;&gt;0))&gt;0)*1000000)),"")</f>
        <v/>
      </c>
      <c r="M152" s="1">
        <f>IF(AND(E152=0,COUNTIFS($A$2:A152,A152,$E$2:E152,0)=1),L152,0)</f>
        <v>0</v>
      </c>
    </row>
    <row r="153" spans="1:13" ht="15" customHeight="1">
      <c r="A153" s="1">
        <v>7046</v>
      </c>
      <c r="B153" s="1" t="s">
        <v>9</v>
      </c>
      <c r="C153" s="1" t="s">
        <v>174</v>
      </c>
      <c r="D153" s="2" t="s">
        <v>200</v>
      </c>
      <c r="E153" s="1">
        <v>1</v>
      </c>
      <c r="F153" s="2" t="s">
        <v>204</v>
      </c>
      <c r="G153" s="1">
        <v>4</v>
      </c>
      <c r="H153" s="1" t="str">
        <f t="shared" si="2"/>
        <v>k7046_4</v>
      </c>
      <c r="K153" s="1">
        <f>IF(E153=0,SUMPRODUCT(($A$2:$A$4734=A153)*($B$2:$B$4734=B153)*($D$2:$D$4734=D153)*($E$2:$E$4734=0)),0)</f>
        <v>0</v>
      </c>
      <c r="L153" s="1" t="str">
        <f>IF(E153=0,SUMPRODUCT(MIN($K$2:$K$4734+((($A$2:$A$4734&lt;&gt;A153)+($E$2:$E$4734&lt;&gt;0))&gt;0)*1000000)),"")</f>
        <v/>
      </c>
      <c r="M153" s="1">
        <f>IF(AND(E153=0,COUNTIFS($A$2:A153,A153,$E$2:E153,0)=1),L153,0)</f>
        <v>0</v>
      </c>
    </row>
    <row r="154" spans="1:13" ht="15" customHeight="1">
      <c r="A154" s="1">
        <v>7046</v>
      </c>
      <c r="B154" s="1" t="s">
        <v>16</v>
      </c>
      <c r="C154" s="1" t="s">
        <v>174</v>
      </c>
      <c r="D154" s="2" t="s">
        <v>205</v>
      </c>
      <c r="E154" s="1">
        <v>1</v>
      </c>
      <c r="F154" s="2" t="s">
        <v>206</v>
      </c>
      <c r="G154" s="1">
        <v>1</v>
      </c>
      <c r="H154" s="1" t="str">
        <f t="shared" si="2"/>
        <v>k7046_1</v>
      </c>
      <c r="K154" s="1">
        <f>IF(E154=0,SUMPRODUCT(($A$2:$A$4734=A154)*($B$2:$B$4734=B154)*($D$2:$D$4734=D154)*($E$2:$E$4734=0)),0)</f>
        <v>0</v>
      </c>
      <c r="L154" s="1" t="str">
        <f>IF(E154=0,SUMPRODUCT(MIN($K$2:$K$4734+((($A$2:$A$4734&lt;&gt;A154)+($E$2:$E$4734&lt;&gt;0))&gt;0)*1000000)),"")</f>
        <v/>
      </c>
      <c r="M154" s="1">
        <f>IF(AND(E154=0,COUNTIFS($A$2:A154,A154,$E$2:E154,0)=1),L154,0)</f>
        <v>0</v>
      </c>
    </row>
    <row r="155" spans="1:13" ht="15" customHeight="1">
      <c r="A155" s="1">
        <v>7046</v>
      </c>
      <c r="B155" s="1" t="s">
        <v>16</v>
      </c>
      <c r="C155" s="1" t="s">
        <v>174</v>
      </c>
      <c r="D155" s="2" t="s">
        <v>205</v>
      </c>
      <c r="E155" s="1">
        <v>1</v>
      </c>
      <c r="F155" s="2" t="s">
        <v>206</v>
      </c>
      <c r="G155" s="1">
        <v>4</v>
      </c>
      <c r="H155" s="1" t="str">
        <f t="shared" si="2"/>
        <v>k7046_4</v>
      </c>
      <c r="K155" s="1">
        <f>IF(E155=0,SUMPRODUCT(($A$2:$A$4734=A155)*($B$2:$B$4734=B155)*($D$2:$D$4734=D155)*($E$2:$E$4734=0)),0)</f>
        <v>0</v>
      </c>
      <c r="L155" s="1" t="str">
        <f>IF(E155=0,SUMPRODUCT(MIN($K$2:$K$4734+((($A$2:$A$4734&lt;&gt;A155)+($E$2:$E$4734&lt;&gt;0))&gt;0)*1000000)),"")</f>
        <v/>
      </c>
      <c r="M155" s="1">
        <f>IF(AND(E155=0,COUNTIFS($A$2:A155,A155,$E$2:E155,0)=1),L155,0)</f>
        <v>0</v>
      </c>
    </row>
    <row r="156" spans="1:13" ht="15" customHeight="1">
      <c r="A156" s="1">
        <v>7046</v>
      </c>
      <c r="B156" s="1" t="s">
        <v>16</v>
      </c>
      <c r="C156" s="1" t="s">
        <v>174</v>
      </c>
      <c r="D156" s="2" t="s">
        <v>205</v>
      </c>
      <c r="E156" s="1">
        <v>1</v>
      </c>
      <c r="F156" s="2" t="s">
        <v>207</v>
      </c>
      <c r="G156" s="1">
        <v>2</v>
      </c>
      <c r="H156" s="1" t="str">
        <f t="shared" si="2"/>
        <v>k7046_2</v>
      </c>
      <c r="K156" s="1">
        <f>IF(E156=0,SUMPRODUCT(($A$2:$A$4734=A156)*($B$2:$B$4734=B156)*($D$2:$D$4734=D156)*($E$2:$E$4734=0)),0)</f>
        <v>0</v>
      </c>
      <c r="L156" s="1" t="str">
        <f>IF(E156=0,SUMPRODUCT(MIN($K$2:$K$4734+((($A$2:$A$4734&lt;&gt;A156)+($E$2:$E$4734&lt;&gt;0))&gt;0)*1000000)),"")</f>
        <v/>
      </c>
      <c r="M156" s="1">
        <f>IF(AND(E156=0,COUNTIFS($A$2:A156,A156,$E$2:E156,0)=1),L156,0)</f>
        <v>0</v>
      </c>
    </row>
    <row r="157" spans="1:13" ht="15" customHeight="1">
      <c r="A157" s="1">
        <v>7046</v>
      </c>
      <c r="B157" s="1" t="s">
        <v>16</v>
      </c>
      <c r="C157" s="1" t="s">
        <v>174</v>
      </c>
      <c r="D157" s="2" t="s">
        <v>205</v>
      </c>
      <c r="E157" s="1">
        <v>1</v>
      </c>
      <c r="F157" s="2" t="s">
        <v>208</v>
      </c>
      <c r="G157" s="1">
        <v>3</v>
      </c>
      <c r="H157" s="1" t="str">
        <f t="shared" si="2"/>
        <v>k7046_3</v>
      </c>
      <c r="K157" s="1">
        <f>IF(E157=0,SUMPRODUCT(($A$2:$A$4734=A157)*($B$2:$B$4734=B157)*($D$2:$D$4734=D157)*($E$2:$E$4734=0)),0)</f>
        <v>0</v>
      </c>
      <c r="L157" s="1" t="str">
        <f>IF(E157=0,SUMPRODUCT(MIN($K$2:$K$4734+((($A$2:$A$4734&lt;&gt;A157)+($E$2:$E$4734&lt;&gt;0))&gt;0)*1000000)),"")</f>
        <v/>
      </c>
      <c r="M157" s="1">
        <f>IF(AND(E157=0,COUNTIFS($A$2:A157,A157,$E$2:E157,0)=1),L157,0)</f>
        <v>0</v>
      </c>
    </row>
    <row r="158" spans="1:13" ht="15" customHeight="1">
      <c r="A158" s="1">
        <v>7046</v>
      </c>
      <c r="B158" s="1" t="s">
        <v>9</v>
      </c>
      <c r="C158" s="1" t="s">
        <v>174</v>
      </c>
      <c r="D158" s="2" t="s">
        <v>209</v>
      </c>
      <c r="E158" s="1">
        <v>1</v>
      </c>
      <c r="F158" s="2" t="s">
        <v>210</v>
      </c>
      <c r="G158" s="1">
        <v>1</v>
      </c>
      <c r="H158" s="1" t="str">
        <f t="shared" si="2"/>
        <v>k7046_1</v>
      </c>
      <c r="K158" s="1">
        <f>IF(E158=0,SUMPRODUCT(($A$2:$A$4734=A158)*($B$2:$B$4734=B158)*($D$2:$D$4734=D158)*($E$2:$E$4734=0)),0)</f>
        <v>0</v>
      </c>
      <c r="L158" s="1" t="str">
        <f>IF(E158=0,SUMPRODUCT(MIN($K$2:$K$4734+((($A$2:$A$4734&lt;&gt;A158)+($E$2:$E$4734&lt;&gt;0))&gt;0)*1000000)),"")</f>
        <v/>
      </c>
      <c r="M158" s="1">
        <f>IF(AND(E158=0,COUNTIFS($A$2:A158,A158,$E$2:E158,0)=1),L158,0)</f>
        <v>0</v>
      </c>
    </row>
    <row r="159" spans="1:13" ht="15" customHeight="1">
      <c r="A159" s="1">
        <v>7046</v>
      </c>
      <c r="B159" s="1" t="s">
        <v>9</v>
      </c>
      <c r="C159" s="1" t="s">
        <v>174</v>
      </c>
      <c r="D159" s="2" t="s">
        <v>209</v>
      </c>
      <c r="E159" s="1">
        <v>1</v>
      </c>
      <c r="F159" s="2" t="s">
        <v>211</v>
      </c>
      <c r="G159" s="1">
        <v>2</v>
      </c>
      <c r="H159" s="1" t="str">
        <f t="shared" si="2"/>
        <v>k7046_2</v>
      </c>
      <c r="K159" s="1">
        <f>IF(E159=0,SUMPRODUCT(($A$2:$A$4734=A159)*($B$2:$B$4734=B159)*($D$2:$D$4734=D159)*($E$2:$E$4734=0)),0)</f>
        <v>0</v>
      </c>
      <c r="L159" s="1" t="str">
        <f>IF(E159=0,SUMPRODUCT(MIN($K$2:$K$4734+((($A$2:$A$4734&lt;&gt;A159)+($E$2:$E$4734&lt;&gt;0))&gt;0)*1000000)),"")</f>
        <v/>
      </c>
      <c r="M159" s="1">
        <f>IF(AND(E159=0,COUNTIFS($A$2:A159,A159,$E$2:E159,0)=1),L159,0)</f>
        <v>0</v>
      </c>
    </row>
    <row r="160" spans="1:13" ht="15" customHeight="1">
      <c r="A160" s="1">
        <v>7046</v>
      </c>
      <c r="B160" s="1" t="s">
        <v>9</v>
      </c>
      <c r="C160" s="1" t="s">
        <v>174</v>
      </c>
      <c r="D160" s="2" t="s">
        <v>209</v>
      </c>
      <c r="E160" s="1">
        <v>1</v>
      </c>
      <c r="F160" s="2" t="s">
        <v>212</v>
      </c>
      <c r="G160" s="1">
        <v>3</v>
      </c>
      <c r="H160" s="1" t="str">
        <f t="shared" si="2"/>
        <v>k7046_3</v>
      </c>
      <c r="K160" s="1">
        <f>IF(E160=0,SUMPRODUCT(($A$2:$A$4734=A160)*($B$2:$B$4734=B160)*($D$2:$D$4734=D160)*($E$2:$E$4734=0)),0)</f>
        <v>0</v>
      </c>
      <c r="L160" s="1" t="str">
        <f>IF(E160=0,SUMPRODUCT(MIN($K$2:$K$4734+((($A$2:$A$4734&lt;&gt;A160)+($E$2:$E$4734&lt;&gt;0))&gt;0)*1000000)),"")</f>
        <v/>
      </c>
      <c r="M160" s="1">
        <f>IF(AND(E160=0,COUNTIFS($A$2:A160,A160,$E$2:E160,0)=1),L160,0)</f>
        <v>0</v>
      </c>
    </row>
    <row r="161" spans="1:13" ht="15" customHeight="1">
      <c r="A161" s="1">
        <v>7046</v>
      </c>
      <c r="B161" s="1" t="s">
        <v>9</v>
      </c>
      <c r="C161" s="1" t="s">
        <v>174</v>
      </c>
      <c r="D161" s="2" t="s">
        <v>209</v>
      </c>
      <c r="E161" s="1">
        <v>1</v>
      </c>
      <c r="F161" s="2" t="s">
        <v>213</v>
      </c>
      <c r="G161" s="1">
        <v>4</v>
      </c>
      <c r="H161" s="1" t="str">
        <f t="shared" si="2"/>
        <v>k7046_4</v>
      </c>
      <c r="K161" s="1">
        <f>IF(E161=0,SUMPRODUCT(($A$2:$A$4734=A161)*($B$2:$B$4734=B161)*($D$2:$D$4734=D161)*($E$2:$E$4734=0)),0)</f>
        <v>0</v>
      </c>
      <c r="L161" s="1" t="str">
        <f>IF(E161=0,SUMPRODUCT(MIN($K$2:$K$4734+((($A$2:$A$4734&lt;&gt;A161)+($E$2:$E$4734&lt;&gt;0))&gt;0)*1000000)),"")</f>
        <v/>
      </c>
      <c r="M161" s="1">
        <f>IF(AND(E161=0,COUNTIFS($A$2:A161,A161,$E$2:E161,0)=1),L161,0)</f>
        <v>0</v>
      </c>
    </row>
    <row r="162" spans="1:13" ht="15" customHeight="1">
      <c r="A162" s="1">
        <v>7047</v>
      </c>
      <c r="B162" s="1" t="s">
        <v>9</v>
      </c>
      <c r="C162" s="1" t="s">
        <v>214</v>
      </c>
      <c r="D162" s="2" t="s">
        <v>215</v>
      </c>
      <c r="E162" s="1">
        <v>1</v>
      </c>
      <c r="F162" s="2" t="s">
        <v>216</v>
      </c>
      <c r="G162" s="1">
        <v>1</v>
      </c>
      <c r="H162" s="1" t="str">
        <f t="shared" si="2"/>
        <v>k7047_1</v>
      </c>
      <c r="K162" s="1">
        <f>IF(E162=0,SUMPRODUCT(($A$2:$A$4734=A162)*($B$2:$B$4734=B162)*($D$2:$D$4734=D162)*($E$2:$E$4734=0)),0)</f>
        <v>0</v>
      </c>
      <c r="L162" s="1" t="str">
        <f>IF(E162=0,SUMPRODUCT(MIN($K$2:$K$4734+((($A$2:$A$4734&lt;&gt;A162)+($E$2:$E$4734&lt;&gt;0))&gt;0)*1000000)),"")</f>
        <v/>
      </c>
      <c r="M162" s="1">
        <f>IF(AND(E162=0,COUNTIFS($A$2:A162,A162,$E$2:E162,0)=1),L162,0)</f>
        <v>0</v>
      </c>
    </row>
    <row r="163" spans="1:13" ht="15" customHeight="1">
      <c r="A163" s="1">
        <v>7047</v>
      </c>
      <c r="B163" s="1" t="s">
        <v>9</v>
      </c>
      <c r="C163" s="1" t="s">
        <v>214</v>
      </c>
      <c r="D163" s="2" t="s">
        <v>215</v>
      </c>
      <c r="E163" s="1">
        <v>1</v>
      </c>
      <c r="F163" s="2" t="s">
        <v>217</v>
      </c>
      <c r="G163" s="1">
        <v>2</v>
      </c>
      <c r="H163" s="1" t="str">
        <f t="shared" si="2"/>
        <v>k7047_2</v>
      </c>
      <c r="K163" s="1">
        <f>IF(E163=0,SUMPRODUCT(($A$2:$A$4734=A163)*($B$2:$B$4734=B163)*($D$2:$D$4734=D163)*($E$2:$E$4734=0)),0)</f>
        <v>0</v>
      </c>
      <c r="L163" s="1" t="str">
        <f>IF(E163=0,SUMPRODUCT(MIN($K$2:$K$4734+((($A$2:$A$4734&lt;&gt;A163)+($E$2:$E$4734&lt;&gt;0))&gt;0)*1000000)),"")</f>
        <v/>
      </c>
      <c r="M163" s="1">
        <f>IF(AND(E163=0,COUNTIFS($A$2:A163,A163,$E$2:E163,0)=1),L163,0)</f>
        <v>0</v>
      </c>
    </row>
    <row r="164" spans="1:13" ht="15" customHeight="1">
      <c r="A164" s="1">
        <v>7047</v>
      </c>
      <c r="B164" s="1" t="s">
        <v>9</v>
      </c>
      <c r="C164" s="1" t="s">
        <v>214</v>
      </c>
      <c r="D164" s="2" t="s">
        <v>215</v>
      </c>
      <c r="E164" s="1">
        <v>1</v>
      </c>
      <c r="F164" s="2" t="s">
        <v>218</v>
      </c>
      <c r="G164" s="1">
        <v>3</v>
      </c>
      <c r="H164" s="1" t="str">
        <f t="shared" si="2"/>
        <v>k7047_3</v>
      </c>
      <c r="K164" s="1">
        <f>IF(E164=0,SUMPRODUCT(($A$2:$A$4734=A164)*($B$2:$B$4734=B164)*($D$2:$D$4734=D164)*($E$2:$E$4734=0)),0)</f>
        <v>0</v>
      </c>
      <c r="L164" s="1" t="str">
        <f>IF(E164=0,SUMPRODUCT(MIN($K$2:$K$4734+((($A$2:$A$4734&lt;&gt;A164)+($E$2:$E$4734&lt;&gt;0))&gt;0)*1000000)),"")</f>
        <v/>
      </c>
      <c r="M164" s="1">
        <f>IF(AND(E164=0,COUNTIFS($A$2:A164,A164,$E$2:E164,0)=1),L164,0)</f>
        <v>0</v>
      </c>
    </row>
    <row r="165" spans="1:13" ht="15" customHeight="1">
      <c r="A165" s="1">
        <v>7047</v>
      </c>
      <c r="B165" s="1" t="s">
        <v>9</v>
      </c>
      <c r="C165" s="1" t="s">
        <v>214</v>
      </c>
      <c r="D165" s="2" t="s">
        <v>215</v>
      </c>
      <c r="E165" s="1">
        <v>1</v>
      </c>
      <c r="F165" s="2" t="s">
        <v>219</v>
      </c>
      <c r="G165" s="1">
        <v>4</v>
      </c>
      <c r="H165" s="1" t="str">
        <f t="shared" si="2"/>
        <v>k7047_4</v>
      </c>
      <c r="K165" s="1">
        <f>IF(E165=0,SUMPRODUCT(($A$2:$A$4734=A165)*($B$2:$B$4734=B165)*($D$2:$D$4734=D165)*($E$2:$E$4734=0)),0)</f>
        <v>0</v>
      </c>
      <c r="L165" s="1" t="str">
        <f>IF(E165=0,SUMPRODUCT(MIN($K$2:$K$4734+((($A$2:$A$4734&lt;&gt;A165)+($E$2:$E$4734&lt;&gt;0))&gt;0)*1000000)),"")</f>
        <v/>
      </c>
      <c r="M165" s="1">
        <f>IF(AND(E165=0,COUNTIFS($A$2:A165,A165,$E$2:E165,0)=1),L165,0)</f>
        <v>0</v>
      </c>
    </row>
    <row r="166" spans="1:13" ht="15" customHeight="1">
      <c r="A166" s="1">
        <v>7047</v>
      </c>
      <c r="B166" s="1" t="s">
        <v>9</v>
      </c>
      <c r="C166" s="1" t="s">
        <v>214</v>
      </c>
      <c r="D166" s="2" t="s">
        <v>215</v>
      </c>
      <c r="E166" s="1">
        <v>1</v>
      </c>
      <c r="F166" s="2" t="s">
        <v>220</v>
      </c>
      <c r="G166" s="1">
        <v>5</v>
      </c>
      <c r="H166" s="1" t="str">
        <f t="shared" si="2"/>
        <v>k7047_5</v>
      </c>
      <c r="K166" s="1">
        <f>IF(E166=0,SUMPRODUCT(($A$2:$A$4734=A166)*($B$2:$B$4734=B166)*($D$2:$D$4734=D166)*($E$2:$E$4734=0)),0)</f>
        <v>0</v>
      </c>
      <c r="L166" s="1" t="str">
        <f>IF(E166=0,SUMPRODUCT(MIN($K$2:$K$4734+((($A$2:$A$4734&lt;&gt;A166)+($E$2:$E$4734&lt;&gt;0))&gt;0)*1000000)),"")</f>
        <v/>
      </c>
      <c r="M166" s="1">
        <f>IF(AND(E166=0,COUNTIFS($A$2:A166,A166,$E$2:E166,0)=1),L166,0)</f>
        <v>0</v>
      </c>
    </row>
    <row r="167" spans="1:13" ht="15" customHeight="1">
      <c r="A167" s="1">
        <v>7047</v>
      </c>
      <c r="B167" s="1" t="s">
        <v>9</v>
      </c>
      <c r="C167" s="1" t="s">
        <v>214</v>
      </c>
      <c r="D167" s="2" t="s">
        <v>215</v>
      </c>
      <c r="E167" s="1">
        <v>1</v>
      </c>
      <c r="F167" s="2" t="s">
        <v>221</v>
      </c>
      <c r="G167" s="1">
        <v>6</v>
      </c>
      <c r="H167" s="1" t="str">
        <f t="shared" si="2"/>
        <v>k7047_6</v>
      </c>
      <c r="K167" s="1">
        <f>IF(E167=0,SUMPRODUCT(($A$2:$A$4734=A167)*($B$2:$B$4734=B167)*($D$2:$D$4734=D167)*($E$2:$E$4734=0)),0)</f>
        <v>0</v>
      </c>
      <c r="L167" s="1" t="str">
        <f>IF(E167=0,SUMPRODUCT(MIN($K$2:$K$4734+((($A$2:$A$4734&lt;&gt;A167)+($E$2:$E$4734&lt;&gt;0))&gt;0)*1000000)),"")</f>
        <v/>
      </c>
      <c r="M167" s="1">
        <f>IF(AND(E167=0,COUNTIFS($A$2:A167,A167,$E$2:E167,0)=1),L167,0)</f>
        <v>0</v>
      </c>
    </row>
    <row r="168" spans="1:13" ht="15" customHeight="1">
      <c r="A168" s="1">
        <v>7047</v>
      </c>
      <c r="B168" s="1" t="s">
        <v>16</v>
      </c>
      <c r="C168" s="1" t="s">
        <v>214</v>
      </c>
      <c r="D168" s="2" t="s">
        <v>215</v>
      </c>
      <c r="E168" s="1">
        <v>1</v>
      </c>
      <c r="F168" s="2" t="s">
        <v>222</v>
      </c>
      <c r="G168" s="1">
        <v>1</v>
      </c>
      <c r="H168" s="1" t="str">
        <f t="shared" si="2"/>
        <v>k7047_1</v>
      </c>
      <c r="K168" s="1">
        <f>IF(E168=0,SUMPRODUCT(($A$2:$A$4734=A168)*($B$2:$B$4734=B168)*($D$2:$D$4734=D168)*($E$2:$E$4734=0)),0)</f>
        <v>0</v>
      </c>
      <c r="L168" s="1" t="str">
        <f>IF(E168=0,SUMPRODUCT(MIN($K$2:$K$4734+((($A$2:$A$4734&lt;&gt;A168)+($E$2:$E$4734&lt;&gt;0))&gt;0)*1000000)),"")</f>
        <v/>
      </c>
      <c r="M168" s="1">
        <f>IF(AND(E168=0,COUNTIFS($A$2:A168,A168,$E$2:E168,0)=1),L168,0)</f>
        <v>0</v>
      </c>
    </row>
    <row r="169" spans="1:13" ht="15" customHeight="1">
      <c r="A169" s="1">
        <v>7047</v>
      </c>
      <c r="B169" s="1" t="s">
        <v>16</v>
      </c>
      <c r="C169" s="1" t="s">
        <v>214</v>
      </c>
      <c r="D169" s="2" t="s">
        <v>215</v>
      </c>
      <c r="E169" s="1">
        <v>1</v>
      </c>
      <c r="F169" s="2" t="s">
        <v>223</v>
      </c>
      <c r="G169" s="1">
        <v>2</v>
      </c>
      <c r="H169" s="1" t="str">
        <f t="shared" si="2"/>
        <v>k7047_2</v>
      </c>
      <c r="K169" s="1">
        <f>IF(E169=0,SUMPRODUCT(($A$2:$A$4734=A169)*($B$2:$B$4734=B169)*($D$2:$D$4734=D169)*($E$2:$E$4734=0)),0)</f>
        <v>0</v>
      </c>
      <c r="L169" s="1" t="str">
        <f>IF(E169=0,SUMPRODUCT(MIN($K$2:$K$4734+((($A$2:$A$4734&lt;&gt;A169)+($E$2:$E$4734&lt;&gt;0))&gt;0)*1000000)),"")</f>
        <v/>
      </c>
      <c r="M169" s="1">
        <f>IF(AND(E169=0,COUNTIFS($A$2:A169,A169,$E$2:E169,0)=1),L169,0)</f>
        <v>0</v>
      </c>
    </row>
    <row r="170" spans="1:13" ht="15" customHeight="1">
      <c r="A170" s="1">
        <v>7047</v>
      </c>
      <c r="B170" s="1" t="s">
        <v>16</v>
      </c>
      <c r="C170" s="1" t="s">
        <v>214</v>
      </c>
      <c r="D170" s="2" t="s">
        <v>215</v>
      </c>
      <c r="E170" s="1">
        <v>1</v>
      </c>
      <c r="F170" s="2" t="s">
        <v>224</v>
      </c>
      <c r="G170" s="1">
        <v>3</v>
      </c>
      <c r="H170" s="1" t="str">
        <f t="shared" si="2"/>
        <v>k7047_3</v>
      </c>
      <c r="K170" s="1">
        <f>IF(E170=0,SUMPRODUCT(($A$2:$A$4734=A170)*($B$2:$B$4734=B170)*($D$2:$D$4734=D170)*($E$2:$E$4734=0)),0)</f>
        <v>0</v>
      </c>
      <c r="L170" s="1" t="str">
        <f>IF(E170=0,SUMPRODUCT(MIN($K$2:$K$4734+((($A$2:$A$4734&lt;&gt;A170)+($E$2:$E$4734&lt;&gt;0))&gt;0)*1000000)),"")</f>
        <v/>
      </c>
      <c r="M170" s="1">
        <f>IF(AND(E170=0,COUNTIFS($A$2:A170,A170,$E$2:E170,0)=1),L170,0)</f>
        <v>0</v>
      </c>
    </row>
    <row r="171" spans="1:13" ht="15" customHeight="1">
      <c r="A171" s="1">
        <v>7047</v>
      </c>
      <c r="B171" s="1" t="s">
        <v>16</v>
      </c>
      <c r="C171" s="1" t="s">
        <v>214</v>
      </c>
      <c r="D171" s="2" t="s">
        <v>215</v>
      </c>
      <c r="E171" s="1">
        <v>1</v>
      </c>
      <c r="F171" s="2" t="s">
        <v>225</v>
      </c>
      <c r="G171" s="1">
        <v>4</v>
      </c>
      <c r="H171" s="1" t="str">
        <f t="shared" si="2"/>
        <v>k7047_4</v>
      </c>
      <c r="K171" s="1">
        <f>IF(E171=0,SUMPRODUCT(($A$2:$A$4734=A171)*($B$2:$B$4734=B171)*($D$2:$D$4734=D171)*($E$2:$E$4734=0)),0)</f>
        <v>0</v>
      </c>
      <c r="L171" s="1" t="str">
        <f>IF(E171=0,SUMPRODUCT(MIN($K$2:$K$4734+((($A$2:$A$4734&lt;&gt;A171)+($E$2:$E$4734&lt;&gt;0))&gt;0)*1000000)),"")</f>
        <v/>
      </c>
      <c r="M171" s="1">
        <f>IF(AND(E171=0,COUNTIFS($A$2:A171,A171,$E$2:E171,0)=1),L171,0)</f>
        <v>0</v>
      </c>
    </row>
    <row r="172" spans="1:13" ht="15" customHeight="1">
      <c r="A172" s="1">
        <v>7047</v>
      </c>
      <c r="B172" s="1" t="s">
        <v>16</v>
      </c>
      <c r="C172" s="1" t="s">
        <v>214</v>
      </c>
      <c r="D172" s="2" t="s">
        <v>215</v>
      </c>
      <c r="E172" s="1">
        <v>1</v>
      </c>
      <c r="F172" s="2" t="s">
        <v>226</v>
      </c>
      <c r="G172" s="1">
        <v>5</v>
      </c>
      <c r="H172" s="1" t="str">
        <f t="shared" si="2"/>
        <v>k7047_5</v>
      </c>
      <c r="K172" s="1">
        <f>IF(E172=0,SUMPRODUCT(($A$2:$A$4734=A172)*($B$2:$B$4734=B172)*($D$2:$D$4734=D172)*($E$2:$E$4734=0)),0)</f>
        <v>0</v>
      </c>
      <c r="L172" s="1" t="str">
        <f>IF(E172=0,SUMPRODUCT(MIN($K$2:$K$4734+((($A$2:$A$4734&lt;&gt;A172)+($E$2:$E$4734&lt;&gt;0))&gt;0)*1000000)),"")</f>
        <v/>
      </c>
      <c r="M172" s="1">
        <f>IF(AND(E172=0,COUNTIFS($A$2:A172,A172,$E$2:E172,0)=1),L172,0)</f>
        <v>0</v>
      </c>
    </row>
    <row r="173" spans="1:13" ht="15" customHeight="1">
      <c r="A173" s="1">
        <v>7047</v>
      </c>
      <c r="B173" s="1" t="s">
        <v>16</v>
      </c>
      <c r="C173" s="1" t="s">
        <v>214</v>
      </c>
      <c r="D173" s="2" t="s">
        <v>215</v>
      </c>
      <c r="E173" s="1">
        <v>1</v>
      </c>
      <c r="F173" s="2" t="s">
        <v>227</v>
      </c>
      <c r="G173" s="1">
        <v>6</v>
      </c>
      <c r="H173" s="1" t="str">
        <f t="shared" si="2"/>
        <v>k7047_6</v>
      </c>
      <c r="K173" s="1">
        <f>IF(E173=0,SUMPRODUCT(($A$2:$A$4734=A173)*($B$2:$B$4734=B173)*($D$2:$D$4734=D173)*($E$2:$E$4734=0)),0)</f>
        <v>0</v>
      </c>
      <c r="L173" s="1" t="str">
        <f>IF(E173=0,SUMPRODUCT(MIN($K$2:$K$4734+((($A$2:$A$4734&lt;&gt;A173)+($E$2:$E$4734&lt;&gt;0))&gt;0)*1000000)),"")</f>
        <v/>
      </c>
      <c r="M173" s="1">
        <f>IF(AND(E173=0,COUNTIFS($A$2:A173,A173,$E$2:E173,0)=1),L173,0)</f>
        <v>0</v>
      </c>
    </row>
    <row r="174" spans="1:13" ht="15" customHeight="1">
      <c r="A174" s="1">
        <v>7047</v>
      </c>
      <c r="B174" s="1" t="s">
        <v>95</v>
      </c>
      <c r="C174" s="1" t="s">
        <v>214</v>
      </c>
      <c r="D174" s="2" t="s">
        <v>215</v>
      </c>
      <c r="E174" s="1">
        <v>1</v>
      </c>
      <c r="F174" s="2" t="s">
        <v>228</v>
      </c>
      <c r="G174" s="1">
        <v>1</v>
      </c>
      <c r="H174" s="1" t="str">
        <f t="shared" si="2"/>
        <v>k7047_1</v>
      </c>
      <c r="K174" s="1">
        <f>IF(E174=0,SUMPRODUCT(($A$2:$A$4734=A174)*($B$2:$B$4734=B174)*($D$2:$D$4734=D174)*($E$2:$E$4734=0)),0)</f>
        <v>0</v>
      </c>
      <c r="L174" s="1" t="str">
        <f>IF(E174=0,SUMPRODUCT(MIN($K$2:$K$4734+((($A$2:$A$4734&lt;&gt;A174)+($E$2:$E$4734&lt;&gt;0))&gt;0)*1000000)),"")</f>
        <v/>
      </c>
      <c r="M174" s="1">
        <f>IF(AND(E174=0,COUNTIFS($A$2:A174,A174,$E$2:E174,0)=1),L174,0)</f>
        <v>0</v>
      </c>
    </row>
    <row r="175" spans="1:13" ht="15" customHeight="1">
      <c r="A175" s="1">
        <v>7047</v>
      </c>
      <c r="B175" s="1" t="s">
        <v>95</v>
      </c>
      <c r="C175" s="1" t="s">
        <v>214</v>
      </c>
      <c r="D175" s="2" t="s">
        <v>215</v>
      </c>
      <c r="E175" s="1">
        <v>1</v>
      </c>
      <c r="F175" s="2" t="s">
        <v>229</v>
      </c>
      <c r="G175" s="1">
        <v>2</v>
      </c>
      <c r="H175" s="1" t="str">
        <f t="shared" si="2"/>
        <v>k7047_2</v>
      </c>
      <c r="K175" s="1">
        <f>IF(E175=0,SUMPRODUCT(($A$2:$A$4734=A175)*($B$2:$B$4734=B175)*($D$2:$D$4734=D175)*($E$2:$E$4734=0)),0)</f>
        <v>0</v>
      </c>
      <c r="L175" s="1" t="str">
        <f>IF(E175=0,SUMPRODUCT(MIN($K$2:$K$4734+((($A$2:$A$4734&lt;&gt;A175)+($E$2:$E$4734&lt;&gt;0))&gt;0)*1000000)),"")</f>
        <v/>
      </c>
      <c r="M175" s="1">
        <f>IF(AND(E175=0,COUNTIFS($A$2:A175,A175,$E$2:E175,0)=1),L175,0)</f>
        <v>0</v>
      </c>
    </row>
    <row r="176" spans="1:13" ht="15" customHeight="1">
      <c r="A176" s="1">
        <v>7047</v>
      </c>
      <c r="B176" s="1" t="s">
        <v>95</v>
      </c>
      <c r="C176" s="1" t="s">
        <v>214</v>
      </c>
      <c r="D176" s="2" t="s">
        <v>215</v>
      </c>
      <c r="E176" s="1">
        <v>1</v>
      </c>
      <c r="F176" s="2" t="s">
        <v>230</v>
      </c>
      <c r="G176" s="1">
        <v>3</v>
      </c>
      <c r="H176" s="1" t="str">
        <f t="shared" si="2"/>
        <v>k7047_3</v>
      </c>
      <c r="K176" s="1">
        <f>IF(E176=0,SUMPRODUCT(($A$2:$A$4734=A176)*($B$2:$B$4734=B176)*($D$2:$D$4734=D176)*($E$2:$E$4734=0)),0)</f>
        <v>0</v>
      </c>
      <c r="L176" s="1" t="str">
        <f>IF(E176=0,SUMPRODUCT(MIN($K$2:$K$4734+((($A$2:$A$4734&lt;&gt;A176)+($E$2:$E$4734&lt;&gt;0))&gt;0)*1000000)),"")</f>
        <v/>
      </c>
      <c r="M176" s="1">
        <f>IF(AND(E176=0,COUNTIFS($A$2:A176,A176,$E$2:E176,0)=1),L176,0)</f>
        <v>0</v>
      </c>
    </row>
    <row r="177" spans="1:13" ht="15" customHeight="1">
      <c r="A177" s="1">
        <v>7047</v>
      </c>
      <c r="B177" s="1" t="s">
        <v>95</v>
      </c>
      <c r="C177" s="1" t="s">
        <v>214</v>
      </c>
      <c r="D177" s="2" t="s">
        <v>215</v>
      </c>
      <c r="E177" s="1">
        <v>1</v>
      </c>
      <c r="F177" s="2" t="s">
        <v>231</v>
      </c>
      <c r="G177" s="1">
        <v>4</v>
      </c>
      <c r="H177" s="1" t="str">
        <f t="shared" si="2"/>
        <v>k7047_4</v>
      </c>
      <c r="K177" s="1">
        <f>IF(E177=0,SUMPRODUCT(($A$2:$A$4734=A177)*($B$2:$B$4734=B177)*($D$2:$D$4734=D177)*($E$2:$E$4734=0)),0)</f>
        <v>0</v>
      </c>
      <c r="L177" s="1" t="str">
        <f>IF(E177=0,SUMPRODUCT(MIN($K$2:$K$4734+((($A$2:$A$4734&lt;&gt;A177)+($E$2:$E$4734&lt;&gt;0))&gt;0)*1000000)),"")</f>
        <v/>
      </c>
      <c r="M177" s="1">
        <f>IF(AND(E177=0,COUNTIFS($A$2:A177,A177,$E$2:E177,0)=1),L177,0)</f>
        <v>0</v>
      </c>
    </row>
    <row r="178" spans="1:13" ht="15" customHeight="1">
      <c r="A178" s="1">
        <v>7047</v>
      </c>
      <c r="B178" s="1" t="s">
        <v>95</v>
      </c>
      <c r="C178" s="1" t="s">
        <v>214</v>
      </c>
      <c r="D178" s="2" t="s">
        <v>215</v>
      </c>
      <c r="E178" s="1">
        <v>1</v>
      </c>
      <c r="F178" s="2" t="s">
        <v>232</v>
      </c>
      <c r="G178" s="1">
        <v>5</v>
      </c>
      <c r="H178" s="1" t="str">
        <f t="shared" si="2"/>
        <v>k7047_5</v>
      </c>
      <c r="K178" s="1">
        <f>IF(E178=0,SUMPRODUCT(($A$2:$A$4734=A178)*($B$2:$B$4734=B178)*($D$2:$D$4734=D178)*($E$2:$E$4734=0)),0)</f>
        <v>0</v>
      </c>
      <c r="L178" s="1" t="str">
        <f>IF(E178=0,SUMPRODUCT(MIN($K$2:$K$4734+((($A$2:$A$4734&lt;&gt;A178)+($E$2:$E$4734&lt;&gt;0))&gt;0)*1000000)),"")</f>
        <v/>
      </c>
      <c r="M178" s="1">
        <f>IF(AND(E178=0,COUNTIFS($A$2:A178,A178,$E$2:E178,0)=1),L178,0)</f>
        <v>0</v>
      </c>
    </row>
    <row r="179" spans="1:13" ht="15" customHeight="1">
      <c r="A179" s="1">
        <v>7047</v>
      </c>
      <c r="B179" s="1" t="s">
        <v>95</v>
      </c>
      <c r="C179" s="1" t="s">
        <v>214</v>
      </c>
      <c r="D179" s="2" t="s">
        <v>215</v>
      </c>
      <c r="E179" s="1">
        <v>1</v>
      </c>
      <c r="F179" s="2" t="s">
        <v>233</v>
      </c>
      <c r="G179" s="1">
        <v>6</v>
      </c>
      <c r="H179" s="1" t="str">
        <f t="shared" si="2"/>
        <v>k7047_6</v>
      </c>
      <c r="K179" s="1">
        <f>IF(E179=0,SUMPRODUCT(($A$2:$A$4734=A179)*($B$2:$B$4734=B179)*($D$2:$D$4734=D179)*($E$2:$E$4734=0)),0)</f>
        <v>0</v>
      </c>
      <c r="L179" s="1" t="str">
        <f>IF(E179=0,SUMPRODUCT(MIN($K$2:$K$4734+((($A$2:$A$4734&lt;&gt;A179)+($E$2:$E$4734&lt;&gt;0))&gt;0)*1000000)),"")</f>
        <v/>
      </c>
      <c r="M179" s="1">
        <f>IF(AND(E179=0,COUNTIFS($A$2:A179,A179,$E$2:E179,0)=1),L179,0)</f>
        <v>0</v>
      </c>
    </row>
    <row r="180" spans="1:13" ht="15" customHeight="1">
      <c r="A180" s="1">
        <v>7047</v>
      </c>
      <c r="B180" s="1" t="s">
        <v>69</v>
      </c>
      <c r="C180" s="1" t="s">
        <v>214</v>
      </c>
      <c r="D180" s="2" t="s">
        <v>234</v>
      </c>
      <c r="E180" s="1">
        <v>1</v>
      </c>
      <c r="F180" s="2" t="s">
        <v>235</v>
      </c>
      <c r="G180" s="1">
        <v>1</v>
      </c>
      <c r="H180" s="1" t="str">
        <f t="shared" si="2"/>
        <v>k7047_1</v>
      </c>
      <c r="K180" s="1">
        <f>IF(E180=0,SUMPRODUCT(($A$2:$A$4734=A180)*($B$2:$B$4734=B180)*($D$2:$D$4734=D180)*($E$2:$E$4734=0)),0)</f>
        <v>0</v>
      </c>
      <c r="L180" s="1" t="str">
        <f>IF(E180=0,SUMPRODUCT(MIN($K$2:$K$4734+((($A$2:$A$4734&lt;&gt;A180)+($E$2:$E$4734&lt;&gt;0))&gt;0)*1000000)),"")</f>
        <v/>
      </c>
      <c r="M180" s="1">
        <f>IF(AND(E180=0,COUNTIFS($A$2:A180,A180,$E$2:E180,0)=1),L180,0)</f>
        <v>0</v>
      </c>
    </row>
    <row r="181" spans="1:13" ht="15" customHeight="1">
      <c r="A181" s="1">
        <v>7047</v>
      </c>
      <c r="B181" s="1" t="s">
        <v>69</v>
      </c>
      <c r="C181" s="1" t="s">
        <v>214</v>
      </c>
      <c r="D181" s="2" t="s">
        <v>234</v>
      </c>
      <c r="E181" s="1">
        <v>1</v>
      </c>
      <c r="F181" s="2" t="s">
        <v>236</v>
      </c>
      <c r="G181" s="1">
        <v>2</v>
      </c>
      <c r="H181" s="1" t="str">
        <f t="shared" si="2"/>
        <v>k7047_2</v>
      </c>
      <c r="K181" s="1">
        <f>IF(E181=0,SUMPRODUCT(($A$2:$A$4734=A181)*($B$2:$B$4734=B181)*($D$2:$D$4734=D181)*($E$2:$E$4734=0)),0)</f>
        <v>0</v>
      </c>
      <c r="L181" s="1" t="str">
        <f>IF(E181=0,SUMPRODUCT(MIN($K$2:$K$4734+((($A$2:$A$4734&lt;&gt;A181)+($E$2:$E$4734&lt;&gt;0))&gt;0)*1000000)),"")</f>
        <v/>
      </c>
      <c r="M181" s="1">
        <f>IF(AND(E181=0,COUNTIFS($A$2:A181,A181,$E$2:E181,0)=1),L181,0)</f>
        <v>0</v>
      </c>
    </row>
    <row r="182" spans="1:13" ht="15" customHeight="1">
      <c r="A182" s="1">
        <v>7047</v>
      </c>
      <c r="B182" s="1" t="s">
        <v>69</v>
      </c>
      <c r="C182" s="1" t="s">
        <v>214</v>
      </c>
      <c r="D182" s="2" t="s">
        <v>234</v>
      </c>
      <c r="E182" s="1">
        <v>1</v>
      </c>
      <c r="F182" s="2" t="s">
        <v>237</v>
      </c>
      <c r="G182" s="1">
        <v>3</v>
      </c>
      <c r="H182" s="1" t="str">
        <f t="shared" si="2"/>
        <v>k7047_3</v>
      </c>
      <c r="K182" s="1">
        <f>IF(E182=0,SUMPRODUCT(($A$2:$A$4734=A182)*($B$2:$B$4734=B182)*($D$2:$D$4734=D182)*($E$2:$E$4734=0)),0)</f>
        <v>0</v>
      </c>
      <c r="L182" s="1" t="str">
        <f>IF(E182=0,SUMPRODUCT(MIN($K$2:$K$4734+((($A$2:$A$4734&lt;&gt;A182)+($E$2:$E$4734&lt;&gt;0))&gt;0)*1000000)),"")</f>
        <v/>
      </c>
      <c r="M182" s="1">
        <f>IF(AND(E182=0,COUNTIFS($A$2:A182,A182,$E$2:E182,0)=1),L182,0)</f>
        <v>0</v>
      </c>
    </row>
    <row r="183" spans="1:13" ht="15" customHeight="1">
      <c r="A183" s="1">
        <v>7047</v>
      </c>
      <c r="B183" s="1" t="s">
        <v>69</v>
      </c>
      <c r="C183" s="1" t="s">
        <v>214</v>
      </c>
      <c r="D183" s="2" t="s">
        <v>234</v>
      </c>
      <c r="E183" s="1">
        <v>1</v>
      </c>
      <c r="F183" s="2" t="s">
        <v>238</v>
      </c>
      <c r="G183" s="1">
        <v>4</v>
      </c>
      <c r="H183" s="1" t="str">
        <f t="shared" si="2"/>
        <v>k7047_4</v>
      </c>
      <c r="K183" s="1">
        <f>IF(E183=0,SUMPRODUCT(($A$2:$A$4734=A183)*($B$2:$B$4734=B183)*($D$2:$D$4734=D183)*($E$2:$E$4734=0)),0)</f>
        <v>0</v>
      </c>
      <c r="L183" s="1" t="str">
        <f>IF(E183=0,SUMPRODUCT(MIN($K$2:$K$4734+((($A$2:$A$4734&lt;&gt;A183)+($E$2:$E$4734&lt;&gt;0))&gt;0)*1000000)),"")</f>
        <v/>
      </c>
      <c r="M183" s="1">
        <f>IF(AND(E183=0,COUNTIFS($A$2:A183,A183,$E$2:E183,0)=1),L183,0)</f>
        <v>0</v>
      </c>
    </row>
    <row r="184" spans="1:13" ht="15" customHeight="1">
      <c r="A184" s="1">
        <v>7047</v>
      </c>
      <c r="B184" s="1" t="s">
        <v>69</v>
      </c>
      <c r="C184" s="1" t="s">
        <v>214</v>
      </c>
      <c r="D184" s="2" t="s">
        <v>234</v>
      </c>
      <c r="E184" s="1">
        <v>1</v>
      </c>
      <c r="F184" s="2" t="s">
        <v>239</v>
      </c>
      <c r="G184" s="1">
        <v>5</v>
      </c>
      <c r="H184" s="1" t="str">
        <f t="shared" si="2"/>
        <v>k7047_5</v>
      </c>
      <c r="K184" s="1">
        <f>IF(E184=0,SUMPRODUCT(($A$2:$A$4734=A184)*($B$2:$B$4734=B184)*($D$2:$D$4734=D184)*($E$2:$E$4734=0)),0)</f>
        <v>0</v>
      </c>
      <c r="L184" s="1" t="str">
        <f>IF(E184=0,SUMPRODUCT(MIN($K$2:$K$4734+((($A$2:$A$4734&lt;&gt;A184)+($E$2:$E$4734&lt;&gt;0))&gt;0)*1000000)),"")</f>
        <v/>
      </c>
      <c r="M184" s="1">
        <f>IF(AND(E184=0,COUNTIFS($A$2:A184,A184,$E$2:E184,0)=1),L184,0)</f>
        <v>0</v>
      </c>
    </row>
    <row r="185" spans="1:13" ht="15" customHeight="1">
      <c r="A185" s="1">
        <v>7047</v>
      </c>
      <c r="B185" s="1" t="s">
        <v>69</v>
      </c>
      <c r="C185" s="1" t="s">
        <v>214</v>
      </c>
      <c r="D185" s="2" t="s">
        <v>234</v>
      </c>
      <c r="E185" s="1">
        <v>1</v>
      </c>
      <c r="F185" s="2" t="s">
        <v>239</v>
      </c>
      <c r="G185" s="1">
        <v>6</v>
      </c>
      <c r="H185" s="1" t="str">
        <f t="shared" si="2"/>
        <v>k7047_6</v>
      </c>
      <c r="K185" s="1">
        <f>IF(E185=0,SUMPRODUCT(($A$2:$A$4734=A185)*($B$2:$B$4734=B185)*($D$2:$D$4734=D185)*($E$2:$E$4734=0)),0)</f>
        <v>0</v>
      </c>
      <c r="L185" s="1" t="str">
        <f>IF(E185=0,SUMPRODUCT(MIN($K$2:$K$4734+((($A$2:$A$4734&lt;&gt;A185)+($E$2:$E$4734&lt;&gt;0))&gt;0)*1000000)),"")</f>
        <v/>
      </c>
      <c r="M185" s="1">
        <f>IF(AND(E185=0,COUNTIFS($A$2:A185,A185,$E$2:E185,0)=1),L185,0)</f>
        <v>0</v>
      </c>
    </row>
    <row r="186" spans="1:13" ht="15" customHeight="1">
      <c r="A186" s="1">
        <v>7048</v>
      </c>
      <c r="B186" s="1" t="s">
        <v>9</v>
      </c>
      <c r="C186" s="2" t="s">
        <v>240</v>
      </c>
      <c r="D186" s="2" t="s">
        <v>241</v>
      </c>
      <c r="E186" s="1">
        <v>1</v>
      </c>
      <c r="F186" s="2" t="s">
        <v>242</v>
      </c>
      <c r="G186" s="1">
        <v>1</v>
      </c>
      <c r="H186" s="1" t="str">
        <f t="shared" si="2"/>
        <v>k7048_1</v>
      </c>
      <c r="K186" s="1">
        <f>IF(E186=0,SUMPRODUCT(($A$2:$A$4734=A186)*($B$2:$B$4734=B186)*($D$2:$D$4734=D186)*($E$2:$E$4734=0)),0)</f>
        <v>0</v>
      </c>
      <c r="L186" s="1" t="str">
        <f>IF(E186=0,SUMPRODUCT(MIN($K$2:$K$4734+((($A$2:$A$4734&lt;&gt;A186)+($E$2:$E$4734&lt;&gt;0))&gt;0)*1000000)),"")</f>
        <v/>
      </c>
      <c r="M186" s="1">
        <f>IF(AND(E186=0,COUNTIFS($A$2:A186,A186,$E$2:E186,0)=1),L186,0)</f>
        <v>0</v>
      </c>
    </row>
    <row r="187" spans="1:13" ht="15" customHeight="1">
      <c r="A187" s="1">
        <v>7048</v>
      </c>
      <c r="B187" s="1" t="s">
        <v>9</v>
      </c>
      <c r="C187" s="2" t="s">
        <v>240</v>
      </c>
      <c r="D187" s="2" t="s">
        <v>241</v>
      </c>
      <c r="E187" s="1">
        <v>1</v>
      </c>
      <c r="F187" s="2" t="s">
        <v>243</v>
      </c>
      <c r="G187" s="1">
        <v>2</v>
      </c>
      <c r="H187" s="1" t="str">
        <f t="shared" si="2"/>
        <v>k7048_2</v>
      </c>
      <c r="K187" s="1">
        <f>IF(E187=0,SUMPRODUCT(($A$2:$A$4734=A187)*($B$2:$B$4734=B187)*($D$2:$D$4734=D187)*($E$2:$E$4734=0)),0)</f>
        <v>0</v>
      </c>
      <c r="L187" s="1" t="str">
        <f>IF(E187=0,SUMPRODUCT(MIN($K$2:$K$4734+((($A$2:$A$4734&lt;&gt;A187)+($E$2:$E$4734&lt;&gt;0))&gt;0)*1000000)),"")</f>
        <v/>
      </c>
      <c r="M187" s="1">
        <f>IF(AND(E187=0,COUNTIFS($A$2:A187,A187,$E$2:E187,0)=1),L187,0)</f>
        <v>0</v>
      </c>
    </row>
    <row r="188" spans="1:13" ht="15" customHeight="1">
      <c r="A188" s="1">
        <v>7048</v>
      </c>
      <c r="B188" s="1" t="s">
        <v>9</v>
      </c>
      <c r="C188" s="2" t="s">
        <v>240</v>
      </c>
      <c r="D188" s="2" t="s">
        <v>241</v>
      </c>
      <c r="E188" s="1">
        <v>1</v>
      </c>
      <c r="F188" s="2" t="s">
        <v>244</v>
      </c>
      <c r="G188" s="1">
        <v>3</v>
      </c>
      <c r="H188" s="1" t="str">
        <f t="shared" ref="H188:H249" si="3">IF(OR(E188&lt;&gt;1,G188=""),"","k"&amp;A188&amp;"_"&amp;G188)</f>
        <v>k7048_3</v>
      </c>
      <c r="K188" s="1">
        <f>IF(E188=0,SUMPRODUCT(($A$2:$A$4734=A188)*($B$2:$B$4734=B188)*($D$2:$D$4734=D188)*($E$2:$E$4734=0)),0)</f>
        <v>0</v>
      </c>
      <c r="L188" s="1" t="str">
        <f>IF(E188=0,SUMPRODUCT(MIN($K$2:$K$4734+((($A$2:$A$4734&lt;&gt;A188)+($E$2:$E$4734&lt;&gt;0))&gt;0)*1000000)),"")</f>
        <v/>
      </c>
      <c r="M188" s="1">
        <f>IF(AND(E188=0,COUNTIFS($A$2:A188,A188,$E$2:E188,0)=1),L188,0)</f>
        <v>0</v>
      </c>
    </row>
    <row r="189" spans="1:13" ht="15" customHeight="1">
      <c r="A189" s="1">
        <v>7048</v>
      </c>
      <c r="B189" s="1" t="s">
        <v>9</v>
      </c>
      <c r="C189" s="2" t="s">
        <v>240</v>
      </c>
      <c r="D189" s="2" t="s">
        <v>241</v>
      </c>
      <c r="E189" s="1">
        <v>1</v>
      </c>
      <c r="F189" s="2" t="s">
        <v>245</v>
      </c>
      <c r="G189" s="1">
        <v>4</v>
      </c>
      <c r="H189" s="1" t="str">
        <f t="shared" si="3"/>
        <v>k7048_4</v>
      </c>
      <c r="K189" s="1">
        <f>IF(E189=0,SUMPRODUCT(($A$2:$A$4734=A189)*($B$2:$B$4734=B189)*($D$2:$D$4734=D189)*($E$2:$E$4734=0)),0)</f>
        <v>0</v>
      </c>
      <c r="L189" s="1" t="str">
        <f>IF(E189=0,SUMPRODUCT(MIN($K$2:$K$4734+((($A$2:$A$4734&lt;&gt;A189)+($E$2:$E$4734&lt;&gt;0))&gt;0)*1000000)),"")</f>
        <v/>
      </c>
      <c r="M189" s="1">
        <f>IF(AND(E189=0,COUNTIFS($A$2:A189,A189,$E$2:E189,0)=1),L189,0)</f>
        <v>0</v>
      </c>
    </row>
    <row r="190" spans="1:13" ht="15" customHeight="1">
      <c r="A190" s="1">
        <v>7048</v>
      </c>
      <c r="B190" s="1" t="s">
        <v>16</v>
      </c>
      <c r="C190" s="2" t="s">
        <v>240</v>
      </c>
      <c r="D190" s="2" t="s">
        <v>246</v>
      </c>
      <c r="E190" s="1">
        <v>1</v>
      </c>
      <c r="F190" s="2" t="s">
        <v>247</v>
      </c>
      <c r="G190" s="1">
        <v>1</v>
      </c>
      <c r="H190" s="1" t="str">
        <f t="shared" si="3"/>
        <v>k7048_1</v>
      </c>
      <c r="K190" s="1">
        <f>IF(E190=0,SUMPRODUCT(($A$2:$A$4734=A190)*($B$2:$B$4734=B190)*($D$2:$D$4734=D190)*($E$2:$E$4734=0)),0)</f>
        <v>0</v>
      </c>
      <c r="L190" s="1" t="str">
        <f>IF(E190=0,SUMPRODUCT(MIN($K$2:$K$4734+((($A$2:$A$4734&lt;&gt;A190)+($E$2:$E$4734&lt;&gt;0))&gt;0)*1000000)),"")</f>
        <v/>
      </c>
      <c r="M190" s="1">
        <f>IF(AND(E190=0,COUNTIFS($A$2:A190,A190,$E$2:E190,0)=1),L190,0)</f>
        <v>0</v>
      </c>
    </row>
    <row r="191" spans="1:13" ht="15" customHeight="1">
      <c r="A191" s="1">
        <v>7048</v>
      </c>
      <c r="B191" s="1" t="s">
        <v>16</v>
      </c>
      <c r="C191" s="2" t="s">
        <v>240</v>
      </c>
      <c r="D191" s="2" t="s">
        <v>246</v>
      </c>
      <c r="E191" s="1">
        <v>1</v>
      </c>
      <c r="F191" s="2" t="s">
        <v>248</v>
      </c>
      <c r="G191" s="1">
        <v>2</v>
      </c>
      <c r="H191" s="1" t="str">
        <f t="shared" si="3"/>
        <v>k7048_2</v>
      </c>
      <c r="K191" s="1">
        <f>IF(E191=0,SUMPRODUCT(($A$2:$A$4734=A191)*($B$2:$B$4734=B191)*($D$2:$D$4734=D191)*($E$2:$E$4734=0)),0)</f>
        <v>0</v>
      </c>
      <c r="L191" s="1" t="str">
        <f>IF(E191=0,SUMPRODUCT(MIN($K$2:$K$4734+((($A$2:$A$4734&lt;&gt;A191)+($E$2:$E$4734&lt;&gt;0))&gt;0)*1000000)),"")</f>
        <v/>
      </c>
      <c r="M191" s="1">
        <f>IF(AND(E191=0,COUNTIFS($A$2:A191,A191,$E$2:E191,0)=1),L191,0)</f>
        <v>0</v>
      </c>
    </row>
    <row r="192" spans="1:13" ht="15" customHeight="1">
      <c r="A192" s="1">
        <v>7048</v>
      </c>
      <c r="B192" s="1" t="s">
        <v>16</v>
      </c>
      <c r="C192" s="2" t="s">
        <v>240</v>
      </c>
      <c r="D192" s="2" t="s">
        <v>246</v>
      </c>
      <c r="E192" s="1">
        <v>1</v>
      </c>
      <c r="F192" s="2" t="s">
        <v>249</v>
      </c>
      <c r="G192" s="1">
        <v>3</v>
      </c>
      <c r="H192" s="1" t="str">
        <f t="shared" si="3"/>
        <v>k7048_3</v>
      </c>
      <c r="K192" s="1">
        <f>IF(E192=0,SUMPRODUCT(($A$2:$A$4734=A192)*($B$2:$B$4734=B192)*($D$2:$D$4734=D192)*($E$2:$E$4734=0)),0)</f>
        <v>0</v>
      </c>
      <c r="L192" s="1" t="str">
        <f>IF(E192=0,SUMPRODUCT(MIN($K$2:$K$4734+((($A$2:$A$4734&lt;&gt;A192)+($E$2:$E$4734&lt;&gt;0))&gt;0)*1000000)),"")</f>
        <v/>
      </c>
      <c r="M192" s="1">
        <f>IF(AND(E192=0,COUNTIFS($A$2:A192,A192,$E$2:E192,0)=1),L192,0)</f>
        <v>0</v>
      </c>
    </row>
    <row r="193" spans="1:13" ht="15" customHeight="1">
      <c r="A193" s="1">
        <v>7048</v>
      </c>
      <c r="B193" s="1" t="s">
        <v>16</v>
      </c>
      <c r="C193" s="2" t="s">
        <v>240</v>
      </c>
      <c r="D193" s="2" t="s">
        <v>246</v>
      </c>
      <c r="E193" s="1">
        <v>1</v>
      </c>
      <c r="F193" s="2" t="s">
        <v>250</v>
      </c>
      <c r="G193" s="1">
        <v>4</v>
      </c>
      <c r="H193" s="1" t="str">
        <f t="shared" si="3"/>
        <v>k7048_4</v>
      </c>
      <c r="K193" s="1">
        <f>IF(E193=0,SUMPRODUCT(($A$2:$A$4734=A193)*($B$2:$B$4734=B193)*($D$2:$D$4734=D193)*($E$2:$E$4734=0)),0)</f>
        <v>0</v>
      </c>
      <c r="L193" s="1" t="str">
        <f>IF(E193=0,SUMPRODUCT(MIN($K$2:$K$4734+((($A$2:$A$4734&lt;&gt;A193)+($E$2:$E$4734&lt;&gt;0))&gt;0)*1000000)),"")</f>
        <v/>
      </c>
      <c r="M193" s="1">
        <f>IF(AND(E193=0,COUNTIFS($A$2:A193,A193,$E$2:E193,0)=1),L193,0)</f>
        <v>0</v>
      </c>
    </row>
    <row r="194" spans="1:13" ht="15" customHeight="1">
      <c r="A194" s="1">
        <v>7048</v>
      </c>
      <c r="B194" s="1" t="s">
        <v>9</v>
      </c>
      <c r="C194" s="2" t="s">
        <v>240</v>
      </c>
      <c r="D194" s="2" t="s">
        <v>251</v>
      </c>
      <c r="E194" s="1">
        <v>1</v>
      </c>
      <c r="F194" s="2" t="s">
        <v>252</v>
      </c>
      <c r="G194" s="1">
        <v>1</v>
      </c>
      <c r="H194" s="1" t="str">
        <f t="shared" si="3"/>
        <v>k7048_1</v>
      </c>
      <c r="K194" s="1">
        <f>IF(E194=0,SUMPRODUCT(($A$2:$A$4734=A194)*($B$2:$B$4734=B194)*($D$2:$D$4734=D194)*($E$2:$E$4734=0)),0)</f>
        <v>0</v>
      </c>
      <c r="L194" s="1" t="str">
        <f>IF(E194=0,SUMPRODUCT(MIN($K$2:$K$4734+((($A$2:$A$4734&lt;&gt;A194)+($E$2:$E$4734&lt;&gt;0))&gt;0)*1000000)),"")</f>
        <v/>
      </c>
      <c r="M194" s="1">
        <f>IF(AND(E194=0,COUNTIFS($A$2:A194,A194,$E$2:E194,0)=1),L194,0)</f>
        <v>0</v>
      </c>
    </row>
    <row r="195" spans="1:13" ht="15" customHeight="1">
      <c r="A195" s="1">
        <v>7048</v>
      </c>
      <c r="B195" s="1" t="s">
        <v>9</v>
      </c>
      <c r="C195" s="2" t="s">
        <v>240</v>
      </c>
      <c r="D195" s="2" t="s">
        <v>251</v>
      </c>
      <c r="E195" s="1">
        <v>1</v>
      </c>
      <c r="F195" s="2" t="s">
        <v>253</v>
      </c>
      <c r="G195" s="1">
        <v>2</v>
      </c>
      <c r="H195" s="1" t="str">
        <f t="shared" si="3"/>
        <v>k7048_2</v>
      </c>
      <c r="K195" s="1">
        <f>IF(E195=0,SUMPRODUCT(($A$2:$A$4734=A195)*($B$2:$B$4734=B195)*($D$2:$D$4734=D195)*($E$2:$E$4734=0)),0)</f>
        <v>0</v>
      </c>
      <c r="L195" s="1" t="str">
        <f>IF(E195=0,SUMPRODUCT(MIN($K$2:$K$4734+((($A$2:$A$4734&lt;&gt;A195)+($E$2:$E$4734&lt;&gt;0))&gt;0)*1000000)),"")</f>
        <v/>
      </c>
      <c r="M195" s="1">
        <f>IF(AND(E195=0,COUNTIFS($A$2:A195,A195,$E$2:E195,0)=1),L195,0)</f>
        <v>0</v>
      </c>
    </row>
    <row r="196" spans="1:13" ht="15" customHeight="1">
      <c r="A196" s="1">
        <v>7048</v>
      </c>
      <c r="B196" s="1" t="s">
        <v>9</v>
      </c>
      <c r="C196" s="2" t="s">
        <v>240</v>
      </c>
      <c r="D196" s="2" t="s">
        <v>251</v>
      </c>
      <c r="E196" s="1">
        <v>1</v>
      </c>
      <c r="F196" s="2" t="s">
        <v>254</v>
      </c>
      <c r="G196" s="1">
        <v>3</v>
      </c>
      <c r="H196" s="1" t="str">
        <f t="shared" si="3"/>
        <v>k7048_3</v>
      </c>
      <c r="K196" s="1">
        <f>IF(E196=0,SUMPRODUCT(($A$2:$A$4734=A196)*($B$2:$B$4734=B196)*($D$2:$D$4734=D196)*($E$2:$E$4734=0)),0)</f>
        <v>0</v>
      </c>
      <c r="L196" s="1" t="str">
        <f>IF(E196=0,SUMPRODUCT(MIN($K$2:$K$4734+((($A$2:$A$4734&lt;&gt;A196)+($E$2:$E$4734&lt;&gt;0))&gt;0)*1000000)),"")</f>
        <v/>
      </c>
      <c r="M196" s="1">
        <f>IF(AND(E196=0,COUNTIFS($A$2:A196,A196,$E$2:E196,0)=1),L196,0)</f>
        <v>0</v>
      </c>
    </row>
    <row r="197" spans="1:13" ht="15" customHeight="1">
      <c r="A197" s="1">
        <v>7048</v>
      </c>
      <c r="B197" s="1" t="s">
        <v>9</v>
      </c>
      <c r="C197" s="2" t="s">
        <v>240</v>
      </c>
      <c r="D197" s="2" t="s">
        <v>251</v>
      </c>
      <c r="E197" s="1">
        <v>1</v>
      </c>
      <c r="F197" s="2" t="s">
        <v>255</v>
      </c>
      <c r="G197" s="1">
        <v>4</v>
      </c>
      <c r="H197" s="1" t="str">
        <f t="shared" si="3"/>
        <v>k7048_4</v>
      </c>
      <c r="K197" s="1">
        <f>IF(E197=0,SUMPRODUCT(($A$2:$A$4734=A197)*($B$2:$B$4734=B197)*($D$2:$D$4734=D197)*($E$2:$E$4734=0)),0)</f>
        <v>0</v>
      </c>
      <c r="L197" s="1" t="str">
        <f>IF(E197=0,SUMPRODUCT(MIN($K$2:$K$4734+((($A$2:$A$4734&lt;&gt;A197)+($E$2:$E$4734&lt;&gt;0))&gt;0)*1000000)),"")</f>
        <v/>
      </c>
      <c r="M197" s="1">
        <f>IF(AND(E197=0,COUNTIFS($A$2:A197,A197,$E$2:E197,0)=1),L197,0)</f>
        <v>0</v>
      </c>
    </row>
    <row r="198" spans="1:13" ht="15" customHeight="1">
      <c r="A198" s="1">
        <v>7048</v>
      </c>
      <c r="B198" s="1" t="s">
        <v>69</v>
      </c>
      <c r="C198" s="2" t="s">
        <v>240</v>
      </c>
      <c r="D198" s="2" t="s">
        <v>240</v>
      </c>
      <c r="E198" s="1">
        <v>1</v>
      </c>
      <c r="F198" s="2" t="s">
        <v>256</v>
      </c>
      <c r="G198" s="1">
        <v>1</v>
      </c>
      <c r="H198" s="1" t="str">
        <f t="shared" si="3"/>
        <v>k7048_1</v>
      </c>
      <c r="K198" s="1">
        <f>IF(E198=0,SUMPRODUCT(($A$2:$A$4734=A198)*($B$2:$B$4734=B198)*($D$2:$D$4734=D198)*($E$2:$E$4734=0)),0)</f>
        <v>0</v>
      </c>
      <c r="L198" s="1" t="str">
        <f>IF(E198=0,SUMPRODUCT(MIN($K$2:$K$4734+((($A$2:$A$4734&lt;&gt;A198)+($E$2:$E$4734&lt;&gt;0))&gt;0)*1000000)),"")</f>
        <v/>
      </c>
      <c r="M198" s="1">
        <f>IF(AND(E198=0,COUNTIFS($A$2:A198,A198,$E$2:E198,0)=1),L198,0)</f>
        <v>0</v>
      </c>
    </row>
    <row r="199" spans="1:13" ht="15" customHeight="1">
      <c r="A199" s="1">
        <v>7048</v>
      </c>
      <c r="B199" s="1" t="s">
        <v>69</v>
      </c>
      <c r="C199" s="2" t="s">
        <v>240</v>
      </c>
      <c r="D199" s="2" t="s">
        <v>240</v>
      </c>
      <c r="E199" s="1">
        <v>1</v>
      </c>
      <c r="F199" s="2" t="s">
        <v>257</v>
      </c>
      <c r="G199" s="1">
        <v>2</v>
      </c>
      <c r="H199" s="1" t="str">
        <f t="shared" si="3"/>
        <v>k7048_2</v>
      </c>
      <c r="K199" s="1">
        <f>IF(E199=0,SUMPRODUCT(($A$2:$A$4734=A199)*($B$2:$B$4734=B199)*($D$2:$D$4734=D199)*($E$2:$E$4734=0)),0)</f>
        <v>0</v>
      </c>
      <c r="L199" s="1" t="str">
        <f>IF(E199=0,SUMPRODUCT(MIN($K$2:$K$4734+((($A$2:$A$4734&lt;&gt;A199)+($E$2:$E$4734&lt;&gt;0))&gt;0)*1000000)),"")</f>
        <v/>
      </c>
      <c r="M199" s="1">
        <f>IF(AND(E199=0,COUNTIFS($A$2:A199,A199,$E$2:E199,0)=1),L199,0)</f>
        <v>0</v>
      </c>
    </row>
    <row r="200" spans="1:13" ht="15" customHeight="1">
      <c r="A200" s="1">
        <v>7048</v>
      </c>
      <c r="B200" s="1" t="s">
        <v>69</v>
      </c>
      <c r="C200" s="2" t="s">
        <v>240</v>
      </c>
      <c r="D200" s="2" t="s">
        <v>240</v>
      </c>
      <c r="E200" s="1">
        <v>1</v>
      </c>
      <c r="F200" s="2" t="s">
        <v>258</v>
      </c>
      <c r="G200" s="1">
        <v>3</v>
      </c>
      <c r="H200" s="1" t="str">
        <f t="shared" si="3"/>
        <v>k7048_3</v>
      </c>
      <c r="K200" s="1">
        <f>IF(E200=0,SUMPRODUCT(($A$2:$A$4734=A200)*($B$2:$B$4734=B200)*($D$2:$D$4734=D200)*($E$2:$E$4734=0)),0)</f>
        <v>0</v>
      </c>
      <c r="L200" s="1" t="str">
        <f>IF(E200=0,SUMPRODUCT(MIN($K$2:$K$4734+((($A$2:$A$4734&lt;&gt;A200)+($E$2:$E$4734&lt;&gt;0))&gt;0)*1000000)),"")</f>
        <v/>
      </c>
      <c r="M200" s="1">
        <f>IF(AND(E200=0,COUNTIFS($A$2:A200,A200,$E$2:E200,0)=1),L200,0)</f>
        <v>0</v>
      </c>
    </row>
    <row r="201" spans="1:13" ht="15" customHeight="1">
      <c r="A201" s="1">
        <v>7048</v>
      </c>
      <c r="B201" s="1" t="s">
        <v>69</v>
      </c>
      <c r="C201" s="2" t="s">
        <v>240</v>
      </c>
      <c r="D201" s="2" t="s">
        <v>240</v>
      </c>
      <c r="E201" s="1">
        <v>1</v>
      </c>
      <c r="F201" s="2" t="s">
        <v>259</v>
      </c>
      <c r="G201" s="1">
        <v>4</v>
      </c>
      <c r="H201" s="1" t="str">
        <f t="shared" si="3"/>
        <v>k7048_4</v>
      </c>
      <c r="K201" s="1">
        <f>IF(E201=0,SUMPRODUCT(($A$2:$A$4734=A201)*($B$2:$B$4734=B201)*($D$2:$D$4734=D201)*($E$2:$E$4734=0)),0)</f>
        <v>0</v>
      </c>
      <c r="L201" s="1" t="str">
        <f>IF(E201=0,SUMPRODUCT(MIN($K$2:$K$4734+((($A$2:$A$4734&lt;&gt;A201)+($E$2:$E$4734&lt;&gt;0))&gt;0)*1000000)),"")</f>
        <v/>
      </c>
      <c r="M201" s="1">
        <f>IF(AND(E201=0,COUNTIFS($A$2:A201,A201,$E$2:E201,0)=1),L201,0)</f>
        <v>0</v>
      </c>
    </row>
    <row r="202" spans="1:13" ht="15" customHeight="1">
      <c r="A202" s="1">
        <v>7049</v>
      </c>
      <c r="B202" s="1" t="s">
        <v>69</v>
      </c>
      <c r="C202" s="1" t="s">
        <v>260</v>
      </c>
      <c r="D202" s="2" t="s">
        <v>261</v>
      </c>
      <c r="E202" s="1">
        <v>1</v>
      </c>
      <c r="F202" s="2" t="s">
        <v>262</v>
      </c>
      <c r="G202" s="1">
        <v>1</v>
      </c>
      <c r="H202" s="1" t="str">
        <f t="shared" si="3"/>
        <v>k7049_1</v>
      </c>
      <c r="K202" s="1">
        <f>IF(E202=0,SUMPRODUCT(($A$2:$A$4734=A202)*($B$2:$B$4734=B202)*($D$2:$D$4734=D202)*($E$2:$E$4734=0)),0)</f>
        <v>0</v>
      </c>
      <c r="L202" s="1" t="str">
        <f>IF(E202=0,SUMPRODUCT(MIN($K$2:$K$4734+((($A$2:$A$4734&lt;&gt;A202)+($E$2:$E$4734&lt;&gt;0))&gt;0)*1000000)),"")</f>
        <v/>
      </c>
      <c r="M202" s="1">
        <f>IF(AND(E202=0,COUNTIFS($A$2:A202,A202,$E$2:E202,0)=1),L202,0)</f>
        <v>0</v>
      </c>
    </row>
    <row r="203" spans="1:13" ht="15" customHeight="1">
      <c r="A203" s="1">
        <v>7049</v>
      </c>
      <c r="B203" s="1" t="s">
        <v>69</v>
      </c>
      <c r="C203" s="1" t="s">
        <v>260</v>
      </c>
      <c r="D203" s="2" t="s">
        <v>261</v>
      </c>
      <c r="E203" s="1">
        <v>1</v>
      </c>
      <c r="F203" s="2" t="s">
        <v>263</v>
      </c>
      <c r="G203" s="1">
        <v>2</v>
      </c>
      <c r="H203" s="1" t="str">
        <f t="shared" si="3"/>
        <v>k7049_2</v>
      </c>
      <c r="K203" s="1">
        <f>IF(E203=0,SUMPRODUCT(($A$2:$A$4734=A203)*($B$2:$B$4734=B203)*($D$2:$D$4734=D203)*($E$2:$E$4734=0)),0)</f>
        <v>0</v>
      </c>
      <c r="L203" s="1" t="str">
        <f>IF(E203=0,SUMPRODUCT(MIN($K$2:$K$4734+((($A$2:$A$4734&lt;&gt;A203)+($E$2:$E$4734&lt;&gt;0))&gt;0)*1000000)),"")</f>
        <v/>
      </c>
      <c r="M203" s="1">
        <f>IF(AND(E203=0,COUNTIFS($A$2:A203,A203,$E$2:E203,0)=1),L203,0)</f>
        <v>0</v>
      </c>
    </row>
    <row r="204" spans="1:13" ht="15" customHeight="1">
      <c r="A204" s="1">
        <v>7049</v>
      </c>
      <c r="B204" s="1" t="s">
        <v>69</v>
      </c>
      <c r="C204" s="1" t="s">
        <v>260</v>
      </c>
      <c r="D204" s="2" t="s">
        <v>261</v>
      </c>
      <c r="E204" s="1">
        <v>1</v>
      </c>
      <c r="F204" s="2" t="s">
        <v>264</v>
      </c>
      <c r="G204" s="1">
        <v>3</v>
      </c>
      <c r="H204" s="1" t="str">
        <f t="shared" si="3"/>
        <v>k7049_3</v>
      </c>
      <c r="K204" s="1">
        <f>IF(E204=0,SUMPRODUCT(($A$2:$A$4734=A204)*($B$2:$B$4734=B204)*($D$2:$D$4734=D204)*($E$2:$E$4734=0)),0)</f>
        <v>0</v>
      </c>
      <c r="L204" s="1" t="str">
        <f>IF(E204=0,SUMPRODUCT(MIN($K$2:$K$4734+((($A$2:$A$4734&lt;&gt;A204)+($E$2:$E$4734&lt;&gt;0))&gt;0)*1000000)),"")</f>
        <v/>
      </c>
      <c r="M204" s="1">
        <f>IF(AND(E204=0,COUNTIFS($A$2:A204,A204,$E$2:E204,0)=1),L204,0)</f>
        <v>0</v>
      </c>
    </row>
    <row r="205" spans="1:13" ht="15" customHeight="1">
      <c r="A205" s="1">
        <v>7049</v>
      </c>
      <c r="B205" s="1" t="s">
        <v>69</v>
      </c>
      <c r="C205" s="1" t="s">
        <v>260</v>
      </c>
      <c r="D205" s="2" t="s">
        <v>261</v>
      </c>
      <c r="E205" s="1">
        <v>1</v>
      </c>
      <c r="F205" s="2" t="s">
        <v>265</v>
      </c>
      <c r="G205" s="1">
        <v>4</v>
      </c>
      <c r="H205" s="1" t="str">
        <f t="shared" si="3"/>
        <v>k7049_4</v>
      </c>
      <c r="K205" s="1">
        <f>IF(E205=0,SUMPRODUCT(($A$2:$A$4734=A205)*($B$2:$B$4734=B205)*($D$2:$D$4734=D205)*($E$2:$E$4734=0)),0)</f>
        <v>0</v>
      </c>
      <c r="L205" s="1" t="str">
        <f>IF(E205=0,SUMPRODUCT(MIN($K$2:$K$4734+((($A$2:$A$4734&lt;&gt;A205)+($E$2:$E$4734&lt;&gt;0))&gt;0)*1000000)),"")</f>
        <v/>
      </c>
      <c r="M205" s="1">
        <f>IF(AND(E205=0,COUNTIFS($A$2:A205,A205,$E$2:E205,0)=1),L205,0)</f>
        <v>0</v>
      </c>
    </row>
    <row r="206" spans="1:13" ht="15" customHeight="1">
      <c r="A206" s="1">
        <v>7049</v>
      </c>
      <c r="B206" s="1" t="s">
        <v>266</v>
      </c>
      <c r="C206" s="1" t="s">
        <v>260</v>
      </c>
      <c r="D206" s="2" t="s">
        <v>261</v>
      </c>
      <c r="E206" s="1">
        <v>1</v>
      </c>
      <c r="F206" s="2" t="s">
        <v>267</v>
      </c>
      <c r="G206" s="1">
        <v>1</v>
      </c>
      <c r="H206" s="1" t="str">
        <f t="shared" si="3"/>
        <v>k7049_1</v>
      </c>
      <c r="K206" s="1">
        <f>IF(E206=0,SUMPRODUCT(($A$2:$A$4734=A206)*($B$2:$B$4734=B206)*($D$2:$D$4734=D206)*($E$2:$E$4734=0)),0)</f>
        <v>0</v>
      </c>
      <c r="L206" s="1" t="str">
        <f>IF(E206=0,SUMPRODUCT(MIN($K$2:$K$4734+((($A$2:$A$4734&lt;&gt;A206)+($E$2:$E$4734&lt;&gt;0))&gt;0)*1000000)),"")</f>
        <v/>
      </c>
      <c r="M206" s="1">
        <f>IF(AND(E206=0,COUNTIFS($A$2:A206,A206,$E$2:E206,0)=1),L206,0)</f>
        <v>0</v>
      </c>
    </row>
    <row r="207" spans="1:13" ht="15" customHeight="1">
      <c r="A207" s="1">
        <v>7049</v>
      </c>
      <c r="B207" s="1" t="s">
        <v>266</v>
      </c>
      <c r="C207" s="1" t="s">
        <v>260</v>
      </c>
      <c r="D207" s="2" t="s">
        <v>261</v>
      </c>
      <c r="E207" s="1">
        <v>1</v>
      </c>
      <c r="F207" s="2" t="s">
        <v>268</v>
      </c>
      <c r="G207" s="1">
        <v>2</v>
      </c>
      <c r="H207" s="1" t="str">
        <f t="shared" si="3"/>
        <v>k7049_2</v>
      </c>
      <c r="K207" s="1">
        <f>IF(E207=0,SUMPRODUCT(($A$2:$A$4734=A207)*($B$2:$B$4734=B207)*($D$2:$D$4734=D207)*($E$2:$E$4734=0)),0)</f>
        <v>0</v>
      </c>
      <c r="L207" s="1" t="str">
        <f>IF(E207=0,SUMPRODUCT(MIN($K$2:$K$4734+((($A$2:$A$4734&lt;&gt;A207)+($E$2:$E$4734&lt;&gt;0))&gt;0)*1000000)),"")</f>
        <v/>
      </c>
      <c r="M207" s="1">
        <f>IF(AND(E207=0,COUNTIFS($A$2:A207,A207,$E$2:E207,0)=1),L207,0)</f>
        <v>0</v>
      </c>
    </row>
    <row r="208" spans="1:13" ht="15" customHeight="1">
      <c r="A208" s="1">
        <v>7049</v>
      </c>
      <c r="B208" s="1" t="s">
        <v>266</v>
      </c>
      <c r="C208" s="1" t="s">
        <v>260</v>
      </c>
      <c r="D208" s="2" t="s">
        <v>261</v>
      </c>
      <c r="E208" s="1">
        <v>1</v>
      </c>
      <c r="F208" s="2" t="s">
        <v>269</v>
      </c>
      <c r="G208" s="1">
        <v>3</v>
      </c>
      <c r="H208" s="1" t="str">
        <f t="shared" si="3"/>
        <v>k7049_3</v>
      </c>
      <c r="K208" s="1">
        <f>IF(E208=0,SUMPRODUCT(($A$2:$A$4734=A208)*($B$2:$B$4734=B208)*($D$2:$D$4734=D208)*($E$2:$E$4734=0)),0)</f>
        <v>0</v>
      </c>
      <c r="L208" s="1" t="str">
        <f>IF(E208=0,SUMPRODUCT(MIN($K$2:$K$4734+((($A$2:$A$4734&lt;&gt;A208)+($E$2:$E$4734&lt;&gt;0))&gt;0)*1000000)),"")</f>
        <v/>
      </c>
      <c r="M208" s="1">
        <f>IF(AND(E208=0,COUNTIFS($A$2:A208,A208,$E$2:E208,0)=1),L208,0)</f>
        <v>0</v>
      </c>
    </row>
    <row r="209" spans="1:13" ht="15" customHeight="1">
      <c r="A209" s="1">
        <v>7049</v>
      </c>
      <c r="B209" s="1" t="s">
        <v>266</v>
      </c>
      <c r="C209" s="1" t="s">
        <v>260</v>
      </c>
      <c r="D209" s="2" t="s">
        <v>261</v>
      </c>
      <c r="E209" s="1">
        <v>1</v>
      </c>
      <c r="F209" s="2" t="s">
        <v>270</v>
      </c>
      <c r="G209" s="1">
        <v>4</v>
      </c>
      <c r="H209" s="1" t="str">
        <f t="shared" si="3"/>
        <v>k7049_4</v>
      </c>
      <c r="K209" s="1">
        <f>IF(E209=0,SUMPRODUCT(($A$2:$A$4734=A209)*($B$2:$B$4734=B209)*($D$2:$D$4734=D209)*($E$2:$E$4734=0)),0)</f>
        <v>0</v>
      </c>
      <c r="L209" s="1" t="str">
        <f>IF(E209=0,SUMPRODUCT(MIN($K$2:$K$4734+((($A$2:$A$4734&lt;&gt;A209)+($E$2:$E$4734&lt;&gt;0))&gt;0)*1000000)),"")</f>
        <v/>
      </c>
      <c r="M209" s="1">
        <f>IF(AND(E209=0,COUNTIFS($A$2:A209,A209,$E$2:E209,0)=1),L209,0)</f>
        <v>0</v>
      </c>
    </row>
    <row r="210" spans="1:13" ht="15" customHeight="1">
      <c r="A210" s="1">
        <v>7049</v>
      </c>
      <c r="B210" s="1" t="s">
        <v>9</v>
      </c>
      <c r="C210" s="1" t="s">
        <v>260</v>
      </c>
      <c r="D210" s="2" t="s">
        <v>271</v>
      </c>
      <c r="E210" s="1">
        <v>1</v>
      </c>
      <c r="F210" s="2" t="s">
        <v>272</v>
      </c>
      <c r="G210" s="1">
        <v>1</v>
      </c>
      <c r="H210" s="1" t="str">
        <f t="shared" si="3"/>
        <v>k7049_1</v>
      </c>
      <c r="K210" s="1">
        <f>IF(E210=0,SUMPRODUCT(($A$2:$A$4734=A210)*($B$2:$B$4734=B210)*($D$2:$D$4734=D210)*($E$2:$E$4734=0)),0)</f>
        <v>0</v>
      </c>
      <c r="L210" s="1" t="str">
        <f>IF(E210=0,SUMPRODUCT(MIN($K$2:$K$4734+((($A$2:$A$4734&lt;&gt;A210)+($E$2:$E$4734&lt;&gt;0))&gt;0)*1000000)),"")</f>
        <v/>
      </c>
      <c r="M210" s="1">
        <f>IF(AND(E210=0,COUNTIFS($A$2:A210,A210,$E$2:E210,0)=1),L210,0)</f>
        <v>0</v>
      </c>
    </row>
    <row r="211" spans="1:13" ht="15" customHeight="1">
      <c r="A211" s="1">
        <v>7049</v>
      </c>
      <c r="B211" s="1" t="s">
        <v>9</v>
      </c>
      <c r="C211" s="1" t="s">
        <v>260</v>
      </c>
      <c r="D211" s="2" t="s">
        <v>271</v>
      </c>
      <c r="E211" s="1">
        <v>1</v>
      </c>
      <c r="F211" s="2" t="s">
        <v>273</v>
      </c>
      <c r="G211" s="1">
        <v>2</v>
      </c>
      <c r="H211" s="1" t="str">
        <f t="shared" si="3"/>
        <v>k7049_2</v>
      </c>
      <c r="K211" s="1">
        <f>IF(E211=0,SUMPRODUCT(($A$2:$A$4734=A211)*($B$2:$B$4734=B211)*($D$2:$D$4734=D211)*($E$2:$E$4734=0)),0)</f>
        <v>0</v>
      </c>
      <c r="L211" s="1" t="str">
        <f>IF(E211=0,SUMPRODUCT(MIN($K$2:$K$4734+((($A$2:$A$4734&lt;&gt;A211)+($E$2:$E$4734&lt;&gt;0))&gt;0)*1000000)),"")</f>
        <v/>
      </c>
      <c r="M211" s="1">
        <f>IF(AND(E211=0,COUNTIFS($A$2:A211,A211,$E$2:E211,0)=1),L211,0)</f>
        <v>0</v>
      </c>
    </row>
    <row r="212" spans="1:13" ht="15" customHeight="1">
      <c r="A212" s="1">
        <v>7049</v>
      </c>
      <c r="B212" s="1" t="s">
        <v>9</v>
      </c>
      <c r="C212" s="1" t="s">
        <v>260</v>
      </c>
      <c r="D212" s="2" t="s">
        <v>271</v>
      </c>
      <c r="E212" s="1">
        <v>1</v>
      </c>
      <c r="F212" s="2" t="s">
        <v>274</v>
      </c>
      <c r="G212" s="1">
        <v>3</v>
      </c>
      <c r="H212" s="1" t="str">
        <f t="shared" si="3"/>
        <v>k7049_3</v>
      </c>
      <c r="K212" s="1">
        <f>IF(E212=0,SUMPRODUCT(($A$2:$A$4734=A212)*($B$2:$B$4734=B212)*($D$2:$D$4734=D212)*($E$2:$E$4734=0)),0)</f>
        <v>0</v>
      </c>
      <c r="L212" s="1" t="str">
        <f>IF(E212=0,SUMPRODUCT(MIN($K$2:$K$4734+((($A$2:$A$4734&lt;&gt;A212)+($E$2:$E$4734&lt;&gt;0))&gt;0)*1000000)),"")</f>
        <v/>
      </c>
      <c r="M212" s="1">
        <f>IF(AND(E212=0,COUNTIFS($A$2:A212,A212,$E$2:E212,0)=1),L212,0)</f>
        <v>0</v>
      </c>
    </row>
    <row r="213" spans="1:13" ht="15" customHeight="1">
      <c r="A213" s="1">
        <v>7049</v>
      </c>
      <c r="B213" s="1" t="s">
        <v>9</v>
      </c>
      <c r="C213" s="1" t="s">
        <v>260</v>
      </c>
      <c r="D213" s="2" t="s">
        <v>271</v>
      </c>
      <c r="E213" s="1">
        <v>1</v>
      </c>
      <c r="F213" s="2" t="s">
        <v>275</v>
      </c>
      <c r="G213" s="1">
        <v>4</v>
      </c>
      <c r="H213" s="1" t="str">
        <f t="shared" si="3"/>
        <v>k7049_4</v>
      </c>
      <c r="K213" s="1">
        <f>IF(E213=0,SUMPRODUCT(($A$2:$A$4734=A213)*($B$2:$B$4734=B213)*($D$2:$D$4734=D213)*($E$2:$E$4734=0)),0)</f>
        <v>0</v>
      </c>
      <c r="L213" s="1" t="str">
        <f>IF(E213=0,SUMPRODUCT(MIN($K$2:$K$4734+((($A$2:$A$4734&lt;&gt;A213)+($E$2:$E$4734&lt;&gt;0))&gt;0)*1000000)),"")</f>
        <v/>
      </c>
      <c r="M213" s="1">
        <f>IF(AND(E213=0,COUNTIFS($A$2:A213,A213,$E$2:E213,0)=1),L213,0)</f>
        <v>0</v>
      </c>
    </row>
    <row r="214" spans="1:13" ht="15" customHeight="1">
      <c r="A214" s="1">
        <v>7052</v>
      </c>
      <c r="B214" s="1" t="s">
        <v>9</v>
      </c>
      <c r="C214" s="1" t="s">
        <v>276</v>
      </c>
      <c r="D214" s="2" t="s">
        <v>277</v>
      </c>
      <c r="E214" s="1">
        <v>0</v>
      </c>
      <c r="F214" s="2" t="s">
        <v>278</v>
      </c>
      <c r="H214" s="1" t="str">
        <f t="shared" si="3"/>
        <v/>
      </c>
      <c r="K214" s="1">
        <f>IF(E214=0,SUMPRODUCT(($A$2:$A$4734=A214)*($B$2:$B$4734=B214)*($D$2:$D$4734=D214)*($E$2:$E$4734=0)),0)</f>
        <v>4</v>
      </c>
      <c r="L214" s="1">
        <f>IF(E214=0,SUMPRODUCT(MIN($K$2:$K$4734+((($A$2:$A$4734&lt;&gt;A214)+($E$2:$E$4734&lt;&gt;0))&gt;0)*1000000)),"")</f>
        <v>4</v>
      </c>
      <c r="M214" s="1">
        <f>IF(AND(E214=0,COUNTIFS($A$2:A214,A214,$E$2:E214,0)=1),L214,0)</f>
        <v>4</v>
      </c>
    </row>
    <row r="215" spans="1:13" ht="15" customHeight="1">
      <c r="A215" s="1">
        <v>7052</v>
      </c>
      <c r="B215" s="1" t="s">
        <v>9</v>
      </c>
      <c r="C215" s="1" t="s">
        <v>276</v>
      </c>
      <c r="D215" s="2" t="s">
        <v>277</v>
      </c>
      <c r="E215" s="1">
        <v>0</v>
      </c>
      <c r="F215" s="2" t="s">
        <v>279</v>
      </c>
      <c r="H215" s="1" t="str">
        <f t="shared" si="3"/>
        <v/>
      </c>
      <c r="K215" s="1">
        <f>IF(E215=0,SUMPRODUCT(($A$2:$A$4734=A215)*($B$2:$B$4734=B215)*($D$2:$D$4734=D215)*($E$2:$E$4734=0)),0)</f>
        <v>4</v>
      </c>
      <c r="L215" s="1">
        <f>IF(E215=0,SUMPRODUCT(MIN($K$2:$K$4734+((($A$2:$A$4734&lt;&gt;A215)+($E$2:$E$4734&lt;&gt;0))&gt;0)*1000000)),"")</f>
        <v>4</v>
      </c>
      <c r="M215" s="1">
        <f>IF(AND(E215=0,COUNTIFS($A$2:A215,A215,$E$2:E215,0)=1),L215,0)</f>
        <v>0</v>
      </c>
    </row>
    <row r="216" spans="1:13" ht="15" customHeight="1">
      <c r="A216" s="1">
        <v>7052</v>
      </c>
      <c r="B216" s="1" t="s">
        <v>9</v>
      </c>
      <c r="C216" s="1" t="s">
        <v>276</v>
      </c>
      <c r="D216" s="2" t="s">
        <v>277</v>
      </c>
      <c r="E216" s="1">
        <v>0</v>
      </c>
      <c r="F216" s="2" t="s">
        <v>280</v>
      </c>
      <c r="H216" s="1" t="str">
        <f t="shared" si="3"/>
        <v/>
      </c>
      <c r="K216" s="1">
        <f>IF(E216=0,SUMPRODUCT(($A$2:$A$4734=A216)*($B$2:$B$4734=B216)*($D$2:$D$4734=D216)*($E$2:$E$4734=0)),0)</f>
        <v>4</v>
      </c>
      <c r="L216" s="1">
        <f>IF(E216=0,SUMPRODUCT(MIN($K$2:$K$4734+((($A$2:$A$4734&lt;&gt;A216)+($E$2:$E$4734&lt;&gt;0))&gt;0)*1000000)),"")</f>
        <v>4</v>
      </c>
      <c r="M216" s="1">
        <f>IF(AND(E216=0,COUNTIFS($A$2:A216,A216,$E$2:E216,0)=1),L216,0)</f>
        <v>0</v>
      </c>
    </row>
    <row r="217" spans="1:13" ht="15" customHeight="1">
      <c r="A217" s="1">
        <v>7052</v>
      </c>
      <c r="B217" s="1" t="s">
        <v>9</v>
      </c>
      <c r="C217" s="1" t="s">
        <v>276</v>
      </c>
      <c r="D217" s="2" t="s">
        <v>277</v>
      </c>
      <c r="E217" s="1">
        <v>0</v>
      </c>
      <c r="F217" s="2" t="s">
        <v>281</v>
      </c>
      <c r="H217" s="1" t="str">
        <f t="shared" si="3"/>
        <v/>
      </c>
      <c r="K217" s="1">
        <f>IF(E217=0,SUMPRODUCT(($A$2:$A$4734=A217)*($B$2:$B$4734=B217)*($D$2:$D$4734=D217)*($E$2:$E$4734=0)),0)</f>
        <v>4</v>
      </c>
      <c r="L217" s="1">
        <f>IF(E217=0,SUMPRODUCT(MIN($K$2:$K$4734+((($A$2:$A$4734&lt;&gt;A217)+($E$2:$E$4734&lt;&gt;0))&gt;0)*1000000)),"")</f>
        <v>4</v>
      </c>
      <c r="M217" s="1">
        <f>IF(AND(E217=0,COUNTIFS($A$2:A217,A217,$E$2:E217,0)=1),L217,0)</f>
        <v>0</v>
      </c>
    </row>
    <row r="218" spans="1:13" ht="15" customHeight="1">
      <c r="A218" s="1">
        <v>7053</v>
      </c>
      <c r="B218" s="1" t="s">
        <v>16</v>
      </c>
      <c r="C218" s="2" t="s">
        <v>282</v>
      </c>
      <c r="D218" s="2" t="s">
        <v>283</v>
      </c>
      <c r="E218" s="1">
        <v>1</v>
      </c>
      <c r="F218" s="2" t="s">
        <v>284</v>
      </c>
      <c r="G218" s="1">
        <v>1</v>
      </c>
      <c r="H218" s="1" t="str">
        <f t="shared" si="3"/>
        <v>k7053_1</v>
      </c>
      <c r="K218" s="1">
        <f>IF(E218=0,SUMPRODUCT(($A$2:$A$4734=A218)*($B$2:$B$4734=B218)*($D$2:$D$4734=D218)*($E$2:$E$4734=0)),0)</f>
        <v>0</v>
      </c>
      <c r="L218" s="1" t="str">
        <f>IF(E218=0,SUMPRODUCT(MIN($K$2:$K$4734+((($A$2:$A$4734&lt;&gt;A218)+($E$2:$E$4734&lt;&gt;0))&gt;0)*1000000)),"")</f>
        <v/>
      </c>
      <c r="M218" s="1">
        <f>IF(AND(E218=0,COUNTIFS($A$2:A218,A218,$E$2:E218,0)=1),L218,0)</f>
        <v>0</v>
      </c>
    </row>
    <row r="219" spans="1:13" ht="15" customHeight="1">
      <c r="A219" s="1">
        <v>7053</v>
      </c>
      <c r="B219" s="1" t="s">
        <v>16</v>
      </c>
      <c r="C219" s="2" t="s">
        <v>282</v>
      </c>
      <c r="D219" s="2" t="s">
        <v>283</v>
      </c>
      <c r="E219" s="1">
        <v>1</v>
      </c>
      <c r="F219" s="2" t="s">
        <v>285</v>
      </c>
      <c r="G219" s="1">
        <v>2</v>
      </c>
      <c r="H219" s="1" t="str">
        <f t="shared" si="3"/>
        <v>k7053_2</v>
      </c>
      <c r="K219" s="1">
        <f>IF(E219=0,SUMPRODUCT(($A$2:$A$4734=A219)*($B$2:$B$4734=B219)*($D$2:$D$4734=D219)*($E$2:$E$4734=0)),0)</f>
        <v>0</v>
      </c>
      <c r="L219" s="1" t="str">
        <f>IF(E219=0,SUMPRODUCT(MIN($K$2:$K$4734+((($A$2:$A$4734&lt;&gt;A219)+($E$2:$E$4734&lt;&gt;0))&gt;0)*1000000)),"")</f>
        <v/>
      </c>
      <c r="M219" s="1">
        <f>IF(AND(E219=0,COUNTIFS($A$2:A219,A219,$E$2:E219,0)=1),L219,0)</f>
        <v>0</v>
      </c>
    </row>
    <row r="220" spans="1:13" ht="15" customHeight="1">
      <c r="A220" s="1">
        <v>7053</v>
      </c>
      <c r="B220" s="1" t="s">
        <v>16</v>
      </c>
      <c r="C220" s="2" t="s">
        <v>282</v>
      </c>
      <c r="D220" s="2" t="s">
        <v>283</v>
      </c>
      <c r="E220" s="1">
        <v>1</v>
      </c>
      <c r="F220" s="2" t="s">
        <v>286</v>
      </c>
      <c r="G220" s="1">
        <v>3</v>
      </c>
      <c r="H220" s="1" t="str">
        <f t="shared" si="3"/>
        <v>k7053_3</v>
      </c>
      <c r="K220" s="1">
        <f>IF(E220=0,SUMPRODUCT(($A$2:$A$4734=A220)*($B$2:$B$4734=B220)*($D$2:$D$4734=D220)*($E$2:$E$4734=0)),0)</f>
        <v>0</v>
      </c>
      <c r="L220" s="1" t="str">
        <f>IF(E220=0,SUMPRODUCT(MIN($K$2:$K$4734+((($A$2:$A$4734&lt;&gt;A220)+($E$2:$E$4734&lt;&gt;0))&gt;0)*1000000)),"")</f>
        <v/>
      </c>
      <c r="M220" s="1">
        <f>IF(AND(E220=0,COUNTIFS($A$2:A220,A220,$E$2:E220,0)=1),L220,0)</f>
        <v>0</v>
      </c>
    </row>
    <row r="221" spans="1:13" ht="15" customHeight="1">
      <c r="A221" s="1">
        <v>7053</v>
      </c>
      <c r="B221" s="1" t="s">
        <v>16</v>
      </c>
      <c r="C221" s="2" t="s">
        <v>282</v>
      </c>
      <c r="D221" s="2" t="s">
        <v>283</v>
      </c>
      <c r="E221" s="1">
        <v>1</v>
      </c>
      <c r="F221" s="2" t="s">
        <v>287</v>
      </c>
      <c r="G221" s="1">
        <v>4</v>
      </c>
      <c r="H221" s="1" t="str">
        <f t="shared" si="3"/>
        <v>k7053_4</v>
      </c>
      <c r="K221" s="1">
        <f>IF(E221=0,SUMPRODUCT(($A$2:$A$4734=A221)*($B$2:$B$4734=B221)*($D$2:$D$4734=D221)*($E$2:$E$4734=0)),0)</f>
        <v>0</v>
      </c>
      <c r="L221" s="1" t="str">
        <f>IF(E221=0,SUMPRODUCT(MIN($K$2:$K$4734+((($A$2:$A$4734&lt;&gt;A221)+($E$2:$E$4734&lt;&gt;0))&gt;0)*1000000)),"")</f>
        <v/>
      </c>
      <c r="M221" s="1">
        <f>IF(AND(E221=0,COUNTIFS($A$2:A221,A221,$E$2:E221,0)=1),L221,0)</f>
        <v>0</v>
      </c>
    </row>
    <row r="222" spans="1:13" ht="15" customHeight="1">
      <c r="A222" s="1">
        <v>7053</v>
      </c>
      <c r="B222" s="1" t="s">
        <v>173</v>
      </c>
      <c r="C222" s="2" t="s">
        <v>282</v>
      </c>
      <c r="D222" s="2" t="s">
        <v>288</v>
      </c>
      <c r="E222" s="1">
        <v>1</v>
      </c>
      <c r="F222" s="2" t="s">
        <v>289</v>
      </c>
      <c r="G222" s="1">
        <v>1</v>
      </c>
      <c r="H222" s="1" t="str">
        <f t="shared" si="3"/>
        <v>k7053_1</v>
      </c>
      <c r="K222" s="1">
        <f>IF(E222=0,SUMPRODUCT(($A$2:$A$4734=A222)*($B$2:$B$4734=B222)*($D$2:$D$4734=D222)*($E$2:$E$4734=0)),0)</f>
        <v>0</v>
      </c>
      <c r="L222" s="1" t="str">
        <f>IF(E222=0,SUMPRODUCT(MIN($K$2:$K$4734+((($A$2:$A$4734&lt;&gt;A222)+($E$2:$E$4734&lt;&gt;0))&gt;0)*1000000)),"")</f>
        <v/>
      </c>
      <c r="M222" s="1">
        <f>IF(AND(E222=0,COUNTIFS($A$2:A222,A222,$E$2:E222,0)=1),L222,0)</f>
        <v>0</v>
      </c>
    </row>
    <row r="223" spans="1:13" ht="15" customHeight="1">
      <c r="A223" s="1">
        <v>7053</v>
      </c>
      <c r="B223" s="1" t="s">
        <v>173</v>
      </c>
      <c r="C223" s="2" t="s">
        <v>282</v>
      </c>
      <c r="D223" s="2" t="s">
        <v>288</v>
      </c>
      <c r="E223" s="1">
        <v>1</v>
      </c>
      <c r="F223" s="2" t="s">
        <v>290</v>
      </c>
      <c r="G223" s="1">
        <v>2</v>
      </c>
      <c r="H223" s="1" t="str">
        <f t="shared" si="3"/>
        <v>k7053_2</v>
      </c>
      <c r="K223" s="1">
        <f>IF(E223=0,SUMPRODUCT(($A$2:$A$4734=A223)*($B$2:$B$4734=B223)*($D$2:$D$4734=D223)*($E$2:$E$4734=0)),0)</f>
        <v>0</v>
      </c>
      <c r="L223" s="1" t="str">
        <f>IF(E223=0,SUMPRODUCT(MIN($K$2:$K$4734+((($A$2:$A$4734&lt;&gt;A223)+($E$2:$E$4734&lt;&gt;0))&gt;0)*1000000)),"")</f>
        <v/>
      </c>
      <c r="M223" s="1">
        <f>IF(AND(E223=0,COUNTIFS($A$2:A223,A223,$E$2:E223,0)=1),L223,0)</f>
        <v>0</v>
      </c>
    </row>
    <row r="224" spans="1:13" ht="15" customHeight="1">
      <c r="A224" s="1">
        <v>7053</v>
      </c>
      <c r="B224" s="1" t="s">
        <v>173</v>
      </c>
      <c r="C224" s="2" t="s">
        <v>282</v>
      </c>
      <c r="D224" s="2" t="s">
        <v>288</v>
      </c>
      <c r="E224" s="1">
        <v>1</v>
      </c>
      <c r="F224" s="2" t="s">
        <v>291</v>
      </c>
      <c r="G224" s="1">
        <v>3</v>
      </c>
      <c r="H224" s="1" t="str">
        <f t="shared" si="3"/>
        <v>k7053_3</v>
      </c>
      <c r="K224" s="1">
        <f>IF(E224=0,SUMPRODUCT(($A$2:$A$4734=A224)*($B$2:$B$4734=B224)*($D$2:$D$4734=D224)*($E$2:$E$4734=0)),0)</f>
        <v>0</v>
      </c>
      <c r="L224" s="1" t="str">
        <f>IF(E224=0,SUMPRODUCT(MIN($K$2:$K$4734+((($A$2:$A$4734&lt;&gt;A224)+($E$2:$E$4734&lt;&gt;0))&gt;0)*1000000)),"")</f>
        <v/>
      </c>
      <c r="M224" s="1">
        <f>IF(AND(E224=0,COUNTIFS($A$2:A224,A224,$E$2:E224,0)=1),L224,0)</f>
        <v>0</v>
      </c>
    </row>
    <row r="225" spans="1:13" ht="15" customHeight="1">
      <c r="A225" s="1">
        <v>7053</v>
      </c>
      <c r="B225" s="1" t="s">
        <v>173</v>
      </c>
      <c r="C225" s="2" t="s">
        <v>282</v>
      </c>
      <c r="D225" s="2" t="s">
        <v>288</v>
      </c>
      <c r="E225" s="1">
        <v>1</v>
      </c>
      <c r="F225" s="2" t="s">
        <v>292</v>
      </c>
      <c r="G225" s="1">
        <v>4</v>
      </c>
      <c r="H225" s="1" t="str">
        <f t="shared" si="3"/>
        <v>k7053_4</v>
      </c>
      <c r="K225" s="1">
        <f>IF(E225=0,SUMPRODUCT(($A$2:$A$4734=A225)*($B$2:$B$4734=B225)*($D$2:$D$4734=D225)*($E$2:$E$4734=0)),0)</f>
        <v>0</v>
      </c>
      <c r="L225" s="1" t="str">
        <f>IF(E225=0,SUMPRODUCT(MIN($K$2:$K$4734+((($A$2:$A$4734&lt;&gt;A225)+($E$2:$E$4734&lt;&gt;0))&gt;0)*1000000)),"")</f>
        <v/>
      </c>
      <c r="M225" s="1">
        <f>IF(AND(E225=0,COUNTIFS($A$2:A225,A225,$E$2:E225,0)=1),L225,0)</f>
        <v>0</v>
      </c>
    </row>
    <row r="226" spans="1:13" ht="15" customHeight="1">
      <c r="A226" s="1">
        <v>7053</v>
      </c>
      <c r="B226" s="1" t="s">
        <v>173</v>
      </c>
      <c r="C226" s="2" t="s">
        <v>282</v>
      </c>
      <c r="D226" s="2" t="s">
        <v>288</v>
      </c>
      <c r="E226" s="1">
        <v>0</v>
      </c>
      <c r="F226" s="2" t="s">
        <v>293</v>
      </c>
      <c r="H226" s="1" t="str">
        <f t="shared" si="3"/>
        <v/>
      </c>
      <c r="K226" s="1">
        <f>IF(E226=0,SUMPRODUCT(($A$2:$A$4734=A226)*($B$2:$B$4734=B226)*($D$2:$D$4734=D226)*($E$2:$E$4734=0)),0)</f>
        <v>2</v>
      </c>
      <c r="L226" s="1">
        <f>IF(E226=0,SUMPRODUCT(MIN($K$2:$K$4734+((($A$2:$A$4734&lt;&gt;A226)+($E$2:$E$4734&lt;&gt;0))&gt;0)*1000000)),"")</f>
        <v>2</v>
      </c>
      <c r="M226" s="1">
        <f>IF(AND(E226=0,COUNTIFS($A$2:A226,A226,$E$2:E226,0)=1),L226,0)</f>
        <v>2</v>
      </c>
    </row>
    <row r="227" spans="1:13" ht="15" customHeight="1">
      <c r="A227" s="1">
        <v>7053</v>
      </c>
      <c r="B227" s="1" t="s">
        <v>173</v>
      </c>
      <c r="C227" s="2" t="s">
        <v>282</v>
      </c>
      <c r="D227" s="2" t="s">
        <v>288</v>
      </c>
      <c r="E227" s="1">
        <v>0</v>
      </c>
      <c r="F227" s="2" t="s">
        <v>294</v>
      </c>
      <c r="H227" s="1" t="str">
        <f t="shared" si="3"/>
        <v/>
      </c>
      <c r="K227" s="1">
        <f>IF(E227=0,SUMPRODUCT(($A$2:$A$4734=A227)*($B$2:$B$4734=B227)*($D$2:$D$4734=D227)*($E$2:$E$4734=0)),0)</f>
        <v>2</v>
      </c>
      <c r="L227" s="1">
        <f>IF(E227=0,SUMPRODUCT(MIN($K$2:$K$4734+((($A$2:$A$4734&lt;&gt;A227)+($E$2:$E$4734&lt;&gt;0))&gt;0)*1000000)),"")</f>
        <v>2</v>
      </c>
      <c r="M227" s="1">
        <f>IF(AND(E227=0,COUNTIFS($A$2:A227,A227,$E$2:E227,0)=1),L227,0)</f>
        <v>0</v>
      </c>
    </row>
    <row r="228" spans="1:13" ht="15" customHeight="1">
      <c r="A228" s="1">
        <v>7054</v>
      </c>
      <c r="B228" s="1" t="s">
        <v>173</v>
      </c>
      <c r="C228" s="1" t="s">
        <v>295</v>
      </c>
      <c r="D228" s="2" t="s">
        <v>296</v>
      </c>
      <c r="E228" s="1">
        <v>1</v>
      </c>
      <c r="F228" s="2" t="s">
        <v>297</v>
      </c>
      <c r="G228" s="1">
        <v>1</v>
      </c>
      <c r="H228" s="1" t="str">
        <f t="shared" si="3"/>
        <v>k7054_1</v>
      </c>
      <c r="K228" s="1">
        <f>IF(E228=0,SUMPRODUCT(($A$2:$A$4734=A228)*($B$2:$B$4734=B228)*($D$2:$D$4734=D228)*($E$2:$E$4734=0)),0)</f>
        <v>0</v>
      </c>
      <c r="L228" s="1" t="str">
        <f>IF(E228=0,SUMPRODUCT(MIN($K$2:$K$4734+((($A$2:$A$4734&lt;&gt;A228)+($E$2:$E$4734&lt;&gt;0))&gt;0)*1000000)),"")</f>
        <v/>
      </c>
      <c r="M228" s="1">
        <f>IF(AND(E228=0,COUNTIFS($A$2:A228,A228,$E$2:E228,0)=1),L228,0)</f>
        <v>0</v>
      </c>
    </row>
    <row r="229" spans="1:13" ht="15" customHeight="1">
      <c r="A229" s="1">
        <v>7054</v>
      </c>
      <c r="B229" s="1" t="s">
        <v>173</v>
      </c>
      <c r="C229" s="1" t="s">
        <v>295</v>
      </c>
      <c r="D229" s="2" t="s">
        <v>296</v>
      </c>
      <c r="E229" s="1">
        <v>1</v>
      </c>
      <c r="F229" s="2" t="s">
        <v>298</v>
      </c>
      <c r="G229" s="1">
        <v>2</v>
      </c>
      <c r="H229" s="1" t="str">
        <f t="shared" si="3"/>
        <v>k7054_2</v>
      </c>
      <c r="K229" s="1">
        <f>IF(E229=0,SUMPRODUCT(($A$2:$A$4734=A229)*($B$2:$B$4734=B229)*($D$2:$D$4734=D229)*($E$2:$E$4734=0)),0)</f>
        <v>0</v>
      </c>
      <c r="L229" s="1" t="str">
        <f>IF(E229=0,SUMPRODUCT(MIN($K$2:$K$4734+((($A$2:$A$4734&lt;&gt;A229)+($E$2:$E$4734&lt;&gt;0))&gt;0)*1000000)),"")</f>
        <v/>
      </c>
      <c r="M229" s="1">
        <f>IF(AND(E229=0,COUNTIFS($A$2:A229,A229,$E$2:E229,0)=1),L229,0)</f>
        <v>0</v>
      </c>
    </row>
    <row r="230" spans="1:13" ht="15" customHeight="1">
      <c r="A230" s="1">
        <v>7054</v>
      </c>
      <c r="B230" s="1" t="s">
        <v>173</v>
      </c>
      <c r="C230" s="1" t="s">
        <v>295</v>
      </c>
      <c r="D230" s="2" t="s">
        <v>296</v>
      </c>
      <c r="E230" s="1">
        <v>1</v>
      </c>
      <c r="F230" s="2" t="s">
        <v>299</v>
      </c>
      <c r="G230" s="1">
        <v>3</v>
      </c>
      <c r="H230" s="1" t="str">
        <f t="shared" si="3"/>
        <v>k7054_3</v>
      </c>
      <c r="K230" s="1">
        <f>IF(E230=0,SUMPRODUCT(($A$2:$A$4734=A230)*($B$2:$B$4734=B230)*($D$2:$D$4734=D230)*($E$2:$E$4734=0)),0)</f>
        <v>0</v>
      </c>
      <c r="L230" s="1" t="str">
        <f>IF(E230=0,SUMPRODUCT(MIN($K$2:$K$4734+((($A$2:$A$4734&lt;&gt;A230)+($E$2:$E$4734&lt;&gt;0))&gt;0)*1000000)),"")</f>
        <v/>
      </c>
      <c r="M230" s="1">
        <f>IF(AND(E230=0,COUNTIFS($A$2:A230,A230,$E$2:E230,0)=1),L230,0)</f>
        <v>0</v>
      </c>
    </row>
    <row r="231" spans="1:13" ht="15" customHeight="1">
      <c r="A231" s="1">
        <v>7054</v>
      </c>
      <c r="B231" s="1" t="s">
        <v>173</v>
      </c>
      <c r="C231" s="1" t="s">
        <v>295</v>
      </c>
      <c r="D231" s="2" t="s">
        <v>296</v>
      </c>
      <c r="E231" s="1">
        <v>1</v>
      </c>
      <c r="F231" s="2" t="s">
        <v>300</v>
      </c>
      <c r="G231" s="1">
        <v>4</v>
      </c>
      <c r="H231" s="1" t="str">
        <f t="shared" si="3"/>
        <v>k7054_4</v>
      </c>
      <c r="K231" s="1">
        <f>IF(E231=0,SUMPRODUCT(($A$2:$A$4734=A231)*($B$2:$B$4734=B231)*($D$2:$D$4734=D231)*($E$2:$E$4734=0)),0)</f>
        <v>0</v>
      </c>
      <c r="L231" s="1" t="str">
        <f>IF(E231=0,SUMPRODUCT(MIN($K$2:$K$4734+((($A$2:$A$4734&lt;&gt;A231)+($E$2:$E$4734&lt;&gt;0))&gt;0)*1000000)),"")</f>
        <v/>
      </c>
      <c r="M231" s="1">
        <f>IF(AND(E231=0,COUNTIFS($A$2:A231,A231,$E$2:E231,0)=1),L231,0)</f>
        <v>0</v>
      </c>
    </row>
    <row r="232" spans="1:13" ht="15" customHeight="1">
      <c r="A232" s="1">
        <v>7054</v>
      </c>
      <c r="B232" s="1" t="s">
        <v>9</v>
      </c>
      <c r="C232" s="1" t="s">
        <v>295</v>
      </c>
      <c r="D232" s="2" t="s">
        <v>301</v>
      </c>
      <c r="E232" s="1">
        <v>1</v>
      </c>
      <c r="F232" s="2" t="s">
        <v>302</v>
      </c>
      <c r="G232" s="1">
        <v>2</v>
      </c>
      <c r="H232" s="1" t="str">
        <f t="shared" si="3"/>
        <v>k7054_2</v>
      </c>
      <c r="K232" s="1">
        <f>IF(E232=0,SUMPRODUCT(($A$2:$A$4734=A232)*($B$2:$B$4734=B232)*($D$2:$D$4734=D232)*($E$2:$E$4734=0)),0)</f>
        <v>0</v>
      </c>
      <c r="L232" s="1" t="str">
        <f>IF(E232=0,SUMPRODUCT(MIN($K$2:$K$4734+((($A$2:$A$4734&lt;&gt;A232)+($E$2:$E$4734&lt;&gt;0))&gt;0)*1000000)),"")</f>
        <v/>
      </c>
      <c r="M232" s="1">
        <f>IF(AND(E232=0,COUNTIFS($A$2:A232,A232,$E$2:E232,0)=1),L232,0)</f>
        <v>0</v>
      </c>
    </row>
    <row r="233" spans="1:13" ht="15" customHeight="1">
      <c r="A233" s="1">
        <v>7054</v>
      </c>
      <c r="B233" s="1" t="s">
        <v>9</v>
      </c>
      <c r="C233" s="1" t="s">
        <v>295</v>
      </c>
      <c r="D233" s="2" t="s">
        <v>301</v>
      </c>
      <c r="E233" s="1">
        <v>1</v>
      </c>
      <c r="F233" s="2" t="s">
        <v>303</v>
      </c>
      <c r="G233" s="1">
        <v>1</v>
      </c>
      <c r="H233" s="1" t="str">
        <f t="shared" si="3"/>
        <v>k7054_1</v>
      </c>
      <c r="K233" s="1">
        <f>IF(E233=0,SUMPRODUCT(($A$2:$A$4734=A233)*($B$2:$B$4734=B233)*($D$2:$D$4734=D233)*($E$2:$E$4734=0)),0)</f>
        <v>0</v>
      </c>
      <c r="L233" s="1" t="str">
        <f>IF(E233=0,SUMPRODUCT(MIN($K$2:$K$4734+((($A$2:$A$4734&lt;&gt;A233)+($E$2:$E$4734&lt;&gt;0))&gt;0)*1000000)),"")</f>
        <v/>
      </c>
      <c r="M233" s="1">
        <f>IF(AND(E233=0,COUNTIFS($A$2:A233,A233,$E$2:E233,0)=1),L233,0)</f>
        <v>0</v>
      </c>
    </row>
    <row r="234" spans="1:13" ht="15" customHeight="1">
      <c r="A234" s="1">
        <v>7054</v>
      </c>
      <c r="B234" s="1" t="s">
        <v>9</v>
      </c>
      <c r="C234" s="1" t="s">
        <v>295</v>
      </c>
      <c r="D234" s="2" t="s">
        <v>301</v>
      </c>
      <c r="E234" s="1">
        <v>1</v>
      </c>
      <c r="F234" s="2" t="s">
        <v>304</v>
      </c>
      <c r="G234" s="1">
        <v>3</v>
      </c>
      <c r="H234" s="1" t="str">
        <f t="shared" si="3"/>
        <v>k7054_3</v>
      </c>
      <c r="K234" s="1">
        <f>IF(E234=0,SUMPRODUCT(($A$2:$A$4734=A234)*($B$2:$B$4734=B234)*($D$2:$D$4734=D234)*($E$2:$E$4734=0)),0)</f>
        <v>0</v>
      </c>
      <c r="L234" s="1" t="str">
        <f>IF(E234=0,SUMPRODUCT(MIN($K$2:$K$4734+((($A$2:$A$4734&lt;&gt;A234)+($E$2:$E$4734&lt;&gt;0))&gt;0)*1000000)),"")</f>
        <v/>
      </c>
      <c r="M234" s="1">
        <f>IF(AND(E234=0,COUNTIFS($A$2:A234,A234,$E$2:E234,0)=1),L234,0)</f>
        <v>0</v>
      </c>
    </row>
    <row r="235" spans="1:13" ht="15" customHeight="1">
      <c r="A235" s="1">
        <v>7054</v>
      </c>
      <c r="B235" s="1" t="s">
        <v>9</v>
      </c>
      <c r="C235" s="1" t="s">
        <v>295</v>
      </c>
      <c r="D235" s="2" t="s">
        <v>301</v>
      </c>
      <c r="E235" s="1">
        <v>1</v>
      </c>
      <c r="F235" s="2" t="s">
        <v>305</v>
      </c>
      <c r="G235" s="1">
        <v>4</v>
      </c>
      <c r="H235" s="1" t="str">
        <f t="shared" si="3"/>
        <v>k7054_4</v>
      </c>
      <c r="K235" s="1">
        <f>IF(E235=0,SUMPRODUCT(($A$2:$A$4734=A235)*($B$2:$B$4734=B235)*($D$2:$D$4734=D235)*($E$2:$E$4734=0)),0)</f>
        <v>0</v>
      </c>
      <c r="L235" s="1" t="str">
        <f>IF(E235=0,SUMPRODUCT(MIN($K$2:$K$4734+((($A$2:$A$4734&lt;&gt;A235)+($E$2:$E$4734&lt;&gt;0))&gt;0)*1000000)),"")</f>
        <v/>
      </c>
      <c r="M235" s="1">
        <f>IF(AND(E235=0,COUNTIFS($A$2:A235,A235,$E$2:E235,0)=1),L235,0)</f>
        <v>0</v>
      </c>
    </row>
    <row r="236" spans="1:13" ht="15" customHeight="1">
      <c r="A236" s="1">
        <v>7054</v>
      </c>
      <c r="B236" s="1" t="s">
        <v>306</v>
      </c>
      <c r="C236" s="1" t="s">
        <v>295</v>
      </c>
      <c r="D236" s="2" t="s">
        <v>307</v>
      </c>
      <c r="E236" s="1">
        <v>1</v>
      </c>
      <c r="F236" s="2" t="s">
        <v>308</v>
      </c>
      <c r="G236" s="1">
        <v>1</v>
      </c>
      <c r="H236" s="1" t="str">
        <f t="shared" si="3"/>
        <v>k7054_1</v>
      </c>
      <c r="K236" s="1">
        <f>IF(E236=0,SUMPRODUCT(($A$2:$A$4734=A236)*($B$2:$B$4734=B236)*($D$2:$D$4734=D236)*($E$2:$E$4734=0)),0)</f>
        <v>0</v>
      </c>
      <c r="L236" s="1" t="str">
        <f>IF(E236=0,SUMPRODUCT(MIN($K$2:$K$4734+((($A$2:$A$4734&lt;&gt;A236)+($E$2:$E$4734&lt;&gt;0))&gt;0)*1000000)),"")</f>
        <v/>
      </c>
      <c r="M236" s="1">
        <f>IF(AND(E236=0,COUNTIFS($A$2:A236,A236,$E$2:E236,0)=1),L236,0)</f>
        <v>0</v>
      </c>
    </row>
    <row r="237" spans="1:13" ht="15" customHeight="1">
      <c r="A237" s="1">
        <v>7054</v>
      </c>
      <c r="B237" s="1" t="s">
        <v>306</v>
      </c>
      <c r="C237" s="1" t="s">
        <v>295</v>
      </c>
      <c r="D237" s="2" t="s">
        <v>307</v>
      </c>
      <c r="E237" s="1">
        <v>1</v>
      </c>
      <c r="F237" s="2" t="s">
        <v>309</v>
      </c>
      <c r="G237" s="1">
        <v>2</v>
      </c>
      <c r="H237" s="1" t="str">
        <f t="shared" si="3"/>
        <v>k7054_2</v>
      </c>
      <c r="K237" s="1">
        <f>IF(E237=0,SUMPRODUCT(($A$2:$A$4734=A237)*($B$2:$B$4734=B237)*($D$2:$D$4734=D237)*($E$2:$E$4734=0)),0)</f>
        <v>0</v>
      </c>
      <c r="L237" s="1" t="str">
        <f>IF(E237=0,SUMPRODUCT(MIN($K$2:$K$4734+((($A$2:$A$4734&lt;&gt;A237)+($E$2:$E$4734&lt;&gt;0))&gt;0)*1000000)),"")</f>
        <v/>
      </c>
      <c r="M237" s="1">
        <f>IF(AND(E237=0,COUNTIFS($A$2:A237,A237,$E$2:E237,0)=1),L237,0)</f>
        <v>0</v>
      </c>
    </row>
    <row r="238" spans="1:13" ht="15" customHeight="1">
      <c r="A238" s="1">
        <v>7054</v>
      </c>
      <c r="B238" s="1" t="s">
        <v>306</v>
      </c>
      <c r="C238" s="1" t="s">
        <v>295</v>
      </c>
      <c r="D238" s="2" t="s">
        <v>307</v>
      </c>
      <c r="E238" s="1">
        <v>1</v>
      </c>
      <c r="F238" s="2" t="s">
        <v>310</v>
      </c>
      <c r="G238" s="1">
        <v>3</v>
      </c>
      <c r="H238" s="1" t="str">
        <f t="shared" si="3"/>
        <v>k7054_3</v>
      </c>
      <c r="K238" s="1">
        <f>IF(E238=0,SUMPRODUCT(($A$2:$A$4734=A238)*($B$2:$B$4734=B238)*($D$2:$D$4734=D238)*($E$2:$E$4734=0)),0)</f>
        <v>0</v>
      </c>
      <c r="L238" s="1" t="str">
        <f>IF(E238=0,SUMPRODUCT(MIN($K$2:$K$4734+((($A$2:$A$4734&lt;&gt;A238)+($E$2:$E$4734&lt;&gt;0))&gt;0)*1000000)),"")</f>
        <v/>
      </c>
      <c r="M238" s="1">
        <f>IF(AND(E238=0,COUNTIFS($A$2:A238,A238,$E$2:E238,0)=1),L238,0)</f>
        <v>0</v>
      </c>
    </row>
    <row r="239" spans="1:13" ht="15" customHeight="1">
      <c r="A239" s="1">
        <v>7054</v>
      </c>
      <c r="B239" s="1" t="s">
        <v>306</v>
      </c>
      <c r="C239" s="1" t="s">
        <v>295</v>
      </c>
      <c r="D239" s="2" t="s">
        <v>307</v>
      </c>
      <c r="E239" s="1">
        <v>1</v>
      </c>
      <c r="F239" s="2" t="s">
        <v>311</v>
      </c>
      <c r="G239" s="1">
        <v>4</v>
      </c>
      <c r="H239" s="1" t="str">
        <f t="shared" si="3"/>
        <v>k7054_4</v>
      </c>
      <c r="K239" s="1">
        <f>IF(E239=0,SUMPRODUCT(($A$2:$A$4734=A239)*($B$2:$B$4734=B239)*($D$2:$D$4734=D239)*($E$2:$E$4734=0)),0)</f>
        <v>0</v>
      </c>
      <c r="L239" s="1" t="str">
        <f>IF(E239=0,SUMPRODUCT(MIN($K$2:$K$4734+((($A$2:$A$4734&lt;&gt;A239)+($E$2:$E$4734&lt;&gt;0))&gt;0)*1000000)),"")</f>
        <v/>
      </c>
      <c r="M239" s="1">
        <f>IF(AND(E239=0,COUNTIFS($A$2:A239,A239,$E$2:E239,0)=1),L239,0)</f>
        <v>0</v>
      </c>
    </row>
    <row r="240" spans="1:13" ht="15" customHeight="1">
      <c r="A240" s="1">
        <v>7056</v>
      </c>
      <c r="B240" s="1" t="s">
        <v>9</v>
      </c>
      <c r="C240" s="2" t="s">
        <v>312</v>
      </c>
      <c r="D240" s="2" t="s">
        <v>313</v>
      </c>
      <c r="E240" s="1">
        <v>1</v>
      </c>
      <c r="F240" s="2" t="s">
        <v>314</v>
      </c>
      <c r="G240" s="1">
        <v>1</v>
      </c>
      <c r="H240" s="1" t="str">
        <f t="shared" si="3"/>
        <v>k7056_1</v>
      </c>
      <c r="K240" s="1">
        <f>IF(E240=0,SUMPRODUCT(($A$2:$A$4734=A240)*($B$2:$B$4734=B240)*($D$2:$D$4734=D240)*($E$2:$E$4734=0)),0)</f>
        <v>0</v>
      </c>
      <c r="L240" s="1" t="str">
        <f>IF(E240=0,SUMPRODUCT(MIN($K$2:$K$4734+((($A$2:$A$4734&lt;&gt;A240)+($E$2:$E$4734&lt;&gt;0))&gt;0)*1000000)),"")</f>
        <v/>
      </c>
      <c r="M240" s="1">
        <f>IF(AND(E240=0,COUNTIFS($A$2:A240,A240,$E$2:E240,0)=1),L240,0)</f>
        <v>0</v>
      </c>
    </row>
    <row r="241" spans="1:13" ht="15" customHeight="1">
      <c r="A241" s="1">
        <v>7056</v>
      </c>
      <c r="B241" s="1" t="s">
        <v>9</v>
      </c>
      <c r="C241" s="2" t="s">
        <v>312</v>
      </c>
      <c r="D241" s="2" t="s">
        <v>313</v>
      </c>
      <c r="E241" s="1">
        <v>1</v>
      </c>
      <c r="F241" s="2" t="s">
        <v>315</v>
      </c>
      <c r="G241" s="1">
        <v>2</v>
      </c>
      <c r="H241" s="1" t="str">
        <f t="shared" si="3"/>
        <v>k7056_2</v>
      </c>
      <c r="K241" s="1">
        <f>IF(E241=0,SUMPRODUCT(($A$2:$A$4734=A241)*($B$2:$B$4734=B241)*($D$2:$D$4734=D241)*($E$2:$E$4734=0)),0)</f>
        <v>0</v>
      </c>
      <c r="L241" s="1" t="str">
        <f>IF(E241=0,SUMPRODUCT(MIN($K$2:$K$4734+((($A$2:$A$4734&lt;&gt;A241)+($E$2:$E$4734&lt;&gt;0))&gt;0)*1000000)),"")</f>
        <v/>
      </c>
      <c r="M241" s="1">
        <f>IF(AND(E241=0,COUNTIFS($A$2:A241,A241,$E$2:E241,0)=1),L241,0)</f>
        <v>0</v>
      </c>
    </row>
    <row r="242" spans="1:13" ht="15" customHeight="1">
      <c r="A242" s="1">
        <v>7056</v>
      </c>
      <c r="B242" s="1" t="s">
        <v>9</v>
      </c>
      <c r="C242" s="2" t="s">
        <v>312</v>
      </c>
      <c r="D242" s="2" t="s">
        <v>313</v>
      </c>
      <c r="E242" s="1">
        <v>1</v>
      </c>
      <c r="F242" s="2" t="s">
        <v>316</v>
      </c>
      <c r="G242" s="1">
        <v>3</v>
      </c>
      <c r="H242" s="1" t="str">
        <f t="shared" si="3"/>
        <v>k7056_3</v>
      </c>
      <c r="K242" s="1">
        <f>IF(E242=0,SUMPRODUCT(($A$2:$A$4734=A242)*($B$2:$B$4734=B242)*($D$2:$D$4734=D242)*($E$2:$E$4734=0)),0)</f>
        <v>0</v>
      </c>
      <c r="L242" s="1" t="str">
        <f>IF(E242=0,SUMPRODUCT(MIN($K$2:$K$4734+((($A$2:$A$4734&lt;&gt;A242)+($E$2:$E$4734&lt;&gt;0))&gt;0)*1000000)),"")</f>
        <v/>
      </c>
      <c r="M242" s="1">
        <f>IF(AND(E242=0,COUNTIFS($A$2:A242,A242,$E$2:E242,0)=1),L242,0)</f>
        <v>0</v>
      </c>
    </row>
    <row r="243" spans="1:13" ht="15" customHeight="1">
      <c r="A243" s="1">
        <v>7056</v>
      </c>
      <c r="B243" s="1" t="s">
        <v>9</v>
      </c>
      <c r="C243" s="2" t="s">
        <v>312</v>
      </c>
      <c r="D243" s="2" t="s">
        <v>313</v>
      </c>
      <c r="E243" s="1">
        <v>1</v>
      </c>
      <c r="F243" s="2" t="s">
        <v>317</v>
      </c>
      <c r="G243" s="1">
        <v>4</v>
      </c>
      <c r="H243" s="1" t="str">
        <f t="shared" si="3"/>
        <v>k7056_4</v>
      </c>
      <c r="K243" s="1">
        <f>IF(E243=0,SUMPRODUCT(($A$2:$A$4734=A243)*($B$2:$B$4734=B243)*($D$2:$D$4734=D243)*($E$2:$E$4734=0)),0)</f>
        <v>0</v>
      </c>
      <c r="L243" s="1" t="str">
        <f>IF(E243=0,SUMPRODUCT(MIN($K$2:$K$4734+((($A$2:$A$4734&lt;&gt;A243)+($E$2:$E$4734&lt;&gt;0))&gt;0)*1000000)),"")</f>
        <v/>
      </c>
      <c r="M243" s="1">
        <f>IF(AND(E243=0,COUNTIFS($A$2:A243,A243,$E$2:E243,0)=1),L243,0)</f>
        <v>0</v>
      </c>
    </row>
    <row r="244" spans="1:13" ht="15" customHeight="1">
      <c r="A244" s="1">
        <v>7056</v>
      </c>
      <c r="B244" s="1" t="s">
        <v>9</v>
      </c>
      <c r="C244" s="2" t="s">
        <v>312</v>
      </c>
      <c r="D244" s="2" t="s">
        <v>313</v>
      </c>
      <c r="E244" s="1">
        <v>1</v>
      </c>
      <c r="F244" s="2" t="s">
        <v>318</v>
      </c>
      <c r="G244" s="1">
        <v>5</v>
      </c>
      <c r="H244" s="1" t="str">
        <f t="shared" si="3"/>
        <v>k7056_5</v>
      </c>
      <c r="K244" s="1">
        <f>IF(E244=0,SUMPRODUCT(($A$2:$A$4734=A244)*($B$2:$B$4734=B244)*($D$2:$D$4734=D244)*($E$2:$E$4734=0)),0)</f>
        <v>0</v>
      </c>
      <c r="L244" s="1" t="str">
        <f>IF(E244=0,SUMPRODUCT(MIN($K$2:$K$4734+((($A$2:$A$4734&lt;&gt;A244)+($E$2:$E$4734&lt;&gt;0))&gt;0)*1000000)),"")</f>
        <v/>
      </c>
      <c r="M244" s="1">
        <f>IF(AND(E244=0,COUNTIFS($A$2:A244,A244,$E$2:E244,0)=1),L244,0)</f>
        <v>0</v>
      </c>
    </row>
    <row r="245" spans="1:13" ht="15" customHeight="1">
      <c r="A245" s="1">
        <v>7056</v>
      </c>
      <c r="B245" s="1" t="s">
        <v>9</v>
      </c>
      <c r="C245" s="2" t="s">
        <v>312</v>
      </c>
      <c r="D245" s="2" t="s">
        <v>313</v>
      </c>
      <c r="E245" s="1">
        <v>1</v>
      </c>
      <c r="F245" s="2" t="s">
        <v>318</v>
      </c>
      <c r="G245" s="1">
        <v>6</v>
      </c>
      <c r="H245" s="1" t="str">
        <f t="shared" si="3"/>
        <v>k7056_6</v>
      </c>
      <c r="K245" s="1">
        <f>IF(E245=0,SUMPRODUCT(($A$2:$A$4734=A245)*($B$2:$B$4734=B245)*($D$2:$D$4734=D245)*($E$2:$E$4734=0)),0)</f>
        <v>0</v>
      </c>
      <c r="L245" s="1" t="str">
        <f>IF(E245=0,SUMPRODUCT(MIN($K$2:$K$4734+((($A$2:$A$4734&lt;&gt;A245)+($E$2:$E$4734&lt;&gt;0))&gt;0)*1000000)),"")</f>
        <v/>
      </c>
      <c r="M245" s="1">
        <f>IF(AND(E245=0,COUNTIFS($A$2:A245,A245,$E$2:E245,0)=1),L245,0)</f>
        <v>0</v>
      </c>
    </row>
    <row r="246" spans="1:13" ht="15" customHeight="1">
      <c r="A246" s="1">
        <v>7056</v>
      </c>
      <c r="B246" s="1" t="s">
        <v>9</v>
      </c>
      <c r="C246" s="2" t="s">
        <v>312</v>
      </c>
      <c r="D246" s="2" t="s">
        <v>11</v>
      </c>
      <c r="E246" s="1">
        <v>1</v>
      </c>
      <c r="F246" s="2" t="s">
        <v>319</v>
      </c>
      <c r="G246" s="1">
        <v>1</v>
      </c>
      <c r="H246" s="1" t="str">
        <f t="shared" si="3"/>
        <v>k7056_1</v>
      </c>
      <c r="K246" s="1">
        <f>IF(E246=0,SUMPRODUCT(($A$2:$A$4734=A246)*($B$2:$B$4734=B246)*($D$2:$D$4734=D246)*($E$2:$E$4734=0)),0)</f>
        <v>0</v>
      </c>
      <c r="L246" s="1" t="str">
        <f>IF(E246=0,SUMPRODUCT(MIN($K$2:$K$4734+((($A$2:$A$4734&lt;&gt;A246)+($E$2:$E$4734&lt;&gt;0))&gt;0)*1000000)),"")</f>
        <v/>
      </c>
      <c r="M246" s="1">
        <f>IF(AND(E246=0,COUNTIFS($A$2:A246,A246,$E$2:E246,0)=1),L246,0)</f>
        <v>0</v>
      </c>
    </row>
    <row r="247" spans="1:13" ht="15" customHeight="1">
      <c r="A247" s="1">
        <v>7056</v>
      </c>
      <c r="B247" s="1" t="s">
        <v>9</v>
      </c>
      <c r="C247" s="2" t="s">
        <v>312</v>
      </c>
      <c r="D247" s="2" t="s">
        <v>11</v>
      </c>
      <c r="E247" s="1">
        <v>1</v>
      </c>
      <c r="F247" s="2" t="s">
        <v>320</v>
      </c>
      <c r="G247" s="1">
        <v>2</v>
      </c>
      <c r="H247" s="1" t="str">
        <f t="shared" si="3"/>
        <v>k7056_2</v>
      </c>
      <c r="K247" s="1">
        <f>IF(E247=0,SUMPRODUCT(($A$2:$A$4734=A247)*($B$2:$B$4734=B247)*($D$2:$D$4734=D247)*($E$2:$E$4734=0)),0)</f>
        <v>0</v>
      </c>
      <c r="L247" s="1" t="str">
        <f>IF(E247=0,SUMPRODUCT(MIN($K$2:$K$4734+((($A$2:$A$4734&lt;&gt;A247)+($E$2:$E$4734&lt;&gt;0))&gt;0)*1000000)),"")</f>
        <v/>
      </c>
      <c r="M247" s="1">
        <f>IF(AND(E247=0,COUNTIFS($A$2:A247,A247,$E$2:E247,0)=1),L247,0)</f>
        <v>0</v>
      </c>
    </row>
    <row r="248" spans="1:13" ht="15" customHeight="1">
      <c r="A248" s="1">
        <v>7056</v>
      </c>
      <c r="B248" s="1" t="s">
        <v>9</v>
      </c>
      <c r="C248" s="2" t="s">
        <v>312</v>
      </c>
      <c r="D248" s="2" t="s">
        <v>11</v>
      </c>
      <c r="E248" s="1">
        <v>1</v>
      </c>
      <c r="F248" s="2" t="s">
        <v>321</v>
      </c>
      <c r="G248" s="1">
        <v>3</v>
      </c>
      <c r="H248" s="1" t="str">
        <f t="shared" si="3"/>
        <v>k7056_3</v>
      </c>
      <c r="K248" s="1">
        <f>IF(E248=0,SUMPRODUCT(($A$2:$A$4734=A248)*($B$2:$B$4734=B248)*($D$2:$D$4734=D248)*($E$2:$E$4734=0)),0)</f>
        <v>0</v>
      </c>
      <c r="L248" s="1" t="str">
        <f>IF(E248=0,SUMPRODUCT(MIN($K$2:$K$4734+((($A$2:$A$4734&lt;&gt;A248)+($E$2:$E$4734&lt;&gt;0))&gt;0)*1000000)),"")</f>
        <v/>
      </c>
      <c r="M248" s="1">
        <f>IF(AND(E248=0,COUNTIFS($A$2:A248,A248,$E$2:E248,0)=1),L248,0)</f>
        <v>0</v>
      </c>
    </row>
    <row r="249" spans="1:13" ht="15" customHeight="1">
      <c r="A249" s="1">
        <v>7056</v>
      </c>
      <c r="B249" s="1" t="s">
        <v>9</v>
      </c>
      <c r="C249" s="2" t="s">
        <v>312</v>
      </c>
      <c r="D249" s="2" t="s">
        <v>11</v>
      </c>
      <c r="E249" s="1">
        <v>1</v>
      </c>
      <c r="F249" s="2" t="s">
        <v>322</v>
      </c>
      <c r="G249" s="1">
        <v>5</v>
      </c>
      <c r="H249" s="1" t="str">
        <f t="shared" si="3"/>
        <v>k7056_5</v>
      </c>
      <c r="K249" s="1">
        <f>IF(E249=0,SUMPRODUCT(($A$2:$A$4734=A249)*($B$2:$B$4734=B249)*($D$2:$D$4734=D249)*($E$2:$E$4734=0)),0)</f>
        <v>0</v>
      </c>
      <c r="L249" s="1" t="str">
        <f>IF(E249=0,SUMPRODUCT(MIN($K$2:$K$4734+((($A$2:$A$4734&lt;&gt;A249)+($E$2:$E$4734&lt;&gt;0))&gt;0)*1000000)),"")</f>
        <v/>
      </c>
      <c r="M249" s="1">
        <f>IF(AND(E249=0,COUNTIFS($A$2:A249,A249,$E$2:E249,0)=1),L249,0)</f>
        <v>0</v>
      </c>
    </row>
    <row r="250" spans="1:13" ht="15" customHeight="1">
      <c r="A250" s="1">
        <v>7056</v>
      </c>
      <c r="B250" s="1" t="s">
        <v>9</v>
      </c>
      <c r="C250" s="2" t="s">
        <v>312</v>
      </c>
      <c r="D250" s="2" t="s">
        <v>11</v>
      </c>
      <c r="E250" s="1">
        <v>1</v>
      </c>
      <c r="F250" s="2" t="s">
        <v>322</v>
      </c>
      <c r="G250" s="1">
        <v>6</v>
      </c>
      <c r="H250" s="1" t="str">
        <f t="shared" ref="H250:H313" si="4">IF(OR(E250&lt;&gt;1,G250=""),"","k"&amp;A250&amp;"_"&amp;G250)</f>
        <v>k7056_6</v>
      </c>
      <c r="K250" s="1">
        <f>IF(E250=0,SUMPRODUCT(($A$2:$A$4734=A250)*($B$2:$B$4734=B250)*($D$2:$D$4734=D250)*($E$2:$E$4734=0)),0)</f>
        <v>0</v>
      </c>
      <c r="L250" s="1" t="str">
        <f>IF(E250=0,SUMPRODUCT(MIN($K$2:$K$4734+((($A$2:$A$4734&lt;&gt;A250)+($E$2:$E$4734&lt;&gt;0))&gt;0)*1000000)),"")</f>
        <v/>
      </c>
      <c r="M250" s="1">
        <f>IF(AND(E250=0,COUNTIFS($A$2:A250,A250,$E$2:E250,0)=1),L250,0)</f>
        <v>0</v>
      </c>
    </row>
    <row r="251" spans="1:13" ht="15" customHeight="1">
      <c r="A251" s="1">
        <v>7056</v>
      </c>
      <c r="B251" s="1" t="s">
        <v>9</v>
      </c>
      <c r="C251" s="2" t="s">
        <v>312</v>
      </c>
      <c r="D251" s="2" t="s">
        <v>11</v>
      </c>
      <c r="E251" s="1">
        <v>1</v>
      </c>
      <c r="F251" s="2" t="s">
        <v>323</v>
      </c>
      <c r="G251" s="1">
        <v>4</v>
      </c>
      <c r="H251" s="1" t="str">
        <f t="shared" si="4"/>
        <v>k7056_4</v>
      </c>
      <c r="K251" s="1">
        <f>IF(E251=0,SUMPRODUCT(($A$2:$A$4734=A251)*($B$2:$B$4734=B251)*($D$2:$D$4734=D251)*($E$2:$E$4734=0)),0)</f>
        <v>0</v>
      </c>
      <c r="L251" s="1" t="str">
        <f>IF(E251=0,SUMPRODUCT(MIN($K$2:$K$4734+((($A$2:$A$4734&lt;&gt;A251)+($E$2:$E$4734&lt;&gt;0))&gt;0)*1000000)),"")</f>
        <v/>
      </c>
      <c r="M251" s="1">
        <f>IF(AND(E251=0,COUNTIFS($A$2:A251,A251,$E$2:E251,0)=1),L251,0)</f>
        <v>0</v>
      </c>
    </row>
    <row r="252" spans="1:13" ht="15" customHeight="1">
      <c r="A252" s="1">
        <v>7056</v>
      </c>
      <c r="B252" s="1" t="s">
        <v>69</v>
      </c>
      <c r="C252" s="2" t="s">
        <v>312</v>
      </c>
      <c r="D252" s="2" t="s">
        <v>324</v>
      </c>
      <c r="E252" s="1">
        <v>1</v>
      </c>
      <c r="F252" s="2" t="s">
        <v>325</v>
      </c>
      <c r="G252" s="1">
        <v>1</v>
      </c>
      <c r="H252" s="1" t="str">
        <f t="shared" si="4"/>
        <v>k7056_1</v>
      </c>
      <c r="K252" s="1">
        <f>IF(E252=0,SUMPRODUCT(($A$2:$A$4734=A252)*($B$2:$B$4734=B252)*($D$2:$D$4734=D252)*($E$2:$E$4734=0)),0)</f>
        <v>0</v>
      </c>
      <c r="L252" s="1" t="str">
        <f>IF(E252=0,SUMPRODUCT(MIN($K$2:$K$4734+((($A$2:$A$4734&lt;&gt;A252)+($E$2:$E$4734&lt;&gt;0))&gt;0)*1000000)),"")</f>
        <v/>
      </c>
      <c r="M252" s="1">
        <f>IF(AND(E252=0,COUNTIFS($A$2:A252,A252,$E$2:E252,0)=1),L252,0)</f>
        <v>0</v>
      </c>
    </row>
    <row r="253" spans="1:13" ht="15" customHeight="1">
      <c r="A253" s="1">
        <v>7056</v>
      </c>
      <c r="B253" s="1" t="s">
        <v>69</v>
      </c>
      <c r="C253" s="2" t="s">
        <v>312</v>
      </c>
      <c r="D253" s="2" t="s">
        <v>324</v>
      </c>
      <c r="E253" s="1">
        <v>1</v>
      </c>
      <c r="F253" s="2" t="s">
        <v>326</v>
      </c>
      <c r="G253" s="1">
        <v>2</v>
      </c>
      <c r="H253" s="1" t="str">
        <f t="shared" si="4"/>
        <v>k7056_2</v>
      </c>
      <c r="K253" s="1">
        <f>IF(E253=0,SUMPRODUCT(($A$2:$A$4734=A253)*($B$2:$B$4734=B253)*($D$2:$D$4734=D253)*($E$2:$E$4734=0)),0)</f>
        <v>0</v>
      </c>
      <c r="L253" s="1" t="str">
        <f>IF(E253=0,SUMPRODUCT(MIN($K$2:$K$4734+((($A$2:$A$4734&lt;&gt;A253)+($E$2:$E$4734&lt;&gt;0))&gt;0)*1000000)),"")</f>
        <v/>
      </c>
      <c r="M253" s="1">
        <f>IF(AND(E253=0,COUNTIFS($A$2:A253,A253,$E$2:E253,0)=1),L253,0)</f>
        <v>0</v>
      </c>
    </row>
    <row r="254" spans="1:13" ht="15" customHeight="1">
      <c r="A254" s="1">
        <v>7056</v>
      </c>
      <c r="B254" s="1" t="s">
        <v>69</v>
      </c>
      <c r="C254" s="2" t="s">
        <v>312</v>
      </c>
      <c r="D254" s="2" t="s">
        <v>324</v>
      </c>
      <c r="E254" s="1">
        <v>1</v>
      </c>
      <c r="F254" s="2" t="s">
        <v>327</v>
      </c>
      <c r="G254" s="1">
        <v>3</v>
      </c>
      <c r="H254" s="1" t="str">
        <f t="shared" si="4"/>
        <v>k7056_3</v>
      </c>
      <c r="K254" s="1">
        <f>IF(E254=0,SUMPRODUCT(($A$2:$A$4734=A254)*($B$2:$B$4734=B254)*($D$2:$D$4734=D254)*($E$2:$E$4734=0)),0)</f>
        <v>0</v>
      </c>
      <c r="L254" s="1" t="str">
        <f>IF(E254=0,SUMPRODUCT(MIN($K$2:$K$4734+((($A$2:$A$4734&lt;&gt;A254)+($E$2:$E$4734&lt;&gt;0))&gt;0)*1000000)),"")</f>
        <v/>
      </c>
      <c r="M254" s="1">
        <f>IF(AND(E254=0,COUNTIFS($A$2:A254,A254,$E$2:E254,0)=1),L254,0)</f>
        <v>0</v>
      </c>
    </row>
    <row r="255" spans="1:13" ht="15" customHeight="1">
      <c r="A255" s="1">
        <v>7056</v>
      </c>
      <c r="B255" s="1" t="s">
        <v>69</v>
      </c>
      <c r="C255" s="2" t="s">
        <v>312</v>
      </c>
      <c r="D255" s="2" t="s">
        <v>324</v>
      </c>
      <c r="E255" s="1">
        <v>1</v>
      </c>
      <c r="F255" s="2" t="s">
        <v>328</v>
      </c>
      <c r="G255" s="1">
        <v>4</v>
      </c>
      <c r="H255" s="1" t="str">
        <f t="shared" si="4"/>
        <v>k7056_4</v>
      </c>
      <c r="K255" s="1">
        <f>IF(E255=0,SUMPRODUCT(($A$2:$A$4734=A255)*($B$2:$B$4734=B255)*($D$2:$D$4734=D255)*($E$2:$E$4734=0)),0)</f>
        <v>0</v>
      </c>
      <c r="L255" s="1" t="str">
        <f>IF(E255=0,SUMPRODUCT(MIN($K$2:$K$4734+((($A$2:$A$4734&lt;&gt;A255)+($E$2:$E$4734&lt;&gt;0))&gt;0)*1000000)),"")</f>
        <v/>
      </c>
      <c r="M255" s="1">
        <f>IF(AND(E255=0,COUNTIFS($A$2:A255,A255,$E$2:E255,0)=1),L255,0)</f>
        <v>0</v>
      </c>
    </row>
    <row r="256" spans="1:13" ht="15" customHeight="1">
      <c r="A256" s="1">
        <v>7056</v>
      </c>
      <c r="B256" s="1" t="s">
        <v>69</v>
      </c>
      <c r="C256" s="2" t="s">
        <v>312</v>
      </c>
      <c r="D256" s="2" t="s">
        <v>324</v>
      </c>
      <c r="E256" s="1">
        <v>1</v>
      </c>
      <c r="F256" s="2" t="s">
        <v>329</v>
      </c>
      <c r="G256" s="1">
        <v>5</v>
      </c>
      <c r="H256" s="1" t="str">
        <f t="shared" si="4"/>
        <v>k7056_5</v>
      </c>
      <c r="K256" s="1">
        <f>IF(E256=0,SUMPRODUCT(($A$2:$A$4734=A256)*($B$2:$B$4734=B256)*($D$2:$D$4734=D256)*($E$2:$E$4734=0)),0)</f>
        <v>0</v>
      </c>
      <c r="L256" s="1" t="str">
        <f>IF(E256=0,SUMPRODUCT(MIN($K$2:$K$4734+((($A$2:$A$4734&lt;&gt;A256)+($E$2:$E$4734&lt;&gt;0))&gt;0)*1000000)),"")</f>
        <v/>
      </c>
      <c r="M256" s="1">
        <f>IF(AND(E256=0,COUNTIFS($A$2:A256,A256,$E$2:E256,0)=1),L256,0)</f>
        <v>0</v>
      </c>
    </row>
    <row r="257" spans="1:13" ht="15" customHeight="1">
      <c r="A257" s="1">
        <v>7056</v>
      </c>
      <c r="B257" s="1" t="s">
        <v>69</v>
      </c>
      <c r="C257" s="2" t="s">
        <v>312</v>
      </c>
      <c r="D257" s="2" t="s">
        <v>324</v>
      </c>
      <c r="E257" s="1">
        <v>1</v>
      </c>
      <c r="F257" s="2" t="s">
        <v>330</v>
      </c>
      <c r="G257" s="1">
        <v>6</v>
      </c>
      <c r="H257" s="1" t="str">
        <f t="shared" si="4"/>
        <v>k7056_6</v>
      </c>
      <c r="K257" s="1">
        <f>IF(E257=0,SUMPRODUCT(($A$2:$A$4734=A257)*($B$2:$B$4734=B257)*($D$2:$D$4734=D257)*($E$2:$E$4734=0)),0)</f>
        <v>0</v>
      </c>
      <c r="L257" s="1" t="str">
        <f>IF(E257=0,SUMPRODUCT(MIN($K$2:$K$4734+((($A$2:$A$4734&lt;&gt;A257)+($E$2:$E$4734&lt;&gt;0))&gt;0)*1000000)),"")</f>
        <v/>
      </c>
      <c r="M257" s="1">
        <f>IF(AND(E257=0,COUNTIFS($A$2:A257,A257,$E$2:E257,0)=1),L257,0)</f>
        <v>0</v>
      </c>
    </row>
    <row r="258" spans="1:13" ht="15" customHeight="1">
      <c r="A258" s="1">
        <v>7056</v>
      </c>
      <c r="B258" s="1" t="s">
        <v>16</v>
      </c>
      <c r="C258" s="2" t="s">
        <v>312</v>
      </c>
      <c r="D258" s="2" t="s">
        <v>17</v>
      </c>
      <c r="E258" s="1">
        <v>1</v>
      </c>
      <c r="F258" s="2" t="s">
        <v>19</v>
      </c>
      <c r="G258" s="1">
        <v>1</v>
      </c>
      <c r="H258" s="1" t="str">
        <f t="shared" si="4"/>
        <v>k7056_1</v>
      </c>
      <c r="K258" s="1">
        <f>IF(E258=0,SUMPRODUCT(($A$2:$A$4734=A258)*($B$2:$B$4734=B258)*($D$2:$D$4734=D258)*($E$2:$E$4734=0)),0)</f>
        <v>0</v>
      </c>
      <c r="L258" s="1" t="str">
        <f>IF(E258=0,SUMPRODUCT(MIN($K$2:$K$4734+((($A$2:$A$4734&lt;&gt;A258)+($E$2:$E$4734&lt;&gt;0))&gt;0)*1000000)),"")</f>
        <v/>
      </c>
      <c r="M258" s="1">
        <f>IF(AND(E258=0,COUNTIFS($A$2:A258,A258,$E$2:E258,0)=1),L258,0)</f>
        <v>0</v>
      </c>
    </row>
    <row r="259" spans="1:13" ht="15" customHeight="1">
      <c r="A259" s="1">
        <v>7056</v>
      </c>
      <c r="B259" s="1" t="s">
        <v>16</v>
      </c>
      <c r="C259" s="2" t="s">
        <v>312</v>
      </c>
      <c r="D259" s="2" t="s">
        <v>17</v>
      </c>
      <c r="E259" s="1">
        <v>1</v>
      </c>
      <c r="F259" s="2" t="s">
        <v>331</v>
      </c>
      <c r="G259" s="1">
        <v>2</v>
      </c>
      <c r="H259" s="1" t="str">
        <f t="shared" si="4"/>
        <v>k7056_2</v>
      </c>
      <c r="K259" s="1">
        <f>IF(E259=0,SUMPRODUCT(($A$2:$A$4734=A259)*($B$2:$B$4734=B259)*($D$2:$D$4734=D259)*($E$2:$E$4734=0)),0)</f>
        <v>0</v>
      </c>
      <c r="L259" s="1" t="str">
        <f>IF(E259=0,SUMPRODUCT(MIN($K$2:$K$4734+((($A$2:$A$4734&lt;&gt;A259)+($E$2:$E$4734&lt;&gt;0))&gt;0)*1000000)),"")</f>
        <v/>
      </c>
      <c r="M259" s="1">
        <f>IF(AND(E259=0,COUNTIFS($A$2:A259,A259,$E$2:E259,0)=1),L259,0)</f>
        <v>0</v>
      </c>
    </row>
    <row r="260" spans="1:13" ht="15" customHeight="1">
      <c r="A260" s="1">
        <v>7056</v>
      </c>
      <c r="B260" s="1" t="s">
        <v>16</v>
      </c>
      <c r="C260" s="2" t="s">
        <v>312</v>
      </c>
      <c r="D260" s="2" t="s">
        <v>17</v>
      </c>
      <c r="E260" s="1">
        <v>1</v>
      </c>
      <c r="F260" s="2" t="s">
        <v>332</v>
      </c>
      <c r="G260" s="1">
        <v>3</v>
      </c>
      <c r="H260" s="1" t="str">
        <f t="shared" si="4"/>
        <v>k7056_3</v>
      </c>
      <c r="K260" s="1">
        <f>IF(E260=0,SUMPRODUCT(($A$2:$A$4734=A260)*($B$2:$B$4734=B260)*($D$2:$D$4734=D260)*($E$2:$E$4734=0)),0)</f>
        <v>0</v>
      </c>
      <c r="L260" s="1" t="str">
        <f>IF(E260=0,SUMPRODUCT(MIN($K$2:$K$4734+((($A$2:$A$4734&lt;&gt;A260)+($E$2:$E$4734&lt;&gt;0))&gt;0)*1000000)),"")</f>
        <v/>
      </c>
      <c r="M260" s="1">
        <f>IF(AND(E260=0,COUNTIFS($A$2:A260,A260,$E$2:E260,0)=1),L260,0)</f>
        <v>0</v>
      </c>
    </row>
    <row r="261" spans="1:13" ht="15" customHeight="1">
      <c r="A261" s="1">
        <v>7056</v>
      </c>
      <c r="B261" s="1" t="s">
        <v>16</v>
      </c>
      <c r="C261" s="2" t="s">
        <v>312</v>
      </c>
      <c r="D261" s="2" t="s">
        <v>17</v>
      </c>
      <c r="E261" s="1">
        <v>1</v>
      </c>
      <c r="F261" s="2" t="s">
        <v>332</v>
      </c>
      <c r="G261" s="1">
        <v>4</v>
      </c>
      <c r="H261" s="1" t="str">
        <f t="shared" si="4"/>
        <v>k7056_4</v>
      </c>
      <c r="K261" s="1">
        <f>IF(E261=0,SUMPRODUCT(($A$2:$A$4734=A261)*($B$2:$B$4734=B261)*($D$2:$D$4734=D261)*($E$2:$E$4734=0)),0)</f>
        <v>0</v>
      </c>
      <c r="L261" s="1" t="str">
        <f>IF(E261=0,SUMPRODUCT(MIN($K$2:$K$4734+((($A$2:$A$4734&lt;&gt;A261)+($E$2:$E$4734&lt;&gt;0))&gt;0)*1000000)),"")</f>
        <v/>
      </c>
      <c r="M261" s="1">
        <f>IF(AND(E261=0,COUNTIFS($A$2:A261,A261,$E$2:E261,0)=1),L261,0)</f>
        <v>0</v>
      </c>
    </row>
    <row r="262" spans="1:13" ht="15" customHeight="1">
      <c r="A262" s="1">
        <v>7056</v>
      </c>
      <c r="B262" s="1" t="s">
        <v>16</v>
      </c>
      <c r="C262" s="2" t="s">
        <v>312</v>
      </c>
      <c r="D262" s="2" t="s">
        <v>17</v>
      </c>
      <c r="E262" s="1">
        <v>1</v>
      </c>
      <c r="F262" s="2" t="s">
        <v>333</v>
      </c>
      <c r="G262" s="1">
        <v>5</v>
      </c>
      <c r="H262" s="1" t="str">
        <f t="shared" si="4"/>
        <v>k7056_5</v>
      </c>
      <c r="K262" s="1">
        <f>IF(E262=0,SUMPRODUCT(($A$2:$A$4734=A262)*($B$2:$B$4734=B262)*($D$2:$D$4734=D262)*($E$2:$E$4734=0)),0)</f>
        <v>0</v>
      </c>
      <c r="L262" s="1" t="str">
        <f>IF(E262=0,SUMPRODUCT(MIN($K$2:$K$4734+((($A$2:$A$4734&lt;&gt;A262)+($E$2:$E$4734&lt;&gt;0))&gt;0)*1000000)),"")</f>
        <v/>
      </c>
      <c r="M262" s="1">
        <f>IF(AND(E262=0,COUNTIFS($A$2:A262,A262,$E$2:E262,0)=1),L262,0)</f>
        <v>0</v>
      </c>
    </row>
    <row r="263" spans="1:13" ht="15" customHeight="1">
      <c r="A263" s="1">
        <v>7056</v>
      </c>
      <c r="B263" s="1" t="s">
        <v>16</v>
      </c>
      <c r="C263" s="2" t="s">
        <v>312</v>
      </c>
      <c r="D263" s="2" t="s">
        <v>17</v>
      </c>
      <c r="E263" s="1">
        <v>1</v>
      </c>
      <c r="F263" s="2" t="s">
        <v>333</v>
      </c>
      <c r="G263" s="1">
        <v>6</v>
      </c>
      <c r="H263" s="1" t="str">
        <f t="shared" si="4"/>
        <v>k7056_6</v>
      </c>
      <c r="K263" s="1">
        <f>IF(E263=0,SUMPRODUCT(($A$2:$A$4734=A263)*($B$2:$B$4734=B263)*($D$2:$D$4734=D263)*($E$2:$E$4734=0)),0)</f>
        <v>0</v>
      </c>
      <c r="L263" s="1" t="str">
        <f>IF(E263=0,SUMPRODUCT(MIN($K$2:$K$4734+((($A$2:$A$4734&lt;&gt;A263)+($E$2:$E$4734&lt;&gt;0))&gt;0)*1000000)),"")</f>
        <v/>
      </c>
      <c r="M263" s="1">
        <f>IF(AND(E263=0,COUNTIFS($A$2:A263,A263,$E$2:E263,0)=1),L263,0)</f>
        <v>0</v>
      </c>
    </row>
    <row r="264" spans="1:13" ht="15" customHeight="1">
      <c r="A264" s="1">
        <v>7058</v>
      </c>
      <c r="B264" s="1" t="s">
        <v>9</v>
      </c>
      <c r="C264" s="1" t="s">
        <v>334</v>
      </c>
      <c r="D264" s="2" t="s">
        <v>335</v>
      </c>
      <c r="E264" s="1">
        <v>1</v>
      </c>
      <c r="F264" s="2" t="s">
        <v>336</v>
      </c>
      <c r="G264" s="1">
        <v>1</v>
      </c>
      <c r="H264" s="1" t="str">
        <f t="shared" si="4"/>
        <v>k7058_1</v>
      </c>
      <c r="K264" s="1">
        <f>IF(E264=0,SUMPRODUCT(($A$2:$A$4734=A264)*($B$2:$B$4734=B264)*($D$2:$D$4734=D264)*($E$2:$E$4734=0)),0)</f>
        <v>0</v>
      </c>
      <c r="L264" s="1" t="str">
        <f>IF(E264=0,SUMPRODUCT(MIN($K$2:$K$4734+((($A$2:$A$4734&lt;&gt;A264)+($E$2:$E$4734&lt;&gt;0))&gt;0)*1000000)),"")</f>
        <v/>
      </c>
      <c r="M264" s="1">
        <f>IF(AND(E264=0,COUNTIFS($A$2:A264,A264,$E$2:E264,0)=1),L264,0)</f>
        <v>0</v>
      </c>
    </row>
    <row r="265" spans="1:13" ht="15" customHeight="1">
      <c r="A265" s="1">
        <v>7058</v>
      </c>
      <c r="B265" s="1" t="s">
        <v>9</v>
      </c>
      <c r="C265" s="1" t="s">
        <v>334</v>
      </c>
      <c r="D265" s="2" t="s">
        <v>335</v>
      </c>
      <c r="E265" s="1">
        <v>1</v>
      </c>
      <c r="F265" s="2" t="s">
        <v>337</v>
      </c>
      <c r="G265" s="1">
        <v>2</v>
      </c>
      <c r="H265" s="1" t="str">
        <f t="shared" si="4"/>
        <v>k7058_2</v>
      </c>
      <c r="K265" s="1">
        <f>IF(E265=0,SUMPRODUCT(($A$2:$A$4734=A265)*($B$2:$B$4734=B265)*($D$2:$D$4734=D265)*($E$2:$E$4734=0)),0)</f>
        <v>0</v>
      </c>
      <c r="L265" s="1" t="str">
        <f>IF(E265=0,SUMPRODUCT(MIN($K$2:$K$4734+((($A$2:$A$4734&lt;&gt;A265)+($E$2:$E$4734&lt;&gt;0))&gt;0)*1000000)),"")</f>
        <v/>
      </c>
      <c r="M265" s="1">
        <f>IF(AND(E265=0,COUNTIFS($A$2:A265,A265,$E$2:E265,0)=1),L265,0)</f>
        <v>0</v>
      </c>
    </row>
    <row r="266" spans="1:13" ht="15" customHeight="1">
      <c r="A266" s="1">
        <v>7058</v>
      </c>
      <c r="B266" s="1" t="s">
        <v>9</v>
      </c>
      <c r="C266" s="1" t="s">
        <v>334</v>
      </c>
      <c r="D266" s="2" t="s">
        <v>335</v>
      </c>
      <c r="E266" s="1">
        <v>1</v>
      </c>
      <c r="F266" s="2" t="s">
        <v>337</v>
      </c>
      <c r="G266" s="1">
        <v>3</v>
      </c>
      <c r="H266" s="1" t="str">
        <f t="shared" si="4"/>
        <v>k7058_3</v>
      </c>
      <c r="K266" s="1">
        <f>IF(E266=0,SUMPRODUCT(($A$2:$A$4734=A266)*($B$2:$B$4734=B266)*($D$2:$D$4734=D266)*($E$2:$E$4734=0)),0)</f>
        <v>0</v>
      </c>
      <c r="L266" s="1" t="str">
        <f>IF(E266=0,SUMPRODUCT(MIN($K$2:$K$4734+((($A$2:$A$4734&lt;&gt;A266)+($E$2:$E$4734&lt;&gt;0))&gt;0)*1000000)),"")</f>
        <v/>
      </c>
      <c r="M266" s="1">
        <f>IF(AND(E266=0,COUNTIFS($A$2:A266,A266,$E$2:E266,0)=1),L266,0)</f>
        <v>0</v>
      </c>
    </row>
    <row r="267" spans="1:13" ht="15" customHeight="1">
      <c r="A267" s="1">
        <v>7058</v>
      </c>
      <c r="B267" s="1" t="s">
        <v>9</v>
      </c>
      <c r="C267" s="1" t="s">
        <v>334</v>
      </c>
      <c r="D267" s="2" t="s">
        <v>335</v>
      </c>
      <c r="E267" s="1">
        <v>1</v>
      </c>
      <c r="F267" s="2" t="s">
        <v>338</v>
      </c>
      <c r="G267" s="1">
        <v>5</v>
      </c>
      <c r="H267" s="1" t="str">
        <f t="shared" si="4"/>
        <v>k7058_5</v>
      </c>
      <c r="K267" s="1">
        <f>IF(E267=0,SUMPRODUCT(($A$2:$A$4734=A267)*($B$2:$B$4734=B267)*($D$2:$D$4734=D267)*($E$2:$E$4734=0)),0)</f>
        <v>0</v>
      </c>
      <c r="L267" s="1" t="str">
        <f>IF(E267=0,SUMPRODUCT(MIN($K$2:$K$4734+((($A$2:$A$4734&lt;&gt;A267)+($E$2:$E$4734&lt;&gt;0))&gt;0)*1000000)),"")</f>
        <v/>
      </c>
      <c r="M267" s="1">
        <f>IF(AND(E267=0,COUNTIFS($A$2:A267,A267,$E$2:E267,0)=1),L267,0)</f>
        <v>0</v>
      </c>
    </row>
    <row r="268" spans="1:13" ht="15" customHeight="1">
      <c r="A268" s="1">
        <v>7058</v>
      </c>
      <c r="B268" s="1" t="s">
        <v>9</v>
      </c>
      <c r="C268" s="1" t="s">
        <v>334</v>
      </c>
      <c r="D268" s="2" t="s">
        <v>335</v>
      </c>
      <c r="E268" s="1">
        <v>1</v>
      </c>
      <c r="F268" s="2" t="s">
        <v>339</v>
      </c>
      <c r="G268" s="1">
        <v>4</v>
      </c>
      <c r="H268" s="1" t="str">
        <f t="shared" si="4"/>
        <v>k7058_4</v>
      </c>
      <c r="K268" s="1">
        <f>IF(E268=0,SUMPRODUCT(($A$2:$A$4734=A268)*($B$2:$B$4734=B268)*($D$2:$D$4734=D268)*($E$2:$E$4734=0)),0)</f>
        <v>0</v>
      </c>
      <c r="L268" s="1" t="str">
        <f>IF(E268=0,SUMPRODUCT(MIN($K$2:$K$4734+((($A$2:$A$4734&lt;&gt;A268)+($E$2:$E$4734&lt;&gt;0))&gt;0)*1000000)),"")</f>
        <v/>
      </c>
      <c r="M268" s="1">
        <f>IF(AND(E268=0,COUNTIFS($A$2:A268,A268,$E$2:E268,0)=1),L268,0)</f>
        <v>0</v>
      </c>
    </row>
    <row r="269" spans="1:13" ht="15" customHeight="1">
      <c r="A269" s="1">
        <v>7058</v>
      </c>
      <c r="B269" s="1" t="s">
        <v>16</v>
      </c>
      <c r="C269" s="1" t="s">
        <v>334</v>
      </c>
      <c r="D269" s="2" t="s">
        <v>340</v>
      </c>
      <c r="E269" s="1">
        <v>1</v>
      </c>
      <c r="F269" s="2" t="s">
        <v>341</v>
      </c>
      <c r="G269" s="1">
        <v>1</v>
      </c>
      <c r="H269" s="1" t="str">
        <f t="shared" si="4"/>
        <v>k7058_1</v>
      </c>
      <c r="K269" s="1">
        <f>IF(E269=0,SUMPRODUCT(($A$2:$A$4734=A269)*($B$2:$B$4734=B269)*($D$2:$D$4734=D269)*($E$2:$E$4734=0)),0)</f>
        <v>0</v>
      </c>
      <c r="L269" s="1" t="str">
        <f>IF(E269=0,SUMPRODUCT(MIN($K$2:$K$4734+((($A$2:$A$4734&lt;&gt;A269)+($E$2:$E$4734&lt;&gt;0))&gt;0)*1000000)),"")</f>
        <v/>
      </c>
      <c r="M269" s="1">
        <f>IF(AND(E269=0,COUNTIFS($A$2:A269,A269,$E$2:E269,0)=1),L269,0)</f>
        <v>0</v>
      </c>
    </row>
    <row r="270" spans="1:13" ht="15" customHeight="1">
      <c r="A270" s="1">
        <v>7058</v>
      </c>
      <c r="B270" s="1" t="s">
        <v>16</v>
      </c>
      <c r="C270" s="1" t="s">
        <v>334</v>
      </c>
      <c r="D270" s="2" t="s">
        <v>340</v>
      </c>
      <c r="E270" s="1">
        <v>1</v>
      </c>
      <c r="F270" s="2" t="s">
        <v>342</v>
      </c>
      <c r="G270" s="1">
        <v>2</v>
      </c>
      <c r="H270" s="1" t="str">
        <f t="shared" si="4"/>
        <v>k7058_2</v>
      </c>
      <c r="K270" s="1">
        <f>IF(E270=0,SUMPRODUCT(($A$2:$A$4734=A270)*($B$2:$B$4734=B270)*($D$2:$D$4734=D270)*($E$2:$E$4734=0)),0)</f>
        <v>0</v>
      </c>
      <c r="L270" s="1" t="str">
        <f>IF(E270=0,SUMPRODUCT(MIN($K$2:$K$4734+((($A$2:$A$4734&lt;&gt;A270)+($E$2:$E$4734&lt;&gt;0))&gt;0)*1000000)),"")</f>
        <v/>
      </c>
      <c r="M270" s="1">
        <f>IF(AND(E270=0,COUNTIFS($A$2:A270,A270,$E$2:E270,0)=1),L270,0)</f>
        <v>0</v>
      </c>
    </row>
    <row r="271" spans="1:13" ht="15" customHeight="1">
      <c r="A271" s="1">
        <v>7058</v>
      </c>
      <c r="B271" s="1" t="s">
        <v>16</v>
      </c>
      <c r="C271" s="1" t="s">
        <v>334</v>
      </c>
      <c r="D271" s="2" t="s">
        <v>340</v>
      </c>
      <c r="E271" s="1">
        <v>1</v>
      </c>
      <c r="F271" s="2" t="s">
        <v>343</v>
      </c>
      <c r="G271" s="1">
        <v>3</v>
      </c>
      <c r="H271" s="1" t="str">
        <f t="shared" si="4"/>
        <v>k7058_3</v>
      </c>
      <c r="K271" s="1">
        <f>IF(E271=0,SUMPRODUCT(($A$2:$A$4734=A271)*($B$2:$B$4734=B271)*($D$2:$D$4734=D271)*($E$2:$E$4734=0)),0)</f>
        <v>0</v>
      </c>
      <c r="L271" s="1" t="str">
        <f>IF(E271=0,SUMPRODUCT(MIN($K$2:$K$4734+((($A$2:$A$4734&lt;&gt;A271)+($E$2:$E$4734&lt;&gt;0))&gt;0)*1000000)),"")</f>
        <v/>
      </c>
      <c r="M271" s="1">
        <f>IF(AND(E271=0,COUNTIFS($A$2:A271,A271,$E$2:E271,0)=1),L271,0)</f>
        <v>0</v>
      </c>
    </row>
    <row r="272" spans="1:13" ht="15" customHeight="1">
      <c r="A272" s="1">
        <v>7058</v>
      </c>
      <c r="B272" s="1" t="s">
        <v>16</v>
      </c>
      <c r="C272" s="1" t="s">
        <v>334</v>
      </c>
      <c r="D272" s="2" t="s">
        <v>340</v>
      </c>
      <c r="E272" s="1">
        <v>1</v>
      </c>
      <c r="F272" s="2" t="s">
        <v>344</v>
      </c>
      <c r="G272" s="1">
        <v>4</v>
      </c>
      <c r="H272" s="1" t="str">
        <f t="shared" si="4"/>
        <v>k7058_4</v>
      </c>
      <c r="K272" s="1">
        <f>IF(E272=0,SUMPRODUCT(($A$2:$A$4734=A272)*($B$2:$B$4734=B272)*($D$2:$D$4734=D272)*($E$2:$E$4734=0)),0)</f>
        <v>0</v>
      </c>
      <c r="L272" s="1" t="str">
        <f>IF(E272=0,SUMPRODUCT(MIN($K$2:$K$4734+((($A$2:$A$4734&lt;&gt;A272)+($E$2:$E$4734&lt;&gt;0))&gt;0)*1000000)),"")</f>
        <v/>
      </c>
      <c r="M272" s="1">
        <f>IF(AND(E272=0,COUNTIFS($A$2:A272,A272,$E$2:E272,0)=1),L272,0)</f>
        <v>0</v>
      </c>
    </row>
    <row r="273" spans="1:13" ht="15" customHeight="1">
      <c r="A273" s="1">
        <v>7058</v>
      </c>
      <c r="B273" s="1" t="s">
        <v>16</v>
      </c>
      <c r="C273" s="1" t="s">
        <v>334</v>
      </c>
      <c r="D273" s="2" t="s">
        <v>340</v>
      </c>
      <c r="E273" s="1">
        <v>1</v>
      </c>
      <c r="F273" s="2" t="s">
        <v>345</v>
      </c>
      <c r="G273" s="1">
        <v>5</v>
      </c>
      <c r="H273" s="1" t="str">
        <f t="shared" si="4"/>
        <v>k7058_5</v>
      </c>
      <c r="K273" s="1">
        <f>IF(E273=0,SUMPRODUCT(($A$2:$A$4734=A273)*($B$2:$B$4734=B273)*($D$2:$D$4734=D273)*($E$2:$E$4734=0)),0)</f>
        <v>0</v>
      </c>
      <c r="L273" s="1" t="str">
        <f>IF(E273=0,SUMPRODUCT(MIN($K$2:$K$4734+((($A$2:$A$4734&lt;&gt;A273)+($E$2:$E$4734&lt;&gt;0))&gt;0)*1000000)),"")</f>
        <v/>
      </c>
      <c r="M273" s="1">
        <f>IF(AND(E273=0,COUNTIFS($A$2:A273,A273,$E$2:E273,0)=1),L273,0)</f>
        <v>0</v>
      </c>
    </row>
    <row r="274" spans="1:13" ht="15" customHeight="1">
      <c r="A274" s="1">
        <v>7058</v>
      </c>
      <c r="B274" s="1" t="s">
        <v>173</v>
      </c>
      <c r="C274" s="1" t="s">
        <v>334</v>
      </c>
      <c r="D274" s="2" t="s">
        <v>346</v>
      </c>
      <c r="E274" s="1">
        <v>1</v>
      </c>
      <c r="F274" s="2" t="s">
        <v>347</v>
      </c>
      <c r="G274" s="1">
        <v>1</v>
      </c>
      <c r="H274" s="1" t="str">
        <f t="shared" si="4"/>
        <v>k7058_1</v>
      </c>
      <c r="K274" s="1">
        <f>IF(E274=0,SUMPRODUCT(($A$2:$A$4734=A274)*($B$2:$B$4734=B274)*($D$2:$D$4734=D274)*($E$2:$E$4734=0)),0)</f>
        <v>0</v>
      </c>
      <c r="L274" s="1" t="str">
        <f>IF(E274=0,SUMPRODUCT(MIN($K$2:$K$4734+((($A$2:$A$4734&lt;&gt;A274)+($E$2:$E$4734&lt;&gt;0))&gt;0)*1000000)),"")</f>
        <v/>
      </c>
      <c r="M274" s="1">
        <f>IF(AND(E274=0,COUNTIFS($A$2:A274,A274,$E$2:E274,0)=1),L274,0)</f>
        <v>0</v>
      </c>
    </row>
    <row r="275" spans="1:13" ht="15" customHeight="1">
      <c r="A275" s="1">
        <v>7058</v>
      </c>
      <c r="B275" s="1" t="s">
        <v>173</v>
      </c>
      <c r="C275" s="1" t="s">
        <v>334</v>
      </c>
      <c r="D275" s="2" t="s">
        <v>346</v>
      </c>
      <c r="E275" s="1">
        <v>1</v>
      </c>
      <c r="F275" s="2" t="s">
        <v>348</v>
      </c>
      <c r="G275" s="1">
        <v>2</v>
      </c>
      <c r="H275" s="1" t="str">
        <f t="shared" si="4"/>
        <v>k7058_2</v>
      </c>
      <c r="K275" s="1">
        <f>IF(E275=0,SUMPRODUCT(($A$2:$A$4734=A275)*($B$2:$B$4734=B275)*($D$2:$D$4734=D275)*($E$2:$E$4734=0)),0)</f>
        <v>0</v>
      </c>
      <c r="L275" s="1" t="str">
        <f>IF(E275=0,SUMPRODUCT(MIN($K$2:$K$4734+((($A$2:$A$4734&lt;&gt;A275)+($E$2:$E$4734&lt;&gt;0))&gt;0)*1000000)),"")</f>
        <v/>
      </c>
      <c r="M275" s="1">
        <f>IF(AND(E275=0,COUNTIFS($A$2:A275,A275,$E$2:E275,0)=1),L275,0)</f>
        <v>0</v>
      </c>
    </row>
    <row r="276" spans="1:13" ht="15" customHeight="1">
      <c r="A276" s="1">
        <v>7058</v>
      </c>
      <c r="B276" s="1" t="s">
        <v>173</v>
      </c>
      <c r="C276" s="1" t="s">
        <v>334</v>
      </c>
      <c r="D276" s="2" t="s">
        <v>346</v>
      </c>
      <c r="E276" s="1">
        <v>1</v>
      </c>
      <c r="F276" s="2" t="s">
        <v>349</v>
      </c>
      <c r="G276" s="1">
        <v>3</v>
      </c>
      <c r="H276" s="1" t="str">
        <f t="shared" si="4"/>
        <v>k7058_3</v>
      </c>
      <c r="K276" s="1">
        <f>IF(E276=0,SUMPRODUCT(($A$2:$A$4734=A276)*($B$2:$B$4734=B276)*($D$2:$D$4734=D276)*($E$2:$E$4734=0)),0)</f>
        <v>0</v>
      </c>
      <c r="L276" s="1" t="str">
        <f>IF(E276=0,SUMPRODUCT(MIN($K$2:$K$4734+((($A$2:$A$4734&lt;&gt;A276)+($E$2:$E$4734&lt;&gt;0))&gt;0)*1000000)),"")</f>
        <v/>
      </c>
      <c r="M276" s="1">
        <f>IF(AND(E276=0,COUNTIFS($A$2:A276,A276,$E$2:E276,0)=1),L276,0)</f>
        <v>0</v>
      </c>
    </row>
    <row r="277" spans="1:13" ht="15" customHeight="1">
      <c r="A277" s="1">
        <v>7058</v>
      </c>
      <c r="B277" s="1" t="s">
        <v>173</v>
      </c>
      <c r="C277" s="1" t="s">
        <v>334</v>
      </c>
      <c r="D277" s="2" t="s">
        <v>346</v>
      </c>
      <c r="E277" s="1">
        <v>1</v>
      </c>
      <c r="F277" s="2" t="s">
        <v>350</v>
      </c>
      <c r="G277" s="1">
        <v>4</v>
      </c>
      <c r="H277" s="1" t="str">
        <f t="shared" si="4"/>
        <v>k7058_4</v>
      </c>
      <c r="K277" s="1">
        <f>IF(E277=0,SUMPRODUCT(($A$2:$A$4734=A277)*($B$2:$B$4734=B277)*($D$2:$D$4734=D277)*($E$2:$E$4734=0)),0)</f>
        <v>0</v>
      </c>
      <c r="L277" s="1" t="str">
        <f>IF(E277=0,SUMPRODUCT(MIN($K$2:$K$4734+((($A$2:$A$4734&lt;&gt;A277)+($E$2:$E$4734&lt;&gt;0))&gt;0)*1000000)),"")</f>
        <v/>
      </c>
      <c r="M277" s="1">
        <f>IF(AND(E277=0,COUNTIFS($A$2:A277,A277,$E$2:E277,0)=1),L277,0)</f>
        <v>0</v>
      </c>
    </row>
    <row r="278" spans="1:13" ht="15" customHeight="1">
      <c r="A278" s="1">
        <v>7058</v>
      </c>
      <c r="B278" s="1" t="s">
        <v>173</v>
      </c>
      <c r="C278" s="1" t="s">
        <v>334</v>
      </c>
      <c r="D278" s="2" t="s">
        <v>346</v>
      </c>
      <c r="E278" s="1">
        <v>1</v>
      </c>
      <c r="F278" s="2" t="s">
        <v>351</v>
      </c>
      <c r="G278" s="1">
        <v>5</v>
      </c>
      <c r="H278" s="1" t="str">
        <f t="shared" si="4"/>
        <v>k7058_5</v>
      </c>
      <c r="K278" s="1">
        <f>IF(E278=0,SUMPRODUCT(($A$2:$A$4734=A278)*($B$2:$B$4734=B278)*($D$2:$D$4734=D278)*($E$2:$E$4734=0)),0)</f>
        <v>0</v>
      </c>
      <c r="L278" s="1" t="str">
        <f>IF(E278=0,SUMPRODUCT(MIN($K$2:$K$4734+((($A$2:$A$4734&lt;&gt;A278)+($E$2:$E$4734&lt;&gt;0))&gt;0)*1000000)),"")</f>
        <v/>
      </c>
      <c r="M278" s="1">
        <f>IF(AND(E278=0,COUNTIFS($A$2:A278,A278,$E$2:E278,0)=1),L278,0)</f>
        <v>0</v>
      </c>
    </row>
    <row r="279" spans="1:13" ht="15" customHeight="1">
      <c r="A279" s="1">
        <v>7058</v>
      </c>
      <c r="B279" s="1" t="s">
        <v>161</v>
      </c>
      <c r="C279" s="1" t="s">
        <v>334</v>
      </c>
      <c r="D279" s="2" t="s">
        <v>352</v>
      </c>
      <c r="E279" s="1">
        <v>1</v>
      </c>
      <c r="F279" s="2" t="s">
        <v>353</v>
      </c>
      <c r="G279" s="1">
        <v>1</v>
      </c>
      <c r="H279" s="1" t="str">
        <f t="shared" si="4"/>
        <v>k7058_1</v>
      </c>
      <c r="K279" s="1">
        <f>IF(E279=0,SUMPRODUCT(($A$2:$A$4734=A279)*($B$2:$B$4734=B279)*($D$2:$D$4734=D279)*($E$2:$E$4734=0)),0)</f>
        <v>0</v>
      </c>
      <c r="L279" s="1" t="str">
        <f>IF(E279=0,SUMPRODUCT(MIN($K$2:$K$4734+((($A$2:$A$4734&lt;&gt;A279)+($E$2:$E$4734&lt;&gt;0))&gt;0)*1000000)),"")</f>
        <v/>
      </c>
      <c r="M279" s="1">
        <f>IF(AND(E279=0,COUNTIFS($A$2:A279,A279,$E$2:E279,0)=1),L279,0)</f>
        <v>0</v>
      </c>
    </row>
    <row r="280" spans="1:13" ht="15" customHeight="1">
      <c r="A280" s="1">
        <v>7058</v>
      </c>
      <c r="B280" s="1" t="s">
        <v>161</v>
      </c>
      <c r="C280" s="1" t="s">
        <v>334</v>
      </c>
      <c r="D280" s="2" t="s">
        <v>352</v>
      </c>
      <c r="E280" s="1">
        <v>1</v>
      </c>
      <c r="F280" s="2" t="s">
        <v>354</v>
      </c>
      <c r="G280" s="1">
        <v>2</v>
      </c>
      <c r="H280" s="1" t="str">
        <f t="shared" si="4"/>
        <v>k7058_2</v>
      </c>
      <c r="K280" s="1">
        <f>IF(E280=0,SUMPRODUCT(($A$2:$A$4734=A280)*($B$2:$B$4734=B280)*($D$2:$D$4734=D280)*($E$2:$E$4734=0)),0)</f>
        <v>0</v>
      </c>
      <c r="L280" s="1" t="str">
        <f>IF(E280=0,SUMPRODUCT(MIN($K$2:$K$4734+((($A$2:$A$4734&lt;&gt;A280)+($E$2:$E$4734&lt;&gt;0))&gt;0)*1000000)),"")</f>
        <v/>
      </c>
      <c r="M280" s="1">
        <f>IF(AND(E280=0,COUNTIFS($A$2:A280,A280,$E$2:E280,0)=1),L280,0)</f>
        <v>0</v>
      </c>
    </row>
    <row r="281" spans="1:13" ht="15" customHeight="1">
      <c r="A281" s="1">
        <v>7058</v>
      </c>
      <c r="B281" s="1" t="s">
        <v>161</v>
      </c>
      <c r="C281" s="1" t="s">
        <v>334</v>
      </c>
      <c r="D281" s="2" t="s">
        <v>352</v>
      </c>
      <c r="E281" s="1">
        <v>1</v>
      </c>
      <c r="F281" s="2" t="s">
        <v>355</v>
      </c>
      <c r="G281" s="1">
        <v>3</v>
      </c>
      <c r="H281" s="1" t="str">
        <f t="shared" si="4"/>
        <v>k7058_3</v>
      </c>
      <c r="K281" s="1">
        <f>IF(E281=0,SUMPRODUCT(($A$2:$A$4734=A281)*($B$2:$B$4734=B281)*($D$2:$D$4734=D281)*($E$2:$E$4734=0)),0)</f>
        <v>0</v>
      </c>
      <c r="L281" s="1" t="str">
        <f>IF(E281=0,SUMPRODUCT(MIN($K$2:$K$4734+((($A$2:$A$4734&lt;&gt;A281)+($E$2:$E$4734&lt;&gt;0))&gt;0)*1000000)),"")</f>
        <v/>
      </c>
      <c r="M281" s="1">
        <f>IF(AND(E281=0,COUNTIFS($A$2:A281,A281,$E$2:E281,0)=1),L281,0)</f>
        <v>0</v>
      </c>
    </row>
    <row r="282" spans="1:13" ht="15" customHeight="1">
      <c r="A282" s="1">
        <v>7058</v>
      </c>
      <c r="B282" s="1" t="s">
        <v>161</v>
      </c>
      <c r="C282" s="1" t="s">
        <v>334</v>
      </c>
      <c r="D282" s="2" t="s">
        <v>352</v>
      </c>
      <c r="E282" s="1">
        <v>1</v>
      </c>
      <c r="F282" s="2" t="s">
        <v>356</v>
      </c>
      <c r="G282" s="1">
        <v>4</v>
      </c>
      <c r="H282" s="1" t="str">
        <f t="shared" si="4"/>
        <v>k7058_4</v>
      </c>
      <c r="K282" s="1">
        <f>IF(E282=0,SUMPRODUCT(($A$2:$A$4734=A282)*($B$2:$B$4734=B282)*($D$2:$D$4734=D282)*($E$2:$E$4734=0)),0)</f>
        <v>0</v>
      </c>
      <c r="L282" s="1" t="str">
        <f>IF(E282=0,SUMPRODUCT(MIN($K$2:$K$4734+((($A$2:$A$4734&lt;&gt;A282)+($E$2:$E$4734&lt;&gt;0))&gt;0)*1000000)),"")</f>
        <v/>
      </c>
      <c r="M282" s="1">
        <f>IF(AND(E282=0,COUNTIFS($A$2:A282,A282,$E$2:E282,0)=1),L282,0)</f>
        <v>0</v>
      </c>
    </row>
    <row r="283" spans="1:13" ht="15" customHeight="1">
      <c r="A283" s="1">
        <v>7058</v>
      </c>
      <c r="B283" s="1" t="s">
        <v>161</v>
      </c>
      <c r="C283" s="1" t="s">
        <v>334</v>
      </c>
      <c r="D283" s="2" t="s">
        <v>352</v>
      </c>
      <c r="E283" s="1">
        <v>1</v>
      </c>
      <c r="F283" s="2" t="s">
        <v>357</v>
      </c>
      <c r="G283" s="1">
        <v>5</v>
      </c>
      <c r="H283" s="1" t="str">
        <f t="shared" si="4"/>
        <v>k7058_5</v>
      </c>
      <c r="K283" s="1">
        <f>IF(E283=0,SUMPRODUCT(($A$2:$A$4734=A283)*($B$2:$B$4734=B283)*($D$2:$D$4734=D283)*($E$2:$E$4734=0)),0)</f>
        <v>0</v>
      </c>
      <c r="L283" s="1" t="str">
        <f>IF(E283=0,SUMPRODUCT(MIN($K$2:$K$4734+((($A$2:$A$4734&lt;&gt;A283)+($E$2:$E$4734&lt;&gt;0))&gt;0)*1000000)),"")</f>
        <v/>
      </c>
      <c r="M283" s="1">
        <f>IF(AND(E283=0,COUNTIFS($A$2:A283,A283,$E$2:E283,0)=1),L283,0)</f>
        <v>0</v>
      </c>
    </row>
    <row r="284" spans="1:13" ht="15" customHeight="1">
      <c r="A284" s="1">
        <v>7059</v>
      </c>
      <c r="B284" s="1" t="s">
        <v>358</v>
      </c>
      <c r="C284" s="2" t="s">
        <v>359</v>
      </c>
      <c r="D284" s="2" t="s">
        <v>360</v>
      </c>
      <c r="E284" s="1">
        <v>1</v>
      </c>
      <c r="F284" s="2" t="s">
        <v>361</v>
      </c>
      <c r="G284" s="1">
        <v>1</v>
      </c>
      <c r="H284" s="1" t="str">
        <f t="shared" si="4"/>
        <v>k7059_1</v>
      </c>
      <c r="K284" s="1">
        <f>IF(E284=0,SUMPRODUCT(($A$2:$A$4734=A284)*($B$2:$B$4734=B284)*($D$2:$D$4734=D284)*($E$2:$E$4734=0)),0)</f>
        <v>0</v>
      </c>
      <c r="L284" s="1" t="str">
        <f>IF(E284=0,SUMPRODUCT(MIN($K$2:$K$4734+((($A$2:$A$4734&lt;&gt;A284)+($E$2:$E$4734&lt;&gt;0))&gt;0)*1000000)),"")</f>
        <v/>
      </c>
      <c r="M284" s="1">
        <f>IF(AND(E284=0,COUNTIFS($A$2:A284,A284,$E$2:E284,0)=1),L284,0)</f>
        <v>0</v>
      </c>
    </row>
    <row r="285" spans="1:13" ht="15" customHeight="1">
      <c r="A285" s="1">
        <v>7059</v>
      </c>
      <c r="B285" s="1" t="s">
        <v>358</v>
      </c>
      <c r="C285" s="2" t="s">
        <v>359</v>
      </c>
      <c r="D285" s="2" t="s">
        <v>360</v>
      </c>
      <c r="E285" s="1">
        <v>1</v>
      </c>
      <c r="F285" s="2" t="s">
        <v>362</v>
      </c>
      <c r="G285" s="1">
        <v>2</v>
      </c>
      <c r="H285" s="1" t="str">
        <f t="shared" si="4"/>
        <v>k7059_2</v>
      </c>
      <c r="K285" s="1">
        <f>IF(E285=0,SUMPRODUCT(($A$2:$A$4734=A285)*($B$2:$B$4734=B285)*($D$2:$D$4734=D285)*($E$2:$E$4734=0)),0)</f>
        <v>0</v>
      </c>
      <c r="L285" s="1" t="str">
        <f>IF(E285=0,SUMPRODUCT(MIN($K$2:$K$4734+((($A$2:$A$4734&lt;&gt;A285)+($E$2:$E$4734&lt;&gt;0))&gt;0)*1000000)),"")</f>
        <v/>
      </c>
      <c r="M285" s="1">
        <f>IF(AND(E285=0,COUNTIFS($A$2:A285,A285,$E$2:E285,0)=1),L285,0)</f>
        <v>0</v>
      </c>
    </row>
    <row r="286" spans="1:13" ht="15" customHeight="1">
      <c r="A286" s="1">
        <v>7059</v>
      </c>
      <c r="B286" s="1" t="s">
        <v>358</v>
      </c>
      <c r="C286" s="2" t="s">
        <v>359</v>
      </c>
      <c r="D286" s="2" t="s">
        <v>360</v>
      </c>
      <c r="E286" s="1">
        <v>1</v>
      </c>
      <c r="F286" s="2" t="s">
        <v>363</v>
      </c>
      <c r="G286" s="1">
        <v>3</v>
      </c>
      <c r="H286" s="1" t="str">
        <f t="shared" si="4"/>
        <v>k7059_3</v>
      </c>
      <c r="K286" s="1">
        <f>IF(E286=0,SUMPRODUCT(($A$2:$A$4734=A286)*($B$2:$B$4734=B286)*($D$2:$D$4734=D286)*($E$2:$E$4734=0)),0)</f>
        <v>0</v>
      </c>
      <c r="L286" s="1" t="str">
        <f>IF(E286=0,SUMPRODUCT(MIN($K$2:$K$4734+((($A$2:$A$4734&lt;&gt;A286)+($E$2:$E$4734&lt;&gt;0))&gt;0)*1000000)),"")</f>
        <v/>
      </c>
      <c r="M286" s="1">
        <f>IF(AND(E286=0,COUNTIFS($A$2:A286,A286,$E$2:E286,0)=1),L286,0)</f>
        <v>0</v>
      </c>
    </row>
    <row r="287" spans="1:13" ht="15" customHeight="1">
      <c r="A287" s="1">
        <v>7059</v>
      </c>
      <c r="B287" s="1" t="s">
        <v>358</v>
      </c>
      <c r="C287" s="2" t="s">
        <v>359</v>
      </c>
      <c r="D287" s="2" t="s">
        <v>360</v>
      </c>
      <c r="E287" s="1">
        <v>1</v>
      </c>
      <c r="F287" s="2" t="s">
        <v>364</v>
      </c>
      <c r="G287" s="1">
        <v>4</v>
      </c>
      <c r="H287" s="1" t="str">
        <f t="shared" si="4"/>
        <v>k7059_4</v>
      </c>
      <c r="K287" s="1">
        <f>IF(E287=0,SUMPRODUCT(($A$2:$A$4734=A287)*($B$2:$B$4734=B287)*($D$2:$D$4734=D287)*($E$2:$E$4734=0)),0)</f>
        <v>0</v>
      </c>
      <c r="L287" s="1" t="str">
        <f>IF(E287=0,SUMPRODUCT(MIN($K$2:$K$4734+((($A$2:$A$4734&lt;&gt;A287)+($E$2:$E$4734&lt;&gt;0))&gt;0)*1000000)),"")</f>
        <v/>
      </c>
      <c r="M287" s="1">
        <f>IF(AND(E287=0,COUNTIFS($A$2:A287,A287,$E$2:E287,0)=1),L287,0)</f>
        <v>0</v>
      </c>
    </row>
    <row r="288" spans="1:13" ht="15" customHeight="1">
      <c r="A288" s="1">
        <v>7059</v>
      </c>
      <c r="B288" s="1" t="s">
        <v>358</v>
      </c>
      <c r="C288" s="2" t="s">
        <v>359</v>
      </c>
      <c r="D288" s="2" t="s">
        <v>360</v>
      </c>
      <c r="E288" s="1">
        <v>1</v>
      </c>
      <c r="F288" s="2" t="s">
        <v>365</v>
      </c>
      <c r="G288" s="1">
        <v>5</v>
      </c>
      <c r="H288" s="1" t="str">
        <f t="shared" si="4"/>
        <v>k7059_5</v>
      </c>
      <c r="K288" s="1">
        <f>IF(E288=0,SUMPRODUCT(($A$2:$A$4734=A288)*($B$2:$B$4734=B288)*($D$2:$D$4734=D288)*($E$2:$E$4734=0)),0)</f>
        <v>0</v>
      </c>
      <c r="L288" s="1" t="str">
        <f>IF(E288=0,SUMPRODUCT(MIN($K$2:$K$4734+((($A$2:$A$4734&lt;&gt;A288)+($E$2:$E$4734&lt;&gt;0))&gt;0)*1000000)),"")</f>
        <v/>
      </c>
      <c r="M288" s="1">
        <f>IF(AND(E288=0,COUNTIFS($A$2:A288,A288,$E$2:E288,0)=1),L288,0)</f>
        <v>0</v>
      </c>
    </row>
    <row r="289" spans="1:13" ht="15" customHeight="1">
      <c r="A289" s="1">
        <v>7060</v>
      </c>
      <c r="B289" s="1" t="s">
        <v>358</v>
      </c>
      <c r="C289" s="1" t="s">
        <v>366</v>
      </c>
      <c r="D289" s="2" t="s">
        <v>367</v>
      </c>
      <c r="E289" s="1">
        <v>1</v>
      </c>
      <c r="F289" s="2" t="s">
        <v>368</v>
      </c>
      <c r="G289" s="1">
        <v>1</v>
      </c>
      <c r="H289" s="1" t="str">
        <f t="shared" si="4"/>
        <v>k7060_1</v>
      </c>
      <c r="K289" s="1">
        <f>IF(E289=0,SUMPRODUCT(($A$2:$A$4734=A289)*($B$2:$B$4734=B289)*($D$2:$D$4734=D289)*($E$2:$E$4734=0)),0)</f>
        <v>0</v>
      </c>
      <c r="L289" s="1" t="str">
        <f>IF(E289=0,SUMPRODUCT(MIN($K$2:$K$4734+((($A$2:$A$4734&lt;&gt;A289)+($E$2:$E$4734&lt;&gt;0))&gt;0)*1000000)),"")</f>
        <v/>
      </c>
      <c r="M289" s="1">
        <f>IF(AND(E289=0,COUNTIFS($A$2:A289,A289,$E$2:E289,0)=1),L289,0)</f>
        <v>0</v>
      </c>
    </row>
    <row r="290" spans="1:13" ht="15" customHeight="1">
      <c r="A290" s="1">
        <v>7060</v>
      </c>
      <c r="B290" s="1" t="s">
        <v>358</v>
      </c>
      <c r="C290" s="1" t="s">
        <v>366</v>
      </c>
      <c r="D290" s="2" t="s">
        <v>367</v>
      </c>
      <c r="E290" s="1">
        <v>1</v>
      </c>
      <c r="F290" s="2" t="s">
        <v>369</v>
      </c>
      <c r="G290" s="1">
        <v>2</v>
      </c>
      <c r="H290" s="1" t="str">
        <f t="shared" si="4"/>
        <v>k7060_2</v>
      </c>
      <c r="K290" s="1">
        <f>IF(E290=0,SUMPRODUCT(($A$2:$A$4734=A290)*($B$2:$B$4734=B290)*($D$2:$D$4734=D290)*($E$2:$E$4734=0)),0)</f>
        <v>0</v>
      </c>
      <c r="L290" s="1" t="str">
        <f>IF(E290=0,SUMPRODUCT(MIN($K$2:$K$4734+((($A$2:$A$4734&lt;&gt;A290)+($E$2:$E$4734&lt;&gt;0))&gt;0)*1000000)),"")</f>
        <v/>
      </c>
      <c r="M290" s="1">
        <f>IF(AND(E290=0,COUNTIFS($A$2:A290,A290,$E$2:E290,0)=1),L290,0)</f>
        <v>0</v>
      </c>
    </row>
    <row r="291" spans="1:13" ht="15" customHeight="1">
      <c r="A291" s="1">
        <v>7060</v>
      </c>
      <c r="B291" s="1" t="s">
        <v>358</v>
      </c>
      <c r="C291" s="1" t="s">
        <v>366</v>
      </c>
      <c r="D291" s="2" t="s">
        <v>367</v>
      </c>
      <c r="E291" s="1">
        <v>1</v>
      </c>
      <c r="F291" s="2" t="s">
        <v>370</v>
      </c>
      <c r="G291" s="1">
        <v>3</v>
      </c>
      <c r="H291" s="1" t="str">
        <f t="shared" si="4"/>
        <v>k7060_3</v>
      </c>
      <c r="K291" s="1">
        <f>IF(E291=0,SUMPRODUCT(($A$2:$A$4734=A291)*($B$2:$B$4734=B291)*($D$2:$D$4734=D291)*($E$2:$E$4734=0)),0)</f>
        <v>0</v>
      </c>
      <c r="L291" s="1" t="str">
        <f>IF(E291=0,SUMPRODUCT(MIN($K$2:$K$4734+((($A$2:$A$4734&lt;&gt;A291)+($E$2:$E$4734&lt;&gt;0))&gt;0)*1000000)),"")</f>
        <v/>
      </c>
      <c r="M291" s="1">
        <f>IF(AND(E291=0,COUNTIFS($A$2:A291,A291,$E$2:E291,0)=1),L291,0)</f>
        <v>0</v>
      </c>
    </row>
    <row r="292" spans="1:13" ht="15" customHeight="1">
      <c r="A292" s="1">
        <v>7060</v>
      </c>
      <c r="B292" s="1" t="s">
        <v>358</v>
      </c>
      <c r="C292" s="1" t="s">
        <v>366</v>
      </c>
      <c r="D292" s="2" t="s">
        <v>367</v>
      </c>
      <c r="E292" s="1">
        <v>1</v>
      </c>
      <c r="F292" s="2" t="s">
        <v>371</v>
      </c>
      <c r="G292" s="1">
        <v>4</v>
      </c>
      <c r="H292" s="1" t="str">
        <f t="shared" si="4"/>
        <v>k7060_4</v>
      </c>
      <c r="K292" s="1">
        <f>IF(E292=0,SUMPRODUCT(($A$2:$A$4734=A292)*($B$2:$B$4734=B292)*($D$2:$D$4734=D292)*($E$2:$E$4734=0)),0)</f>
        <v>0</v>
      </c>
      <c r="L292" s="1" t="str">
        <f>IF(E292=0,SUMPRODUCT(MIN($K$2:$K$4734+((($A$2:$A$4734&lt;&gt;A292)+($E$2:$E$4734&lt;&gt;0))&gt;0)*1000000)),"")</f>
        <v/>
      </c>
      <c r="M292" s="1">
        <f>IF(AND(E292=0,COUNTIFS($A$2:A292,A292,$E$2:E292,0)=1),L292,0)</f>
        <v>0</v>
      </c>
    </row>
    <row r="293" spans="1:13" ht="15" customHeight="1">
      <c r="A293" s="1">
        <v>7062</v>
      </c>
      <c r="B293" s="1" t="s">
        <v>9</v>
      </c>
      <c r="C293" s="1" t="s">
        <v>372</v>
      </c>
      <c r="D293" s="2" t="s">
        <v>373</v>
      </c>
      <c r="E293" s="1">
        <v>1</v>
      </c>
      <c r="F293" s="2" t="s">
        <v>374</v>
      </c>
      <c r="G293" s="1">
        <v>4</v>
      </c>
      <c r="H293" s="1" t="str">
        <f t="shared" si="4"/>
        <v>k7062_4</v>
      </c>
      <c r="K293" s="1">
        <f>IF(E293=0,SUMPRODUCT(($A$2:$A$4734=A293)*($B$2:$B$4734=B293)*($D$2:$D$4734=D293)*($E$2:$E$4734=0)),0)</f>
        <v>0</v>
      </c>
      <c r="L293" s="1" t="str">
        <f>IF(E293=0,SUMPRODUCT(MIN($K$2:$K$4734+((($A$2:$A$4734&lt;&gt;A293)+($E$2:$E$4734&lt;&gt;0))&gt;0)*1000000)),"")</f>
        <v/>
      </c>
      <c r="M293" s="1">
        <f>IF(AND(E293=0,COUNTIFS($A$2:A293,A293,$E$2:E293,0)=1),L293,0)</f>
        <v>0</v>
      </c>
    </row>
    <row r="294" spans="1:13" ht="15" customHeight="1">
      <c r="A294" s="1">
        <v>7062</v>
      </c>
      <c r="B294" s="1" t="s">
        <v>9</v>
      </c>
      <c r="C294" s="1" t="s">
        <v>372</v>
      </c>
      <c r="D294" s="2" t="s">
        <v>373</v>
      </c>
      <c r="E294" s="1">
        <v>1</v>
      </c>
      <c r="F294" s="2" t="s">
        <v>375</v>
      </c>
      <c r="G294" s="1">
        <v>3</v>
      </c>
      <c r="H294" s="1" t="str">
        <f t="shared" si="4"/>
        <v>k7062_3</v>
      </c>
      <c r="K294" s="1">
        <f>IF(E294=0,SUMPRODUCT(($A$2:$A$4734=A294)*($B$2:$B$4734=B294)*($D$2:$D$4734=D294)*($E$2:$E$4734=0)),0)</f>
        <v>0</v>
      </c>
      <c r="L294" s="1" t="str">
        <f>IF(E294=0,SUMPRODUCT(MIN($K$2:$K$4734+((($A$2:$A$4734&lt;&gt;A294)+($E$2:$E$4734&lt;&gt;0))&gt;0)*1000000)),"")</f>
        <v/>
      </c>
      <c r="M294" s="1">
        <f>IF(AND(E294=0,COUNTIFS($A$2:A294,A294,$E$2:E294,0)=1),L294,0)</f>
        <v>0</v>
      </c>
    </row>
    <row r="295" spans="1:13" ht="15" customHeight="1">
      <c r="A295" s="1">
        <v>7062</v>
      </c>
      <c r="B295" s="1" t="s">
        <v>9</v>
      </c>
      <c r="C295" s="1" t="s">
        <v>372</v>
      </c>
      <c r="D295" s="2" t="s">
        <v>373</v>
      </c>
      <c r="E295" s="1">
        <v>1</v>
      </c>
      <c r="F295" s="2" t="s">
        <v>376</v>
      </c>
      <c r="G295" s="1">
        <v>2</v>
      </c>
      <c r="H295" s="1" t="str">
        <f t="shared" si="4"/>
        <v>k7062_2</v>
      </c>
      <c r="K295" s="1">
        <f>IF(E295=0,SUMPRODUCT(($A$2:$A$4734=A295)*($B$2:$B$4734=B295)*($D$2:$D$4734=D295)*($E$2:$E$4734=0)),0)</f>
        <v>0</v>
      </c>
      <c r="L295" s="1" t="str">
        <f>IF(E295=0,SUMPRODUCT(MIN($K$2:$K$4734+((($A$2:$A$4734&lt;&gt;A295)+($E$2:$E$4734&lt;&gt;0))&gt;0)*1000000)),"")</f>
        <v/>
      </c>
      <c r="M295" s="1">
        <f>IF(AND(E295=0,COUNTIFS($A$2:A295,A295,$E$2:E295,0)=1),L295,0)</f>
        <v>0</v>
      </c>
    </row>
    <row r="296" spans="1:13" ht="15" customHeight="1">
      <c r="A296" s="1">
        <v>7062</v>
      </c>
      <c r="B296" s="1" t="s">
        <v>9</v>
      </c>
      <c r="C296" s="1" t="s">
        <v>372</v>
      </c>
      <c r="D296" s="2" t="s">
        <v>373</v>
      </c>
      <c r="E296" s="1">
        <v>1</v>
      </c>
      <c r="F296" s="2" t="s">
        <v>377</v>
      </c>
      <c r="G296" s="1">
        <v>1</v>
      </c>
      <c r="H296" s="1" t="str">
        <f t="shared" si="4"/>
        <v>k7062_1</v>
      </c>
      <c r="K296" s="1">
        <f>IF(E296=0,SUMPRODUCT(($A$2:$A$4734=A296)*($B$2:$B$4734=B296)*($D$2:$D$4734=D296)*($E$2:$E$4734=0)),0)</f>
        <v>0</v>
      </c>
      <c r="L296" s="1" t="str">
        <f>IF(E296=0,SUMPRODUCT(MIN($K$2:$K$4734+((($A$2:$A$4734&lt;&gt;A296)+($E$2:$E$4734&lt;&gt;0))&gt;0)*1000000)),"")</f>
        <v/>
      </c>
      <c r="M296" s="1">
        <f>IF(AND(E296=0,COUNTIFS($A$2:A296,A296,$E$2:E296,0)=1),L296,0)</f>
        <v>0</v>
      </c>
    </row>
    <row r="297" spans="1:13" ht="15" customHeight="1">
      <c r="A297" s="1">
        <v>7062</v>
      </c>
      <c r="B297" s="1" t="s">
        <v>9</v>
      </c>
      <c r="C297" s="1" t="s">
        <v>372</v>
      </c>
      <c r="D297" s="2" t="s">
        <v>378</v>
      </c>
      <c r="E297" s="1">
        <v>1</v>
      </c>
      <c r="F297" s="2" t="s">
        <v>379</v>
      </c>
      <c r="G297" s="1">
        <v>1</v>
      </c>
      <c r="H297" s="1" t="str">
        <f t="shared" si="4"/>
        <v>k7062_1</v>
      </c>
      <c r="K297" s="1">
        <f>IF(E297=0,SUMPRODUCT(($A$2:$A$4734=A297)*($B$2:$B$4734=B297)*($D$2:$D$4734=D297)*($E$2:$E$4734=0)),0)</f>
        <v>0</v>
      </c>
      <c r="L297" s="1" t="str">
        <f>IF(E297=0,SUMPRODUCT(MIN($K$2:$K$4734+((($A$2:$A$4734&lt;&gt;A297)+($E$2:$E$4734&lt;&gt;0))&gt;0)*1000000)),"")</f>
        <v/>
      </c>
      <c r="M297" s="1">
        <f>IF(AND(E297=0,COUNTIFS($A$2:A297,A297,$E$2:E297,0)=1),L297,0)</f>
        <v>0</v>
      </c>
    </row>
    <row r="298" spans="1:13" ht="15" customHeight="1">
      <c r="A298" s="1">
        <v>7062</v>
      </c>
      <c r="B298" s="1" t="s">
        <v>9</v>
      </c>
      <c r="C298" s="1" t="s">
        <v>372</v>
      </c>
      <c r="D298" s="2" t="s">
        <v>378</v>
      </c>
      <c r="E298" s="1">
        <v>1</v>
      </c>
      <c r="F298" s="2" t="s">
        <v>380</v>
      </c>
      <c r="G298" s="1">
        <v>2</v>
      </c>
      <c r="H298" s="1" t="str">
        <f t="shared" si="4"/>
        <v>k7062_2</v>
      </c>
      <c r="K298" s="1">
        <f>IF(E298=0,SUMPRODUCT(($A$2:$A$4734=A298)*($B$2:$B$4734=B298)*($D$2:$D$4734=D298)*($E$2:$E$4734=0)),0)</f>
        <v>0</v>
      </c>
      <c r="L298" s="1" t="str">
        <f>IF(E298=0,SUMPRODUCT(MIN($K$2:$K$4734+((($A$2:$A$4734&lt;&gt;A298)+($E$2:$E$4734&lt;&gt;0))&gt;0)*1000000)),"")</f>
        <v/>
      </c>
      <c r="M298" s="1">
        <f>IF(AND(E298=0,COUNTIFS($A$2:A298,A298,$E$2:E298,0)=1),L298,0)</f>
        <v>0</v>
      </c>
    </row>
    <row r="299" spans="1:13" ht="15" customHeight="1">
      <c r="A299" s="1">
        <v>7062</v>
      </c>
      <c r="B299" s="1" t="s">
        <v>9</v>
      </c>
      <c r="C299" s="1" t="s">
        <v>372</v>
      </c>
      <c r="D299" s="2" t="s">
        <v>378</v>
      </c>
      <c r="E299" s="1">
        <v>1</v>
      </c>
      <c r="F299" s="2" t="s">
        <v>381</v>
      </c>
      <c r="G299" s="1">
        <v>3</v>
      </c>
      <c r="H299" s="1" t="str">
        <f t="shared" si="4"/>
        <v>k7062_3</v>
      </c>
      <c r="K299" s="1">
        <f>IF(E299=0,SUMPRODUCT(($A$2:$A$4734=A299)*($B$2:$B$4734=B299)*($D$2:$D$4734=D299)*($E$2:$E$4734=0)),0)</f>
        <v>0</v>
      </c>
      <c r="L299" s="1" t="str">
        <f>IF(E299=0,SUMPRODUCT(MIN($K$2:$K$4734+((($A$2:$A$4734&lt;&gt;A299)+($E$2:$E$4734&lt;&gt;0))&gt;0)*1000000)),"")</f>
        <v/>
      </c>
      <c r="M299" s="1">
        <f>IF(AND(E299=0,COUNTIFS($A$2:A299,A299,$E$2:E299,0)=1),L299,0)</f>
        <v>0</v>
      </c>
    </row>
    <row r="300" spans="1:13" ht="15" customHeight="1">
      <c r="A300" s="1">
        <v>7062</v>
      </c>
      <c r="B300" s="1" t="s">
        <v>9</v>
      </c>
      <c r="C300" s="1" t="s">
        <v>372</v>
      </c>
      <c r="D300" s="2" t="s">
        <v>378</v>
      </c>
      <c r="E300" s="1">
        <v>1</v>
      </c>
      <c r="F300" s="2" t="s">
        <v>382</v>
      </c>
      <c r="G300" s="1">
        <v>4</v>
      </c>
      <c r="H300" s="1" t="str">
        <f t="shared" si="4"/>
        <v>k7062_4</v>
      </c>
      <c r="K300" s="1">
        <f>IF(E300=0,SUMPRODUCT(($A$2:$A$4734=A300)*($B$2:$B$4734=B300)*($D$2:$D$4734=D300)*($E$2:$E$4734=0)),0)</f>
        <v>0</v>
      </c>
      <c r="L300" s="1" t="str">
        <f>IF(E300=0,SUMPRODUCT(MIN($K$2:$K$4734+((($A$2:$A$4734&lt;&gt;A300)+($E$2:$E$4734&lt;&gt;0))&gt;0)*1000000)),"")</f>
        <v/>
      </c>
      <c r="M300" s="1">
        <f>IF(AND(E300=0,COUNTIFS($A$2:A300,A300,$E$2:E300,0)=1),L300,0)</f>
        <v>0</v>
      </c>
    </row>
    <row r="301" spans="1:13" ht="15" customHeight="1">
      <c r="A301" s="1">
        <v>7062</v>
      </c>
      <c r="B301" s="1" t="s">
        <v>95</v>
      </c>
      <c r="C301" s="1" t="s">
        <v>372</v>
      </c>
      <c r="D301" s="2" t="s">
        <v>383</v>
      </c>
      <c r="E301" s="1">
        <v>1</v>
      </c>
      <c r="F301" s="2" t="s">
        <v>384</v>
      </c>
      <c r="G301" s="1">
        <v>1</v>
      </c>
      <c r="H301" s="1" t="str">
        <f t="shared" si="4"/>
        <v>k7062_1</v>
      </c>
      <c r="K301" s="1">
        <f>IF(E301=0,SUMPRODUCT(($A$2:$A$4734=A301)*($B$2:$B$4734=B301)*($D$2:$D$4734=D301)*($E$2:$E$4734=0)),0)</f>
        <v>0</v>
      </c>
      <c r="L301" s="1" t="str">
        <f>IF(E301=0,SUMPRODUCT(MIN($K$2:$K$4734+((($A$2:$A$4734&lt;&gt;A301)+($E$2:$E$4734&lt;&gt;0))&gt;0)*1000000)),"")</f>
        <v/>
      </c>
      <c r="M301" s="1">
        <f>IF(AND(E301=0,COUNTIFS($A$2:A301,A301,$E$2:E301,0)=1),L301,0)</f>
        <v>0</v>
      </c>
    </row>
    <row r="302" spans="1:13" ht="15" customHeight="1">
      <c r="A302" s="1">
        <v>7062</v>
      </c>
      <c r="B302" s="1" t="s">
        <v>95</v>
      </c>
      <c r="C302" s="1" t="s">
        <v>372</v>
      </c>
      <c r="D302" s="2" t="s">
        <v>383</v>
      </c>
      <c r="E302" s="1">
        <v>1</v>
      </c>
      <c r="F302" s="2" t="s">
        <v>385</v>
      </c>
      <c r="G302" s="1">
        <v>2</v>
      </c>
      <c r="H302" s="1" t="str">
        <f t="shared" si="4"/>
        <v>k7062_2</v>
      </c>
      <c r="K302" s="1">
        <f>IF(E302=0,SUMPRODUCT(($A$2:$A$4734=A302)*($B$2:$B$4734=B302)*($D$2:$D$4734=D302)*($E$2:$E$4734=0)),0)</f>
        <v>0</v>
      </c>
      <c r="L302" s="1" t="str">
        <f>IF(E302=0,SUMPRODUCT(MIN($K$2:$K$4734+((($A$2:$A$4734&lt;&gt;A302)+($E$2:$E$4734&lt;&gt;0))&gt;0)*1000000)),"")</f>
        <v/>
      </c>
      <c r="M302" s="1">
        <f>IF(AND(E302=0,COUNTIFS($A$2:A302,A302,$E$2:E302,0)=1),L302,0)</f>
        <v>0</v>
      </c>
    </row>
    <row r="303" spans="1:13" ht="15" customHeight="1">
      <c r="A303" s="1">
        <v>7062</v>
      </c>
      <c r="B303" s="1" t="s">
        <v>95</v>
      </c>
      <c r="C303" s="1" t="s">
        <v>372</v>
      </c>
      <c r="D303" s="2" t="s">
        <v>383</v>
      </c>
      <c r="E303" s="1">
        <v>1</v>
      </c>
      <c r="F303" s="2" t="s">
        <v>386</v>
      </c>
      <c r="G303" s="1">
        <v>3</v>
      </c>
      <c r="H303" s="1" t="str">
        <f t="shared" si="4"/>
        <v>k7062_3</v>
      </c>
      <c r="K303" s="1">
        <f>IF(E303=0,SUMPRODUCT(($A$2:$A$4734=A303)*($B$2:$B$4734=B303)*($D$2:$D$4734=D303)*($E$2:$E$4734=0)),0)</f>
        <v>0</v>
      </c>
      <c r="L303" s="1" t="str">
        <f>IF(E303=0,SUMPRODUCT(MIN($K$2:$K$4734+((($A$2:$A$4734&lt;&gt;A303)+($E$2:$E$4734&lt;&gt;0))&gt;0)*1000000)),"")</f>
        <v/>
      </c>
      <c r="M303" s="1">
        <f>IF(AND(E303=0,COUNTIFS($A$2:A303,A303,$E$2:E303,0)=1),L303,0)</f>
        <v>0</v>
      </c>
    </row>
    <row r="304" spans="1:13" ht="15" customHeight="1">
      <c r="A304" s="1">
        <v>7062</v>
      </c>
      <c r="B304" s="1" t="s">
        <v>95</v>
      </c>
      <c r="C304" s="1" t="s">
        <v>372</v>
      </c>
      <c r="D304" s="2" t="s">
        <v>383</v>
      </c>
      <c r="E304" s="1">
        <v>1</v>
      </c>
      <c r="F304" s="2" t="s">
        <v>387</v>
      </c>
      <c r="G304" s="1">
        <v>4</v>
      </c>
      <c r="H304" s="1" t="str">
        <f t="shared" si="4"/>
        <v>k7062_4</v>
      </c>
      <c r="K304" s="1">
        <f>IF(E304=0,SUMPRODUCT(($A$2:$A$4734=A304)*($B$2:$B$4734=B304)*($D$2:$D$4734=D304)*($E$2:$E$4734=0)),0)</f>
        <v>0</v>
      </c>
      <c r="L304" s="1" t="str">
        <f>IF(E304=0,SUMPRODUCT(MIN($K$2:$K$4734+((($A$2:$A$4734&lt;&gt;A304)+($E$2:$E$4734&lt;&gt;0))&gt;0)*1000000)),"")</f>
        <v/>
      </c>
      <c r="M304" s="1">
        <f>IF(AND(E304=0,COUNTIFS($A$2:A304,A304,$E$2:E304,0)=1),L304,0)</f>
        <v>0</v>
      </c>
    </row>
    <row r="305" spans="1:13" ht="15" customHeight="1">
      <c r="A305" s="1">
        <v>7063</v>
      </c>
      <c r="B305" s="1" t="s">
        <v>161</v>
      </c>
      <c r="C305" s="2" t="s">
        <v>388</v>
      </c>
      <c r="D305" s="2" t="s">
        <v>389</v>
      </c>
      <c r="E305" s="1">
        <v>1</v>
      </c>
      <c r="F305" s="2" t="s">
        <v>390</v>
      </c>
      <c r="G305" s="1">
        <v>1</v>
      </c>
      <c r="H305" s="1" t="str">
        <f t="shared" si="4"/>
        <v>k7063_1</v>
      </c>
      <c r="K305" s="1">
        <f>IF(E305=0,SUMPRODUCT(($A$2:$A$4734=A305)*($B$2:$B$4734=B305)*($D$2:$D$4734=D305)*($E$2:$E$4734=0)),0)</f>
        <v>0</v>
      </c>
      <c r="L305" s="1" t="str">
        <f>IF(E305=0,SUMPRODUCT(MIN($K$2:$K$4734+((($A$2:$A$4734&lt;&gt;A305)+($E$2:$E$4734&lt;&gt;0))&gt;0)*1000000)),"")</f>
        <v/>
      </c>
      <c r="M305" s="1">
        <f>IF(AND(E305=0,COUNTIFS($A$2:A305,A305,$E$2:E305,0)=1),L305,0)</f>
        <v>0</v>
      </c>
    </row>
    <row r="306" spans="1:13" ht="15" customHeight="1">
      <c r="A306" s="1">
        <v>7063</v>
      </c>
      <c r="B306" s="1" t="s">
        <v>161</v>
      </c>
      <c r="C306" s="2" t="s">
        <v>388</v>
      </c>
      <c r="D306" s="2" t="s">
        <v>389</v>
      </c>
      <c r="E306" s="1">
        <v>1</v>
      </c>
      <c r="F306" s="2" t="s">
        <v>391</v>
      </c>
      <c r="G306" s="1">
        <v>2</v>
      </c>
      <c r="H306" s="1" t="str">
        <f t="shared" si="4"/>
        <v>k7063_2</v>
      </c>
      <c r="K306" s="1">
        <f>IF(E306=0,SUMPRODUCT(($A$2:$A$4734=A306)*($B$2:$B$4734=B306)*($D$2:$D$4734=D306)*($E$2:$E$4734=0)),0)</f>
        <v>0</v>
      </c>
      <c r="L306" s="1" t="str">
        <f>IF(E306=0,SUMPRODUCT(MIN($K$2:$K$4734+((($A$2:$A$4734&lt;&gt;A306)+($E$2:$E$4734&lt;&gt;0))&gt;0)*1000000)),"")</f>
        <v/>
      </c>
      <c r="M306" s="1">
        <f>IF(AND(E306=0,COUNTIFS($A$2:A306,A306,$E$2:E306,0)=1),L306,0)</f>
        <v>0</v>
      </c>
    </row>
    <row r="307" spans="1:13" ht="15" customHeight="1">
      <c r="A307" s="1">
        <v>7063</v>
      </c>
      <c r="B307" s="1" t="s">
        <v>161</v>
      </c>
      <c r="C307" s="2" t="s">
        <v>388</v>
      </c>
      <c r="D307" s="2" t="s">
        <v>389</v>
      </c>
      <c r="E307" s="1">
        <v>1</v>
      </c>
      <c r="F307" s="2" t="s">
        <v>392</v>
      </c>
      <c r="G307" s="1">
        <v>3</v>
      </c>
      <c r="H307" s="1" t="str">
        <f t="shared" si="4"/>
        <v>k7063_3</v>
      </c>
      <c r="K307" s="1">
        <f>IF(E307=0,SUMPRODUCT(($A$2:$A$4734=A307)*($B$2:$B$4734=B307)*($D$2:$D$4734=D307)*($E$2:$E$4734=0)),0)</f>
        <v>0</v>
      </c>
      <c r="L307" s="1" t="str">
        <f>IF(E307=0,SUMPRODUCT(MIN($K$2:$K$4734+((($A$2:$A$4734&lt;&gt;A307)+($E$2:$E$4734&lt;&gt;0))&gt;0)*1000000)),"")</f>
        <v/>
      </c>
      <c r="M307" s="1">
        <f>IF(AND(E307=0,COUNTIFS($A$2:A307,A307,$E$2:E307,0)=1),L307,0)</f>
        <v>0</v>
      </c>
    </row>
    <row r="308" spans="1:13" ht="15" customHeight="1">
      <c r="A308" s="1">
        <v>7063</v>
      </c>
      <c r="B308" s="1" t="s">
        <v>393</v>
      </c>
      <c r="C308" s="2" t="s">
        <v>388</v>
      </c>
      <c r="D308" s="2" t="s">
        <v>394</v>
      </c>
      <c r="E308" s="1">
        <v>1</v>
      </c>
      <c r="F308" s="2" t="s">
        <v>395</v>
      </c>
      <c r="G308" s="1">
        <v>1</v>
      </c>
      <c r="H308" s="1" t="str">
        <f t="shared" si="4"/>
        <v>k7063_1</v>
      </c>
      <c r="K308" s="1">
        <f>IF(E308=0,SUMPRODUCT(($A$2:$A$4734=A308)*($B$2:$B$4734=B308)*($D$2:$D$4734=D308)*($E$2:$E$4734=0)),0)</f>
        <v>0</v>
      </c>
      <c r="L308" s="1" t="str">
        <f>IF(E308=0,SUMPRODUCT(MIN($K$2:$K$4734+((($A$2:$A$4734&lt;&gt;A308)+($E$2:$E$4734&lt;&gt;0))&gt;0)*1000000)),"")</f>
        <v/>
      </c>
      <c r="M308" s="1">
        <f>IF(AND(E308=0,COUNTIFS($A$2:A308,A308,$E$2:E308,0)=1),L308,0)</f>
        <v>0</v>
      </c>
    </row>
    <row r="309" spans="1:13" ht="15" customHeight="1">
      <c r="A309" s="1">
        <v>7063</v>
      </c>
      <c r="B309" s="1" t="s">
        <v>393</v>
      </c>
      <c r="C309" s="2" t="s">
        <v>388</v>
      </c>
      <c r="D309" s="2" t="s">
        <v>394</v>
      </c>
      <c r="E309" s="1">
        <v>1</v>
      </c>
      <c r="F309" s="2" t="s">
        <v>396</v>
      </c>
      <c r="G309" s="1">
        <v>2</v>
      </c>
      <c r="H309" s="1" t="str">
        <f t="shared" si="4"/>
        <v>k7063_2</v>
      </c>
      <c r="K309" s="1">
        <f>IF(E309=0,SUMPRODUCT(($A$2:$A$4734=A309)*($B$2:$B$4734=B309)*($D$2:$D$4734=D309)*($E$2:$E$4734=0)),0)</f>
        <v>0</v>
      </c>
      <c r="L309" s="1" t="str">
        <f>IF(E309=0,SUMPRODUCT(MIN($K$2:$K$4734+((($A$2:$A$4734&lt;&gt;A309)+($E$2:$E$4734&lt;&gt;0))&gt;0)*1000000)),"")</f>
        <v/>
      </c>
      <c r="M309" s="1">
        <f>IF(AND(E309=0,COUNTIFS($A$2:A309,A309,$E$2:E309,0)=1),L309,0)</f>
        <v>0</v>
      </c>
    </row>
    <row r="310" spans="1:13" ht="15" customHeight="1">
      <c r="A310" s="1">
        <v>7063</v>
      </c>
      <c r="B310" s="1" t="s">
        <v>393</v>
      </c>
      <c r="C310" s="2" t="s">
        <v>388</v>
      </c>
      <c r="D310" s="2" t="s">
        <v>394</v>
      </c>
      <c r="E310" s="1">
        <v>1</v>
      </c>
      <c r="F310" s="2" t="s">
        <v>397</v>
      </c>
      <c r="G310" s="1">
        <v>3</v>
      </c>
      <c r="H310" s="1" t="str">
        <f t="shared" si="4"/>
        <v>k7063_3</v>
      </c>
      <c r="K310" s="1">
        <f>IF(E310=0,SUMPRODUCT(($A$2:$A$4734=A310)*($B$2:$B$4734=B310)*($D$2:$D$4734=D310)*($E$2:$E$4734=0)),0)</f>
        <v>0</v>
      </c>
      <c r="L310" s="1" t="str">
        <f>IF(E310=0,SUMPRODUCT(MIN($K$2:$K$4734+((($A$2:$A$4734&lt;&gt;A310)+($E$2:$E$4734&lt;&gt;0))&gt;0)*1000000)),"")</f>
        <v/>
      </c>
      <c r="M310" s="1">
        <f>IF(AND(E310=0,COUNTIFS($A$2:A310,A310,$E$2:E310,0)=1),L310,0)</f>
        <v>0</v>
      </c>
    </row>
    <row r="311" spans="1:13" ht="15" customHeight="1">
      <c r="A311" s="1">
        <v>7064</v>
      </c>
      <c r="B311" s="1" t="s">
        <v>95</v>
      </c>
      <c r="C311" s="2" t="s">
        <v>398</v>
      </c>
      <c r="D311" s="2" t="s">
        <v>399</v>
      </c>
      <c r="E311" s="1">
        <v>1</v>
      </c>
      <c r="F311" s="2" t="s">
        <v>400</v>
      </c>
      <c r="G311" s="1">
        <v>1</v>
      </c>
      <c r="H311" s="1" t="str">
        <f t="shared" si="4"/>
        <v>k7064_1</v>
      </c>
      <c r="K311" s="1">
        <f>IF(E311=0,SUMPRODUCT(($A$2:$A$4734=A311)*($B$2:$B$4734=B311)*($D$2:$D$4734=D311)*($E$2:$E$4734=0)),0)</f>
        <v>0</v>
      </c>
      <c r="L311" s="1" t="str">
        <f>IF(E311=0,SUMPRODUCT(MIN($K$2:$K$4734+((($A$2:$A$4734&lt;&gt;A311)+($E$2:$E$4734&lt;&gt;0))&gt;0)*1000000)),"")</f>
        <v/>
      </c>
      <c r="M311" s="1">
        <f>IF(AND(E311=0,COUNTIFS($A$2:A311,A311,$E$2:E311,0)=1),L311,0)</f>
        <v>0</v>
      </c>
    </row>
    <row r="312" spans="1:13" ht="15" customHeight="1">
      <c r="A312" s="1">
        <v>7064</v>
      </c>
      <c r="B312" s="1" t="s">
        <v>95</v>
      </c>
      <c r="C312" s="2" t="s">
        <v>398</v>
      </c>
      <c r="D312" s="2" t="s">
        <v>399</v>
      </c>
      <c r="E312" s="1">
        <v>1</v>
      </c>
      <c r="F312" s="2" t="s">
        <v>401</v>
      </c>
      <c r="G312" s="1">
        <v>2</v>
      </c>
      <c r="H312" s="1" t="str">
        <f t="shared" si="4"/>
        <v>k7064_2</v>
      </c>
      <c r="K312" s="1">
        <f>IF(E312=0,SUMPRODUCT(($A$2:$A$4734=A312)*($B$2:$B$4734=B312)*($D$2:$D$4734=D312)*($E$2:$E$4734=0)),0)</f>
        <v>0</v>
      </c>
      <c r="L312" s="1" t="str">
        <f>IF(E312=0,SUMPRODUCT(MIN($K$2:$K$4734+((($A$2:$A$4734&lt;&gt;A312)+($E$2:$E$4734&lt;&gt;0))&gt;0)*1000000)),"")</f>
        <v/>
      </c>
      <c r="M312" s="1">
        <f>IF(AND(E312=0,COUNTIFS($A$2:A312,A312,$E$2:E312,0)=1),L312,0)</f>
        <v>0</v>
      </c>
    </row>
    <row r="313" spans="1:13" ht="15" customHeight="1">
      <c r="A313" s="1">
        <v>7064</v>
      </c>
      <c r="B313" s="1" t="s">
        <v>95</v>
      </c>
      <c r="C313" s="2" t="s">
        <v>398</v>
      </c>
      <c r="D313" s="2" t="s">
        <v>399</v>
      </c>
      <c r="E313" s="1">
        <v>1</v>
      </c>
      <c r="F313" s="2" t="s">
        <v>402</v>
      </c>
      <c r="G313" s="1">
        <v>3</v>
      </c>
      <c r="H313" s="1" t="str">
        <f t="shared" si="4"/>
        <v>k7064_3</v>
      </c>
      <c r="K313" s="1">
        <f>IF(E313=0,SUMPRODUCT(($A$2:$A$4734=A313)*($B$2:$B$4734=B313)*($D$2:$D$4734=D313)*($E$2:$E$4734=0)),0)</f>
        <v>0</v>
      </c>
      <c r="L313" s="1" t="str">
        <f>IF(E313=0,SUMPRODUCT(MIN($K$2:$K$4734+((($A$2:$A$4734&lt;&gt;A313)+($E$2:$E$4734&lt;&gt;0))&gt;0)*1000000)),"")</f>
        <v/>
      </c>
      <c r="M313" s="1">
        <f>IF(AND(E313=0,COUNTIFS($A$2:A313,A313,$E$2:E313,0)=1),L313,0)</f>
        <v>0</v>
      </c>
    </row>
    <row r="314" spans="1:13" ht="15" customHeight="1">
      <c r="A314" s="1">
        <v>7064</v>
      </c>
      <c r="B314" s="1" t="s">
        <v>95</v>
      </c>
      <c r="C314" s="2" t="s">
        <v>398</v>
      </c>
      <c r="D314" s="2" t="s">
        <v>399</v>
      </c>
      <c r="E314" s="1">
        <v>1</v>
      </c>
      <c r="F314" s="2" t="s">
        <v>403</v>
      </c>
      <c r="G314" s="1">
        <v>4</v>
      </c>
      <c r="H314" s="1" t="str">
        <f t="shared" ref="H314:H376" si="5">IF(OR(E314&lt;&gt;1,G314=""),"","k"&amp;A314&amp;"_"&amp;G314)</f>
        <v>k7064_4</v>
      </c>
      <c r="K314" s="1">
        <f>IF(E314=0,SUMPRODUCT(($A$2:$A$4734=A314)*($B$2:$B$4734=B314)*($D$2:$D$4734=D314)*($E$2:$E$4734=0)),0)</f>
        <v>0</v>
      </c>
      <c r="L314" s="1" t="str">
        <f>IF(E314=0,SUMPRODUCT(MIN($K$2:$K$4734+((($A$2:$A$4734&lt;&gt;A314)+($E$2:$E$4734&lt;&gt;0))&gt;0)*1000000)),"")</f>
        <v/>
      </c>
      <c r="M314" s="1">
        <f>IF(AND(E314=0,COUNTIFS($A$2:A314,A314,$E$2:E314,0)=1),L314,0)</f>
        <v>0</v>
      </c>
    </row>
    <row r="315" spans="1:13" ht="15" customHeight="1">
      <c r="A315" s="1">
        <v>7064</v>
      </c>
      <c r="B315" s="1" t="s">
        <v>95</v>
      </c>
      <c r="C315" s="2" t="s">
        <v>398</v>
      </c>
      <c r="D315" s="2" t="s">
        <v>399</v>
      </c>
      <c r="E315" s="1">
        <v>1</v>
      </c>
      <c r="F315" s="2" t="s">
        <v>404</v>
      </c>
      <c r="G315" s="1">
        <v>5</v>
      </c>
      <c r="H315" s="1" t="str">
        <f t="shared" si="5"/>
        <v>k7064_5</v>
      </c>
      <c r="K315" s="1">
        <f>IF(E315=0,SUMPRODUCT(($A$2:$A$4734=A315)*($B$2:$B$4734=B315)*($D$2:$D$4734=D315)*($E$2:$E$4734=0)),0)</f>
        <v>0</v>
      </c>
      <c r="L315" s="1" t="str">
        <f>IF(E315=0,SUMPRODUCT(MIN($K$2:$K$4734+((($A$2:$A$4734&lt;&gt;A315)+($E$2:$E$4734&lt;&gt;0))&gt;0)*1000000)),"")</f>
        <v/>
      </c>
      <c r="M315" s="1">
        <f>IF(AND(E315=0,COUNTIFS($A$2:A315,A315,$E$2:E315,0)=1),L315,0)</f>
        <v>0</v>
      </c>
    </row>
    <row r="316" spans="1:13" ht="15" customHeight="1">
      <c r="A316" s="1">
        <v>7064</v>
      </c>
      <c r="B316" s="1" t="s">
        <v>16</v>
      </c>
      <c r="C316" s="2" t="s">
        <v>398</v>
      </c>
      <c r="D316" s="2" t="s">
        <v>405</v>
      </c>
      <c r="E316" s="1">
        <v>1</v>
      </c>
      <c r="F316" s="2" t="s">
        <v>406</v>
      </c>
      <c r="G316" s="1">
        <v>1</v>
      </c>
      <c r="H316" s="1" t="str">
        <f t="shared" si="5"/>
        <v>k7064_1</v>
      </c>
      <c r="K316" s="1">
        <f>IF(E316=0,SUMPRODUCT(($A$2:$A$4734=A316)*($B$2:$B$4734=B316)*($D$2:$D$4734=D316)*($E$2:$E$4734=0)),0)</f>
        <v>0</v>
      </c>
      <c r="L316" s="1" t="str">
        <f>IF(E316=0,SUMPRODUCT(MIN($K$2:$K$4734+((($A$2:$A$4734&lt;&gt;A316)+($E$2:$E$4734&lt;&gt;0))&gt;0)*1000000)),"")</f>
        <v/>
      </c>
      <c r="M316" s="1">
        <f>IF(AND(E316=0,COUNTIFS($A$2:A316,A316,$E$2:E316,0)=1),L316,0)</f>
        <v>0</v>
      </c>
    </row>
    <row r="317" spans="1:13" ht="15" customHeight="1">
      <c r="A317" s="1">
        <v>7064</v>
      </c>
      <c r="B317" s="1" t="s">
        <v>16</v>
      </c>
      <c r="C317" s="2" t="s">
        <v>398</v>
      </c>
      <c r="D317" s="2" t="s">
        <v>405</v>
      </c>
      <c r="E317" s="1">
        <v>1</v>
      </c>
      <c r="F317" s="2" t="s">
        <v>407</v>
      </c>
      <c r="G317" s="1">
        <v>2</v>
      </c>
      <c r="H317" s="1" t="str">
        <f t="shared" si="5"/>
        <v>k7064_2</v>
      </c>
      <c r="K317" s="1">
        <f>IF(E317=0,SUMPRODUCT(($A$2:$A$4734=A317)*($B$2:$B$4734=B317)*($D$2:$D$4734=D317)*($E$2:$E$4734=0)),0)</f>
        <v>0</v>
      </c>
      <c r="L317" s="1" t="str">
        <f>IF(E317=0,SUMPRODUCT(MIN($K$2:$K$4734+((($A$2:$A$4734&lt;&gt;A317)+($E$2:$E$4734&lt;&gt;0))&gt;0)*1000000)),"")</f>
        <v/>
      </c>
      <c r="M317" s="1">
        <f>IF(AND(E317=0,COUNTIFS($A$2:A317,A317,$E$2:E317,0)=1),L317,0)</f>
        <v>0</v>
      </c>
    </row>
    <row r="318" spans="1:13" ht="15" customHeight="1">
      <c r="A318" s="1">
        <v>7064</v>
      </c>
      <c r="B318" s="1" t="s">
        <v>16</v>
      </c>
      <c r="C318" s="2" t="s">
        <v>398</v>
      </c>
      <c r="D318" s="2" t="s">
        <v>405</v>
      </c>
      <c r="E318" s="1">
        <v>1</v>
      </c>
      <c r="F318" s="2" t="s">
        <v>408</v>
      </c>
      <c r="G318" s="1">
        <v>3</v>
      </c>
      <c r="H318" s="1" t="str">
        <f t="shared" si="5"/>
        <v>k7064_3</v>
      </c>
      <c r="K318" s="1">
        <f>IF(E318=0,SUMPRODUCT(($A$2:$A$4734=A318)*($B$2:$B$4734=B318)*($D$2:$D$4734=D318)*($E$2:$E$4734=0)),0)</f>
        <v>0</v>
      </c>
      <c r="L318" s="1" t="str">
        <f>IF(E318=0,SUMPRODUCT(MIN($K$2:$K$4734+((($A$2:$A$4734&lt;&gt;A318)+($E$2:$E$4734&lt;&gt;0))&gt;0)*1000000)),"")</f>
        <v/>
      </c>
      <c r="M318" s="1">
        <f>IF(AND(E318=0,COUNTIFS($A$2:A318,A318,$E$2:E318,0)=1),L318,0)</f>
        <v>0</v>
      </c>
    </row>
    <row r="319" spans="1:13" ht="15" customHeight="1">
      <c r="A319" s="1">
        <v>7064</v>
      </c>
      <c r="B319" s="1" t="s">
        <v>16</v>
      </c>
      <c r="C319" s="2" t="s">
        <v>398</v>
      </c>
      <c r="D319" s="2" t="s">
        <v>405</v>
      </c>
      <c r="E319" s="1">
        <v>1</v>
      </c>
      <c r="F319" s="2" t="s">
        <v>409</v>
      </c>
      <c r="G319" s="1">
        <v>4</v>
      </c>
      <c r="H319" s="1" t="str">
        <f t="shared" si="5"/>
        <v>k7064_4</v>
      </c>
      <c r="K319" s="1">
        <f>IF(E319=0,SUMPRODUCT(($A$2:$A$4734=A319)*($B$2:$B$4734=B319)*($D$2:$D$4734=D319)*($E$2:$E$4734=0)),0)</f>
        <v>0</v>
      </c>
      <c r="L319" s="1" t="str">
        <f>IF(E319=0,SUMPRODUCT(MIN($K$2:$K$4734+((($A$2:$A$4734&lt;&gt;A319)+($E$2:$E$4734&lt;&gt;0))&gt;0)*1000000)),"")</f>
        <v/>
      </c>
      <c r="M319" s="1">
        <f>IF(AND(E319=0,COUNTIFS($A$2:A319,A319,$E$2:E319,0)=1),L319,0)</f>
        <v>0</v>
      </c>
    </row>
    <row r="320" spans="1:13" ht="15" customHeight="1">
      <c r="A320" s="1">
        <v>7064</v>
      </c>
      <c r="B320" s="1" t="s">
        <v>16</v>
      </c>
      <c r="C320" s="2" t="s">
        <v>398</v>
      </c>
      <c r="D320" s="2" t="s">
        <v>405</v>
      </c>
      <c r="E320" s="1">
        <v>1</v>
      </c>
      <c r="F320" s="2" t="s">
        <v>409</v>
      </c>
      <c r="G320" s="1">
        <v>5</v>
      </c>
      <c r="H320" s="1" t="str">
        <f t="shared" si="5"/>
        <v>k7064_5</v>
      </c>
      <c r="K320" s="1">
        <f>IF(E320=0,SUMPRODUCT(($A$2:$A$4734=A320)*($B$2:$B$4734=B320)*($D$2:$D$4734=D320)*($E$2:$E$4734=0)),0)</f>
        <v>0</v>
      </c>
      <c r="L320" s="1" t="str">
        <f>IF(E320=0,SUMPRODUCT(MIN($K$2:$K$4734+((($A$2:$A$4734&lt;&gt;A320)+($E$2:$E$4734&lt;&gt;0))&gt;0)*1000000)),"")</f>
        <v/>
      </c>
      <c r="M320" s="1">
        <f>IF(AND(E320=0,COUNTIFS($A$2:A320,A320,$E$2:E320,0)=1),L320,0)</f>
        <v>0</v>
      </c>
    </row>
    <row r="321" spans="1:13" ht="15" customHeight="1">
      <c r="A321" s="1">
        <v>7065</v>
      </c>
      <c r="B321" s="1" t="s">
        <v>9</v>
      </c>
      <c r="C321" s="2" t="s">
        <v>410</v>
      </c>
      <c r="D321" s="2" t="s">
        <v>411</v>
      </c>
      <c r="E321" s="1">
        <v>0</v>
      </c>
      <c r="F321" s="2" t="s">
        <v>412</v>
      </c>
      <c r="H321" s="1" t="str">
        <f t="shared" si="5"/>
        <v/>
      </c>
      <c r="K321" s="1">
        <f>IF(E321=0,SUMPRODUCT(($A$2:$A$4734=A321)*($B$2:$B$4734=B321)*($D$2:$D$4734=D321)*($E$2:$E$4734=0)),0)</f>
        <v>6</v>
      </c>
      <c r="L321" s="1">
        <f>IF(E321=0,SUMPRODUCT(MIN($K$2:$K$4734+((($A$2:$A$4734&lt;&gt;A321)+($E$2:$E$4734&lt;&gt;0))&gt;0)*1000000)),"")</f>
        <v>2</v>
      </c>
      <c r="M321" s="1">
        <f>IF(AND(E321=0,COUNTIFS($A$2:A321,A321,$E$2:E321,0)=1),L321,0)</f>
        <v>2</v>
      </c>
    </row>
    <row r="322" spans="1:13" ht="15" customHeight="1">
      <c r="A322" s="1">
        <v>7065</v>
      </c>
      <c r="B322" s="1" t="s">
        <v>9</v>
      </c>
      <c r="C322" s="2" t="s">
        <v>410</v>
      </c>
      <c r="D322" s="2" t="s">
        <v>411</v>
      </c>
      <c r="E322" s="1">
        <v>0</v>
      </c>
      <c r="F322" s="2" t="s">
        <v>413</v>
      </c>
      <c r="H322" s="1" t="str">
        <f t="shared" si="5"/>
        <v/>
      </c>
      <c r="K322" s="1">
        <f>IF(E322=0,SUMPRODUCT(($A$2:$A$4734=A322)*($B$2:$B$4734=B322)*($D$2:$D$4734=D322)*($E$2:$E$4734=0)),0)</f>
        <v>6</v>
      </c>
      <c r="L322" s="1">
        <f>IF(E322=0,SUMPRODUCT(MIN($K$2:$K$4734+((($A$2:$A$4734&lt;&gt;A322)+($E$2:$E$4734&lt;&gt;0))&gt;0)*1000000)),"")</f>
        <v>2</v>
      </c>
      <c r="M322" s="1">
        <f>IF(AND(E322=0,COUNTIFS($A$2:A322,A322,$E$2:E322,0)=1),L322,0)</f>
        <v>0</v>
      </c>
    </row>
    <row r="323" spans="1:13" ht="15" customHeight="1">
      <c r="A323" s="1">
        <v>7065</v>
      </c>
      <c r="B323" s="1" t="s">
        <v>9</v>
      </c>
      <c r="C323" s="2" t="s">
        <v>410</v>
      </c>
      <c r="D323" s="2" t="s">
        <v>411</v>
      </c>
      <c r="E323" s="1">
        <v>0</v>
      </c>
      <c r="F323" s="2" t="s">
        <v>414</v>
      </c>
      <c r="H323" s="1" t="str">
        <f t="shared" si="5"/>
        <v/>
      </c>
      <c r="K323" s="1">
        <f>IF(E323=0,SUMPRODUCT(($A$2:$A$4734=A323)*($B$2:$B$4734=B323)*($D$2:$D$4734=D323)*($E$2:$E$4734=0)),0)</f>
        <v>6</v>
      </c>
      <c r="L323" s="1">
        <f>IF(E323=0,SUMPRODUCT(MIN($K$2:$K$4734+((($A$2:$A$4734&lt;&gt;A323)+($E$2:$E$4734&lt;&gt;0))&gt;0)*1000000)),"")</f>
        <v>2</v>
      </c>
      <c r="M323" s="1">
        <f>IF(AND(E323=0,COUNTIFS($A$2:A323,A323,$E$2:E323,0)=1),L323,0)</f>
        <v>0</v>
      </c>
    </row>
    <row r="324" spans="1:13" ht="15" customHeight="1">
      <c r="A324" s="1">
        <v>7065</v>
      </c>
      <c r="B324" s="1" t="s">
        <v>9</v>
      </c>
      <c r="C324" s="2" t="s">
        <v>410</v>
      </c>
      <c r="D324" s="2" t="s">
        <v>411</v>
      </c>
      <c r="E324" s="1">
        <v>0</v>
      </c>
      <c r="F324" s="2" t="s">
        <v>415</v>
      </c>
      <c r="H324" s="1" t="str">
        <f t="shared" si="5"/>
        <v/>
      </c>
      <c r="K324" s="1">
        <f>IF(E324=0,SUMPRODUCT(($A$2:$A$4734=A324)*($B$2:$B$4734=B324)*($D$2:$D$4734=D324)*($E$2:$E$4734=0)),0)</f>
        <v>6</v>
      </c>
      <c r="L324" s="1">
        <f>IF(E324=0,SUMPRODUCT(MIN($K$2:$K$4734+((($A$2:$A$4734&lt;&gt;A324)+($E$2:$E$4734&lt;&gt;0))&gt;0)*1000000)),"")</f>
        <v>2</v>
      </c>
      <c r="M324" s="1">
        <f>IF(AND(E324=0,COUNTIFS($A$2:A324,A324,$E$2:E324,0)=1),L324,0)</f>
        <v>0</v>
      </c>
    </row>
    <row r="325" spans="1:13" ht="15" customHeight="1">
      <c r="A325" s="1">
        <v>7065</v>
      </c>
      <c r="B325" s="1" t="s">
        <v>9</v>
      </c>
      <c r="C325" s="2" t="s">
        <v>410</v>
      </c>
      <c r="D325" s="2" t="s">
        <v>411</v>
      </c>
      <c r="E325" s="1">
        <v>0</v>
      </c>
      <c r="F325" s="2" t="s">
        <v>416</v>
      </c>
      <c r="H325" s="1" t="str">
        <f t="shared" si="5"/>
        <v/>
      </c>
      <c r="K325" s="1">
        <f>IF(E325=0,SUMPRODUCT(($A$2:$A$4734=A325)*($B$2:$B$4734=B325)*($D$2:$D$4734=D325)*($E$2:$E$4734=0)),0)</f>
        <v>6</v>
      </c>
      <c r="L325" s="1">
        <f>IF(E325=0,SUMPRODUCT(MIN($K$2:$K$4734+((($A$2:$A$4734&lt;&gt;A325)+($E$2:$E$4734&lt;&gt;0))&gt;0)*1000000)),"")</f>
        <v>2</v>
      </c>
      <c r="M325" s="1">
        <f>IF(AND(E325=0,COUNTIFS($A$2:A325,A325,$E$2:E325,0)=1),L325,0)</f>
        <v>0</v>
      </c>
    </row>
    <row r="326" spans="1:13" ht="15" customHeight="1">
      <c r="A326" s="1">
        <v>7065</v>
      </c>
      <c r="B326" s="1" t="s">
        <v>9</v>
      </c>
      <c r="C326" s="2" t="s">
        <v>410</v>
      </c>
      <c r="D326" s="2" t="s">
        <v>411</v>
      </c>
      <c r="E326" s="1">
        <v>0</v>
      </c>
      <c r="F326" s="2" t="s">
        <v>417</v>
      </c>
      <c r="H326" s="1" t="str">
        <f t="shared" si="5"/>
        <v/>
      </c>
      <c r="K326" s="1">
        <f>IF(E326=0,SUMPRODUCT(($A$2:$A$4734=A326)*($B$2:$B$4734=B326)*($D$2:$D$4734=D326)*($E$2:$E$4734=0)),0)</f>
        <v>6</v>
      </c>
      <c r="L326" s="1">
        <f>IF(E326=0,SUMPRODUCT(MIN($K$2:$K$4734+((($A$2:$A$4734&lt;&gt;A326)+($E$2:$E$4734&lt;&gt;0))&gt;0)*1000000)),"")</f>
        <v>2</v>
      </c>
      <c r="M326" s="1">
        <f>IF(AND(E326=0,COUNTIFS($A$2:A326,A326,$E$2:E326,0)=1),L326,0)</f>
        <v>0</v>
      </c>
    </row>
    <row r="327" spans="1:13" ht="15" customHeight="1">
      <c r="A327" s="1">
        <v>7065</v>
      </c>
      <c r="B327" s="1" t="s">
        <v>16</v>
      </c>
      <c r="C327" s="2" t="s">
        <v>410</v>
      </c>
      <c r="D327" s="2" t="s">
        <v>418</v>
      </c>
      <c r="E327" s="1">
        <v>0</v>
      </c>
      <c r="F327" s="2" t="s">
        <v>419</v>
      </c>
      <c r="H327" s="1" t="str">
        <f t="shared" si="5"/>
        <v/>
      </c>
      <c r="K327" s="1">
        <f>IF(E327=0,SUMPRODUCT(($A$2:$A$4734=A327)*($B$2:$B$4734=B327)*($D$2:$D$4734=D327)*($E$2:$E$4734=0)),0)</f>
        <v>5</v>
      </c>
      <c r="L327" s="1">
        <f>IF(E327=0,SUMPRODUCT(MIN($K$2:$K$4734+((($A$2:$A$4734&lt;&gt;A327)+($E$2:$E$4734&lt;&gt;0))&gt;0)*1000000)),"")</f>
        <v>2</v>
      </c>
      <c r="M327" s="1">
        <f>IF(AND(E327=0,COUNTIFS($A$2:A327,A327,$E$2:E327,0)=1),L327,0)</f>
        <v>0</v>
      </c>
    </row>
    <row r="328" spans="1:13" ht="15" customHeight="1">
      <c r="A328" s="1">
        <v>7065</v>
      </c>
      <c r="B328" s="1" t="s">
        <v>16</v>
      </c>
      <c r="C328" s="2" t="s">
        <v>410</v>
      </c>
      <c r="D328" s="2" t="s">
        <v>418</v>
      </c>
      <c r="E328" s="1">
        <v>0</v>
      </c>
      <c r="F328" s="2" t="s">
        <v>420</v>
      </c>
      <c r="H328" s="1" t="str">
        <f t="shared" si="5"/>
        <v/>
      </c>
      <c r="K328" s="1">
        <f>IF(E328=0,SUMPRODUCT(($A$2:$A$4734=A328)*($B$2:$B$4734=B328)*($D$2:$D$4734=D328)*($E$2:$E$4734=0)),0)</f>
        <v>5</v>
      </c>
      <c r="L328" s="1">
        <f>IF(E328=0,SUMPRODUCT(MIN($K$2:$K$4734+((($A$2:$A$4734&lt;&gt;A328)+($E$2:$E$4734&lt;&gt;0))&gt;0)*1000000)),"")</f>
        <v>2</v>
      </c>
      <c r="M328" s="1">
        <f>IF(AND(E328=0,COUNTIFS($A$2:A328,A328,$E$2:E328,0)=1),L328,0)</f>
        <v>0</v>
      </c>
    </row>
    <row r="329" spans="1:13" ht="15" customHeight="1">
      <c r="A329" s="1">
        <v>7065</v>
      </c>
      <c r="B329" s="1" t="s">
        <v>16</v>
      </c>
      <c r="C329" s="2" t="s">
        <v>410</v>
      </c>
      <c r="D329" s="2" t="s">
        <v>418</v>
      </c>
      <c r="E329" s="1">
        <v>0</v>
      </c>
      <c r="F329" s="2" t="s">
        <v>421</v>
      </c>
      <c r="H329" s="1" t="str">
        <f t="shared" si="5"/>
        <v/>
      </c>
      <c r="K329" s="1">
        <f>IF(E329=0,SUMPRODUCT(($A$2:$A$4734=A329)*($B$2:$B$4734=B329)*($D$2:$D$4734=D329)*($E$2:$E$4734=0)),0)</f>
        <v>5</v>
      </c>
      <c r="L329" s="1">
        <f>IF(E329=0,SUMPRODUCT(MIN($K$2:$K$4734+((($A$2:$A$4734&lt;&gt;A329)+($E$2:$E$4734&lt;&gt;0))&gt;0)*1000000)),"")</f>
        <v>2</v>
      </c>
      <c r="M329" s="1">
        <f>IF(AND(E329=0,COUNTIFS($A$2:A329,A329,$E$2:E329,0)=1),L329,0)</f>
        <v>0</v>
      </c>
    </row>
    <row r="330" spans="1:13" ht="15" customHeight="1">
      <c r="A330" s="1">
        <v>7065</v>
      </c>
      <c r="B330" s="1" t="s">
        <v>16</v>
      </c>
      <c r="C330" s="2" t="s">
        <v>410</v>
      </c>
      <c r="D330" s="2" t="s">
        <v>418</v>
      </c>
      <c r="E330" s="1">
        <v>0</v>
      </c>
      <c r="F330" s="2" t="s">
        <v>422</v>
      </c>
      <c r="H330" s="1" t="str">
        <f t="shared" si="5"/>
        <v/>
      </c>
      <c r="K330" s="1">
        <f>IF(E330=0,SUMPRODUCT(($A$2:$A$4734=A330)*($B$2:$B$4734=B330)*($D$2:$D$4734=D330)*($E$2:$E$4734=0)),0)</f>
        <v>5</v>
      </c>
      <c r="L330" s="1">
        <f>IF(E330=0,SUMPRODUCT(MIN($K$2:$K$4734+((($A$2:$A$4734&lt;&gt;A330)+($E$2:$E$4734&lt;&gt;0))&gt;0)*1000000)),"")</f>
        <v>2</v>
      </c>
      <c r="M330" s="1">
        <f>IF(AND(E330=0,COUNTIFS($A$2:A330,A330,$E$2:E330,0)=1),L330,0)</f>
        <v>0</v>
      </c>
    </row>
    <row r="331" spans="1:13" ht="15" customHeight="1">
      <c r="A331" s="1">
        <v>7065</v>
      </c>
      <c r="B331" s="1" t="s">
        <v>16</v>
      </c>
      <c r="C331" s="2" t="s">
        <v>410</v>
      </c>
      <c r="D331" s="2" t="s">
        <v>418</v>
      </c>
      <c r="E331" s="1">
        <v>0</v>
      </c>
      <c r="F331" s="2" t="s">
        <v>423</v>
      </c>
      <c r="H331" s="1" t="str">
        <f t="shared" si="5"/>
        <v/>
      </c>
      <c r="K331" s="1">
        <f>IF(E331=0,SUMPRODUCT(($A$2:$A$4734=A331)*($B$2:$B$4734=B331)*($D$2:$D$4734=D331)*($E$2:$E$4734=0)),0)</f>
        <v>5</v>
      </c>
      <c r="L331" s="1">
        <f>IF(E331=0,SUMPRODUCT(MIN($K$2:$K$4734+((($A$2:$A$4734&lt;&gt;A331)+($E$2:$E$4734&lt;&gt;0))&gt;0)*1000000)),"")</f>
        <v>2</v>
      </c>
      <c r="M331" s="1">
        <f>IF(AND(E331=0,COUNTIFS($A$2:A331,A331,$E$2:E331,0)=1),L331,0)</f>
        <v>0</v>
      </c>
    </row>
    <row r="332" spans="1:13" ht="15" customHeight="1">
      <c r="A332" s="1">
        <v>7065</v>
      </c>
      <c r="B332" s="1" t="s">
        <v>9</v>
      </c>
      <c r="C332" s="2" t="s">
        <v>410</v>
      </c>
      <c r="D332" s="2" t="s">
        <v>424</v>
      </c>
      <c r="E332" s="1">
        <v>0</v>
      </c>
      <c r="F332" s="2" t="s">
        <v>425</v>
      </c>
      <c r="H332" s="1" t="str">
        <f t="shared" si="5"/>
        <v/>
      </c>
      <c r="K332" s="1">
        <f>IF(E332=0,SUMPRODUCT(($A$2:$A$4734=A332)*($B$2:$B$4734=B332)*($D$2:$D$4734=D332)*($E$2:$E$4734=0)),0)</f>
        <v>2</v>
      </c>
      <c r="L332" s="1">
        <f>IF(E332=0,SUMPRODUCT(MIN($K$2:$K$4734+((($A$2:$A$4734&lt;&gt;A332)+($E$2:$E$4734&lt;&gt;0))&gt;0)*1000000)),"")</f>
        <v>2</v>
      </c>
      <c r="M332" s="1">
        <f>IF(AND(E332=0,COUNTIFS($A$2:A332,A332,$E$2:E332,0)=1),L332,0)</f>
        <v>0</v>
      </c>
    </row>
    <row r="333" spans="1:13" ht="15" customHeight="1">
      <c r="A333" s="1">
        <v>7065</v>
      </c>
      <c r="B333" s="1" t="s">
        <v>9</v>
      </c>
      <c r="C333" s="2" t="s">
        <v>410</v>
      </c>
      <c r="D333" s="2" t="s">
        <v>424</v>
      </c>
      <c r="E333" s="1">
        <v>0</v>
      </c>
      <c r="F333" s="2" t="s">
        <v>426</v>
      </c>
      <c r="H333" s="1" t="str">
        <f t="shared" si="5"/>
        <v/>
      </c>
      <c r="K333" s="1">
        <f>IF(E333=0,SUMPRODUCT(($A$2:$A$4734=A333)*($B$2:$B$4734=B333)*($D$2:$D$4734=D333)*($E$2:$E$4734=0)),0)</f>
        <v>2</v>
      </c>
      <c r="L333" s="1">
        <f>IF(E333=0,SUMPRODUCT(MIN($K$2:$K$4734+((($A$2:$A$4734&lt;&gt;A333)+($E$2:$E$4734&lt;&gt;0))&gt;0)*1000000)),"")</f>
        <v>2</v>
      </c>
      <c r="M333" s="1">
        <f>IF(AND(E333=0,COUNTIFS($A$2:A333,A333,$E$2:E333,0)=1),L333,0)</f>
        <v>0</v>
      </c>
    </row>
    <row r="334" spans="1:13" ht="15" customHeight="1">
      <c r="A334" s="1">
        <v>7065</v>
      </c>
      <c r="B334" s="1" t="s">
        <v>16</v>
      </c>
      <c r="C334" s="2" t="s">
        <v>410</v>
      </c>
      <c r="D334" s="2" t="s">
        <v>427</v>
      </c>
      <c r="E334" s="1">
        <v>0</v>
      </c>
      <c r="F334" s="2" t="s">
        <v>428</v>
      </c>
      <c r="H334" s="1" t="str">
        <f t="shared" si="5"/>
        <v/>
      </c>
      <c r="K334" s="1">
        <f>IF(E334=0,SUMPRODUCT(($A$2:$A$4734=A334)*($B$2:$B$4734=B334)*($D$2:$D$4734=D334)*($E$2:$E$4734=0)),0)</f>
        <v>6</v>
      </c>
      <c r="L334" s="1">
        <f>IF(E334=0,SUMPRODUCT(MIN($K$2:$K$4734+((($A$2:$A$4734&lt;&gt;A334)+($E$2:$E$4734&lt;&gt;0))&gt;0)*1000000)),"")</f>
        <v>2</v>
      </c>
      <c r="M334" s="1">
        <f>IF(AND(E334=0,COUNTIFS($A$2:A334,A334,$E$2:E334,0)=1),L334,0)</f>
        <v>0</v>
      </c>
    </row>
    <row r="335" spans="1:13" ht="15" customHeight="1">
      <c r="A335" s="1">
        <v>7065</v>
      </c>
      <c r="B335" s="1" t="s">
        <v>16</v>
      </c>
      <c r="C335" s="2" t="s">
        <v>410</v>
      </c>
      <c r="D335" s="2" t="s">
        <v>427</v>
      </c>
      <c r="E335" s="1">
        <v>0</v>
      </c>
      <c r="F335" s="2" t="s">
        <v>429</v>
      </c>
      <c r="H335" s="1" t="str">
        <f t="shared" si="5"/>
        <v/>
      </c>
      <c r="K335" s="1">
        <f>IF(E335=0,SUMPRODUCT(($A$2:$A$4734=A335)*($B$2:$B$4734=B335)*($D$2:$D$4734=D335)*($E$2:$E$4734=0)),0)</f>
        <v>6</v>
      </c>
      <c r="L335" s="1">
        <f>IF(E335=0,SUMPRODUCT(MIN($K$2:$K$4734+((($A$2:$A$4734&lt;&gt;A335)+($E$2:$E$4734&lt;&gt;0))&gt;0)*1000000)),"")</f>
        <v>2</v>
      </c>
      <c r="M335" s="1">
        <f>IF(AND(E335=0,COUNTIFS($A$2:A335,A335,$E$2:E335,0)=1),L335,0)</f>
        <v>0</v>
      </c>
    </row>
    <row r="336" spans="1:13" ht="15" customHeight="1">
      <c r="A336" s="1">
        <v>7065</v>
      </c>
      <c r="B336" s="1" t="s">
        <v>16</v>
      </c>
      <c r="C336" s="2" t="s">
        <v>410</v>
      </c>
      <c r="D336" s="2" t="s">
        <v>427</v>
      </c>
      <c r="E336" s="1">
        <v>0</v>
      </c>
      <c r="F336" s="2" t="s">
        <v>430</v>
      </c>
      <c r="H336" s="1" t="str">
        <f t="shared" si="5"/>
        <v/>
      </c>
      <c r="K336" s="1">
        <f>IF(E336=0,SUMPRODUCT(($A$2:$A$4734=A336)*($B$2:$B$4734=B336)*($D$2:$D$4734=D336)*($E$2:$E$4734=0)),0)</f>
        <v>6</v>
      </c>
      <c r="L336" s="1">
        <f>IF(E336=0,SUMPRODUCT(MIN($K$2:$K$4734+((($A$2:$A$4734&lt;&gt;A336)+($E$2:$E$4734&lt;&gt;0))&gt;0)*1000000)),"")</f>
        <v>2</v>
      </c>
      <c r="M336" s="1">
        <f>IF(AND(E336=0,COUNTIFS($A$2:A336,A336,$E$2:E336,0)=1),L336,0)</f>
        <v>0</v>
      </c>
    </row>
    <row r="337" spans="1:13" ht="15" customHeight="1">
      <c r="A337" s="1">
        <v>7065</v>
      </c>
      <c r="B337" s="1" t="s">
        <v>16</v>
      </c>
      <c r="C337" s="2" t="s">
        <v>410</v>
      </c>
      <c r="D337" s="2" t="s">
        <v>427</v>
      </c>
      <c r="E337" s="1">
        <v>0</v>
      </c>
      <c r="F337" s="2" t="s">
        <v>431</v>
      </c>
      <c r="H337" s="1" t="str">
        <f t="shared" si="5"/>
        <v/>
      </c>
      <c r="K337" s="1">
        <f>IF(E337=0,SUMPRODUCT(($A$2:$A$4734=A337)*($B$2:$B$4734=B337)*($D$2:$D$4734=D337)*($E$2:$E$4734=0)),0)</f>
        <v>6</v>
      </c>
      <c r="L337" s="1">
        <f>IF(E337=0,SUMPRODUCT(MIN($K$2:$K$4734+((($A$2:$A$4734&lt;&gt;A337)+($E$2:$E$4734&lt;&gt;0))&gt;0)*1000000)),"")</f>
        <v>2</v>
      </c>
      <c r="M337" s="1">
        <f>IF(AND(E337=0,COUNTIFS($A$2:A337,A337,$E$2:E337,0)=1),L337,0)</f>
        <v>0</v>
      </c>
    </row>
    <row r="338" spans="1:13" ht="15" customHeight="1">
      <c r="A338" s="1">
        <v>7065</v>
      </c>
      <c r="B338" s="1" t="s">
        <v>16</v>
      </c>
      <c r="C338" s="2" t="s">
        <v>410</v>
      </c>
      <c r="D338" s="2" t="s">
        <v>427</v>
      </c>
      <c r="E338" s="1">
        <v>0</v>
      </c>
      <c r="F338" s="2" t="s">
        <v>432</v>
      </c>
      <c r="H338" s="1" t="str">
        <f t="shared" si="5"/>
        <v/>
      </c>
      <c r="K338" s="1">
        <f>IF(E338=0,SUMPRODUCT(($A$2:$A$4734=A338)*($B$2:$B$4734=B338)*($D$2:$D$4734=D338)*($E$2:$E$4734=0)),0)</f>
        <v>6</v>
      </c>
      <c r="L338" s="1">
        <f>IF(E338=0,SUMPRODUCT(MIN($K$2:$K$4734+((($A$2:$A$4734&lt;&gt;A338)+($E$2:$E$4734&lt;&gt;0))&gt;0)*1000000)),"")</f>
        <v>2</v>
      </c>
      <c r="M338" s="1">
        <f>IF(AND(E338=0,COUNTIFS($A$2:A338,A338,$E$2:E338,0)=1),L338,0)</f>
        <v>0</v>
      </c>
    </row>
    <row r="339" spans="1:13" ht="15" customHeight="1">
      <c r="A339" s="1">
        <v>7065</v>
      </c>
      <c r="B339" s="1" t="s">
        <v>16</v>
      </c>
      <c r="C339" s="2" t="s">
        <v>410</v>
      </c>
      <c r="D339" s="2" t="s">
        <v>427</v>
      </c>
      <c r="E339" s="1">
        <v>0</v>
      </c>
      <c r="F339" s="2" t="s">
        <v>433</v>
      </c>
      <c r="H339" s="1" t="str">
        <f t="shared" si="5"/>
        <v/>
      </c>
      <c r="K339" s="1">
        <f>IF(E339=0,SUMPRODUCT(($A$2:$A$4734=A339)*($B$2:$B$4734=B339)*($D$2:$D$4734=D339)*($E$2:$E$4734=0)),0)</f>
        <v>6</v>
      </c>
      <c r="L339" s="1">
        <f>IF(E339=0,SUMPRODUCT(MIN($K$2:$K$4734+((($A$2:$A$4734&lt;&gt;A339)+($E$2:$E$4734&lt;&gt;0))&gt;0)*1000000)),"")</f>
        <v>2</v>
      </c>
      <c r="M339" s="1">
        <f>IF(AND(E339=0,COUNTIFS($A$2:A339,A339,$E$2:E339,0)=1),L339,0)</f>
        <v>0</v>
      </c>
    </row>
    <row r="340" spans="1:13" ht="15" customHeight="1">
      <c r="A340" s="1">
        <v>7065</v>
      </c>
      <c r="B340" s="1" t="s">
        <v>9</v>
      </c>
      <c r="C340" s="2" t="s">
        <v>410</v>
      </c>
      <c r="D340" s="2" t="s">
        <v>418</v>
      </c>
      <c r="E340" s="1">
        <v>0</v>
      </c>
      <c r="F340" s="2" t="s">
        <v>434</v>
      </c>
      <c r="H340" s="1" t="str">
        <f t="shared" si="5"/>
        <v/>
      </c>
      <c r="K340" s="1">
        <f>IF(E340=0,SUMPRODUCT(($A$2:$A$4734=A340)*($B$2:$B$4734=B340)*($D$2:$D$4734=D340)*($E$2:$E$4734=0)),0)</f>
        <v>5</v>
      </c>
      <c r="L340" s="1">
        <f>IF(E340=0,SUMPRODUCT(MIN($K$2:$K$4734+((($A$2:$A$4734&lt;&gt;A340)+($E$2:$E$4734&lt;&gt;0))&gt;0)*1000000)),"")</f>
        <v>2</v>
      </c>
      <c r="M340" s="1">
        <f>IF(AND(E340=0,COUNTIFS($A$2:A340,A340,$E$2:E340,0)=1),L340,0)</f>
        <v>0</v>
      </c>
    </row>
    <row r="341" spans="1:13" ht="15" customHeight="1">
      <c r="A341" s="1">
        <v>7065</v>
      </c>
      <c r="B341" s="1" t="s">
        <v>9</v>
      </c>
      <c r="C341" s="2" t="s">
        <v>410</v>
      </c>
      <c r="D341" s="2" t="s">
        <v>418</v>
      </c>
      <c r="E341" s="1">
        <v>0</v>
      </c>
      <c r="F341" s="2" t="s">
        <v>435</v>
      </c>
      <c r="H341" s="1" t="str">
        <f t="shared" si="5"/>
        <v/>
      </c>
      <c r="K341" s="1">
        <f>IF(E341=0,SUMPRODUCT(($A$2:$A$4734=A341)*($B$2:$B$4734=B341)*($D$2:$D$4734=D341)*($E$2:$E$4734=0)),0)</f>
        <v>5</v>
      </c>
      <c r="L341" s="1">
        <f>IF(E341=0,SUMPRODUCT(MIN($K$2:$K$4734+((($A$2:$A$4734&lt;&gt;A341)+($E$2:$E$4734&lt;&gt;0))&gt;0)*1000000)),"")</f>
        <v>2</v>
      </c>
      <c r="M341" s="1">
        <f>IF(AND(E341=0,COUNTIFS($A$2:A341,A341,$E$2:E341,0)=1),L341,0)</f>
        <v>0</v>
      </c>
    </row>
    <row r="342" spans="1:13" ht="15" customHeight="1">
      <c r="A342" s="1">
        <v>7065</v>
      </c>
      <c r="B342" s="1" t="s">
        <v>9</v>
      </c>
      <c r="C342" s="2" t="s">
        <v>410</v>
      </c>
      <c r="D342" s="2" t="s">
        <v>418</v>
      </c>
      <c r="E342" s="1">
        <v>0</v>
      </c>
      <c r="F342" s="2" t="s">
        <v>423</v>
      </c>
      <c r="H342" s="1" t="str">
        <f t="shared" si="5"/>
        <v/>
      </c>
      <c r="K342" s="1">
        <f>IF(E342=0,SUMPRODUCT(($A$2:$A$4734=A342)*($B$2:$B$4734=B342)*($D$2:$D$4734=D342)*($E$2:$E$4734=0)),0)</f>
        <v>5</v>
      </c>
      <c r="L342" s="1">
        <f>IF(E342=0,SUMPRODUCT(MIN($K$2:$K$4734+((($A$2:$A$4734&lt;&gt;A342)+($E$2:$E$4734&lt;&gt;0))&gt;0)*1000000)),"")</f>
        <v>2</v>
      </c>
      <c r="M342" s="1">
        <f>IF(AND(E342=0,COUNTIFS($A$2:A342,A342,$E$2:E342,0)=1),L342,0)</f>
        <v>0</v>
      </c>
    </row>
    <row r="343" spans="1:13" ht="15" customHeight="1">
      <c r="A343" s="1">
        <v>7065</v>
      </c>
      <c r="B343" s="1" t="s">
        <v>9</v>
      </c>
      <c r="C343" s="2" t="s">
        <v>410</v>
      </c>
      <c r="D343" s="2" t="s">
        <v>418</v>
      </c>
      <c r="E343" s="1">
        <v>0</v>
      </c>
      <c r="F343" s="2" t="s">
        <v>436</v>
      </c>
      <c r="H343" s="1" t="str">
        <f t="shared" si="5"/>
        <v/>
      </c>
      <c r="K343" s="1">
        <f>IF(E343=0,SUMPRODUCT(($A$2:$A$4734=A343)*($B$2:$B$4734=B343)*($D$2:$D$4734=D343)*($E$2:$E$4734=0)),0)</f>
        <v>5</v>
      </c>
      <c r="L343" s="1">
        <f>IF(E343=0,SUMPRODUCT(MIN($K$2:$K$4734+((($A$2:$A$4734&lt;&gt;A343)+($E$2:$E$4734&lt;&gt;0))&gt;0)*1000000)),"")</f>
        <v>2</v>
      </c>
      <c r="M343" s="1">
        <f>IF(AND(E343=0,COUNTIFS($A$2:A343,A343,$E$2:E343,0)=1),L343,0)</f>
        <v>0</v>
      </c>
    </row>
    <row r="344" spans="1:13" ht="15" customHeight="1">
      <c r="A344" s="1">
        <v>7065</v>
      </c>
      <c r="B344" s="1" t="s">
        <v>9</v>
      </c>
      <c r="C344" s="2" t="s">
        <v>410</v>
      </c>
      <c r="D344" s="2" t="s">
        <v>418</v>
      </c>
      <c r="E344" s="1">
        <v>0</v>
      </c>
      <c r="F344" s="2" t="s">
        <v>437</v>
      </c>
      <c r="H344" s="1" t="str">
        <f t="shared" si="5"/>
        <v/>
      </c>
      <c r="K344" s="1">
        <f>IF(E344=0,SUMPRODUCT(($A$2:$A$4734=A344)*($B$2:$B$4734=B344)*($D$2:$D$4734=D344)*($E$2:$E$4734=0)),0)</f>
        <v>5</v>
      </c>
      <c r="L344" s="1">
        <f>IF(E344=0,SUMPRODUCT(MIN($K$2:$K$4734+((($A$2:$A$4734&lt;&gt;A344)+($E$2:$E$4734&lt;&gt;0))&gt;0)*1000000)),"")</f>
        <v>2</v>
      </c>
      <c r="M344" s="1">
        <f>IF(AND(E344=0,COUNTIFS($A$2:A344,A344,$E$2:E344,0)=1),L344,0)</f>
        <v>0</v>
      </c>
    </row>
    <row r="345" spans="1:13" ht="15" customHeight="1">
      <c r="A345" s="1">
        <v>7066</v>
      </c>
      <c r="B345" s="1" t="s">
        <v>9</v>
      </c>
      <c r="C345" s="2" t="s">
        <v>438</v>
      </c>
      <c r="D345" s="2" t="s">
        <v>439</v>
      </c>
      <c r="E345" s="1">
        <v>1</v>
      </c>
      <c r="F345" s="2" t="s">
        <v>440</v>
      </c>
      <c r="G345" s="1">
        <v>1</v>
      </c>
      <c r="H345" s="1" t="str">
        <f t="shared" si="5"/>
        <v>k7066_1</v>
      </c>
      <c r="K345" s="1">
        <f>IF(E345=0,SUMPRODUCT(($A$2:$A$4734=A345)*($B$2:$B$4734=B345)*($D$2:$D$4734=D345)*($E$2:$E$4734=0)),0)</f>
        <v>0</v>
      </c>
      <c r="L345" s="1" t="str">
        <f>IF(E345=0,SUMPRODUCT(MIN($K$2:$K$4734+((($A$2:$A$4734&lt;&gt;A345)+($E$2:$E$4734&lt;&gt;0))&gt;0)*1000000)),"")</f>
        <v/>
      </c>
      <c r="M345" s="1">
        <f>IF(AND(E345=0,COUNTIFS($A$2:A345,A345,$E$2:E345,0)=1),L345,0)</f>
        <v>0</v>
      </c>
    </row>
    <row r="346" spans="1:13" ht="15" customHeight="1">
      <c r="A346" s="1">
        <v>7066</v>
      </c>
      <c r="B346" s="1" t="s">
        <v>9</v>
      </c>
      <c r="C346" s="2" t="s">
        <v>438</v>
      </c>
      <c r="D346" s="2" t="s">
        <v>439</v>
      </c>
      <c r="E346" s="1">
        <v>1</v>
      </c>
      <c r="F346" s="2" t="s">
        <v>441</v>
      </c>
      <c r="G346" s="1">
        <v>2</v>
      </c>
      <c r="H346" s="1" t="str">
        <f t="shared" si="5"/>
        <v>k7066_2</v>
      </c>
      <c r="K346" s="1">
        <f>IF(E346=0,SUMPRODUCT(($A$2:$A$4734=A346)*($B$2:$B$4734=B346)*($D$2:$D$4734=D346)*($E$2:$E$4734=0)),0)</f>
        <v>0</v>
      </c>
      <c r="L346" s="1" t="str">
        <f>IF(E346=0,SUMPRODUCT(MIN($K$2:$K$4734+((($A$2:$A$4734&lt;&gt;A346)+($E$2:$E$4734&lt;&gt;0))&gt;0)*1000000)),"")</f>
        <v/>
      </c>
      <c r="M346" s="1">
        <f>IF(AND(E346=0,COUNTIFS($A$2:A346,A346,$E$2:E346,0)=1),L346,0)</f>
        <v>0</v>
      </c>
    </row>
    <row r="347" spans="1:13" ht="15" customHeight="1">
      <c r="A347" s="1">
        <v>7066</v>
      </c>
      <c r="B347" s="1" t="s">
        <v>9</v>
      </c>
      <c r="C347" s="2" t="s">
        <v>438</v>
      </c>
      <c r="D347" s="2" t="s">
        <v>439</v>
      </c>
      <c r="E347" s="1">
        <v>1</v>
      </c>
      <c r="F347" s="2" t="s">
        <v>442</v>
      </c>
      <c r="G347" s="1">
        <v>3</v>
      </c>
      <c r="H347" s="1" t="str">
        <f t="shared" si="5"/>
        <v>k7066_3</v>
      </c>
      <c r="K347" s="1">
        <f>IF(E347=0,SUMPRODUCT(($A$2:$A$4734=A347)*($B$2:$B$4734=B347)*($D$2:$D$4734=D347)*($E$2:$E$4734=0)),0)</f>
        <v>0</v>
      </c>
      <c r="L347" s="1" t="str">
        <f>IF(E347=0,SUMPRODUCT(MIN($K$2:$K$4734+((($A$2:$A$4734&lt;&gt;A347)+($E$2:$E$4734&lt;&gt;0))&gt;0)*1000000)),"")</f>
        <v/>
      </c>
      <c r="M347" s="1">
        <f>IF(AND(E347=0,COUNTIFS($A$2:A347,A347,$E$2:E347,0)=1),L347,0)</f>
        <v>0</v>
      </c>
    </row>
    <row r="348" spans="1:13" ht="15" customHeight="1">
      <c r="A348" s="1">
        <v>7066</v>
      </c>
      <c r="B348" s="1" t="s">
        <v>9</v>
      </c>
      <c r="C348" s="2" t="s">
        <v>438</v>
      </c>
      <c r="D348" s="2" t="s">
        <v>439</v>
      </c>
      <c r="E348" s="1">
        <v>1</v>
      </c>
      <c r="F348" s="2" t="s">
        <v>443</v>
      </c>
      <c r="G348" s="1">
        <v>4</v>
      </c>
      <c r="H348" s="1" t="str">
        <f t="shared" si="5"/>
        <v>k7066_4</v>
      </c>
      <c r="K348" s="1">
        <f>IF(E348=0,SUMPRODUCT(($A$2:$A$4734=A348)*($B$2:$B$4734=B348)*($D$2:$D$4734=D348)*($E$2:$E$4734=0)),0)</f>
        <v>0</v>
      </c>
      <c r="L348" s="1" t="str">
        <f>IF(E348=0,SUMPRODUCT(MIN($K$2:$K$4734+((($A$2:$A$4734&lt;&gt;A348)+($E$2:$E$4734&lt;&gt;0))&gt;0)*1000000)),"")</f>
        <v/>
      </c>
      <c r="M348" s="1">
        <f>IF(AND(E348=0,COUNTIFS($A$2:A348,A348,$E$2:E348,0)=1),L348,0)</f>
        <v>0</v>
      </c>
    </row>
    <row r="349" spans="1:13" ht="15" customHeight="1">
      <c r="A349" s="1">
        <v>7066</v>
      </c>
      <c r="B349" s="1" t="s">
        <v>16</v>
      </c>
      <c r="C349" s="2" t="s">
        <v>438</v>
      </c>
      <c r="D349" s="2" t="s">
        <v>444</v>
      </c>
      <c r="E349" s="1">
        <v>1</v>
      </c>
      <c r="F349" s="2" t="s">
        <v>445</v>
      </c>
      <c r="G349" s="1">
        <v>1</v>
      </c>
      <c r="H349" s="1" t="str">
        <f t="shared" si="5"/>
        <v>k7066_1</v>
      </c>
      <c r="K349" s="1">
        <f>IF(E349=0,SUMPRODUCT(($A$2:$A$4734=A349)*($B$2:$B$4734=B349)*($D$2:$D$4734=D349)*($E$2:$E$4734=0)),0)</f>
        <v>0</v>
      </c>
      <c r="L349" s="1" t="str">
        <f>IF(E349=0,SUMPRODUCT(MIN($K$2:$K$4734+((($A$2:$A$4734&lt;&gt;A349)+($E$2:$E$4734&lt;&gt;0))&gt;0)*1000000)),"")</f>
        <v/>
      </c>
      <c r="M349" s="1">
        <f>IF(AND(E349=0,COUNTIFS($A$2:A349,A349,$E$2:E349,0)=1),L349,0)</f>
        <v>0</v>
      </c>
    </row>
    <row r="350" spans="1:13" ht="15" customHeight="1">
      <c r="A350" s="1">
        <v>7066</v>
      </c>
      <c r="B350" s="1" t="s">
        <v>16</v>
      </c>
      <c r="C350" s="2" t="s">
        <v>438</v>
      </c>
      <c r="D350" s="2" t="s">
        <v>444</v>
      </c>
      <c r="E350" s="1">
        <v>1</v>
      </c>
      <c r="F350" s="2" t="s">
        <v>446</v>
      </c>
      <c r="G350" s="1">
        <v>2</v>
      </c>
      <c r="H350" s="1" t="str">
        <f t="shared" si="5"/>
        <v>k7066_2</v>
      </c>
      <c r="K350" s="1">
        <f>IF(E350=0,SUMPRODUCT(($A$2:$A$4734=A350)*($B$2:$B$4734=B350)*($D$2:$D$4734=D350)*($E$2:$E$4734=0)),0)</f>
        <v>0</v>
      </c>
      <c r="L350" s="1" t="str">
        <f>IF(E350=0,SUMPRODUCT(MIN($K$2:$K$4734+((($A$2:$A$4734&lt;&gt;A350)+($E$2:$E$4734&lt;&gt;0))&gt;0)*1000000)),"")</f>
        <v/>
      </c>
      <c r="M350" s="1">
        <f>IF(AND(E350=0,COUNTIFS($A$2:A350,A350,$E$2:E350,0)=1),L350,0)</f>
        <v>0</v>
      </c>
    </row>
    <row r="351" spans="1:13" ht="15" customHeight="1">
      <c r="A351" s="1">
        <v>7066</v>
      </c>
      <c r="B351" s="1" t="s">
        <v>16</v>
      </c>
      <c r="C351" s="2" t="s">
        <v>438</v>
      </c>
      <c r="D351" s="2" t="s">
        <v>444</v>
      </c>
      <c r="E351" s="1">
        <v>1</v>
      </c>
      <c r="F351" s="2" t="s">
        <v>447</v>
      </c>
      <c r="G351" s="1">
        <v>3</v>
      </c>
      <c r="H351" s="1" t="str">
        <f t="shared" si="5"/>
        <v>k7066_3</v>
      </c>
      <c r="K351" s="1">
        <f>IF(E351=0,SUMPRODUCT(($A$2:$A$4734=A351)*($B$2:$B$4734=B351)*($D$2:$D$4734=D351)*($E$2:$E$4734=0)),0)</f>
        <v>0</v>
      </c>
      <c r="L351" s="1" t="str">
        <f>IF(E351=0,SUMPRODUCT(MIN($K$2:$K$4734+((($A$2:$A$4734&lt;&gt;A351)+($E$2:$E$4734&lt;&gt;0))&gt;0)*1000000)),"")</f>
        <v/>
      </c>
      <c r="M351" s="1">
        <f>IF(AND(E351=0,COUNTIFS($A$2:A351,A351,$E$2:E351,0)=1),L351,0)</f>
        <v>0</v>
      </c>
    </row>
    <row r="352" spans="1:13" ht="15" customHeight="1">
      <c r="A352" s="1">
        <v>7066</v>
      </c>
      <c r="B352" s="1" t="s">
        <v>16</v>
      </c>
      <c r="C352" s="2" t="s">
        <v>438</v>
      </c>
      <c r="D352" s="2" t="s">
        <v>444</v>
      </c>
      <c r="E352" s="1">
        <v>1</v>
      </c>
      <c r="F352" s="2" t="s">
        <v>448</v>
      </c>
      <c r="G352" s="1">
        <v>4</v>
      </c>
      <c r="H352" s="1" t="str">
        <f t="shared" si="5"/>
        <v>k7066_4</v>
      </c>
      <c r="K352" s="1">
        <f>IF(E352=0,SUMPRODUCT(($A$2:$A$4734=A352)*($B$2:$B$4734=B352)*($D$2:$D$4734=D352)*($E$2:$E$4734=0)),0)</f>
        <v>0</v>
      </c>
      <c r="L352" s="1" t="str">
        <f>IF(E352=0,SUMPRODUCT(MIN($K$2:$K$4734+((($A$2:$A$4734&lt;&gt;A352)+($E$2:$E$4734&lt;&gt;0))&gt;0)*1000000)),"")</f>
        <v/>
      </c>
      <c r="M352" s="1">
        <f>IF(AND(E352=0,COUNTIFS($A$2:A352,A352,$E$2:E352,0)=1),L352,0)</f>
        <v>0</v>
      </c>
    </row>
    <row r="353" spans="1:13" ht="15" customHeight="1">
      <c r="A353" s="1">
        <v>7066</v>
      </c>
      <c r="B353" s="1" t="s">
        <v>16</v>
      </c>
      <c r="C353" s="2" t="s">
        <v>438</v>
      </c>
      <c r="D353" s="2" t="s">
        <v>449</v>
      </c>
      <c r="E353" s="1">
        <v>1</v>
      </c>
      <c r="F353" s="2" t="s">
        <v>450</v>
      </c>
      <c r="G353" s="1">
        <v>1</v>
      </c>
      <c r="H353" s="1" t="str">
        <f t="shared" si="5"/>
        <v>k7066_1</v>
      </c>
      <c r="K353" s="1">
        <f>IF(E353=0,SUMPRODUCT(($A$2:$A$4734=A353)*($B$2:$B$4734=B353)*($D$2:$D$4734=D353)*($E$2:$E$4734=0)),0)</f>
        <v>0</v>
      </c>
      <c r="L353" s="1" t="str">
        <f>IF(E353=0,SUMPRODUCT(MIN($K$2:$K$4734+((($A$2:$A$4734&lt;&gt;A353)+($E$2:$E$4734&lt;&gt;0))&gt;0)*1000000)),"")</f>
        <v/>
      </c>
      <c r="M353" s="1">
        <f>IF(AND(E353=0,COUNTIFS($A$2:A353,A353,$E$2:E353,0)=1),L353,0)</f>
        <v>0</v>
      </c>
    </row>
    <row r="354" spans="1:13" ht="15" customHeight="1">
      <c r="A354" s="1">
        <v>7066</v>
      </c>
      <c r="B354" s="1" t="s">
        <v>16</v>
      </c>
      <c r="C354" s="2" t="s">
        <v>438</v>
      </c>
      <c r="D354" s="2" t="s">
        <v>449</v>
      </c>
      <c r="E354" s="1">
        <v>1</v>
      </c>
      <c r="F354" s="2" t="s">
        <v>451</v>
      </c>
      <c r="G354" s="1">
        <v>2</v>
      </c>
      <c r="H354" s="1" t="str">
        <f t="shared" si="5"/>
        <v>k7066_2</v>
      </c>
      <c r="K354" s="1">
        <f>IF(E354=0,SUMPRODUCT(($A$2:$A$4734=A354)*($B$2:$B$4734=B354)*($D$2:$D$4734=D354)*($E$2:$E$4734=0)),0)</f>
        <v>0</v>
      </c>
      <c r="L354" s="1" t="str">
        <f>IF(E354=0,SUMPRODUCT(MIN($K$2:$K$4734+((($A$2:$A$4734&lt;&gt;A354)+($E$2:$E$4734&lt;&gt;0))&gt;0)*1000000)),"")</f>
        <v/>
      </c>
      <c r="M354" s="1">
        <f>IF(AND(E354=0,COUNTIFS($A$2:A354,A354,$E$2:E354,0)=1),L354,0)</f>
        <v>0</v>
      </c>
    </row>
    <row r="355" spans="1:13" ht="15" customHeight="1">
      <c r="A355" s="1">
        <v>7066</v>
      </c>
      <c r="B355" s="1" t="s">
        <v>16</v>
      </c>
      <c r="C355" s="2" t="s">
        <v>438</v>
      </c>
      <c r="D355" s="2" t="s">
        <v>449</v>
      </c>
      <c r="E355" s="1">
        <v>1</v>
      </c>
      <c r="F355" s="2" t="s">
        <v>452</v>
      </c>
      <c r="G355" s="1">
        <v>3</v>
      </c>
      <c r="H355" s="1" t="str">
        <f t="shared" si="5"/>
        <v>k7066_3</v>
      </c>
      <c r="K355" s="1">
        <f>IF(E355=0,SUMPRODUCT(($A$2:$A$4734=A355)*($B$2:$B$4734=B355)*($D$2:$D$4734=D355)*($E$2:$E$4734=0)),0)</f>
        <v>0</v>
      </c>
      <c r="L355" s="1" t="str">
        <f>IF(E355=0,SUMPRODUCT(MIN($K$2:$K$4734+((($A$2:$A$4734&lt;&gt;A355)+($E$2:$E$4734&lt;&gt;0))&gt;0)*1000000)),"")</f>
        <v/>
      </c>
      <c r="M355" s="1">
        <f>IF(AND(E355=0,COUNTIFS($A$2:A355,A355,$E$2:E355,0)=1),L355,0)</f>
        <v>0</v>
      </c>
    </row>
    <row r="356" spans="1:13" ht="15" customHeight="1">
      <c r="A356" s="1">
        <v>7066</v>
      </c>
      <c r="B356" s="1" t="s">
        <v>16</v>
      </c>
      <c r="C356" s="2" t="s">
        <v>438</v>
      </c>
      <c r="D356" s="2" t="s">
        <v>449</v>
      </c>
      <c r="E356" s="1">
        <v>1</v>
      </c>
      <c r="F356" s="2" t="s">
        <v>453</v>
      </c>
      <c r="G356" s="1">
        <v>4</v>
      </c>
      <c r="H356" s="1" t="str">
        <f t="shared" si="5"/>
        <v>k7066_4</v>
      </c>
      <c r="K356" s="1">
        <f>IF(E356=0,SUMPRODUCT(($A$2:$A$4734=A356)*($B$2:$B$4734=B356)*($D$2:$D$4734=D356)*($E$2:$E$4734=0)),0)</f>
        <v>0</v>
      </c>
      <c r="L356" s="1" t="str">
        <f>IF(E356=0,SUMPRODUCT(MIN($K$2:$K$4734+((($A$2:$A$4734&lt;&gt;A356)+($E$2:$E$4734&lt;&gt;0))&gt;0)*1000000)),"")</f>
        <v/>
      </c>
      <c r="M356" s="1">
        <f>IF(AND(E356=0,COUNTIFS($A$2:A356,A356,$E$2:E356,0)=1),L356,0)</f>
        <v>0</v>
      </c>
    </row>
    <row r="357" spans="1:13" ht="15" customHeight="1">
      <c r="A357" s="1">
        <v>7066</v>
      </c>
      <c r="B357" s="1" t="s">
        <v>95</v>
      </c>
      <c r="C357" s="2" t="s">
        <v>438</v>
      </c>
      <c r="D357" s="2" t="s">
        <v>438</v>
      </c>
      <c r="E357" s="1">
        <v>1</v>
      </c>
      <c r="F357" s="2" t="s">
        <v>454</v>
      </c>
      <c r="G357" s="1">
        <v>1</v>
      </c>
      <c r="H357" s="1" t="str">
        <f t="shared" si="5"/>
        <v>k7066_1</v>
      </c>
      <c r="K357" s="1">
        <f>IF(E357=0,SUMPRODUCT(($A$2:$A$4734=A357)*($B$2:$B$4734=B357)*($D$2:$D$4734=D357)*($E$2:$E$4734=0)),0)</f>
        <v>0</v>
      </c>
      <c r="L357" s="1" t="str">
        <f>IF(E357=0,SUMPRODUCT(MIN($K$2:$K$4734+((($A$2:$A$4734&lt;&gt;A357)+($E$2:$E$4734&lt;&gt;0))&gt;0)*1000000)),"")</f>
        <v/>
      </c>
      <c r="M357" s="1">
        <f>IF(AND(E357=0,COUNTIFS($A$2:A357,A357,$E$2:E357,0)=1),L357,0)</f>
        <v>0</v>
      </c>
    </row>
    <row r="358" spans="1:13" ht="15" customHeight="1">
      <c r="A358" s="1">
        <v>7066</v>
      </c>
      <c r="B358" s="1" t="s">
        <v>95</v>
      </c>
      <c r="C358" s="2" t="s">
        <v>438</v>
      </c>
      <c r="D358" s="2" t="s">
        <v>438</v>
      </c>
      <c r="E358" s="1">
        <v>1</v>
      </c>
      <c r="F358" s="2" t="s">
        <v>455</v>
      </c>
      <c r="G358" s="1">
        <v>2</v>
      </c>
      <c r="H358" s="1" t="str">
        <f t="shared" si="5"/>
        <v>k7066_2</v>
      </c>
      <c r="K358" s="1">
        <f>IF(E358=0,SUMPRODUCT(($A$2:$A$4734=A358)*($B$2:$B$4734=B358)*($D$2:$D$4734=D358)*($E$2:$E$4734=0)),0)</f>
        <v>0</v>
      </c>
      <c r="L358" s="1" t="str">
        <f>IF(E358=0,SUMPRODUCT(MIN($K$2:$K$4734+((($A$2:$A$4734&lt;&gt;A358)+($E$2:$E$4734&lt;&gt;0))&gt;0)*1000000)),"")</f>
        <v/>
      </c>
      <c r="M358" s="1">
        <f>IF(AND(E358=0,COUNTIFS($A$2:A358,A358,$E$2:E358,0)=1),L358,0)</f>
        <v>0</v>
      </c>
    </row>
    <row r="359" spans="1:13" ht="15" customHeight="1">
      <c r="A359" s="1">
        <v>7066</v>
      </c>
      <c r="B359" s="1" t="s">
        <v>95</v>
      </c>
      <c r="C359" s="2" t="s">
        <v>438</v>
      </c>
      <c r="D359" s="2" t="s">
        <v>438</v>
      </c>
      <c r="E359" s="1">
        <v>1</v>
      </c>
      <c r="F359" s="2" t="s">
        <v>456</v>
      </c>
      <c r="G359" s="1">
        <v>3</v>
      </c>
      <c r="H359" s="1" t="str">
        <f t="shared" si="5"/>
        <v>k7066_3</v>
      </c>
      <c r="K359" s="1">
        <f>IF(E359=0,SUMPRODUCT(($A$2:$A$4734=A359)*($B$2:$B$4734=B359)*($D$2:$D$4734=D359)*($E$2:$E$4734=0)),0)</f>
        <v>0</v>
      </c>
      <c r="L359" s="1" t="str">
        <f>IF(E359=0,SUMPRODUCT(MIN($K$2:$K$4734+((($A$2:$A$4734&lt;&gt;A359)+($E$2:$E$4734&lt;&gt;0))&gt;0)*1000000)),"")</f>
        <v/>
      </c>
      <c r="M359" s="1">
        <f>IF(AND(E359=0,COUNTIFS($A$2:A359,A359,$E$2:E359,0)=1),L359,0)</f>
        <v>0</v>
      </c>
    </row>
    <row r="360" spans="1:13" ht="15" customHeight="1">
      <c r="A360" s="1">
        <v>7066</v>
      </c>
      <c r="B360" s="1" t="s">
        <v>95</v>
      </c>
      <c r="C360" s="2" t="s">
        <v>438</v>
      </c>
      <c r="D360" s="2" t="s">
        <v>438</v>
      </c>
      <c r="E360" s="1">
        <v>1</v>
      </c>
      <c r="F360" s="2" t="s">
        <v>457</v>
      </c>
      <c r="G360" s="1">
        <v>4</v>
      </c>
      <c r="H360" s="1" t="str">
        <f t="shared" si="5"/>
        <v>k7066_4</v>
      </c>
      <c r="K360" s="1">
        <f>IF(E360=0,SUMPRODUCT(($A$2:$A$4734=A360)*($B$2:$B$4734=B360)*($D$2:$D$4734=D360)*($E$2:$E$4734=0)),0)</f>
        <v>0</v>
      </c>
      <c r="L360" s="1" t="str">
        <f>IF(E360=0,SUMPRODUCT(MIN($K$2:$K$4734+((($A$2:$A$4734&lt;&gt;A360)+($E$2:$E$4734&lt;&gt;0))&gt;0)*1000000)),"")</f>
        <v/>
      </c>
      <c r="M360" s="1">
        <f>IF(AND(E360=0,COUNTIFS($A$2:A360,A360,$E$2:E360,0)=1),L360,0)</f>
        <v>0</v>
      </c>
    </row>
    <row r="361" spans="1:13" ht="15" customHeight="1">
      <c r="A361" s="1">
        <v>7067</v>
      </c>
      <c r="B361" s="1" t="s">
        <v>95</v>
      </c>
      <c r="C361" s="2" t="s">
        <v>458</v>
      </c>
      <c r="D361" s="2" t="s">
        <v>459</v>
      </c>
      <c r="E361" s="1">
        <v>1</v>
      </c>
      <c r="F361" s="2" t="s">
        <v>460</v>
      </c>
      <c r="G361" s="1">
        <v>1</v>
      </c>
      <c r="H361" s="1" t="str">
        <f t="shared" si="5"/>
        <v>k7067_1</v>
      </c>
      <c r="K361" s="1">
        <f>IF(E361=0,SUMPRODUCT(($A$2:$A$4734=A361)*($B$2:$B$4734=B361)*($D$2:$D$4734=D361)*($E$2:$E$4734=0)),0)</f>
        <v>0</v>
      </c>
      <c r="L361" s="1" t="str">
        <f>IF(E361=0,SUMPRODUCT(MIN($K$2:$K$4734+((($A$2:$A$4734&lt;&gt;A361)+($E$2:$E$4734&lt;&gt;0))&gt;0)*1000000)),"")</f>
        <v/>
      </c>
      <c r="M361" s="1">
        <f>IF(AND(E361=0,COUNTIFS($A$2:A361,A361,$E$2:E361,0)=1),L361,0)</f>
        <v>0</v>
      </c>
    </row>
    <row r="362" spans="1:13" ht="15" customHeight="1">
      <c r="A362" s="1">
        <v>7067</v>
      </c>
      <c r="B362" s="1" t="s">
        <v>95</v>
      </c>
      <c r="C362" s="2" t="s">
        <v>458</v>
      </c>
      <c r="D362" s="2" t="s">
        <v>459</v>
      </c>
      <c r="E362" s="1">
        <v>1</v>
      </c>
      <c r="F362" s="2" t="s">
        <v>461</v>
      </c>
      <c r="G362" s="1">
        <v>2</v>
      </c>
      <c r="H362" s="1" t="str">
        <f t="shared" si="5"/>
        <v>k7067_2</v>
      </c>
      <c r="K362" s="1">
        <f>IF(E362=0,SUMPRODUCT(($A$2:$A$4734=A362)*($B$2:$B$4734=B362)*($D$2:$D$4734=D362)*($E$2:$E$4734=0)),0)</f>
        <v>0</v>
      </c>
      <c r="L362" s="1" t="str">
        <f>IF(E362=0,SUMPRODUCT(MIN($K$2:$K$4734+((($A$2:$A$4734&lt;&gt;A362)+($E$2:$E$4734&lt;&gt;0))&gt;0)*1000000)),"")</f>
        <v/>
      </c>
      <c r="M362" s="1">
        <f>IF(AND(E362=0,COUNTIFS($A$2:A362,A362,$E$2:E362,0)=1),L362,0)</f>
        <v>0</v>
      </c>
    </row>
    <row r="363" spans="1:13" ht="15" customHeight="1">
      <c r="A363" s="1">
        <v>7067</v>
      </c>
      <c r="B363" s="1" t="s">
        <v>95</v>
      </c>
      <c r="C363" s="2" t="s">
        <v>458</v>
      </c>
      <c r="D363" s="2" t="s">
        <v>459</v>
      </c>
      <c r="E363" s="1">
        <v>1</v>
      </c>
      <c r="F363" s="2" t="s">
        <v>462</v>
      </c>
      <c r="G363" s="1">
        <v>3</v>
      </c>
      <c r="H363" s="1" t="str">
        <f t="shared" si="5"/>
        <v>k7067_3</v>
      </c>
      <c r="K363" s="1">
        <f>IF(E363=0,SUMPRODUCT(($A$2:$A$4734=A363)*($B$2:$B$4734=B363)*($D$2:$D$4734=D363)*($E$2:$E$4734=0)),0)</f>
        <v>0</v>
      </c>
      <c r="L363" s="1" t="str">
        <f>IF(E363=0,SUMPRODUCT(MIN($K$2:$K$4734+((($A$2:$A$4734&lt;&gt;A363)+($E$2:$E$4734&lt;&gt;0))&gt;0)*1000000)),"")</f>
        <v/>
      </c>
      <c r="M363" s="1">
        <f>IF(AND(E363=0,COUNTIFS($A$2:A363,A363,$E$2:E363,0)=1),L363,0)</f>
        <v>0</v>
      </c>
    </row>
    <row r="364" spans="1:13" ht="15" customHeight="1">
      <c r="A364" s="1">
        <v>7067</v>
      </c>
      <c r="B364" s="1" t="s">
        <v>95</v>
      </c>
      <c r="C364" s="2" t="s">
        <v>458</v>
      </c>
      <c r="D364" s="2" t="s">
        <v>459</v>
      </c>
      <c r="E364" s="1">
        <v>1</v>
      </c>
      <c r="F364" s="2" t="s">
        <v>463</v>
      </c>
      <c r="G364" s="1">
        <v>4</v>
      </c>
      <c r="H364" s="1" t="str">
        <f t="shared" si="5"/>
        <v>k7067_4</v>
      </c>
      <c r="K364" s="1">
        <f>IF(E364=0,SUMPRODUCT(($A$2:$A$4734=A364)*($B$2:$B$4734=B364)*($D$2:$D$4734=D364)*($E$2:$E$4734=0)),0)</f>
        <v>0</v>
      </c>
      <c r="L364" s="1" t="str">
        <f>IF(E364=0,SUMPRODUCT(MIN($K$2:$K$4734+((($A$2:$A$4734&lt;&gt;A364)+($E$2:$E$4734&lt;&gt;0))&gt;0)*1000000)),"")</f>
        <v/>
      </c>
      <c r="M364" s="1">
        <f>IF(AND(E364=0,COUNTIFS($A$2:A364,A364,$E$2:E364,0)=1),L364,0)</f>
        <v>0</v>
      </c>
    </row>
    <row r="365" spans="1:13" ht="15" customHeight="1">
      <c r="A365" s="1">
        <v>7067</v>
      </c>
      <c r="B365" s="1" t="s">
        <v>9</v>
      </c>
      <c r="C365" s="2" t="s">
        <v>458</v>
      </c>
      <c r="D365" s="2" t="s">
        <v>464</v>
      </c>
      <c r="E365" s="1">
        <v>1</v>
      </c>
      <c r="F365" s="2" t="s">
        <v>465</v>
      </c>
      <c r="G365" s="1">
        <v>1</v>
      </c>
      <c r="H365" s="1" t="str">
        <f t="shared" si="5"/>
        <v>k7067_1</v>
      </c>
      <c r="K365" s="1">
        <f>IF(E365=0,SUMPRODUCT(($A$2:$A$4734=A365)*($B$2:$B$4734=B365)*($D$2:$D$4734=D365)*($E$2:$E$4734=0)),0)</f>
        <v>0</v>
      </c>
      <c r="L365" s="1" t="str">
        <f>IF(E365=0,SUMPRODUCT(MIN($K$2:$K$4734+((($A$2:$A$4734&lt;&gt;A365)+($E$2:$E$4734&lt;&gt;0))&gt;0)*1000000)),"")</f>
        <v/>
      </c>
      <c r="M365" s="1">
        <f>IF(AND(E365=0,COUNTIFS($A$2:A365,A365,$E$2:E365,0)=1),L365,0)</f>
        <v>0</v>
      </c>
    </row>
    <row r="366" spans="1:13" ht="15" customHeight="1">
      <c r="A366" s="1">
        <v>7067</v>
      </c>
      <c r="B366" s="1" t="s">
        <v>9</v>
      </c>
      <c r="C366" s="2" t="s">
        <v>458</v>
      </c>
      <c r="D366" s="2" t="s">
        <v>464</v>
      </c>
      <c r="E366" s="1">
        <v>1</v>
      </c>
      <c r="F366" s="2" t="s">
        <v>466</v>
      </c>
      <c r="G366" s="1">
        <v>2</v>
      </c>
      <c r="H366" s="1" t="str">
        <f t="shared" si="5"/>
        <v>k7067_2</v>
      </c>
      <c r="K366" s="1">
        <f>IF(E366=0,SUMPRODUCT(($A$2:$A$4734=A366)*($B$2:$B$4734=B366)*($D$2:$D$4734=D366)*($E$2:$E$4734=0)),0)</f>
        <v>0</v>
      </c>
      <c r="L366" s="1" t="str">
        <f>IF(E366=0,SUMPRODUCT(MIN($K$2:$K$4734+((($A$2:$A$4734&lt;&gt;A366)+($E$2:$E$4734&lt;&gt;0))&gt;0)*1000000)),"")</f>
        <v/>
      </c>
      <c r="M366" s="1">
        <f>IF(AND(E366=0,COUNTIFS($A$2:A366,A366,$E$2:E366,0)=1),L366,0)</f>
        <v>0</v>
      </c>
    </row>
    <row r="367" spans="1:13" ht="15" customHeight="1">
      <c r="A367" s="1">
        <v>7067</v>
      </c>
      <c r="B367" s="1" t="s">
        <v>9</v>
      </c>
      <c r="C367" s="2" t="s">
        <v>458</v>
      </c>
      <c r="D367" s="2" t="s">
        <v>464</v>
      </c>
      <c r="E367" s="1">
        <v>1</v>
      </c>
      <c r="F367" s="2" t="s">
        <v>467</v>
      </c>
      <c r="G367" s="1">
        <v>3</v>
      </c>
      <c r="H367" s="1" t="str">
        <f t="shared" si="5"/>
        <v>k7067_3</v>
      </c>
      <c r="K367" s="1">
        <f>IF(E367=0,SUMPRODUCT(($A$2:$A$4734=A367)*($B$2:$B$4734=B367)*($D$2:$D$4734=D367)*($E$2:$E$4734=0)),0)</f>
        <v>0</v>
      </c>
      <c r="L367" s="1" t="str">
        <f>IF(E367=0,SUMPRODUCT(MIN($K$2:$K$4734+((($A$2:$A$4734&lt;&gt;A367)+($E$2:$E$4734&lt;&gt;0))&gt;0)*1000000)),"")</f>
        <v/>
      </c>
      <c r="M367" s="1">
        <f>IF(AND(E367=0,COUNTIFS($A$2:A367,A367,$E$2:E367,0)=1),L367,0)</f>
        <v>0</v>
      </c>
    </row>
    <row r="368" spans="1:13" ht="15" customHeight="1">
      <c r="A368" s="1">
        <v>7067</v>
      </c>
      <c r="B368" s="1" t="s">
        <v>9</v>
      </c>
      <c r="C368" s="2" t="s">
        <v>458</v>
      </c>
      <c r="D368" s="2" t="s">
        <v>464</v>
      </c>
      <c r="E368" s="1">
        <v>1</v>
      </c>
      <c r="F368" s="2" t="s">
        <v>468</v>
      </c>
      <c r="G368" s="1">
        <v>4</v>
      </c>
      <c r="H368" s="1" t="str">
        <f t="shared" si="5"/>
        <v>k7067_4</v>
      </c>
      <c r="K368" s="1">
        <f>IF(E368=0,SUMPRODUCT(($A$2:$A$4734=A368)*($B$2:$B$4734=B368)*($D$2:$D$4734=D368)*($E$2:$E$4734=0)),0)</f>
        <v>0</v>
      </c>
      <c r="L368" s="1" t="str">
        <f>IF(E368=0,SUMPRODUCT(MIN($K$2:$K$4734+((($A$2:$A$4734&lt;&gt;A368)+($E$2:$E$4734&lt;&gt;0))&gt;0)*1000000)),"")</f>
        <v/>
      </c>
      <c r="M368" s="1">
        <f>IF(AND(E368=0,COUNTIFS($A$2:A368,A368,$E$2:E368,0)=1),L368,0)</f>
        <v>0</v>
      </c>
    </row>
    <row r="369" spans="1:13" ht="15" customHeight="1">
      <c r="A369" s="1">
        <v>7067</v>
      </c>
      <c r="B369" s="1" t="s">
        <v>9</v>
      </c>
      <c r="C369" s="2" t="s">
        <v>458</v>
      </c>
      <c r="D369" s="2" t="s">
        <v>469</v>
      </c>
      <c r="E369" s="1">
        <v>1</v>
      </c>
      <c r="F369" s="2" t="s">
        <v>470</v>
      </c>
      <c r="G369" s="1">
        <v>1</v>
      </c>
      <c r="H369" s="1" t="str">
        <f t="shared" si="5"/>
        <v>k7067_1</v>
      </c>
      <c r="K369" s="1">
        <f>IF(E369=0,SUMPRODUCT(($A$2:$A$4734=A369)*($B$2:$B$4734=B369)*($D$2:$D$4734=D369)*($E$2:$E$4734=0)),0)</f>
        <v>0</v>
      </c>
      <c r="L369" s="1" t="str">
        <f>IF(E369=0,SUMPRODUCT(MIN($K$2:$K$4734+((($A$2:$A$4734&lt;&gt;A369)+($E$2:$E$4734&lt;&gt;0))&gt;0)*1000000)),"")</f>
        <v/>
      </c>
      <c r="M369" s="1">
        <f>IF(AND(E369=0,COUNTIFS($A$2:A369,A369,$E$2:E369,0)=1),L369,0)</f>
        <v>0</v>
      </c>
    </row>
    <row r="370" spans="1:13" ht="15" customHeight="1">
      <c r="A370" s="1">
        <v>7067</v>
      </c>
      <c r="B370" s="1" t="s">
        <v>9</v>
      </c>
      <c r="C370" s="2" t="s">
        <v>458</v>
      </c>
      <c r="D370" s="2" t="s">
        <v>469</v>
      </c>
      <c r="E370" s="1">
        <v>1</v>
      </c>
      <c r="F370" s="2" t="s">
        <v>471</v>
      </c>
      <c r="G370" s="1">
        <v>2</v>
      </c>
      <c r="H370" s="1" t="str">
        <f t="shared" si="5"/>
        <v>k7067_2</v>
      </c>
      <c r="K370" s="1">
        <f>IF(E370=0,SUMPRODUCT(($A$2:$A$4734=A370)*($B$2:$B$4734=B370)*($D$2:$D$4734=D370)*($E$2:$E$4734=0)),0)</f>
        <v>0</v>
      </c>
      <c r="L370" s="1" t="str">
        <f>IF(E370=0,SUMPRODUCT(MIN($K$2:$K$4734+((($A$2:$A$4734&lt;&gt;A370)+($E$2:$E$4734&lt;&gt;0))&gt;0)*1000000)),"")</f>
        <v/>
      </c>
      <c r="M370" s="1">
        <f>IF(AND(E370=0,COUNTIFS($A$2:A370,A370,$E$2:E370,0)=1),L370,0)</f>
        <v>0</v>
      </c>
    </row>
    <row r="371" spans="1:13" ht="15" customHeight="1">
      <c r="A371" s="1">
        <v>7067</v>
      </c>
      <c r="B371" s="1" t="s">
        <v>9</v>
      </c>
      <c r="C371" s="2" t="s">
        <v>458</v>
      </c>
      <c r="D371" s="2" t="s">
        <v>469</v>
      </c>
      <c r="E371" s="1">
        <v>1</v>
      </c>
      <c r="F371" s="2" t="s">
        <v>472</v>
      </c>
      <c r="G371" s="1">
        <v>3</v>
      </c>
      <c r="H371" s="1" t="str">
        <f t="shared" si="5"/>
        <v>k7067_3</v>
      </c>
      <c r="K371" s="1">
        <f>IF(E371=0,SUMPRODUCT(($A$2:$A$4734=A371)*($B$2:$B$4734=B371)*($D$2:$D$4734=D371)*($E$2:$E$4734=0)),0)</f>
        <v>0</v>
      </c>
      <c r="L371" s="1" t="str">
        <f>IF(E371=0,SUMPRODUCT(MIN($K$2:$K$4734+((($A$2:$A$4734&lt;&gt;A371)+($E$2:$E$4734&lt;&gt;0))&gt;0)*1000000)),"")</f>
        <v/>
      </c>
      <c r="M371" s="1">
        <f>IF(AND(E371=0,COUNTIFS($A$2:A371,A371,$E$2:E371,0)=1),L371,0)</f>
        <v>0</v>
      </c>
    </row>
    <row r="372" spans="1:13" ht="15" customHeight="1">
      <c r="A372" s="1">
        <v>7067</v>
      </c>
      <c r="B372" s="1" t="s">
        <v>9</v>
      </c>
      <c r="C372" s="2" t="s">
        <v>458</v>
      </c>
      <c r="D372" s="2" t="s">
        <v>469</v>
      </c>
      <c r="E372" s="1">
        <v>1</v>
      </c>
      <c r="F372" s="2" t="s">
        <v>473</v>
      </c>
      <c r="G372" s="1">
        <v>4</v>
      </c>
      <c r="H372" s="1" t="str">
        <f t="shared" si="5"/>
        <v>k7067_4</v>
      </c>
      <c r="K372" s="1">
        <f>IF(E372=0,SUMPRODUCT(($A$2:$A$4734=A372)*($B$2:$B$4734=B372)*($D$2:$D$4734=D372)*($E$2:$E$4734=0)),0)</f>
        <v>0</v>
      </c>
      <c r="L372" s="1" t="str">
        <f>IF(E372=0,SUMPRODUCT(MIN($K$2:$K$4734+((($A$2:$A$4734&lt;&gt;A372)+($E$2:$E$4734&lt;&gt;0))&gt;0)*1000000)),"")</f>
        <v/>
      </c>
      <c r="M372" s="1">
        <f>IF(AND(E372=0,COUNTIFS($A$2:A372,A372,$E$2:E372,0)=1),L372,0)</f>
        <v>0</v>
      </c>
    </row>
    <row r="373" spans="1:13" ht="15" customHeight="1">
      <c r="A373" s="1">
        <v>7067</v>
      </c>
      <c r="B373" s="1" t="s">
        <v>16</v>
      </c>
      <c r="C373" s="2" t="s">
        <v>458</v>
      </c>
      <c r="D373" s="2" t="s">
        <v>474</v>
      </c>
      <c r="E373" s="1">
        <v>1</v>
      </c>
      <c r="F373" s="2" t="s">
        <v>475</v>
      </c>
      <c r="G373" s="1">
        <v>4</v>
      </c>
      <c r="H373" s="1" t="str">
        <f t="shared" si="5"/>
        <v>k7067_4</v>
      </c>
      <c r="K373" s="1">
        <f>IF(E373=0,SUMPRODUCT(($A$2:$A$4734=A373)*($B$2:$B$4734=B373)*($D$2:$D$4734=D373)*($E$2:$E$4734=0)),0)</f>
        <v>0</v>
      </c>
      <c r="L373" s="1" t="str">
        <f>IF(E373=0,SUMPRODUCT(MIN($K$2:$K$4734+((($A$2:$A$4734&lt;&gt;A373)+($E$2:$E$4734&lt;&gt;0))&gt;0)*1000000)),"")</f>
        <v/>
      </c>
      <c r="M373" s="1">
        <f>IF(AND(E373=0,COUNTIFS($A$2:A373,A373,$E$2:E373,0)=1),L373,0)</f>
        <v>0</v>
      </c>
    </row>
    <row r="374" spans="1:13" ht="15" customHeight="1">
      <c r="A374" s="1">
        <v>7067</v>
      </c>
      <c r="B374" s="1" t="s">
        <v>16</v>
      </c>
      <c r="C374" s="2" t="s">
        <v>458</v>
      </c>
      <c r="D374" s="2" t="s">
        <v>474</v>
      </c>
      <c r="E374" s="1">
        <v>1</v>
      </c>
      <c r="F374" s="2" t="s">
        <v>476</v>
      </c>
      <c r="G374" s="1">
        <v>1</v>
      </c>
      <c r="H374" s="1" t="str">
        <f t="shared" si="5"/>
        <v>k7067_1</v>
      </c>
      <c r="K374" s="1">
        <f>IF(E374=0,SUMPRODUCT(($A$2:$A$4734=A374)*($B$2:$B$4734=B374)*($D$2:$D$4734=D374)*($E$2:$E$4734=0)),0)</f>
        <v>0</v>
      </c>
      <c r="L374" s="1" t="str">
        <f>IF(E374=0,SUMPRODUCT(MIN($K$2:$K$4734+((($A$2:$A$4734&lt;&gt;A374)+($E$2:$E$4734&lt;&gt;0))&gt;0)*1000000)),"")</f>
        <v/>
      </c>
      <c r="M374" s="1">
        <f>IF(AND(E374=0,COUNTIFS($A$2:A374,A374,$E$2:E374,0)=1),L374,0)</f>
        <v>0</v>
      </c>
    </row>
    <row r="375" spans="1:13" ht="15" customHeight="1">
      <c r="A375" s="1">
        <v>7067</v>
      </c>
      <c r="B375" s="1" t="s">
        <v>16</v>
      </c>
      <c r="C375" s="2" t="s">
        <v>458</v>
      </c>
      <c r="D375" s="2" t="s">
        <v>474</v>
      </c>
      <c r="E375" s="1">
        <v>1</v>
      </c>
      <c r="F375" s="2" t="s">
        <v>477</v>
      </c>
      <c r="G375" s="1">
        <v>2</v>
      </c>
      <c r="H375" s="1" t="str">
        <f t="shared" si="5"/>
        <v>k7067_2</v>
      </c>
      <c r="K375" s="1">
        <f>IF(E375=0,SUMPRODUCT(($A$2:$A$4734=A375)*($B$2:$B$4734=B375)*($D$2:$D$4734=D375)*($E$2:$E$4734=0)),0)</f>
        <v>0</v>
      </c>
      <c r="L375" s="1" t="str">
        <f>IF(E375=0,SUMPRODUCT(MIN($K$2:$K$4734+((($A$2:$A$4734&lt;&gt;A375)+($E$2:$E$4734&lt;&gt;0))&gt;0)*1000000)),"")</f>
        <v/>
      </c>
      <c r="M375" s="1">
        <f>IF(AND(E375=0,COUNTIFS($A$2:A375,A375,$E$2:E375,0)=1),L375,0)</f>
        <v>0</v>
      </c>
    </row>
    <row r="376" spans="1:13" ht="15" customHeight="1">
      <c r="A376" s="1">
        <v>7067</v>
      </c>
      <c r="B376" s="1" t="s">
        <v>16</v>
      </c>
      <c r="C376" s="2" t="s">
        <v>458</v>
      </c>
      <c r="D376" s="2" t="s">
        <v>474</v>
      </c>
      <c r="E376" s="1">
        <v>1</v>
      </c>
      <c r="F376" s="2" t="s">
        <v>478</v>
      </c>
      <c r="G376" s="1">
        <v>3</v>
      </c>
      <c r="H376" s="1" t="str">
        <f t="shared" si="5"/>
        <v>k7067_3</v>
      </c>
      <c r="K376" s="1">
        <f>IF(E376=0,SUMPRODUCT(($A$2:$A$4734=A376)*($B$2:$B$4734=B376)*($D$2:$D$4734=D376)*($E$2:$E$4734=0)),0)</f>
        <v>0</v>
      </c>
      <c r="L376" s="1" t="str">
        <f>IF(E376=0,SUMPRODUCT(MIN($K$2:$K$4734+((($A$2:$A$4734&lt;&gt;A376)+($E$2:$E$4734&lt;&gt;0))&gt;0)*1000000)),"")</f>
        <v/>
      </c>
      <c r="M376" s="1">
        <f>IF(AND(E376=0,COUNTIFS($A$2:A376,A376,$E$2:E376,0)=1),L376,0)</f>
        <v>0</v>
      </c>
    </row>
    <row r="377" spans="1:13" ht="15" customHeight="1">
      <c r="A377" s="1">
        <v>7069</v>
      </c>
      <c r="B377" s="1" t="s">
        <v>144</v>
      </c>
      <c r="C377" s="2" t="s">
        <v>479</v>
      </c>
      <c r="D377" s="2" t="s">
        <v>480</v>
      </c>
      <c r="E377" s="1">
        <v>1</v>
      </c>
      <c r="F377" s="2" t="s">
        <v>481</v>
      </c>
      <c r="G377" s="1">
        <v>1</v>
      </c>
      <c r="H377" s="1" t="str">
        <f t="shared" ref="H377:H440" si="6">IF(OR(E377&lt;&gt;1,G377=""),"","k"&amp;A377&amp;"_"&amp;G377)</f>
        <v>k7069_1</v>
      </c>
      <c r="K377" s="1">
        <f>IF(E377=0,SUMPRODUCT(($A$2:$A$4734=A377)*($B$2:$B$4734=B377)*($D$2:$D$4734=D377)*($E$2:$E$4734=0)),0)</f>
        <v>0</v>
      </c>
      <c r="L377" s="1" t="str">
        <f>IF(E377=0,SUMPRODUCT(MIN($K$2:$K$4734+((($A$2:$A$4734&lt;&gt;A377)+($E$2:$E$4734&lt;&gt;0))&gt;0)*1000000)),"")</f>
        <v/>
      </c>
      <c r="M377" s="1">
        <f>IF(AND(E377=0,COUNTIFS($A$2:A377,A377,$E$2:E377,0)=1),L377,0)</f>
        <v>0</v>
      </c>
    </row>
    <row r="378" spans="1:13" ht="15" customHeight="1">
      <c r="A378" s="1">
        <v>7069</v>
      </c>
      <c r="B378" s="1" t="s">
        <v>144</v>
      </c>
      <c r="C378" s="2" t="s">
        <v>479</v>
      </c>
      <c r="D378" s="2" t="s">
        <v>480</v>
      </c>
      <c r="E378" s="1">
        <v>1</v>
      </c>
      <c r="F378" s="2" t="s">
        <v>482</v>
      </c>
      <c r="G378" s="1">
        <v>2</v>
      </c>
      <c r="H378" s="1" t="str">
        <f t="shared" si="6"/>
        <v>k7069_2</v>
      </c>
      <c r="K378" s="1">
        <f>IF(E378=0,SUMPRODUCT(($A$2:$A$4734=A378)*($B$2:$B$4734=B378)*($D$2:$D$4734=D378)*($E$2:$E$4734=0)),0)</f>
        <v>0</v>
      </c>
      <c r="L378" s="1" t="str">
        <f>IF(E378=0,SUMPRODUCT(MIN($K$2:$K$4734+((($A$2:$A$4734&lt;&gt;A378)+($E$2:$E$4734&lt;&gt;0))&gt;0)*1000000)),"")</f>
        <v/>
      </c>
      <c r="M378" s="1">
        <f>IF(AND(E378=0,COUNTIFS($A$2:A378,A378,$E$2:E378,0)=1),L378,0)</f>
        <v>0</v>
      </c>
    </row>
    <row r="379" spans="1:13" ht="15" customHeight="1">
      <c r="A379" s="1">
        <v>7069</v>
      </c>
      <c r="B379" s="1" t="s">
        <v>144</v>
      </c>
      <c r="C379" s="2" t="s">
        <v>479</v>
      </c>
      <c r="D379" s="2" t="s">
        <v>480</v>
      </c>
      <c r="E379" s="1">
        <v>1</v>
      </c>
      <c r="F379" s="2" t="s">
        <v>483</v>
      </c>
      <c r="G379" s="1">
        <v>3</v>
      </c>
      <c r="H379" s="1" t="str">
        <f t="shared" si="6"/>
        <v>k7069_3</v>
      </c>
      <c r="K379" s="1">
        <f>IF(E379=0,SUMPRODUCT(($A$2:$A$4734=A379)*($B$2:$B$4734=B379)*($D$2:$D$4734=D379)*($E$2:$E$4734=0)),0)</f>
        <v>0</v>
      </c>
      <c r="L379" s="1" t="str">
        <f>IF(E379=0,SUMPRODUCT(MIN($K$2:$K$4734+((($A$2:$A$4734&lt;&gt;A379)+($E$2:$E$4734&lt;&gt;0))&gt;0)*1000000)),"")</f>
        <v/>
      </c>
      <c r="M379" s="1">
        <f>IF(AND(E379=0,COUNTIFS($A$2:A379,A379,$E$2:E379,0)=1),L379,0)</f>
        <v>0</v>
      </c>
    </row>
    <row r="380" spans="1:13" ht="15" customHeight="1">
      <c r="A380" s="1">
        <v>7069</v>
      </c>
      <c r="B380" s="1" t="s">
        <v>144</v>
      </c>
      <c r="C380" s="2" t="s">
        <v>479</v>
      </c>
      <c r="D380" s="2" t="s">
        <v>480</v>
      </c>
      <c r="E380" s="1">
        <v>1</v>
      </c>
      <c r="F380" s="2" t="s">
        <v>484</v>
      </c>
      <c r="G380" s="1">
        <v>4</v>
      </c>
      <c r="H380" s="1" t="str">
        <f t="shared" si="6"/>
        <v>k7069_4</v>
      </c>
      <c r="K380" s="1">
        <f>IF(E380=0,SUMPRODUCT(($A$2:$A$4734=A380)*($B$2:$B$4734=B380)*($D$2:$D$4734=D380)*($E$2:$E$4734=0)),0)</f>
        <v>0</v>
      </c>
      <c r="L380" s="1" t="str">
        <f>IF(E380=0,SUMPRODUCT(MIN($K$2:$K$4734+((($A$2:$A$4734&lt;&gt;A380)+($E$2:$E$4734&lt;&gt;0))&gt;0)*1000000)),"")</f>
        <v/>
      </c>
      <c r="M380" s="1">
        <f>IF(AND(E380=0,COUNTIFS($A$2:A380,A380,$E$2:E380,0)=1),L380,0)</f>
        <v>0</v>
      </c>
    </row>
    <row r="381" spans="1:13" ht="15" customHeight="1">
      <c r="A381" s="1">
        <v>7069</v>
      </c>
      <c r="B381" s="1" t="s">
        <v>167</v>
      </c>
      <c r="C381" s="2" t="s">
        <v>479</v>
      </c>
      <c r="D381" s="2" t="s">
        <v>480</v>
      </c>
      <c r="E381" s="1">
        <v>1</v>
      </c>
      <c r="F381" s="2" t="s">
        <v>485</v>
      </c>
      <c r="G381" s="1">
        <v>1</v>
      </c>
      <c r="H381" s="1" t="str">
        <f t="shared" si="6"/>
        <v>k7069_1</v>
      </c>
      <c r="K381" s="1">
        <f>IF(E381=0,SUMPRODUCT(($A$2:$A$4734=A381)*($B$2:$B$4734=B381)*($D$2:$D$4734=D381)*($E$2:$E$4734=0)),0)</f>
        <v>0</v>
      </c>
      <c r="L381" s="1" t="str">
        <f>IF(E381=0,SUMPRODUCT(MIN($K$2:$K$4734+((($A$2:$A$4734&lt;&gt;A381)+($E$2:$E$4734&lt;&gt;0))&gt;0)*1000000)),"")</f>
        <v/>
      </c>
      <c r="M381" s="1">
        <f>IF(AND(E381=0,COUNTIFS($A$2:A381,A381,$E$2:E381,0)=1),L381,0)</f>
        <v>0</v>
      </c>
    </row>
    <row r="382" spans="1:13" ht="15" customHeight="1">
      <c r="A382" s="1">
        <v>7069</v>
      </c>
      <c r="B382" s="1" t="s">
        <v>167</v>
      </c>
      <c r="C382" s="2" t="s">
        <v>479</v>
      </c>
      <c r="D382" s="2" t="s">
        <v>480</v>
      </c>
      <c r="E382" s="1">
        <v>1</v>
      </c>
      <c r="F382" s="2" t="s">
        <v>486</v>
      </c>
      <c r="G382" s="1">
        <v>2</v>
      </c>
      <c r="H382" s="1" t="str">
        <f t="shared" si="6"/>
        <v>k7069_2</v>
      </c>
      <c r="K382" s="1">
        <f>IF(E382=0,SUMPRODUCT(($A$2:$A$4734=A382)*($B$2:$B$4734=B382)*($D$2:$D$4734=D382)*($E$2:$E$4734=0)),0)</f>
        <v>0</v>
      </c>
      <c r="L382" s="1" t="str">
        <f>IF(E382=0,SUMPRODUCT(MIN($K$2:$K$4734+((($A$2:$A$4734&lt;&gt;A382)+($E$2:$E$4734&lt;&gt;0))&gt;0)*1000000)),"")</f>
        <v/>
      </c>
      <c r="M382" s="1">
        <f>IF(AND(E382=0,COUNTIFS($A$2:A382,A382,$E$2:E382,0)=1),L382,0)</f>
        <v>0</v>
      </c>
    </row>
    <row r="383" spans="1:13" ht="15" customHeight="1">
      <c r="A383" s="1">
        <v>7069</v>
      </c>
      <c r="B383" s="1" t="s">
        <v>167</v>
      </c>
      <c r="C383" s="2" t="s">
        <v>479</v>
      </c>
      <c r="D383" s="2" t="s">
        <v>480</v>
      </c>
      <c r="E383" s="1">
        <v>1</v>
      </c>
      <c r="F383" s="2" t="s">
        <v>487</v>
      </c>
      <c r="G383" s="1">
        <v>3</v>
      </c>
      <c r="H383" s="1" t="str">
        <f t="shared" si="6"/>
        <v>k7069_3</v>
      </c>
      <c r="K383" s="1">
        <f>IF(E383=0,SUMPRODUCT(($A$2:$A$4734=A383)*($B$2:$B$4734=B383)*($D$2:$D$4734=D383)*($E$2:$E$4734=0)),0)</f>
        <v>0</v>
      </c>
      <c r="L383" s="1" t="str">
        <f>IF(E383=0,SUMPRODUCT(MIN($K$2:$K$4734+((($A$2:$A$4734&lt;&gt;A383)+($E$2:$E$4734&lt;&gt;0))&gt;0)*1000000)),"")</f>
        <v/>
      </c>
      <c r="M383" s="1">
        <f>IF(AND(E383=0,COUNTIFS($A$2:A383,A383,$E$2:E383,0)=1),L383,0)</f>
        <v>0</v>
      </c>
    </row>
    <row r="384" spans="1:13" ht="15" customHeight="1">
      <c r="A384" s="1">
        <v>7069</v>
      </c>
      <c r="B384" s="1" t="s">
        <v>167</v>
      </c>
      <c r="C384" s="2" t="s">
        <v>479</v>
      </c>
      <c r="D384" s="2" t="s">
        <v>480</v>
      </c>
      <c r="E384" s="1">
        <v>1</v>
      </c>
      <c r="F384" s="2" t="s">
        <v>488</v>
      </c>
      <c r="G384" s="1">
        <v>4</v>
      </c>
      <c r="H384" s="1" t="str">
        <f t="shared" si="6"/>
        <v>k7069_4</v>
      </c>
      <c r="K384" s="1">
        <f>IF(E384=0,SUMPRODUCT(($A$2:$A$4734=A384)*($B$2:$B$4734=B384)*($D$2:$D$4734=D384)*($E$2:$E$4734=0)),0)</f>
        <v>0</v>
      </c>
      <c r="L384" s="1" t="str">
        <f>IF(E384=0,SUMPRODUCT(MIN($K$2:$K$4734+((($A$2:$A$4734&lt;&gt;A384)+($E$2:$E$4734&lt;&gt;0))&gt;0)*1000000)),"")</f>
        <v/>
      </c>
      <c r="M384" s="1">
        <f>IF(AND(E384=0,COUNTIFS($A$2:A384,A384,$E$2:E384,0)=1),L384,0)</f>
        <v>0</v>
      </c>
    </row>
    <row r="385" spans="1:13" ht="15" customHeight="1">
      <c r="A385" s="1">
        <v>7069</v>
      </c>
      <c r="B385" s="1" t="s">
        <v>9</v>
      </c>
      <c r="C385" s="2" t="s">
        <v>479</v>
      </c>
      <c r="D385" s="2" t="s">
        <v>489</v>
      </c>
      <c r="E385" s="1">
        <v>1</v>
      </c>
      <c r="F385" s="2" t="s">
        <v>490</v>
      </c>
      <c r="G385" s="1">
        <v>1</v>
      </c>
      <c r="H385" s="1" t="str">
        <f t="shared" si="6"/>
        <v>k7069_1</v>
      </c>
      <c r="K385" s="1">
        <f>IF(E385=0,SUMPRODUCT(($A$2:$A$4734=A385)*($B$2:$B$4734=B385)*($D$2:$D$4734=D385)*($E$2:$E$4734=0)),0)</f>
        <v>0</v>
      </c>
      <c r="L385" s="1" t="str">
        <f>IF(E385=0,SUMPRODUCT(MIN($K$2:$K$4734+((($A$2:$A$4734&lt;&gt;A385)+($E$2:$E$4734&lt;&gt;0))&gt;0)*1000000)),"")</f>
        <v/>
      </c>
      <c r="M385" s="1">
        <f>IF(AND(E385=0,COUNTIFS($A$2:A385,A385,$E$2:E385,0)=1),L385,0)</f>
        <v>0</v>
      </c>
    </row>
    <row r="386" spans="1:13" ht="15" customHeight="1">
      <c r="A386" s="1">
        <v>7069</v>
      </c>
      <c r="B386" s="1" t="s">
        <v>9</v>
      </c>
      <c r="C386" s="2" t="s">
        <v>479</v>
      </c>
      <c r="D386" s="2" t="s">
        <v>489</v>
      </c>
      <c r="E386" s="1">
        <v>1</v>
      </c>
      <c r="F386" s="2" t="s">
        <v>491</v>
      </c>
      <c r="G386" s="1">
        <v>2</v>
      </c>
      <c r="H386" s="1" t="str">
        <f t="shared" si="6"/>
        <v>k7069_2</v>
      </c>
      <c r="K386" s="1">
        <f>IF(E386=0,SUMPRODUCT(($A$2:$A$4734=A386)*($B$2:$B$4734=B386)*($D$2:$D$4734=D386)*($E$2:$E$4734=0)),0)</f>
        <v>0</v>
      </c>
      <c r="L386" s="1" t="str">
        <f>IF(E386=0,SUMPRODUCT(MIN($K$2:$K$4734+((($A$2:$A$4734&lt;&gt;A386)+($E$2:$E$4734&lt;&gt;0))&gt;0)*1000000)),"")</f>
        <v/>
      </c>
      <c r="M386" s="1">
        <f>IF(AND(E386=0,COUNTIFS($A$2:A386,A386,$E$2:E386,0)=1),L386,0)</f>
        <v>0</v>
      </c>
    </row>
    <row r="387" spans="1:13" ht="15" customHeight="1">
      <c r="A387" s="1">
        <v>7069</v>
      </c>
      <c r="B387" s="1" t="s">
        <v>9</v>
      </c>
      <c r="C387" s="2" t="s">
        <v>479</v>
      </c>
      <c r="D387" s="2" t="s">
        <v>489</v>
      </c>
      <c r="E387" s="1">
        <v>1</v>
      </c>
      <c r="F387" s="2" t="s">
        <v>492</v>
      </c>
      <c r="G387" s="1">
        <v>4</v>
      </c>
      <c r="H387" s="1" t="str">
        <f t="shared" si="6"/>
        <v>k7069_4</v>
      </c>
      <c r="K387" s="1">
        <f>IF(E387=0,SUMPRODUCT(($A$2:$A$4734=A387)*($B$2:$B$4734=B387)*($D$2:$D$4734=D387)*($E$2:$E$4734=0)),0)</f>
        <v>0</v>
      </c>
      <c r="L387" s="1" t="str">
        <f>IF(E387=0,SUMPRODUCT(MIN($K$2:$K$4734+((($A$2:$A$4734&lt;&gt;A387)+($E$2:$E$4734&lt;&gt;0))&gt;0)*1000000)),"")</f>
        <v/>
      </c>
      <c r="M387" s="1">
        <f>IF(AND(E387=0,COUNTIFS($A$2:A387,A387,$E$2:E387,0)=1),L387,0)</f>
        <v>0</v>
      </c>
    </row>
    <row r="388" spans="1:13" ht="15" customHeight="1">
      <c r="A388" s="1">
        <v>7069</v>
      </c>
      <c r="B388" s="1" t="s">
        <v>9</v>
      </c>
      <c r="C388" s="2" t="s">
        <v>479</v>
      </c>
      <c r="D388" s="2" t="s">
        <v>489</v>
      </c>
      <c r="E388" s="1">
        <v>1</v>
      </c>
      <c r="F388" s="2" t="s">
        <v>493</v>
      </c>
      <c r="G388" s="1">
        <v>3</v>
      </c>
      <c r="H388" s="1" t="str">
        <f t="shared" si="6"/>
        <v>k7069_3</v>
      </c>
      <c r="K388" s="1">
        <f>IF(E388=0,SUMPRODUCT(($A$2:$A$4734=A388)*($B$2:$B$4734=B388)*($D$2:$D$4734=D388)*($E$2:$E$4734=0)),0)</f>
        <v>0</v>
      </c>
      <c r="L388" s="1" t="str">
        <f>IF(E388=0,SUMPRODUCT(MIN($K$2:$K$4734+((($A$2:$A$4734&lt;&gt;A388)+($E$2:$E$4734&lt;&gt;0))&gt;0)*1000000)),"")</f>
        <v/>
      </c>
      <c r="M388" s="1">
        <f>IF(AND(E388=0,COUNTIFS($A$2:A388,A388,$E$2:E388,0)=1),L388,0)</f>
        <v>0</v>
      </c>
    </row>
    <row r="389" spans="1:13" ht="15" customHeight="1">
      <c r="A389" s="1">
        <v>7069</v>
      </c>
      <c r="B389" s="1" t="s">
        <v>358</v>
      </c>
      <c r="C389" s="2" t="s">
        <v>479</v>
      </c>
      <c r="D389" s="2" t="s">
        <v>494</v>
      </c>
      <c r="E389" s="1">
        <v>1</v>
      </c>
      <c r="F389" s="2" t="s">
        <v>495</v>
      </c>
      <c r="G389" s="1">
        <v>1</v>
      </c>
      <c r="H389" s="1" t="str">
        <f t="shared" si="6"/>
        <v>k7069_1</v>
      </c>
      <c r="K389" s="1">
        <f>IF(E389=0,SUMPRODUCT(($A$2:$A$4734=A389)*($B$2:$B$4734=B389)*($D$2:$D$4734=D389)*($E$2:$E$4734=0)),0)</f>
        <v>0</v>
      </c>
      <c r="L389" s="1" t="str">
        <f>IF(E389=0,SUMPRODUCT(MIN($K$2:$K$4734+((($A$2:$A$4734&lt;&gt;A389)+($E$2:$E$4734&lt;&gt;0))&gt;0)*1000000)),"")</f>
        <v/>
      </c>
      <c r="M389" s="1">
        <f>IF(AND(E389=0,COUNTIFS($A$2:A389,A389,$E$2:E389,0)=1),L389,0)</f>
        <v>0</v>
      </c>
    </row>
    <row r="390" spans="1:13" ht="15" customHeight="1">
      <c r="A390" s="1">
        <v>7069</v>
      </c>
      <c r="B390" s="1" t="s">
        <v>358</v>
      </c>
      <c r="C390" s="2" t="s">
        <v>479</v>
      </c>
      <c r="D390" s="2" t="s">
        <v>494</v>
      </c>
      <c r="E390" s="1">
        <v>1</v>
      </c>
      <c r="F390" s="2" t="s">
        <v>496</v>
      </c>
      <c r="G390" s="1">
        <v>2</v>
      </c>
      <c r="H390" s="1" t="str">
        <f t="shared" si="6"/>
        <v>k7069_2</v>
      </c>
      <c r="K390" s="1">
        <f>IF(E390=0,SUMPRODUCT(($A$2:$A$4734=A390)*($B$2:$B$4734=B390)*($D$2:$D$4734=D390)*($E$2:$E$4734=0)),0)</f>
        <v>0</v>
      </c>
      <c r="L390" s="1" t="str">
        <f>IF(E390=0,SUMPRODUCT(MIN($K$2:$K$4734+((($A$2:$A$4734&lt;&gt;A390)+($E$2:$E$4734&lt;&gt;0))&gt;0)*1000000)),"")</f>
        <v/>
      </c>
      <c r="M390" s="1">
        <f>IF(AND(E390=0,COUNTIFS($A$2:A390,A390,$E$2:E390,0)=1),L390,0)</f>
        <v>0</v>
      </c>
    </row>
    <row r="391" spans="1:13" ht="15" customHeight="1">
      <c r="A391" s="1">
        <v>7069</v>
      </c>
      <c r="B391" s="1" t="s">
        <v>358</v>
      </c>
      <c r="C391" s="2" t="s">
        <v>479</v>
      </c>
      <c r="D391" s="2" t="s">
        <v>494</v>
      </c>
      <c r="E391" s="1">
        <v>1</v>
      </c>
      <c r="F391" s="2" t="s">
        <v>497</v>
      </c>
      <c r="G391" s="1">
        <v>3</v>
      </c>
      <c r="H391" s="1" t="str">
        <f t="shared" si="6"/>
        <v>k7069_3</v>
      </c>
      <c r="K391" s="1">
        <f>IF(E391=0,SUMPRODUCT(($A$2:$A$4734=A391)*($B$2:$B$4734=B391)*($D$2:$D$4734=D391)*($E$2:$E$4734=0)),0)</f>
        <v>0</v>
      </c>
      <c r="L391" s="1" t="str">
        <f>IF(E391=0,SUMPRODUCT(MIN($K$2:$K$4734+((($A$2:$A$4734&lt;&gt;A391)+($E$2:$E$4734&lt;&gt;0))&gt;0)*1000000)),"")</f>
        <v/>
      </c>
      <c r="M391" s="1">
        <f>IF(AND(E391=0,COUNTIFS($A$2:A391,A391,$E$2:E391,0)=1),L391,0)</f>
        <v>0</v>
      </c>
    </row>
    <row r="392" spans="1:13" ht="15" customHeight="1">
      <c r="A392" s="1">
        <v>7069</v>
      </c>
      <c r="B392" s="1" t="s">
        <v>358</v>
      </c>
      <c r="C392" s="2" t="s">
        <v>479</v>
      </c>
      <c r="D392" s="2" t="s">
        <v>494</v>
      </c>
      <c r="E392" s="1">
        <v>1</v>
      </c>
      <c r="F392" s="2" t="s">
        <v>498</v>
      </c>
      <c r="G392" s="1">
        <v>4</v>
      </c>
      <c r="H392" s="1" t="str">
        <f t="shared" si="6"/>
        <v>k7069_4</v>
      </c>
      <c r="K392" s="1">
        <f>IF(E392=0,SUMPRODUCT(($A$2:$A$4734=A392)*($B$2:$B$4734=B392)*($D$2:$D$4734=D392)*($E$2:$E$4734=0)),0)</f>
        <v>0</v>
      </c>
      <c r="L392" s="1" t="str">
        <f>IF(E392=0,SUMPRODUCT(MIN($K$2:$K$4734+((($A$2:$A$4734&lt;&gt;A392)+($E$2:$E$4734&lt;&gt;0))&gt;0)*1000000)),"")</f>
        <v/>
      </c>
      <c r="M392" s="1">
        <f>IF(AND(E392=0,COUNTIFS($A$2:A392,A392,$E$2:E392,0)=1),L392,0)</f>
        <v>0</v>
      </c>
    </row>
    <row r="393" spans="1:13" ht="15" customHeight="1">
      <c r="A393" s="1">
        <v>7069</v>
      </c>
      <c r="B393" s="1" t="s">
        <v>167</v>
      </c>
      <c r="C393" s="2" t="s">
        <v>479</v>
      </c>
      <c r="D393" s="2" t="s">
        <v>494</v>
      </c>
      <c r="E393" s="1">
        <v>1</v>
      </c>
      <c r="F393" s="2" t="s">
        <v>499</v>
      </c>
      <c r="G393" s="1">
        <v>1</v>
      </c>
      <c r="H393" s="1" t="str">
        <f t="shared" si="6"/>
        <v>k7069_1</v>
      </c>
      <c r="K393" s="1">
        <f>IF(E393=0,SUMPRODUCT(($A$2:$A$4734=A393)*($B$2:$B$4734=B393)*($D$2:$D$4734=D393)*($E$2:$E$4734=0)),0)</f>
        <v>0</v>
      </c>
      <c r="L393" s="1" t="str">
        <f>IF(E393=0,SUMPRODUCT(MIN($K$2:$K$4734+((($A$2:$A$4734&lt;&gt;A393)+($E$2:$E$4734&lt;&gt;0))&gt;0)*1000000)),"")</f>
        <v/>
      </c>
      <c r="M393" s="1">
        <f>IF(AND(E393=0,COUNTIFS($A$2:A393,A393,$E$2:E393,0)=1),L393,0)</f>
        <v>0</v>
      </c>
    </row>
    <row r="394" spans="1:13" ht="15" customHeight="1">
      <c r="A394" s="1">
        <v>7069</v>
      </c>
      <c r="B394" s="1" t="s">
        <v>167</v>
      </c>
      <c r="C394" s="2" t="s">
        <v>479</v>
      </c>
      <c r="D394" s="2" t="s">
        <v>494</v>
      </c>
      <c r="E394" s="1">
        <v>1</v>
      </c>
      <c r="F394" s="2" t="s">
        <v>500</v>
      </c>
      <c r="G394" s="1">
        <v>2</v>
      </c>
      <c r="H394" s="1" t="str">
        <f t="shared" si="6"/>
        <v>k7069_2</v>
      </c>
      <c r="K394" s="1">
        <f>IF(E394=0,SUMPRODUCT(($A$2:$A$4734=A394)*($B$2:$B$4734=B394)*($D$2:$D$4734=D394)*($E$2:$E$4734=0)),0)</f>
        <v>0</v>
      </c>
      <c r="L394" s="1" t="str">
        <f>IF(E394=0,SUMPRODUCT(MIN($K$2:$K$4734+((($A$2:$A$4734&lt;&gt;A394)+($E$2:$E$4734&lt;&gt;0))&gt;0)*1000000)),"")</f>
        <v/>
      </c>
      <c r="M394" s="1">
        <f>IF(AND(E394=0,COUNTIFS($A$2:A394,A394,$E$2:E394,0)=1),L394,0)</f>
        <v>0</v>
      </c>
    </row>
    <row r="395" spans="1:13" ht="15" customHeight="1">
      <c r="A395" s="1">
        <v>7069</v>
      </c>
      <c r="B395" s="1" t="s">
        <v>167</v>
      </c>
      <c r="C395" s="2" t="s">
        <v>479</v>
      </c>
      <c r="D395" s="2" t="s">
        <v>494</v>
      </c>
      <c r="E395" s="1">
        <v>1</v>
      </c>
      <c r="F395" s="2" t="s">
        <v>501</v>
      </c>
      <c r="G395" s="1">
        <v>3</v>
      </c>
      <c r="H395" s="1" t="str">
        <f t="shared" si="6"/>
        <v>k7069_3</v>
      </c>
      <c r="K395" s="1">
        <f>IF(E395=0,SUMPRODUCT(($A$2:$A$4734=A395)*($B$2:$B$4734=B395)*($D$2:$D$4734=D395)*($E$2:$E$4734=0)),0)</f>
        <v>0</v>
      </c>
      <c r="L395" s="1" t="str">
        <f>IF(E395=0,SUMPRODUCT(MIN($K$2:$K$4734+((($A$2:$A$4734&lt;&gt;A395)+($E$2:$E$4734&lt;&gt;0))&gt;0)*1000000)),"")</f>
        <v/>
      </c>
      <c r="M395" s="1">
        <f>IF(AND(E395=0,COUNTIFS($A$2:A395,A395,$E$2:E395,0)=1),L395,0)</f>
        <v>0</v>
      </c>
    </row>
    <row r="396" spans="1:13" ht="15" customHeight="1">
      <c r="A396" s="1">
        <v>7069</v>
      </c>
      <c r="B396" s="1" t="s">
        <v>167</v>
      </c>
      <c r="C396" s="2" t="s">
        <v>479</v>
      </c>
      <c r="D396" s="2" t="s">
        <v>494</v>
      </c>
      <c r="E396" s="1">
        <v>1</v>
      </c>
      <c r="F396" s="2" t="s">
        <v>502</v>
      </c>
      <c r="G396" s="1">
        <v>4</v>
      </c>
      <c r="H396" s="1" t="str">
        <f t="shared" si="6"/>
        <v>k7069_4</v>
      </c>
      <c r="K396" s="1">
        <f>IF(E396=0,SUMPRODUCT(($A$2:$A$4734=A396)*($B$2:$B$4734=B396)*($D$2:$D$4734=D396)*($E$2:$E$4734=0)),0)</f>
        <v>0</v>
      </c>
      <c r="L396" s="1" t="str">
        <f>IF(E396=0,SUMPRODUCT(MIN($K$2:$K$4734+((($A$2:$A$4734&lt;&gt;A396)+($E$2:$E$4734&lt;&gt;0))&gt;0)*1000000)),"")</f>
        <v/>
      </c>
      <c r="M396" s="1">
        <f>IF(AND(E396=0,COUNTIFS($A$2:A396,A396,$E$2:E396,0)=1),L396,0)</f>
        <v>0</v>
      </c>
    </row>
    <row r="397" spans="1:13" ht="15" customHeight="1">
      <c r="A397" s="1">
        <v>7070</v>
      </c>
      <c r="B397" s="1" t="s">
        <v>69</v>
      </c>
      <c r="C397" s="2" t="s">
        <v>503</v>
      </c>
      <c r="D397" s="2" t="s">
        <v>503</v>
      </c>
      <c r="E397" s="1">
        <v>1</v>
      </c>
      <c r="F397" s="2" t="s">
        <v>504</v>
      </c>
      <c r="G397" s="1">
        <v>1</v>
      </c>
      <c r="H397" s="1" t="str">
        <f t="shared" si="6"/>
        <v>k7070_1</v>
      </c>
      <c r="K397" s="1">
        <f>IF(E397=0,SUMPRODUCT(($A$2:$A$4734=A397)*($B$2:$B$4734=B397)*($D$2:$D$4734=D397)*($E$2:$E$4734=0)),0)</f>
        <v>0</v>
      </c>
      <c r="L397" s="1" t="str">
        <f>IF(E397=0,SUMPRODUCT(MIN($K$2:$K$4734+((($A$2:$A$4734&lt;&gt;A397)+($E$2:$E$4734&lt;&gt;0))&gt;0)*1000000)),"")</f>
        <v/>
      </c>
      <c r="M397" s="1">
        <f>IF(AND(E397=0,COUNTIFS($A$2:A397,A397,$E$2:E397,0)=1),L397,0)</f>
        <v>0</v>
      </c>
    </row>
    <row r="398" spans="1:13" ht="15" customHeight="1">
      <c r="A398" s="1">
        <v>7070</v>
      </c>
      <c r="B398" s="1" t="s">
        <v>69</v>
      </c>
      <c r="C398" s="2" t="s">
        <v>503</v>
      </c>
      <c r="D398" s="2" t="s">
        <v>503</v>
      </c>
      <c r="E398" s="1">
        <v>1</v>
      </c>
      <c r="F398" s="2" t="s">
        <v>505</v>
      </c>
      <c r="G398" s="1">
        <v>2</v>
      </c>
      <c r="H398" s="1" t="str">
        <f t="shared" si="6"/>
        <v>k7070_2</v>
      </c>
      <c r="K398" s="1">
        <f>IF(E398=0,SUMPRODUCT(($A$2:$A$4734=A398)*($B$2:$B$4734=B398)*($D$2:$D$4734=D398)*($E$2:$E$4734=0)),0)</f>
        <v>0</v>
      </c>
      <c r="L398" s="1" t="str">
        <f>IF(E398=0,SUMPRODUCT(MIN($K$2:$K$4734+((($A$2:$A$4734&lt;&gt;A398)+($E$2:$E$4734&lt;&gt;0))&gt;0)*1000000)),"")</f>
        <v/>
      </c>
      <c r="M398" s="1">
        <f>IF(AND(E398=0,COUNTIFS($A$2:A398,A398,$E$2:E398,0)=1),L398,0)</f>
        <v>0</v>
      </c>
    </row>
    <row r="399" spans="1:13" ht="15" customHeight="1">
      <c r="A399" s="1">
        <v>7070</v>
      </c>
      <c r="B399" s="1" t="s">
        <v>69</v>
      </c>
      <c r="C399" s="2" t="s">
        <v>503</v>
      </c>
      <c r="D399" s="2" t="s">
        <v>503</v>
      </c>
      <c r="E399" s="1">
        <v>1</v>
      </c>
      <c r="F399" s="2" t="s">
        <v>506</v>
      </c>
      <c r="G399" s="1">
        <v>3</v>
      </c>
      <c r="H399" s="1" t="str">
        <f t="shared" si="6"/>
        <v>k7070_3</v>
      </c>
      <c r="K399" s="1">
        <f>IF(E399=0,SUMPRODUCT(($A$2:$A$4734=A399)*($B$2:$B$4734=B399)*($D$2:$D$4734=D399)*($E$2:$E$4734=0)),0)</f>
        <v>0</v>
      </c>
      <c r="L399" s="1" t="str">
        <f>IF(E399=0,SUMPRODUCT(MIN($K$2:$K$4734+((($A$2:$A$4734&lt;&gt;A399)+($E$2:$E$4734&lt;&gt;0))&gt;0)*1000000)),"")</f>
        <v/>
      </c>
      <c r="M399" s="1">
        <f>IF(AND(E399=0,COUNTIFS($A$2:A399,A399,$E$2:E399,0)=1),L399,0)</f>
        <v>0</v>
      </c>
    </row>
    <row r="400" spans="1:13" ht="15" customHeight="1">
      <c r="A400" s="1">
        <v>7070</v>
      </c>
      <c r="B400" s="1" t="s">
        <v>69</v>
      </c>
      <c r="C400" s="2" t="s">
        <v>503</v>
      </c>
      <c r="D400" s="2" t="s">
        <v>503</v>
      </c>
      <c r="E400" s="1">
        <v>1</v>
      </c>
      <c r="F400" s="2" t="s">
        <v>507</v>
      </c>
      <c r="G400" s="1">
        <v>4</v>
      </c>
      <c r="H400" s="1" t="str">
        <f t="shared" si="6"/>
        <v>k7070_4</v>
      </c>
      <c r="K400" s="1">
        <f>IF(E400=0,SUMPRODUCT(($A$2:$A$4734=A400)*($B$2:$B$4734=B400)*($D$2:$D$4734=D400)*($E$2:$E$4734=0)),0)</f>
        <v>0</v>
      </c>
      <c r="L400" s="1" t="str">
        <f>IF(E400=0,SUMPRODUCT(MIN($K$2:$K$4734+((($A$2:$A$4734&lt;&gt;A400)+($E$2:$E$4734&lt;&gt;0))&gt;0)*1000000)),"")</f>
        <v/>
      </c>
      <c r="M400" s="1">
        <f>IF(AND(E400=0,COUNTIFS($A$2:A400,A400,$E$2:E400,0)=1),L400,0)</f>
        <v>0</v>
      </c>
    </row>
    <row r="401" spans="1:13" ht="15" customHeight="1">
      <c r="A401" s="1">
        <v>7070</v>
      </c>
      <c r="B401" s="1" t="s">
        <v>69</v>
      </c>
      <c r="C401" s="2" t="s">
        <v>503</v>
      </c>
      <c r="D401" s="2" t="s">
        <v>503</v>
      </c>
      <c r="E401" s="1">
        <v>1</v>
      </c>
      <c r="F401" s="2" t="s">
        <v>508</v>
      </c>
      <c r="G401" s="1">
        <v>5</v>
      </c>
      <c r="H401" s="1" t="str">
        <f t="shared" si="6"/>
        <v>k7070_5</v>
      </c>
      <c r="K401" s="1">
        <f>IF(E401=0,SUMPRODUCT(($A$2:$A$4734=A401)*($B$2:$B$4734=B401)*($D$2:$D$4734=D401)*($E$2:$E$4734=0)),0)</f>
        <v>0</v>
      </c>
      <c r="L401" s="1" t="str">
        <f>IF(E401=0,SUMPRODUCT(MIN($K$2:$K$4734+((($A$2:$A$4734&lt;&gt;A401)+($E$2:$E$4734&lt;&gt;0))&gt;0)*1000000)),"")</f>
        <v/>
      </c>
      <c r="M401" s="1">
        <f>IF(AND(E401=0,COUNTIFS($A$2:A401,A401,$E$2:E401,0)=1),L401,0)</f>
        <v>0</v>
      </c>
    </row>
    <row r="402" spans="1:13" ht="15" customHeight="1">
      <c r="A402" s="1">
        <v>7070</v>
      </c>
      <c r="B402" s="1" t="s">
        <v>16</v>
      </c>
      <c r="C402" s="2" t="s">
        <v>503</v>
      </c>
      <c r="D402" s="2" t="s">
        <v>509</v>
      </c>
      <c r="E402" s="1">
        <v>1</v>
      </c>
      <c r="F402" s="2" t="s">
        <v>510</v>
      </c>
      <c r="G402" s="1">
        <v>1</v>
      </c>
      <c r="H402" s="1" t="str">
        <f t="shared" si="6"/>
        <v>k7070_1</v>
      </c>
      <c r="K402" s="1">
        <f>IF(E402=0,SUMPRODUCT(($A$2:$A$4734=A402)*($B$2:$B$4734=B402)*($D$2:$D$4734=D402)*($E$2:$E$4734=0)),0)</f>
        <v>0</v>
      </c>
      <c r="L402" s="1" t="str">
        <f>IF(E402=0,SUMPRODUCT(MIN($K$2:$K$4734+((($A$2:$A$4734&lt;&gt;A402)+($E$2:$E$4734&lt;&gt;0))&gt;0)*1000000)),"")</f>
        <v/>
      </c>
      <c r="M402" s="1">
        <f>IF(AND(E402=0,COUNTIFS($A$2:A402,A402,$E$2:E402,0)=1),L402,0)</f>
        <v>0</v>
      </c>
    </row>
    <row r="403" spans="1:13" ht="15" customHeight="1">
      <c r="A403" s="1">
        <v>7070</v>
      </c>
      <c r="B403" s="1" t="s">
        <v>16</v>
      </c>
      <c r="C403" s="2" t="s">
        <v>503</v>
      </c>
      <c r="D403" s="2" t="s">
        <v>509</v>
      </c>
      <c r="E403" s="1">
        <v>1</v>
      </c>
      <c r="F403" s="2" t="s">
        <v>511</v>
      </c>
      <c r="G403" s="1">
        <v>2</v>
      </c>
      <c r="H403" s="1" t="str">
        <f t="shared" si="6"/>
        <v>k7070_2</v>
      </c>
      <c r="K403" s="1">
        <f>IF(E403=0,SUMPRODUCT(($A$2:$A$4734=A403)*($B$2:$B$4734=B403)*($D$2:$D$4734=D403)*($E$2:$E$4734=0)),0)</f>
        <v>0</v>
      </c>
      <c r="L403" s="1" t="str">
        <f>IF(E403=0,SUMPRODUCT(MIN($K$2:$K$4734+((($A$2:$A$4734&lt;&gt;A403)+($E$2:$E$4734&lt;&gt;0))&gt;0)*1000000)),"")</f>
        <v/>
      </c>
      <c r="M403" s="1">
        <f>IF(AND(E403=0,COUNTIFS($A$2:A403,A403,$E$2:E403,0)=1),L403,0)</f>
        <v>0</v>
      </c>
    </row>
    <row r="404" spans="1:13" ht="15" customHeight="1">
      <c r="A404" s="1">
        <v>7070</v>
      </c>
      <c r="B404" s="1" t="s">
        <v>16</v>
      </c>
      <c r="C404" s="2" t="s">
        <v>503</v>
      </c>
      <c r="D404" s="2" t="s">
        <v>509</v>
      </c>
      <c r="E404" s="1">
        <v>1</v>
      </c>
      <c r="F404" s="2" t="s">
        <v>512</v>
      </c>
      <c r="G404" s="1">
        <v>3</v>
      </c>
      <c r="H404" s="1" t="str">
        <f t="shared" si="6"/>
        <v>k7070_3</v>
      </c>
      <c r="K404" s="1">
        <f>IF(E404=0,SUMPRODUCT(($A$2:$A$4734=A404)*($B$2:$B$4734=B404)*($D$2:$D$4734=D404)*($E$2:$E$4734=0)),0)</f>
        <v>0</v>
      </c>
      <c r="L404" s="1" t="str">
        <f>IF(E404=0,SUMPRODUCT(MIN($K$2:$K$4734+((($A$2:$A$4734&lt;&gt;A404)+($E$2:$E$4734&lt;&gt;0))&gt;0)*1000000)),"")</f>
        <v/>
      </c>
      <c r="M404" s="1">
        <f>IF(AND(E404=0,COUNTIFS($A$2:A404,A404,$E$2:E404,0)=1),L404,0)</f>
        <v>0</v>
      </c>
    </row>
    <row r="405" spans="1:13" ht="15" customHeight="1">
      <c r="A405" s="1">
        <v>7070</v>
      </c>
      <c r="B405" s="1" t="s">
        <v>16</v>
      </c>
      <c r="C405" s="2" t="s">
        <v>503</v>
      </c>
      <c r="D405" s="2" t="s">
        <v>509</v>
      </c>
      <c r="E405" s="1">
        <v>1</v>
      </c>
      <c r="F405" s="2" t="s">
        <v>513</v>
      </c>
      <c r="G405" s="1">
        <v>4</v>
      </c>
      <c r="H405" s="1" t="str">
        <f t="shared" si="6"/>
        <v>k7070_4</v>
      </c>
      <c r="K405" s="1">
        <f>IF(E405=0,SUMPRODUCT(($A$2:$A$4734=A405)*($B$2:$B$4734=B405)*($D$2:$D$4734=D405)*($E$2:$E$4734=0)),0)</f>
        <v>0</v>
      </c>
      <c r="L405" s="1" t="str">
        <f>IF(E405=0,SUMPRODUCT(MIN($K$2:$K$4734+((($A$2:$A$4734&lt;&gt;A405)+($E$2:$E$4734&lt;&gt;0))&gt;0)*1000000)),"")</f>
        <v/>
      </c>
      <c r="M405" s="1">
        <f>IF(AND(E405=0,COUNTIFS($A$2:A405,A405,$E$2:E405,0)=1),L405,0)</f>
        <v>0</v>
      </c>
    </row>
    <row r="406" spans="1:13" ht="15" customHeight="1">
      <c r="A406" s="1">
        <v>7070</v>
      </c>
      <c r="B406" s="1" t="s">
        <v>16</v>
      </c>
      <c r="C406" s="2" t="s">
        <v>503</v>
      </c>
      <c r="D406" s="2" t="s">
        <v>509</v>
      </c>
      <c r="E406" s="1">
        <v>1</v>
      </c>
      <c r="F406" s="2" t="s">
        <v>514</v>
      </c>
      <c r="G406" s="1">
        <v>5</v>
      </c>
      <c r="H406" s="1" t="str">
        <f t="shared" si="6"/>
        <v>k7070_5</v>
      </c>
      <c r="K406" s="1">
        <f>IF(E406=0,SUMPRODUCT(($A$2:$A$4734=A406)*($B$2:$B$4734=B406)*($D$2:$D$4734=D406)*($E$2:$E$4734=0)),0)</f>
        <v>0</v>
      </c>
      <c r="L406" s="1" t="str">
        <f>IF(E406=0,SUMPRODUCT(MIN($K$2:$K$4734+((($A$2:$A$4734&lt;&gt;A406)+($E$2:$E$4734&lt;&gt;0))&gt;0)*1000000)),"")</f>
        <v/>
      </c>
      <c r="M406" s="1">
        <f>IF(AND(E406=0,COUNTIFS($A$2:A406,A406,$E$2:E406,0)=1),L406,0)</f>
        <v>0</v>
      </c>
    </row>
    <row r="407" spans="1:13" ht="15" customHeight="1">
      <c r="A407" s="1">
        <v>7070</v>
      </c>
      <c r="B407" s="1" t="s">
        <v>16</v>
      </c>
      <c r="C407" s="2" t="s">
        <v>503</v>
      </c>
      <c r="D407" s="2" t="s">
        <v>515</v>
      </c>
      <c r="E407" s="1">
        <v>1</v>
      </c>
      <c r="F407" s="2" t="s">
        <v>516</v>
      </c>
      <c r="G407" s="1">
        <v>1</v>
      </c>
      <c r="H407" s="1" t="str">
        <f t="shared" si="6"/>
        <v>k7070_1</v>
      </c>
      <c r="K407" s="1">
        <f>IF(E407=0,SUMPRODUCT(($A$2:$A$4734=A407)*($B$2:$B$4734=B407)*($D$2:$D$4734=D407)*($E$2:$E$4734=0)),0)</f>
        <v>0</v>
      </c>
      <c r="L407" s="1" t="str">
        <f>IF(E407=0,SUMPRODUCT(MIN($K$2:$K$4734+((($A$2:$A$4734&lt;&gt;A407)+($E$2:$E$4734&lt;&gt;0))&gt;0)*1000000)),"")</f>
        <v/>
      </c>
      <c r="M407" s="1">
        <f>IF(AND(E407=0,COUNTIFS($A$2:A407,A407,$E$2:E407,0)=1),L407,0)</f>
        <v>0</v>
      </c>
    </row>
    <row r="408" spans="1:13" ht="15" customHeight="1">
      <c r="A408" s="1">
        <v>7070</v>
      </c>
      <c r="B408" s="1" t="s">
        <v>16</v>
      </c>
      <c r="C408" s="2" t="s">
        <v>503</v>
      </c>
      <c r="D408" s="2" t="s">
        <v>515</v>
      </c>
      <c r="E408" s="1">
        <v>1</v>
      </c>
      <c r="F408" s="2" t="s">
        <v>517</v>
      </c>
      <c r="G408" s="1">
        <v>2</v>
      </c>
      <c r="H408" s="1" t="str">
        <f t="shared" si="6"/>
        <v>k7070_2</v>
      </c>
      <c r="K408" s="1">
        <f>IF(E408=0,SUMPRODUCT(($A$2:$A$4734=A408)*($B$2:$B$4734=B408)*($D$2:$D$4734=D408)*($E$2:$E$4734=0)),0)</f>
        <v>0</v>
      </c>
      <c r="L408" s="1" t="str">
        <f>IF(E408=0,SUMPRODUCT(MIN($K$2:$K$4734+((($A$2:$A$4734&lt;&gt;A408)+($E$2:$E$4734&lt;&gt;0))&gt;0)*1000000)),"")</f>
        <v/>
      </c>
      <c r="M408" s="1">
        <f>IF(AND(E408=0,COUNTIFS($A$2:A408,A408,$E$2:E408,0)=1),L408,0)</f>
        <v>0</v>
      </c>
    </row>
    <row r="409" spans="1:13" ht="15" customHeight="1">
      <c r="A409" s="1">
        <v>7070</v>
      </c>
      <c r="B409" s="1" t="s">
        <v>16</v>
      </c>
      <c r="C409" s="2" t="s">
        <v>503</v>
      </c>
      <c r="D409" s="2" t="s">
        <v>515</v>
      </c>
      <c r="E409" s="1">
        <v>1</v>
      </c>
      <c r="F409" s="2" t="s">
        <v>518</v>
      </c>
      <c r="G409" s="1">
        <v>3</v>
      </c>
      <c r="H409" s="1" t="str">
        <f t="shared" si="6"/>
        <v>k7070_3</v>
      </c>
      <c r="K409" s="1">
        <f>IF(E409=0,SUMPRODUCT(($A$2:$A$4734=A409)*($B$2:$B$4734=B409)*($D$2:$D$4734=D409)*($E$2:$E$4734=0)),0)</f>
        <v>0</v>
      </c>
      <c r="L409" s="1" t="str">
        <f>IF(E409=0,SUMPRODUCT(MIN($K$2:$K$4734+((($A$2:$A$4734&lt;&gt;A409)+($E$2:$E$4734&lt;&gt;0))&gt;0)*1000000)),"")</f>
        <v/>
      </c>
      <c r="M409" s="1">
        <f>IF(AND(E409=0,COUNTIFS($A$2:A409,A409,$E$2:E409,0)=1),L409,0)</f>
        <v>0</v>
      </c>
    </row>
    <row r="410" spans="1:13" ht="15" customHeight="1">
      <c r="A410" s="1">
        <v>7070</v>
      </c>
      <c r="B410" s="1" t="s">
        <v>16</v>
      </c>
      <c r="C410" s="2" t="s">
        <v>503</v>
      </c>
      <c r="D410" s="2" t="s">
        <v>515</v>
      </c>
      <c r="E410" s="1">
        <v>1</v>
      </c>
      <c r="F410" s="2" t="s">
        <v>519</v>
      </c>
      <c r="G410" s="1">
        <v>4</v>
      </c>
      <c r="H410" s="1" t="str">
        <f t="shared" si="6"/>
        <v>k7070_4</v>
      </c>
      <c r="K410" s="1">
        <f>IF(E410=0,SUMPRODUCT(($A$2:$A$4734=A410)*($B$2:$B$4734=B410)*($D$2:$D$4734=D410)*($E$2:$E$4734=0)),0)</f>
        <v>0</v>
      </c>
      <c r="L410" s="1" t="str">
        <f>IF(E410=0,SUMPRODUCT(MIN($K$2:$K$4734+((($A$2:$A$4734&lt;&gt;A410)+($E$2:$E$4734&lt;&gt;0))&gt;0)*1000000)),"")</f>
        <v/>
      </c>
      <c r="M410" s="1">
        <f>IF(AND(E410=0,COUNTIFS($A$2:A410,A410,$E$2:E410,0)=1),L410,0)</f>
        <v>0</v>
      </c>
    </row>
    <row r="411" spans="1:13" ht="15" customHeight="1">
      <c r="A411" s="1">
        <v>7070</v>
      </c>
      <c r="B411" s="1" t="s">
        <v>16</v>
      </c>
      <c r="C411" s="2" t="s">
        <v>503</v>
      </c>
      <c r="D411" s="2" t="s">
        <v>515</v>
      </c>
      <c r="E411" s="1">
        <v>1</v>
      </c>
      <c r="F411" s="2" t="s">
        <v>520</v>
      </c>
      <c r="G411" s="1">
        <v>5</v>
      </c>
      <c r="H411" s="1" t="str">
        <f t="shared" si="6"/>
        <v>k7070_5</v>
      </c>
      <c r="K411" s="1">
        <f>IF(E411=0,SUMPRODUCT(($A$2:$A$4734=A411)*($B$2:$B$4734=B411)*($D$2:$D$4734=D411)*($E$2:$E$4734=0)),0)</f>
        <v>0</v>
      </c>
      <c r="L411" s="1" t="str">
        <f>IF(E411=0,SUMPRODUCT(MIN($K$2:$K$4734+((($A$2:$A$4734&lt;&gt;A411)+($E$2:$E$4734&lt;&gt;0))&gt;0)*1000000)),"")</f>
        <v/>
      </c>
      <c r="M411" s="1">
        <f>IF(AND(E411=0,COUNTIFS($A$2:A411,A411,$E$2:E411,0)=1),L411,0)</f>
        <v>0</v>
      </c>
    </row>
    <row r="412" spans="1:13" ht="15" customHeight="1">
      <c r="A412" s="1">
        <v>7070</v>
      </c>
      <c r="B412" s="1" t="s">
        <v>9</v>
      </c>
      <c r="C412" s="2" t="s">
        <v>503</v>
      </c>
      <c r="D412" s="2" t="s">
        <v>515</v>
      </c>
      <c r="E412" s="1">
        <v>1</v>
      </c>
      <c r="F412" s="2" t="s">
        <v>521</v>
      </c>
      <c r="G412" s="1">
        <v>1</v>
      </c>
      <c r="H412" s="1" t="str">
        <f t="shared" si="6"/>
        <v>k7070_1</v>
      </c>
      <c r="K412" s="1">
        <f>IF(E412=0,SUMPRODUCT(($A$2:$A$4734=A412)*($B$2:$B$4734=B412)*($D$2:$D$4734=D412)*($E$2:$E$4734=0)),0)</f>
        <v>0</v>
      </c>
      <c r="L412" s="1" t="str">
        <f>IF(E412=0,SUMPRODUCT(MIN($K$2:$K$4734+((($A$2:$A$4734&lt;&gt;A412)+($E$2:$E$4734&lt;&gt;0))&gt;0)*1000000)),"")</f>
        <v/>
      </c>
      <c r="M412" s="1">
        <f>IF(AND(E412=0,COUNTIFS($A$2:A412,A412,$E$2:E412,0)=1),L412,0)</f>
        <v>0</v>
      </c>
    </row>
    <row r="413" spans="1:13" ht="15" customHeight="1">
      <c r="A413" s="1">
        <v>7070</v>
      </c>
      <c r="B413" s="1" t="s">
        <v>9</v>
      </c>
      <c r="C413" s="2" t="s">
        <v>503</v>
      </c>
      <c r="D413" s="2" t="s">
        <v>515</v>
      </c>
      <c r="E413" s="1">
        <v>1</v>
      </c>
      <c r="F413" s="2" t="s">
        <v>522</v>
      </c>
      <c r="G413" s="1">
        <v>2</v>
      </c>
      <c r="H413" s="1" t="str">
        <f t="shared" si="6"/>
        <v>k7070_2</v>
      </c>
      <c r="K413" s="1">
        <f>IF(E413=0,SUMPRODUCT(($A$2:$A$4734=A413)*($B$2:$B$4734=B413)*($D$2:$D$4734=D413)*($E$2:$E$4734=0)),0)</f>
        <v>0</v>
      </c>
      <c r="L413" s="1" t="str">
        <f>IF(E413=0,SUMPRODUCT(MIN($K$2:$K$4734+((($A$2:$A$4734&lt;&gt;A413)+($E$2:$E$4734&lt;&gt;0))&gt;0)*1000000)),"")</f>
        <v/>
      </c>
      <c r="M413" s="1">
        <f>IF(AND(E413=0,COUNTIFS($A$2:A413,A413,$E$2:E413,0)=1),L413,0)</f>
        <v>0</v>
      </c>
    </row>
    <row r="414" spans="1:13" ht="15" customHeight="1">
      <c r="A414" s="1">
        <v>7070</v>
      </c>
      <c r="B414" s="1" t="s">
        <v>9</v>
      </c>
      <c r="C414" s="2" t="s">
        <v>503</v>
      </c>
      <c r="D414" s="2" t="s">
        <v>515</v>
      </c>
      <c r="E414" s="1">
        <v>1</v>
      </c>
      <c r="F414" s="2" t="s">
        <v>523</v>
      </c>
      <c r="G414" s="1">
        <v>3</v>
      </c>
      <c r="H414" s="1" t="str">
        <f t="shared" si="6"/>
        <v>k7070_3</v>
      </c>
      <c r="K414" s="1">
        <f>IF(E414=0,SUMPRODUCT(($A$2:$A$4734=A414)*($B$2:$B$4734=B414)*($D$2:$D$4734=D414)*($E$2:$E$4734=0)),0)</f>
        <v>0</v>
      </c>
      <c r="L414" s="1" t="str">
        <f>IF(E414=0,SUMPRODUCT(MIN($K$2:$K$4734+((($A$2:$A$4734&lt;&gt;A414)+($E$2:$E$4734&lt;&gt;0))&gt;0)*1000000)),"")</f>
        <v/>
      </c>
      <c r="M414" s="1">
        <f>IF(AND(E414=0,COUNTIFS($A$2:A414,A414,$E$2:E414,0)=1),L414,0)</f>
        <v>0</v>
      </c>
    </row>
    <row r="415" spans="1:13" ht="15" customHeight="1">
      <c r="A415" s="1">
        <v>7070</v>
      </c>
      <c r="B415" s="1" t="s">
        <v>9</v>
      </c>
      <c r="C415" s="2" t="s">
        <v>503</v>
      </c>
      <c r="D415" s="2" t="s">
        <v>515</v>
      </c>
      <c r="E415" s="1">
        <v>1</v>
      </c>
      <c r="F415" s="2" t="s">
        <v>524</v>
      </c>
      <c r="G415" s="1">
        <v>4</v>
      </c>
      <c r="H415" s="1" t="str">
        <f t="shared" si="6"/>
        <v>k7070_4</v>
      </c>
      <c r="K415" s="1">
        <f>IF(E415=0,SUMPRODUCT(($A$2:$A$4734=A415)*($B$2:$B$4734=B415)*($D$2:$D$4734=D415)*($E$2:$E$4734=0)),0)</f>
        <v>0</v>
      </c>
      <c r="L415" s="1" t="str">
        <f>IF(E415=0,SUMPRODUCT(MIN($K$2:$K$4734+((($A$2:$A$4734&lt;&gt;A415)+($E$2:$E$4734&lt;&gt;0))&gt;0)*1000000)),"")</f>
        <v/>
      </c>
      <c r="M415" s="1">
        <f>IF(AND(E415=0,COUNTIFS($A$2:A415,A415,$E$2:E415,0)=1),L415,0)</f>
        <v>0</v>
      </c>
    </row>
    <row r="416" spans="1:13" ht="15" customHeight="1">
      <c r="A416" s="1">
        <v>7070</v>
      </c>
      <c r="B416" s="1" t="s">
        <v>9</v>
      </c>
      <c r="C416" s="2" t="s">
        <v>503</v>
      </c>
      <c r="D416" s="2" t="s">
        <v>515</v>
      </c>
      <c r="E416" s="1">
        <v>1</v>
      </c>
      <c r="F416" s="2" t="s">
        <v>525</v>
      </c>
      <c r="G416" s="1">
        <v>5</v>
      </c>
      <c r="H416" s="1" t="str">
        <f t="shared" si="6"/>
        <v>k7070_5</v>
      </c>
      <c r="K416" s="1">
        <f>IF(E416=0,SUMPRODUCT(($A$2:$A$4734=A416)*($B$2:$B$4734=B416)*($D$2:$D$4734=D416)*($E$2:$E$4734=0)),0)</f>
        <v>0</v>
      </c>
      <c r="L416" s="1" t="str">
        <f>IF(E416=0,SUMPRODUCT(MIN($K$2:$K$4734+((($A$2:$A$4734&lt;&gt;A416)+($E$2:$E$4734&lt;&gt;0))&gt;0)*1000000)),"")</f>
        <v/>
      </c>
      <c r="M416" s="1">
        <f>IF(AND(E416=0,COUNTIFS($A$2:A416,A416,$E$2:E416,0)=1),L416,0)</f>
        <v>0</v>
      </c>
    </row>
    <row r="417" spans="1:13" ht="15" customHeight="1">
      <c r="A417" s="1">
        <v>7070</v>
      </c>
      <c r="B417" s="1" t="s">
        <v>16</v>
      </c>
      <c r="C417" s="2" t="s">
        <v>503</v>
      </c>
      <c r="D417" s="2" t="s">
        <v>526</v>
      </c>
      <c r="E417" s="1">
        <v>1</v>
      </c>
      <c r="F417" s="2" t="s">
        <v>527</v>
      </c>
      <c r="G417" s="1">
        <v>1</v>
      </c>
      <c r="H417" s="1" t="str">
        <f t="shared" si="6"/>
        <v>k7070_1</v>
      </c>
      <c r="K417" s="1">
        <f>IF(E417=0,SUMPRODUCT(($A$2:$A$4734=A417)*($B$2:$B$4734=B417)*($D$2:$D$4734=D417)*($E$2:$E$4734=0)),0)</f>
        <v>0</v>
      </c>
      <c r="L417" s="1" t="str">
        <f>IF(E417=0,SUMPRODUCT(MIN($K$2:$K$4734+((($A$2:$A$4734&lt;&gt;A417)+($E$2:$E$4734&lt;&gt;0))&gt;0)*1000000)),"")</f>
        <v/>
      </c>
      <c r="M417" s="1">
        <f>IF(AND(E417=0,COUNTIFS($A$2:A417,A417,$E$2:E417,0)=1),L417,0)</f>
        <v>0</v>
      </c>
    </row>
    <row r="418" spans="1:13" ht="15" customHeight="1">
      <c r="A418" s="1">
        <v>7070</v>
      </c>
      <c r="B418" s="1" t="s">
        <v>16</v>
      </c>
      <c r="C418" s="2" t="s">
        <v>503</v>
      </c>
      <c r="D418" s="2" t="s">
        <v>526</v>
      </c>
      <c r="E418" s="1">
        <v>1</v>
      </c>
      <c r="F418" s="2" t="s">
        <v>528</v>
      </c>
      <c r="G418" s="1">
        <v>2</v>
      </c>
      <c r="H418" s="1" t="str">
        <f t="shared" si="6"/>
        <v>k7070_2</v>
      </c>
      <c r="K418" s="1">
        <f>IF(E418=0,SUMPRODUCT(($A$2:$A$4734=A418)*($B$2:$B$4734=B418)*($D$2:$D$4734=D418)*($E$2:$E$4734=0)),0)</f>
        <v>0</v>
      </c>
      <c r="L418" s="1" t="str">
        <f>IF(E418=0,SUMPRODUCT(MIN($K$2:$K$4734+((($A$2:$A$4734&lt;&gt;A418)+($E$2:$E$4734&lt;&gt;0))&gt;0)*1000000)),"")</f>
        <v/>
      </c>
      <c r="M418" s="1">
        <f>IF(AND(E418=0,COUNTIFS($A$2:A418,A418,$E$2:E418,0)=1),L418,0)</f>
        <v>0</v>
      </c>
    </row>
    <row r="419" spans="1:13" ht="15" customHeight="1">
      <c r="A419" s="1">
        <v>7070</v>
      </c>
      <c r="B419" s="1" t="s">
        <v>16</v>
      </c>
      <c r="C419" s="2" t="s">
        <v>503</v>
      </c>
      <c r="D419" s="2" t="s">
        <v>526</v>
      </c>
      <c r="E419" s="1">
        <v>1</v>
      </c>
      <c r="F419" s="2" t="s">
        <v>529</v>
      </c>
      <c r="G419" s="1">
        <v>3</v>
      </c>
      <c r="H419" s="1" t="str">
        <f t="shared" si="6"/>
        <v>k7070_3</v>
      </c>
      <c r="K419" s="1">
        <f>IF(E419=0,SUMPRODUCT(($A$2:$A$4734=A419)*($B$2:$B$4734=B419)*($D$2:$D$4734=D419)*($E$2:$E$4734=0)),0)</f>
        <v>0</v>
      </c>
      <c r="L419" s="1" t="str">
        <f>IF(E419=0,SUMPRODUCT(MIN($K$2:$K$4734+((($A$2:$A$4734&lt;&gt;A419)+($E$2:$E$4734&lt;&gt;0))&gt;0)*1000000)),"")</f>
        <v/>
      </c>
      <c r="M419" s="1">
        <f>IF(AND(E419=0,COUNTIFS($A$2:A419,A419,$E$2:E419,0)=1),L419,0)</f>
        <v>0</v>
      </c>
    </row>
    <row r="420" spans="1:13" ht="15" customHeight="1">
      <c r="A420" s="1">
        <v>7070</v>
      </c>
      <c r="B420" s="1" t="s">
        <v>16</v>
      </c>
      <c r="C420" s="2" t="s">
        <v>503</v>
      </c>
      <c r="D420" s="2" t="s">
        <v>526</v>
      </c>
      <c r="E420" s="1">
        <v>1</v>
      </c>
      <c r="F420" s="2" t="s">
        <v>530</v>
      </c>
      <c r="G420" s="1">
        <v>4</v>
      </c>
      <c r="H420" s="1" t="str">
        <f t="shared" si="6"/>
        <v>k7070_4</v>
      </c>
      <c r="K420" s="1">
        <f>IF(E420=0,SUMPRODUCT(($A$2:$A$4734=A420)*($B$2:$B$4734=B420)*($D$2:$D$4734=D420)*($E$2:$E$4734=0)),0)</f>
        <v>0</v>
      </c>
      <c r="L420" s="1" t="str">
        <f>IF(E420=0,SUMPRODUCT(MIN($K$2:$K$4734+((($A$2:$A$4734&lt;&gt;A420)+($E$2:$E$4734&lt;&gt;0))&gt;0)*1000000)),"")</f>
        <v/>
      </c>
      <c r="M420" s="1">
        <f>IF(AND(E420=0,COUNTIFS($A$2:A420,A420,$E$2:E420,0)=1),L420,0)</f>
        <v>0</v>
      </c>
    </row>
    <row r="421" spans="1:13" ht="15" customHeight="1">
      <c r="A421" s="1">
        <v>7070</v>
      </c>
      <c r="B421" s="1" t="s">
        <v>16</v>
      </c>
      <c r="C421" s="2" t="s">
        <v>503</v>
      </c>
      <c r="D421" s="2" t="s">
        <v>526</v>
      </c>
      <c r="E421" s="1">
        <v>1</v>
      </c>
      <c r="F421" s="2" t="s">
        <v>531</v>
      </c>
      <c r="G421" s="1">
        <v>5</v>
      </c>
      <c r="H421" s="1" t="str">
        <f t="shared" si="6"/>
        <v>k7070_5</v>
      </c>
      <c r="K421" s="1">
        <f>IF(E421=0,SUMPRODUCT(($A$2:$A$4734=A421)*($B$2:$B$4734=B421)*($D$2:$D$4734=D421)*($E$2:$E$4734=0)),0)</f>
        <v>0</v>
      </c>
      <c r="L421" s="1" t="str">
        <f>IF(E421=0,SUMPRODUCT(MIN($K$2:$K$4734+((($A$2:$A$4734&lt;&gt;A421)+($E$2:$E$4734&lt;&gt;0))&gt;0)*1000000)),"")</f>
        <v/>
      </c>
      <c r="M421" s="1">
        <f>IF(AND(E421=0,COUNTIFS($A$2:A421,A421,$E$2:E421,0)=1),L421,0)</f>
        <v>0</v>
      </c>
    </row>
    <row r="422" spans="1:13" ht="15" customHeight="1">
      <c r="A422" s="1">
        <v>7070</v>
      </c>
      <c r="B422" s="1" t="s">
        <v>9</v>
      </c>
      <c r="C422" s="2" t="s">
        <v>503</v>
      </c>
      <c r="D422" s="2" t="s">
        <v>532</v>
      </c>
      <c r="E422" s="1">
        <v>1</v>
      </c>
      <c r="F422" s="2" t="s">
        <v>533</v>
      </c>
      <c r="G422" s="1">
        <v>1</v>
      </c>
      <c r="H422" s="1" t="str">
        <f t="shared" si="6"/>
        <v>k7070_1</v>
      </c>
      <c r="K422" s="1">
        <f>IF(E422=0,SUMPRODUCT(($A$2:$A$4734=A422)*($B$2:$B$4734=B422)*($D$2:$D$4734=D422)*($E$2:$E$4734=0)),0)</f>
        <v>0</v>
      </c>
      <c r="L422" s="1" t="str">
        <f>IF(E422=0,SUMPRODUCT(MIN($K$2:$K$4734+((($A$2:$A$4734&lt;&gt;A422)+($E$2:$E$4734&lt;&gt;0))&gt;0)*1000000)),"")</f>
        <v/>
      </c>
      <c r="M422" s="1">
        <f>IF(AND(E422=0,COUNTIFS($A$2:A422,A422,$E$2:E422,0)=1),L422,0)</f>
        <v>0</v>
      </c>
    </row>
    <row r="423" spans="1:13" ht="15" customHeight="1">
      <c r="A423" s="1">
        <v>7070</v>
      </c>
      <c r="B423" s="1" t="s">
        <v>9</v>
      </c>
      <c r="C423" s="2" t="s">
        <v>503</v>
      </c>
      <c r="D423" s="2" t="s">
        <v>532</v>
      </c>
      <c r="E423" s="1">
        <v>1</v>
      </c>
      <c r="F423" s="2" t="s">
        <v>534</v>
      </c>
      <c r="G423" s="1">
        <v>2</v>
      </c>
      <c r="H423" s="1" t="str">
        <f t="shared" si="6"/>
        <v>k7070_2</v>
      </c>
      <c r="K423" s="1">
        <f>IF(E423=0,SUMPRODUCT(($A$2:$A$4734=A423)*($B$2:$B$4734=B423)*($D$2:$D$4734=D423)*($E$2:$E$4734=0)),0)</f>
        <v>0</v>
      </c>
      <c r="L423" s="1" t="str">
        <f>IF(E423=0,SUMPRODUCT(MIN($K$2:$K$4734+((($A$2:$A$4734&lt;&gt;A423)+($E$2:$E$4734&lt;&gt;0))&gt;0)*1000000)),"")</f>
        <v/>
      </c>
      <c r="M423" s="1">
        <f>IF(AND(E423=0,COUNTIFS($A$2:A423,A423,$E$2:E423,0)=1),L423,0)</f>
        <v>0</v>
      </c>
    </row>
    <row r="424" spans="1:13" ht="15" customHeight="1">
      <c r="A424" s="1">
        <v>7070</v>
      </c>
      <c r="B424" s="1" t="s">
        <v>9</v>
      </c>
      <c r="C424" s="2" t="s">
        <v>503</v>
      </c>
      <c r="D424" s="2" t="s">
        <v>532</v>
      </c>
      <c r="E424" s="1">
        <v>1</v>
      </c>
      <c r="F424" s="2" t="s">
        <v>535</v>
      </c>
      <c r="G424" s="1">
        <v>3</v>
      </c>
      <c r="H424" s="1" t="str">
        <f t="shared" si="6"/>
        <v>k7070_3</v>
      </c>
      <c r="K424" s="1">
        <f>IF(E424=0,SUMPRODUCT(($A$2:$A$4734=A424)*($B$2:$B$4734=B424)*($D$2:$D$4734=D424)*($E$2:$E$4734=0)),0)</f>
        <v>0</v>
      </c>
      <c r="L424" s="1" t="str">
        <f>IF(E424=0,SUMPRODUCT(MIN($K$2:$K$4734+((($A$2:$A$4734&lt;&gt;A424)+($E$2:$E$4734&lt;&gt;0))&gt;0)*1000000)),"")</f>
        <v/>
      </c>
      <c r="M424" s="1">
        <f>IF(AND(E424=0,COUNTIFS($A$2:A424,A424,$E$2:E424,0)=1),L424,0)</f>
        <v>0</v>
      </c>
    </row>
    <row r="425" spans="1:13" ht="15" customHeight="1">
      <c r="A425" s="1">
        <v>7070</v>
      </c>
      <c r="B425" s="1" t="s">
        <v>9</v>
      </c>
      <c r="C425" s="2" t="s">
        <v>503</v>
      </c>
      <c r="D425" s="2" t="s">
        <v>532</v>
      </c>
      <c r="E425" s="1">
        <v>1</v>
      </c>
      <c r="F425" s="2" t="s">
        <v>536</v>
      </c>
      <c r="G425" s="1">
        <v>4</v>
      </c>
      <c r="H425" s="1" t="str">
        <f t="shared" si="6"/>
        <v>k7070_4</v>
      </c>
      <c r="K425" s="1">
        <f>IF(E425=0,SUMPRODUCT(($A$2:$A$4734=A425)*($B$2:$B$4734=B425)*($D$2:$D$4734=D425)*($E$2:$E$4734=0)),0)</f>
        <v>0</v>
      </c>
      <c r="L425" s="1" t="str">
        <f>IF(E425=0,SUMPRODUCT(MIN($K$2:$K$4734+((($A$2:$A$4734&lt;&gt;A425)+($E$2:$E$4734&lt;&gt;0))&gt;0)*1000000)),"")</f>
        <v/>
      </c>
      <c r="M425" s="1">
        <f>IF(AND(E425=0,COUNTIFS($A$2:A425,A425,$E$2:E425,0)=1),L425,0)</f>
        <v>0</v>
      </c>
    </row>
    <row r="426" spans="1:13" ht="15" customHeight="1">
      <c r="A426" s="1">
        <v>7070</v>
      </c>
      <c r="B426" s="1" t="s">
        <v>9</v>
      </c>
      <c r="C426" s="2" t="s">
        <v>503</v>
      </c>
      <c r="D426" s="2" t="s">
        <v>532</v>
      </c>
      <c r="E426" s="1">
        <v>1</v>
      </c>
      <c r="F426" s="2" t="s">
        <v>537</v>
      </c>
      <c r="G426" s="1">
        <v>5</v>
      </c>
      <c r="H426" s="1" t="str">
        <f t="shared" si="6"/>
        <v>k7070_5</v>
      </c>
      <c r="K426" s="1">
        <f>IF(E426=0,SUMPRODUCT(($A$2:$A$4734=A426)*($B$2:$B$4734=B426)*($D$2:$D$4734=D426)*($E$2:$E$4734=0)),0)</f>
        <v>0</v>
      </c>
      <c r="L426" s="1" t="str">
        <f>IF(E426=0,SUMPRODUCT(MIN($K$2:$K$4734+((($A$2:$A$4734&lt;&gt;A426)+($E$2:$E$4734&lt;&gt;0))&gt;0)*1000000)),"")</f>
        <v/>
      </c>
      <c r="M426" s="1">
        <f>IF(AND(E426=0,COUNTIFS($A$2:A426,A426,$E$2:E426,0)=1),L426,0)</f>
        <v>0</v>
      </c>
    </row>
    <row r="427" spans="1:13" ht="15" customHeight="1">
      <c r="A427" s="1">
        <v>7071</v>
      </c>
      <c r="B427" s="1" t="s">
        <v>9</v>
      </c>
      <c r="C427" s="2" t="s">
        <v>538</v>
      </c>
      <c r="D427" s="2" t="s">
        <v>539</v>
      </c>
      <c r="E427" s="1">
        <v>1</v>
      </c>
      <c r="F427" s="2" t="s">
        <v>540</v>
      </c>
      <c r="G427" s="1">
        <v>1</v>
      </c>
      <c r="H427" s="1" t="str">
        <f t="shared" si="6"/>
        <v>k7071_1</v>
      </c>
      <c r="K427" s="1">
        <f>IF(E427=0,SUMPRODUCT(($A$2:$A$4734=A427)*($B$2:$B$4734=B427)*($D$2:$D$4734=D427)*($E$2:$E$4734=0)),0)</f>
        <v>0</v>
      </c>
      <c r="L427" s="1" t="str">
        <f>IF(E427=0,SUMPRODUCT(MIN($K$2:$K$4734+((($A$2:$A$4734&lt;&gt;A427)+($E$2:$E$4734&lt;&gt;0))&gt;0)*1000000)),"")</f>
        <v/>
      </c>
      <c r="M427" s="1">
        <f>IF(AND(E427=0,COUNTIFS($A$2:A427,A427,$E$2:E427,0)=1),L427,0)</f>
        <v>0</v>
      </c>
    </row>
    <row r="428" spans="1:13" ht="15" customHeight="1">
      <c r="A428" s="1">
        <v>7071</v>
      </c>
      <c r="B428" s="1" t="s">
        <v>9</v>
      </c>
      <c r="C428" s="2" t="s">
        <v>538</v>
      </c>
      <c r="D428" s="2" t="s">
        <v>539</v>
      </c>
      <c r="E428" s="1">
        <v>1</v>
      </c>
      <c r="F428" s="2" t="s">
        <v>541</v>
      </c>
      <c r="G428" s="1">
        <v>2</v>
      </c>
      <c r="H428" s="1" t="str">
        <f t="shared" si="6"/>
        <v>k7071_2</v>
      </c>
      <c r="K428" s="1">
        <f>IF(E428=0,SUMPRODUCT(($A$2:$A$4734=A428)*($B$2:$B$4734=B428)*($D$2:$D$4734=D428)*($E$2:$E$4734=0)),0)</f>
        <v>0</v>
      </c>
      <c r="L428" s="1" t="str">
        <f>IF(E428=0,SUMPRODUCT(MIN($K$2:$K$4734+((($A$2:$A$4734&lt;&gt;A428)+($E$2:$E$4734&lt;&gt;0))&gt;0)*1000000)),"")</f>
        <v/>
      </c>
      <c r="M428" s="1">
        <f>IF(AND(E428=0,COUNTIFS($A$2:A428,A428,$E$2:E428,0)=1),L428,0)</f>
        <v>0</v>
      </c>
    </row>
    <row r="429" spans="1:13" ht="15" customHeight="1">
      <c r="A429" s="1">
        <v>7071</v>
      </c>
      <c r="B429" s="1" t="s">
        <v>9</v>
      </c>
      <c r="C429" s="2" t="s">
        <v>538</v>
      </c>
      <c r="D429" s="2" t="s">
        <v>539</v>
      </c>
      <c r="E429" s="1">
        <v>1</v>
      </c>
      <c r="F429" s="2" t="s">
        <v>542</v>
      </c>
      <c r="G429" s="1">
        <v>3</v>
      </c>
      <c r="H429" s="1" t="str">
        <f t="shared" si="6"/>
        <v>k7071_3</v>
      </c>
      <c r="K429" s="1">
        <f>IF(E429=0,SUMPRODUCT(($A$2:$A$4734=A429)*($B$2:$B$4734=B429)*($D$2:$D$4734=D429)*($E$2:$E$4734=0)),0)</f>
        <v>0</v>
      </c>
      <c r="L429" s="1" t="str">
        <f>IF(E429=0,SUMPRODUCT(MIN($K$2:$K$4734+((($A$2:$A$4734&lt;&gt;A429)+($E$2:$E$4734&lt;&gt;0))&gt;0)*1000000)),"")</f>
        <v/>
      </c>
      <c r="M429" s="1">
        <f>IF(AND(E429=0,COUNTIFS($A$2:A429,A429,$E$2:E429,0)=1),L429,0)</f>
        <v>0</v>
      </c>
    </row>
    <row r="430" spans="1:13" ht="15" customHeight="1">
      <c r="A430" s="1">
        <v>7071</v>
      </c>
      <c r="B430" s="1" t="s">
        <v>9</v>
      </c>
      <c r="C430" s="2" t="s">
        <v>538</v>
      </c>
      <c r="D430" s="2" t="s">
        <v>539</v>
      </c>
      <c r="E430" s="1">
        <v>1</v>
      </c>
      <c r="F430" s="2" t="s">
        <v>543</v>
      </c>
      <c r="G430" s="1">
        <v>4</v>
      </c>
      <c r="H430" s="1" t="str">
        <f t="shared" si="6"/>
        <v>k7071_4</v>
      </c>
      <c r="K430" s="1">
        <f>IF(E430=0,SUMPRODUCT(($A$2:$A$4734=A430)*($B$2:$B$4734=B430)*($D$2:$D$4734=D430)*($E$2:$E$4734=0)),0)</f>
        <v>0</v>
      </c>
      <c r="L430" s="1" t="str">
        <f>IF(E430=0,SUMPRODUCT(MIN($K$2:$K$4734+((($A$2:$A$4734&lt;&gt;A430)+($E$2:$E$4734&lt;&gt;0))&gt;0)*1000000)),"")</f>
        <v/>
      </c>
      <c r="M430" s="1">
        <f>IF(AND(E430=0,COUNTIFS($A$2:A430,A430,$E$2:E430,0)=1),L430,0)</f>
        <v>0</v>
      </c>
    </row>
    <row r="431" spans="1:13" ht="15" customHeight="1">
      <c r="A431" s="1">
        <v>7071</v>
      </c>
      <c r="B431" s="1" t="s">
        <v>9</v>
      </c>
      <c r="C431" s="2" t="s">
        <v>538</v>
      </c>
      <c r="D431" s="2" t="s">
        <v>539</v>
      </c>
      <c r="E431" s="1">
        <v>1</v>
      </c>
      <c r="F431" s="2" t="s">
        <v>544</v>
      </c>
      <c r="G431" s="1">
        <v>5</v>
      </c>
      <c r="H431" s="1" t="str">
        <f t="shared" si="6"/>
        <v>k7071_5</v>
      </c>
      <c r="K431" s="1">
        <f>IF(E431=0,SUMPRODUCT(($A$2:$A$4734=A431)*($B$2:$B$4734=B431)*($D$2:$D$4734=D431)*($E$2:$E$4734=0)),0)</f>
        <v>0</v>
      </c>
      <c r="L431" s="1" t="str">
        <f>IF(E431=0,SUMPRODUCT(MIN($K$2:$K$4734+((($A$2:$A$4734&lt;&gt;A431)+($E$2:$E$4734&lt;&gt;0))&gt;0)*1000000)),"")</f>
        <v/>
      </c>
      <c r="M431" s="1">
        <f>IF(AND(E431=0,COUNTIFS($A$2:A431,A431,$E$2:E431,0)=1),L431,0)</f>
        <v>0</v>
      </c>
    </row>
    <row r="432" spans="1:13" ht="15" customHeight="1">
      <c r="A432" s="1">
        <v>7071</v>
      </c>
      <c r="B432" s="1" t="s">
        <v>69</v>
      </c>
      <c r="C432" s="2" t="s">
        <v>538</v>
      </c>
      <c r="D432" s="2" t="s">
        <v>538</v>
      </c>
      <c r="E432" s="1">
        <v>1</v>
      </c>
      <c r="F432" s="2" t="s">
        <v>545</v>
      </c>
      <c r="G432" s="1">
        <v>1</v>
      </c>
      <c r="H432" s="1" t="str">
        <f t="shared" si="6"/>
        <v>k7071_1</v>
      </c>
      <c r="K432" s="1">
        <f>IF(E432=0,SUMPRODUCT(($A$2:$A$4734=A432)*($B$2:$B$4734=B432)*($D$2:$D$4734=D432)*($E$2:$E$4734=0)),0)</f>
        <v>0</v>
      </c>
      <c r="L432" s="1" t="str">
        <f>IF(E432=0,SUMPRODUCT(MIN($K$2:$K$4734+((($A$2:$A$4734&lt;&gt;A432)+($E$2:$E$4734&lt;&gt;0))&gt;0)*1000000)),"")</f>
        <v/>
      </c>
      <c r="M432" s="1">
        <f>IF(AND(E432=0,COUNTIFS($A$2:A432,A432,$E$2:E432,0)=1),L432,0)</f>
        <v>0</v>
      </c>
    </row>
    <row r="433" spans="1:13" ht="15" customHeight="1">
      <c r="A433" s="1">
        <v>7071</v>
      </c>
      <c r="B433" s="1" t="s">
        <v>69</v>
      </c>
      <c r="C433" s="2" t="s">
        <v>538</v>
      </c>
      <c r="D433" s="2" t="s">
        <v>538</v>
      </c>
      <c r="E433" s="1">
        <v>1</v>
      </c>
      <c r="F433" s="2" t="s">
        <v>546</v>
      </c>
      <c r="G433" s="1">
        <v>2</v>
      </c>
      <c r="H433" s="1" t="str">
        <f t="shared" si="6"/>
        <v>k7071_2</v>
      </c>
      <c r="K433" s="1">
        <f>IF(E433=0,SUMPRODUCT(($A$2:$A$4734=A433)*($B$2:$B$4734=B433)*($D$2:$D$4734=D433)*($E$2:$E$4734=0)),0)</f>
        <v>0</v>
      </c>
      <c r="L433" s="1" t="str">
        <f>IF(E433=0,SUMPRODUCT(MIN($K$2:$K$4734+((($A$2:$A$4734&lt;&gt;A433)+($E$2:$E$4734&lt;&gt;0))&gt;0)*1000000)),"")</f>
        <v/>
      </c>
      <c r="M433" s="1">
        <f>IF(AND(E433=0,COUNTIFS($A$2:A433,A433,$E$2:E433,0)=1),L433,0)</f>
        <v>0</v>
      </c>
    </row>
    <row r="434" spans="1:13" ht="15" customHeight="1">
      <c r="A434" s="1">
        <v>7071</v>
      </c>
      <c r="B434" s="1" t="s">
        <v>69</v>
      </c>
      <c r="C434" s="2" t="s">
        <v>538</v>
      </c>
      <c r="D434" s="2" t="s">
        <v>538</v>
      </c>
      <c r="E434" s="1">
        <v>1</v>
      </c>
      <c r="F434" s="2" t="s">
        <v>547</v>
      </c>
      <c r="G434" s="1">
        <v>3</v>
      </c>
      <c r="H434" s="1" t="str">
        <f t="shared" si="6"/>
        <v>k7071_3</v>
      </c>
      <c r="K434" s="1">
        <f>IF(E434=0,SUMPRODUCT(($A$2:$A$4734=A434)*($B$2:$B$4734=B434)*($D$2:$D$4734=D434)*($E$2:$E$4734=0)),0)</f>
        <v>0</v>
      </c>
      <c r="L434" s="1" t="str">
        <f>IF(E434=0,SUMPRODUCT(MIN($K$2:$K$4734+((($A$2:$A$4734&lt;&gt;A434)+($E$2:$E$4734&lt;&gt;0))&gt;0)*1000000)),"")</f>
        <v/>
      </c>
      <c r="M434" s="1">
        <f>IF(AND(E434=0,COUNTIFS($A$2:A434,A434,$E$2:E434,0)=1),L434,0)</f>
        <v>0</v>
      </c>
    </row>
    <row r="435" spans="1:13" ht="15" customHeight="1">
      <c r="A435" s="1">
        <v>7071</v>
      </c>
      <c r="B435" s="1" t="s">
        <v>69</v>
      </c>
      <c r="C435" s="2" t="s">
        <v>538</v>
      </c>
      <c r="D435" s="2" t="s">
        <v>538</v>
      </c>
      <c r="E435" s="1">
        <v>1</v>
      </c>
      <c r="F435" s="2" t="s">
        <v>548</v>
      </c>
      <c r="G435" s="1">
        <v>4</v>
      </c>
      <c r="H435" s="1" t="str">
        <f t="shared" si="6"/>
        <v>k7071_4</v>
      </c>
      <c r="K435" s="1">
        <f>IF(E435=0,SUMPRODUCT(($A$2:$A$4734=A435)*($B$2:$B$4734=B435)*($D$2:$D$4734=D435)*($E$2:$E$4734=0)),0)</f>
        <v>0</v>
      </c>
      <c r="L435" s="1" t="str">
        <f>IF(E435=0,SUMPRODUCT(MIN($K$2:$K$4734+((($A$2:$A$4734&lt;&gt;A435)+($E$2:$E$4734&lt;&gt;0))&gt;0)*1000000)),"")</f>
        <v/>
      </c>
      <c r="M435" s="1">
        <f>IF(AND(E435=0,COUNTIFS($A$2:A435,A435,$E$2:E435,0)=1),L435,0)</f>
        <v>0</v>
      </c>
    </row>
    <row r="436" spans="1:13" ht="15" customHeight="1">
      <c r="A436" s="1">
        <v>7071</v>
      </c>
      <c r="B436" s="1" t="s">
        <v>69</v>
      </c>
      <c r="C436" s="2" t="s">
        <v>538</v>
      </c>
      <c r="D436" s="2" t="s">
        <v>538</v>
      </c>
      <c r="E436" s="1">
        <v>1</v>
      </c>
      <c r="F436" s="2" t="s">
        <v>549</v>
      </c>
      <c r="G436" s="1">
        <v>5</v>
      </c>
      <c r="H436" s="1" t="str">
        <f t="shared" si="6"/>
        <v>k7071_5</v>
      </c>
      <c r="K436" s="1">
        <f>IF(E436=0,SUMPRODUCT(($A$2:$A$4734=A436)*($B$2:$B$4734=B436)*($D$2:$D$4734=D436)*($E$2:$E$4734=0)),0)</f>
        <v>0</v>
      </c>
      <c r="L436" s="1" t="str">
        <f>IF(E436=0,SUMPRODUCT(MIN($K$2:$K$4734+((($A$2:$A$4734&lt;&gt;A436)+($E$2:$E$4734&lt;&gt;0))&gt;0)*1000000)),"")</f>
        <v/>
      </c>
      <c r="M436" s="1">
        <f>IF(AND(E436=0,COUNTIFS($A$2:A436,A436,$E$2:E436,0)=1),L436,0)</f>
        <v>0</v>
      </c>
    </row>
    <row r="437" spans="1:13" ht="15" customHeight="1">
      <c r="A437" s="1">
        <v>7071</v>
      </c>
      <c r="B437" s="1" t="s">
        <v>9</v>
      </c>
      <c r="C437" s="2" t="s">
        <v>538</v>
      </c>
      <c r="D437" s="2" t="s">
        <v>550</v>
      </c>
      <c r="E437" s="1">
        <v>1</v>
      </c>
      <c r="F437" s="2" t="s">
        <v>551</v>
      </c>
      <c r="G437" s="1">
        <v>1</v>
      </c>
      <c r="H437" s="1" t="str">
        <f t="shared" si="6"/>
        <v>k7071_1</v>
      </c>
      <c r="K437" s="1">
        <f>IF(E437=0,SUMPRODUCT(($A$2:$A$4734=A437)*($B$2:$B$4734=B437)*($D$2:$D$4734=D437)*($E$2:$E$4734=0)),0)</f>
        <v>0</v>
      </c>
      <c r="L437" s="1" t="str">
        <f>IF(E437=0,SUMPRODUCT(MIN($K$2:$K$4734+((($A$2:$A$4734&lt;&gt;A437)+($E$2:$E$4734&lt;&gt;0))&gt;0)*1000000)),"")</f>
        <v/>
      </c>
      <c r="M437" s="1">
        <f>IF(AND(E437=0,COUNTIFS($A$2:A437,A437,$E$2:E437,0)=1),L437,0)</f>
        <v>0</v>
      </c>
    </row>
    <row r="438" spans="1:13" ht="15" customHeight="1">
      <c r="A438" s="1">
        <v>7071</v>
      </c>
      <c r="B438" s="1" t="s">
        <v>9</v>
      </c>
      <c r="C438" s="2" t="s">
        <v>538</v>
      </c>
      <c r="D438" s="2" t="s">
        <v>550</v>
      </c>
      <c r="E438" s="1">
        <v>1</v>
      </c>
      <c r="F438" s="2" t="s">
        <v>552</v>
      </c>
      <c r="G438" s="1">
        <v>2</v>
      </c>
      <c r="H438" s="1" t="str">
        <f t="shared" si="6"/>
        <v>k7071_2</v>
      </c>
      <c r="K438" s="1">
        <f>IF(E438=0,SUMPRODUCT(($A$2:$A$4734=A438)*($B$2:$B$4734=B438)*($D$2:$D$4734=D438)*($E$2:$E$4734=0)),0)</f>
        <v>0</v>
      </c>
      <c r="L438" s="1" t="str">
        <f>IF(E438=0,SUMPRODUCT(MIN($K$2:$K$4734+((($A$2:$A$4734&lt;&gt;A438)+($E$2:$E$4734&lt;&gt;0))&gt;0)*1000000)),"")</f>
        <v/>
      </c>
      <c r="M438" s="1">
        <f>IF(AND(E438=0,COUNTIFS($A$2:A438,A438,$E$2:E438,0)=1),L438,0)</f>
        <v>0</v>
      </c>
    </row>
    <row r="439" spans="1:13" ht="15" customHeight="1">
      <c r="A439" s="1">
        <v>7071</v>
      </c>
      <c r="B439" s="1" t="s">
        <v>9</v>
      </c>
      <c r="C439" s="2" t="s">
        <v>538</v>
      </c>
      <c r="D439" s="2" t="s">
        <v>550</v>
      </c>
      <c r="E439" s="1">
        <v>1</v>
      </c>
      <c r="F439" s="2" t="s">
        <v>553</v>
      </c>
      <c r="G439" s="1">
        <v>3</v>
      </c>
      <c r="H439" s="1" t="str">
        <f t="shared" si="6"/>
        <v>k7071_3</v>
      </c>
      <c r="K439" s="1">
        <f>IF(E439=0,SUMPRODUCT(($A$2:$A$4734=A439)*($B$2:$B$4734=B439)*($D$2:$D$4734=D439)*($E$2:$E$4734=0)),0)</f>
        <v>0</v>
      </c>
      <c r="L439" s="1" t="str">
        <f>IF(E439=0,SUMPRODUCT(MIN($K$2:$K$4734+((($A$2:$A$4734&lt;&gt;A439)+($E$2:$E$4734&lt;&gt;0))&gt;0)*1000000)),"")</f>
        <v/>
      </c>
      <c r="M439" s="1">
        <f>IF(AND(E439=0,COUNTIFS($A$2:A439,A439,$E$2:E439,0)=1),L439,0)</f>
        <v>0</v>
      </c>
    </row>
    <row r="440" spans="1:13" ht="15" customHeight="1">
      <c r="A440" s="1">
        <v>7071</v>
      </c>
      <c r="B440" s="1" t="s">
        <v>9</v>
      </c>
      <c r="C440" s="2" t="s">
        <v>538</v>
      </c>
      <c r="D440" s="2" t="s">
        <v>550</v>
      </c>
      <c r="E440" s="1">
        <v>1</v>
      </c>
      <c r="F440" s="2" t="s">
        <v>554</v>
      </c>
      <c r="G440" s="1">
        <v>4</v>
      </c>
      <c r="H440" s="1" t="str">
        <f t="shared" si="6"/>
        <v>k7071_4</v>
      </c>
      <c r="K440" s="1">
        <f>IF(E440=0,SUMPRODUCT(($A$2:$A$4734=A440)*($B$2:$B$4734=B440)*($D$2:$D$4734=D440)*($E$2:$E$4734=0)),0)</f>
        <v>0</v>
      </c>
      <c r="L440" s="1" t="str">
        <f>IF(E440=0,SUMPRODUCT(MIN($K$2:$K$4734+((($A$2:$A$4734&lt;&gt;A440)+($E$2:$E$4734&lt;&gt;0))&gt;0)*1000000)),"")</f>
        <v/>
      </c>
      <c r="M440" s="1">
        <f>IF(AND(E440=0,COUNTIFS($A$2:A440,A440,$E$2:E440,0)=1),L440,0)</f>
        <v>0</v>
      </c>
    </row>
    <row r="441" spans="1:13" ht="15" customHeight="1">
      <c r="A441" s="1">
        <v>7071</v>
      </c>
      <c r="B441" s="1" t="s">
        <v>9</v>
      </c>
      <c r="C441" s="2" t="s">
        <v>538</v>
      </c>
      <c r="D441" s="2" t="s">
        <v>550</v>
      </c>
      <c r="E441" s="1">
        <v>1</v>
      </c>
      <c r="F441" s="2" t="s">
        <v>115</v>
      </c>
      <c r="G441" s="1">
        <v>5</v>
      </c>
      <c r="H441" s="1" t="str">
        <f t="shared" ref="H441:H504" si="7">IF(OR(E441&lt;&gt;1,G441=""),"","k"&amp;A441&amp;"_"&amp;G441)</f>
        <v>k7071_5</v>
      </c>
      <c r="K441" s="1">
        <f>IF(E441=0,SUMPRODUCT(($A$2:$A$4734=A441)*($B$2:$B$4734=B441)*($D$2:$D$4734=D441)*($E$2:$E$4734=0)),0)</f>
        <v>0</v>
      </c>
      <c r="L441" s="1" t="str">
        <f>IF(E441=0,SUMPRODUCT(MIN($K$2:$K$4734+((($A$2:$A$4734&lt;&gt;A441)+($E$2:$E$4734&lt;&gt;0))&gt;0)*1000000)),"")</f>
        <v/>
      </c>
      <c r="M441" s="1">
        <f>IF(AND(E441=0,COUNTIFS($A$2:A441,A441,$E$2:E441,0)=1),L441,0)</f>
        <v>0</v>
      </c>
    </row>
    <row r="442" spans="1:13" ht="15" customHeight="1">
      <c r="A442" s="1">
        <v>7071</v>
      </c>
      <c r="B442" s="1" t="s">
        <v>16</v>
      </c>
      <c r="C442" s="2" t="s">
        <v>538</v>
      </c>
      <c r="D442" s="2" t="s">
        <v>555</v>
      </c>
      <c r="E442" s="1">
        <v>1</v>
      </c>
      <c r="F442" s="2" t="s">
        <v>556</v>
      </c>
      <c r="G442" s="1">
        <v>1</v>
      </c>
      <c r="H442" s="1" t="str">
        <f t="shared" si="7"/>
        <v>k7071_1</v>
      </c>
      <c r="K442" s="1">
        <f>IF(E442=0,SUMPRODUCT(($A$2:$A$4734=A442)*($B$2:$B$4734=B442)*($D$2:$D$4734=D442)*($E$2:$E$4734=0)),0)</f>
        <v>0</v>
      </c>
      <c r="L442" s="1" t="str">
        <f>IF(E442=0,SUMPRODUCT(MIN($K$2:$K$4734+((($A$2:$A$4734&lt;&gt;A442)+($E$2:$E$4734&lt;&gt;0))&gt;0)*1000000)),"")</f>
        <v/>
      </c>
      <c r="M442" s="1">
        <f>IF(AND(E442=0,COUNTIFS($A$2:A442,A442,$E$2:E442,0)=1),L442,0)</f>
        <v>0</v>
      </c>
    </row>
    <row r="443" spans="1:13" ht="15" customHeight="1">
      <c r="A443" s="1">
        <v>7071</v>
      </c>
      <c r="B443" s="1" t="s">
        <v>16</v>
      </c>
      <c r="C443" s="2" t="s">
        <v>538</v>
      </c>
      <c r="D443" s="2" t="s">
        <v>555</v>
      </c>
      <c r="E443" s="1">
        <v>1</v>
      </c>
      <c r="F443" s="2" t="s">
        <v>557</v>
      </c>
      <c r="G443" s="1">
        <v>2</v>
      </c>
      <c r="H443" s="1" t="str">
        <f t="shared" si="7"/>
        <v>k7071_2</v>
      </c>
      <c r="K443" s="1">
        <f>IF(E443=0,SUMPRODUCT(($A$2:$A$4734=A443)*($B$2:$B$4734=B443)*($D$2:$D$4734=D443)*($E$2:$E$4734=0)),0)</f>
        <v>0</v>
      </c>
      <c r="L443" s="1" t="str">
        <f>IF(E443=0,SUMPRODUCT(MIN($K$2:$K$4734+((($A$2:$A$4734&lt;&gt;A443)+($E$2:$E$4734&lt;&gt;0))&gt;0)*1000000)),"")</f>
        <v/>
      </c>
      <c r="M443" s="1">
        <f>IF(AND(E443=0,COUNTIFS($A$2:A443,A443,$E$2:E443,0)=1),L443,0)</f>
        <v>0</v>
      </c>
    </row>
    <row r="444" spans="1:13" ht="15" customHeight="1">
      <c r="A444" s="1">
        <v>7071</v>
      </c>
      <c r="B444" s="1" t="s">
        <v>16</v>
      </c>
      <c r="C444" s="2" t="s">
        <v>538</v>
      </c>
      <c r="D444" s="2" t="s">
        <v>555</v>
      </c>
      <c r="E444" s="1">
        <v>1</v>
      </c>
      <c r="F444" s="2" t="s">
        <v>558</v>
      </c>
      <c r="G444" s="1">
        <v>3</v>
      </c>
      <c r="H444" s="1" t="str">
        <f t="shared" si="7"/>
        <v>k7071_3</v>
      </c>
      <c r="K444" s="1">
        <f>IF(E444=0,SUMPRODUCT(($A$2:$A$4734=A444)*($B$2:$B$4734=B444)*($D$2:$D$4734=D444)*($E$2:$E$4734=0)),0)</f>
        <v>0</v>
      </c>
      <c r="L444" s="1" t="str">
        <f>IF(E444=0,SUMPRODUCT(MIN($K$2:$K$4734+((($A$2:$A$4734&lt;&gt;A444)+($E$2:$E$4734&lt;&gt;0))&gt;0)*1000000)),"")</f>
        <v/>
      </c>
      <c r="M444" s="1">
        <f>IF(AND(E444=0,COUNTIFS($A$2:A444,A444,$E$2:E444,0)=1),L444,0)</f>
        <v>0</v>
      </c>
    </row>
    <row r="445" spans="1:13" ht="15" customHeight="1">
      <c r="A445" s="1">
        <v>7071</v>
      </c>
      <c r="B445" s="1" t="s">
        <v>16</v>
      </c>
      <c r="C445" s="2" t="s">
        <v>538</v>
      </c>
      <c r="D445" s="2" t="s">
        <v>555</v>
      </c>
      <c r="E445" s="1">
        <v>1</v>
      </c>
      <c r="F445" s="2" t="s">
        <v>559</v>
      </c>
      <c r="G445" s="1">
        <v>4</v>
      </c>
      <c r="H445" s="1" t="str">
        <f t="shared" si="7"/>
        <v>k7071_4</v>
      </c>
      <c r="K445" s="1">
        <f>IF(E445=0,SUMPRODUCT(($A$2:$A$4734=A445)*($B$2:$B$4734=B445)*($D$2:$D$4734=D445)*($E$2:$E$4734=0)),0)</f>
        <v>0</v>
      </c>
      <c r="L445" s="1" t="str">
        <f>IF(E445=0,SUMPRODUCT(MIN($K$2:$K$4734+((($A$2:$A$4734&lt;&gt;A445)+($E$2:$E$4734&lt;&gt;0))&gt;0)*1000000)),"")</f>
        <v/>
      </c>
      <c r="M445" s="1">
        <f>IF(AND(E445=0,COUNTIFS($A$2:A445,A445,$E$2:E445,0)=1),L445,0)</f>
        <v>0</v>
      </c>
    </row>
    <row r="446" spans="1:13" ht="15" customHeight="1">
      <c r="A446" s="1">
        <v>7071</v>
      </c>
      <c r="B446" s="1" t="s">
        <v>16</v>
      </c>
      <c r="C446" s="2" t="s">
        <v>538</v>
      </c>
      <c r="D446" s="2" t="s">
        <v>555</v>
      </c>
      <c r="E446" s="1">
        <v>1</v>
      </c>
      <c r="F446" s="2" t="s">
        <v>560</v>
      </c>
      <c r="G446" s="1">
        <v>5</v>
      </c>
      <c r="H446" s="1" t="str">
        <f t="shared" si="7"/>
        <v>k7071_5</v>
      </c>
      <c r="K446" s="1">
        <f>IF(E446=0,SUMPRODUCT(($A$2:$A$4734=A446)*($B$2:$B$4734=B446)*($D$2:$D$4734=D446)*($E$2:$E$4734=0)),0)</f>
        <v>0</v>
      </c>
      <c r="L446" s="1" t="str">
        <f>IF(E446=0,SUMPRODUCT(MIN($K$2:$K$4734+((($A$2:$A$4734&lt;&gt;A446)+($E$2:$E$4734&lt;&gt;0))&gt;0)*1000000)),"")</f>
        <v/>
      </c>
      <c r="M446" s="1">
        <f>IF(AND(E446=0,COUNTIFS($A$2:A446,A446,$E$2:E446,0)=1),L446,0)</f>
        <v>0</v>
      </c>
    </row>
    <row r="447" spans="1:13" ht="15" customHeight="1">
      <c r="A447" s="1">
        <v>7071</v>
      </c>
      <c r="B447" s="1" t="s">
        <v>9</v>
      </c>
      <c r="C447" s="2" t="s">
        <v>538</v>
      </c>
      <c r="D447" s="2" t="s">
        <v>561</v>
      </c>
      <c r="E447" s="1">
        <v>1</v>
      </c>
      <c r="F447" s="2" t="s">
        <v>562</v>
      </c>
      <c r="G447" s="1">
        <v>1</v>
      </c>
      <c r="H447" s="1" t="str">
        <f t="shared" si="7"/>
        <v>k7071_1</v>
      </c>
      <c r="K447" s="1">
        <f>IF(E447=0,SUMPRODUCT(($A$2:$A$4734=A447)*($B$2:$B$4734=B447)*($D$2:$D$4734=D447)*($E$2:$E$4734=0)),0)</f>
        <v>0</v>
      </c>
      <c r="L447" s="1" t="str">
        <f>IF(E447=0,SUMPRODUCT(MIN($K$2:$K$4734+((($A$2:$A$4734&lt;&gt;A447)+($E$2:$E$4734&lt;&gt;0))&gt;0)*1000000)),"")</f>
        <v/>
      </c>
      <c r="M447" s="1">
        <f>IF(AND(E447=0,COUNTIFS($A$2:A447,A447,$E$2:E447,0)=1),L447,0)</f>
        <v>0</v>
      </c>
    </row>
    <row r="448" spans="1:13" ht="15" customHeight="1">
      <c r="A448" s="1">
        <v>7071</v>
      </c>
      <c r="B448" s="1" t="s">
        <v>9</v>
      </c>
      <c r="C448" s="2" t="s">
        <v>538</v>
      </c>
      <c r="D448" s="2" t="s">
        <v>561</v>
      </c>
      <c r="E448" s="1">
        <v>1</v>
      </c>
      <c r="F448" s="2" t="s">
        <v>563</v>
      </c>
      <c r="G448" s="1">
        <v>2</v>
      </c>
      <c r="H448" s="1" t="str">
        <f t="shared" si="7"/>
        <v>k7071_2</v>
      </c>
      <c r="K448" s="1">
        <f>IF(E448=0,SUMPRODUCT(($A$2:$A$4734=A448)*($B$2:$B$4734=B448)*($D$2:$D$4734=D448)*($E$2:$E$4734=0)),0)</f>
        <v>0</v>
      </c>
      <c r="L448" s="1" t="str">
        <f>IF(E448=0,SUMPRODUCT(MIN($K$2:$K$4734+((($A$2:$A$4734&lt;&gt;A448)+($E$2:$E$4734&lt;&gt;0))&gt;0)*1000000)),"")</f>
        <v/>
      </c>
      <c r="M448" s="1">
        <f>IF(AND(E448=0,COUNTIFS($A$2:A448,A448,$E$2:E448,0)=1),L448,0)</f>
        <v>0</v>
      </c>
    </row>
    <row r="449" spans="1:13" ht="15" customHeight="1">
      <c r="A449" s="1">
        <v>7071</v>
      </c>
      <c r="B449" s="1" t="s">
        <v>9</v>
      </c>
      <c r="C449" s="2" t="s">
        <v>538</v>
      </c>
      <c r="D449" s="2" t="s">
        <v>561</v>
      </c>
      <c r="E449" s="1">
        <v>1</v>
      </c>
      <c r="F449" s="2" t="s">
        <v>564</v>
      </c>
      <c r="G449" s="1">
        <v>3</v>
      </c>
      <c r="H449" s="1" t="str">
        <f t="shared" si="7"/>
        <v>k7071_3</v>
      </c>
      <c r="K449" s="1">
        <f>IF(E449=0,SUMPRODUCT(($A$2:$A$4734=A449)*($B$2:$B$4734=B449)*($D$2:$D$4734=D449)*($E$2:$E$4734=0)),0)</f>
        <v>0</v>
      </c>
      <c r="L449" s="1" t="str">
        <f>IF(E449=0,SUMPRODUCT(MIN($K$2:$K$4734+((($A$2:$A$4734&lt;&gt;A449)+($E$2:$E$4734&lt;&gt;0))&gt;0)*1000000)),"")</f>
        <v/>
      </c>
      <c r="M449" s="1">
        <f>IF(AND(E449=0,COUNTIFS($A$2:A449,A449,$E$2:E449,0)=1),L449,0)</f>
        <v>0</v>
      </c>
    </row>
    <row r="450" spans="1:13" ht="15" customHeight="1">
      <c r="A450" s="1">
        <v>7071</v>
      </c>
      <c r="B450" s="1" t="s">
        <v>9</v>
      </c>
      <c r="C450" s="2" t="s">
        <v>538</v>
      </c>
      <c r="D450" s="2" t="s">
        <v>561</v>
      </c>
      <c r="E450" s="1">
        <v>1</v>
      </c>
      <c r="F450" s="2" t="s">
        <v>565</v>
      </c>
      <c r="G450" s="1">
        <v>4</v>
      </c>
      <c r="H450" s="1" t="str">
        <f t="shared" si="7"/>
        <v>k7071_4</v>
      </c>
      <c r="K450" s="1">
        <f>IF(E450=0,SUMPRODUCT(($A$2:$A$4734=A450)*($B$2:$B$4734=B450)*($D$2:$D$4734=D450)*($E$2:$E$4734=0)),0)</f>
        <v>0</v>
      </c>
      <c r="L450" s="1" t="str">
        <f>IF(E450=0,SUMPRODUCT(MIN($K$2:$K$4734+((($A$2:$A$4734&lt;&gt;A450)+($E$2:$E$4734&lt;&gt;0))&gt;0)*1000000)),"")</f>
        <v/>
      </c>
      <c r="M450" s="1">
        <f>IF(AND(E450=0,COUNTIFS($A$2:A450,A450,$E$2:E450,0)=1),L450,0)</f>
        <v>0</v>
      </c>
    </row>
    <row r="451" spans="1:13" ht="15" customHeight="1">
      <c r="A451" s="1">
        <v>7071</v>
      </c>
      <c r="B451" s="1" t="s">
        <v>9</v>
      </c>
      <c r="C451" s="2" t="s">
        <v>538</v>
      </c>
      <c r="D451" s="2" t="s">
        <v>561</v>
      </c>
      <c r="E451" s="1">
        <v>1</v>
      </c>
      <c r="F451" s="2" t="s">
        <v>565</v>
      </c>
      <c r="G451" s="1">
        <v>5</v>
      </c>
      <c r="H451" s="1" t="str">
        <f t="shared" si="7"/>
        <v>k7071_5</v>
      </c>
      <c r="K451" s="1">
        <f>IF(E451=0,SUMPRODUCT(($A$2:$A$4734=A451)*($B$2:$B$4734=B451)*($D$2:$D$4734=D451)*($E$2:$E$4734=0)),0)</f>
        <v>0</v>
      </c>
      <c r="L451" s="1" t="str">
        <f>IF(E451=0,SUMPRODUCT(MIN($K$2:$K$4734+((($A$2:$A$4734&lt;&gt;A451)+($E$2:$E$4734&lt;&gt;0))&gt;0)*1000000)),"")</f>
        <v/>
      </c>
      <c r="M451" s="1">
        <f>IF(AND(E451=0,COUNTIFS($A$2:A451,A451,$E$2:E451,0)=1),L451,0)</f>
        <v>0</v>
      </c>
    </row>
    <row r="452" spans="1:13" ht="15" customHeight="1">
      <c r="A452" s="1">
        <v>7071</v>
      </c>
      <c r="B452" s="1" t="s">
        <v>16</v>
      </c>
      <c r="C452" s="2" t="s">
        <v>538</v>
      </c>
      <c r="D452" s="2" t="s">
        <v>566</v>
      </c>
      <c r="E452" s="1">
        <v>1</v>
      </c>
      <c r="F452" s="2" t="s">
        <v>567</v>
      </c>
      <c r="G452" s="1">
        <v>1</v>
      </c>
      <c r="H452" s="1" t="str">
        <f t="shared" si="7"/>
        <v>k7071_1</v>
      </c>
      <c r="K452" s="1">
        <f>IF(E452=0,SUMPRODUCT(($A$2:$A$4734=A452)*($B$2:$B$4734=B452)*($D$2:$D$4734=D452)*($E$2:$E$4734=0)),0)</f>
        <v>0</v>
      </c>
      <c r="L452" s="1" t="str">
        <f>IF(E452=0,SUMPRODUCT(MIN($K$2:$K$4734+((($A$2:$A$4734&lt;&gt;A452)+($E$2:$E$4734&lt;&gt;0))&gt;0)*1000000)),"")</f>
        <v/>
      </c>
      <c r="M452" s="1">
        <f>IF(AND(E452=0,COUNTIFS($A$2:A452,A452,$E$2:E452,0)=1),L452,0)</f>
        <v>0</v>
      </c>
    </row>
    <row r="453" spans="1:13" ht="15" customHeight="1">
      <c r="A453" s="1">
        <v>7071</v>
      </c>
      <c r="B453" s="1" t="s">
        <v>16</v>
      </c>
      <c r="C453" s="2" t="s">
        <v>538</v>
      </c>
      <c r="D453" s="2" t="s">
        <v>566</v>
      </c>
      <c r="E453" s="1">
        <v>1</v>
      </c>
      <c r="F453" s="2" t="s">
        <v>568</v>
      </c>
      <c r="G453" s="1">
        <v>2</v>
      </c>
      <c r="H453" s="1" t="str">
        <f t="shared" si="7"/>
        <v>k7071_2</v>
      </c>
      <c r="K453" s="1">
        <f>IF(E453=0,SUMPRODUCT(($A$2:$A$4734=A453)*($B$2:$B$4734=B453)*($D$2:$D$4734=D453)*($E$2:$E$4734=0)),0)</f>
        <v>0</v>
      </c>
      <c r="L453" s="1" t="str">
        <f>IF(E453=0,SUMPRODUCT(MIN($K$2:$K$4734+((($A$2:$A$4734&lt;&gt;A453)+($E$2:$E$4734&lt;&gt;0))&gt;0)*1000000)),"")</f>
        <v/>
      </c>
      <c r="M453" s="1">
        <f>IF(AND(E453=0,COUNTIFS($A$2:A453,A453,$E$2:E453,0)=1),L453,0)</f>
        <v>0</v>
      </c>
    </row>
    <row r="454" spans="1:13" ht="15" customHeight="1">
      <c r="A454" s="1">
        <v>7071</v>
      </c>
      <c r="B454" s="1" t="s">
        <v>16</v>
      </c>
      <c r="C454" s="2" t="s">
        <v>538</v>
      </c>
      <c r="D454" s="2" t="s">
        <v>566</v>
      </c>
      <c r="E454" s="1">
        <v>1</v>
      </c>
      <c r="F454" s="2" t="s">
        <v>569</v>
      </c>
      <c r="G454" s="1">
        <v>3</v>
      </c>
      <c r="H454" s="1" t="str">
        <f t="shared" si="7"/>
        <v>k7071_3</v>
      </c>
      <c r="K454" s="1">
        <f>IF(E454=0,SUMPRODUCT(($A$2:$A$4734=A454)*($B$2:$B$4734=B454)*($D$2:$D$4734=D454)*($E$2:$E$4734=0)),0)</f>
        <v>0</v>
      </c>
      <c r="L454" s="1" t="str">
        <f>IF(E454=0,SUMPRODUCT(MIN($K$2:$K$4734+((($A$2:$A$4734&lt;&gt;A454)+($E$2:$E$4734&lt;&gt;0))&gt;0)*1000000)),"")</f>
        <v/>
      </c>
      <c r="M454" s="1">
        <f>IF(AND(E454=0,COUNTIFS($A$2:A454,A454,$E$2:E454,0)=1),L454,0)</f>
        <v>0</v>
      </c>
    </row>
    <row r="455" spans="1:13" ht="15" customHeight="1">
      <c r="A455" s="1">
        <v>7071</v>
      </c>
      <c r="B455" s="1" t="s">
        <v>16</v>
      </c>
      <c r="C455" s="2" t="s">
        <v>538</v>
      </c>
      <c r="D455" s="2" t="s">
        <v>566</v>
      </c>
      <c r="E455" s="1">
        <v>1</v>
      </c>
      <c r="F455" s="2" t="s">
        <v>570</v>
      </c>
      <c r="G455" s="1">
        <v>4</v>
      </c>
      <c r="H455" s="1" t="str">
        <f t="shared" si="7"/>
        <v>k7071_4</v>
      </c>
      <c r="K455" s="1">
        <f>IF(E455=0,SUMPRODUCT(($A$2:$A$4734=A455)*($B$2:$B$4734=B455)*($D$2:$D$4734=D455)*($E$2:$E$4734=0)),0)</f>
        <v>0</v>
      </c>
      <c r="L455" s="1" t="str">
        <f>IF(E455=0,SUMPRODUCT(MIN($K$2:$K$4734+((($A$2:$A$4734&lt;&gt;A455)+($E$2:$E$4734&lt;&gt;0))&gt;0)*1000000)),"")</f>
        <v/>
      </c>
      <c r="M455" s="1">
        <f>IF(AND(E455=0,COUNTIFS($A$2:A455,A455,$E$2:E455,0)=1),L455,0)</f>
        <v>0</v>
      </c>
    </row>
    <row r="456" spans="1:13" ht="15" customHeight="1">
      <c r="A456" s="1">
        <v>7071</v>
      </c>
      <c r="B456" s="1" t="s">
        <v>16</v>
      </c>
      <c r="C456" s="2" t="s">
        <v>538</v>
      </c>
      <c r="D456" s="2" t="s">
        <v>566</v>
      </c>
      <c r="E456" s="1">
        <v>1</v>
      </c>
      <c r="F456" s="2" t="s">
        <v>570</v>
      </c>
      <c r="G456" s="1">
        <v>5</v>
      </c>
      <c r="H456" s="1" t="str">
        <f t="shared" si="7"/>
        <v>k7071_5</v>
      </c>
      <c r="K456" s="1">
        <f>IF(E456=0,SUMPRODUCT(($A$2:$A$4734=A456)*($B$2:$B$4734=B456)*($D$2:$D$4734=D456)*($E$2:$E$4734=0)),0)</f>
        <v>0</v>
      </c>
      <c r="L456" s="1" t="str">
        <f>IF(E456=0,SUMPRODUCT(MIN($K$2:$K$4734+((($A$2:$A$4734&lt;&gt;A456)+($E$2:$E$4734&lt;&gt;0))&gt;0)*1000000)),"")</f>
        <v/>
      </c>
      <c r="M456" s="1">
        <f>IF(AND(E456=0,COUNTIFS($A$2:A456,A456,$E$2:E456,0)=1),L456,0)</f>
        <v>0</v>
      </c>
    </row>
    <row r="457" spans="1:13" ht="15" customHeight="1">
      <c r="A457" s="1">
        <v>7071</v>
      </c>
      <c r="B457" s="1" t="s">
        <v>144</v>
      </c>
      <c r="C457" s="2" t="s">
        <v>538</v>
      </c>
      <c r="D457" s="2" t="s">
        <v>571</v>
      </c>
      <c r="E457" s="1">
        <v>1</v>
      </c>
      <c r="F457" s="2" t="s">
        <v>572</v>
      </c>
      <c r="G457" s="1">
        <v>1</v>
      </c>
      <c r="H457" s="1" t="str">
        <f t="shared" si="7"/>
        <v>k7071_1</v>
      </c>
      <c r="K457" s="1">
        <f>IF(E457=0,SUMPRODUCT(($A$2:$A$4734=A457)*($B$2:$B$4734=B457)*($D$2:$D$4734=D457)*($E$2:$E$4734=0)),0)</f>
        <v>0</v>
      </c>
      <c r="L457" s="1" t="str">
        <f>IF(E457=0,SUMPRODUCT(MIN($K$2:$K$4734+((($A$2:$A$4734&lt;&gt;A457)+($E$2:$E$4734&lt;&gt;0))&gt;0)*1000000)),"")</f>
        <v/>
      </c>
      <c r="M457" s="1">
        <f>IF(AND(E457=0,COUNTIFS($A$2:A457,A457,$E$2:E457,0)=1),L457,0)</f>
        <v>0</v>
      </c>
    </row>
    <row r="458" spans="1:13" ht="15" customHeight="1">
      <c r="A458" s="1">
        <v>7071</v>
      </c>
      <c r="B458" s="1" t="s">
        <v>144</v>
      </c>
      <c r="C458" s="2" t="s">
        <v>538</v>
      </c>
      <c r="D458" s="2" t="s">
        <v>571</v>
      </c>
      <c r="E458" s="1">
        <v>1</v>
      </c>
      <c r="F458" s="2" t="s">
        <v>573</v>
      </c>
      <c r="G458" s="1">
        <v>2</v>
      </c>
      <c r="H458" s="1" t="str">
        <f t="shared" si="7"/>
        <v>k7071_2</v>
      </c>
      <c r="K458" s="1">
        <f>IF(E458=0,SUMPRODUCT(($A$2:$A$4734=A458)*($B$2:$B$4734=B458)*($D$2:$D$4734=D458)*($E$2:$E$4734=0)),0)</f>
        <v>0</v>
      </c>
      <c r="L458" s="1" t="str">
        <f>IF(E458=0,SUMPRODUCT(MIN($K$2:$K$4734+((($A$2:$A$4734&lt;&gt;A458)+($E$2:$E$4734&lt;&gt;0))&gt;0)*1000000)),"")</f>
        <v/>
      </c>
      <c r="M458" s="1">
        <f>IF(AND(E458=0,COUNTIFS($A$2:A458,A458,$E$2:E458,0)=1),L458,0)</f>
        <v>0</v>
      </c>
    </row>
    <row r="459" spans="1:13" ht="15" customHeight="1">
      <c r="A459" s="1">
        <v>7071</v>
      </c>
      <c r="B459" s="1" t="s">
        <v>144</v>
      </c>
      <c r="C459" s="2" t="s">
        <v>538</v>
      </c>
      <c r="D459" s="2" t="s">
        <v>571</v>
      </c>
      <c r="E459" s="1">
        <v>1</v>
      </c>
      <c r="F459" s="2" t="s">
        <v>574</v>
      </c>
      <c r="G459" s="1">
        <v>3</v>
      </c>
      <c r="H459" s="1" t="str">
        <f t="shared" si="7"/>
        <v>k7071_3</v>
      </c>
      <c r="K459" s="1">
        <f>IF(E459=0,SUMPRODUCT(($A$2:$A$4734=A459)*($B$2:$B$4734=B459)*($D$2:$D$4734=D459)*($E$2:$E$4734=0)),0)</f>
        <v>0</v>
      </c>
      <c r="L459" s="1" t="str">
        <f>IF(E459=0,SUMPRODUCT(MIN($K$2:$K$4734+((($A$2:$A$4734&lt;&gt;A459)+($E$2:$E$4734&lt;&gt;0))&gt;0)*1000000)),"")</f>
        <v/>
      </c>
      <c r="M459" s="1">
        <f>IF(AND(E459=0,COUNTIFS($A$2:A459,A459,$E$2:E459,0)=1),L459,0)</f>
        <v>0</v>
      </c>
    </row>
    <row r="460" spans="1:13" ht="15" customHeight="1">
      <c r="A460" s="1">
        <v>7071</v>
      </c>
      <c r="B460" s="1" t="s">
        <v>144</v>
      </c>
      <c r="C460" s="2" t="s">
        <v>538</v>
      </c>
      <c r="D460" s="2" t="s">
        <v>571</v>
      </c>
      <c r="E460" s="1">
        <v>1</v>
      </c>
      <c r="F460" s="2" t="s">
        <v>575</v>
      </c>
      <c r="G460" s="1">
        <v>4</v>
      </c>
      <c r="H460" s="1" t="str">
        <f t="shared" si="7"/>
        <v>k7071_4</v>
      </c>
      <c r="K460" s="1">
        <f>IF(E460=0,SUMPRODUCT(($A$2:$A$4734=A460)*($B$2:$B$4734=B460)*($D$2:$D$4734=D460)*($E$2:$E$4734=0)),0)</f>
        <v>0</v>
      </c>
      <c r="L460" s="1" t="str">
        <f>IF(E460=0,SUMPRODUCT(MIN($K$2:$K$4734+((($A$2:$A$4734&lt;&gt;A460)+($E$2:$E$4734&lt;&gt;0))&gt;0)*1000000)),"")</f>
        <v/>
      </c>
      <c r="M460" s="1">
        <f>IF(AND(E460=0,COUNTIFS($A$2:A460,A460,$E$2:E460,0)=1),L460,0)</f>
        <v>0</v>
      </c>
    </row>
    <row r="461" spans="1:13" ht="15" customHeight="1">
      <c r="A461" s="1">
        <v>7071</v>
      </c>
      <c r="B461" s="1" t="s">
        <v>144</v>
      </c>
      <c r="C461" s="2" t="s">
        <v>538</v>
      </c>
      <c r="D461" s="2" t="s">
        <v>571</v>
      </c>
      <c r="E461" s="1">
        <v>1</v>
      </c>
      <c r="F461" s="2" t="s">
        <v>576</v>
      </c>
      <c r="G461" s="1">
        <v>5</v>
      </c>
      <c r="H461" s="1" t="str">
        <f t="shared" si="7"/>
        <v>k7071_5</v>
      </c>
      <c r="K461" s="1">
        <f>IF(E461=0,SUMPRODUCT(($A$2:$A$4734=A461)*($B$2:$B$4734=B461)*($D$2:$D$4734=D461)*($E$2:$E$4734=0)),0)</f>
        <v>0</v>
      </c>
      <c r="L461" s="1" t="str">
        <f>IF(E461=0,SUMPRODUCT(MIN($K$2:$K$4734+((($A$2:$A$4734&lt;&gt;A461)+($E$2:$E$4734&lt;&gt;0))&gt;0)*1000000)),"")</f>
        <v/>
      </c>
      <c r="M461" s="1">
        <f>IF(AND(E461=0,COUNTIFS($A$2:A461,A461,$E$2:E461,0)=1),L461,0)</f>
        <v>0</v>
      </c>
    </row>
    <row r="462" spans="1:13" ht="15" customHeight="1">
      <c r="A462" s="1">
        <v>7072</v>
      </c>
      <c r="B462" s="1" t="s">
        <v>16</v>
      </c>
      <c r="C462" s="1" t="s">
        <v>577</v>
      </c>
      <c r="D462" s="2" t="s">
        <v>578</v>
      </c>
      <c r="E462" s="1">
        <v>1</v>
      </c>
      <c r="F462" s="2" t="s">
        <v>579</v>
      </c>
      <c r="G462" s="1">
        <v>1</v>
      </c>
      <c r="H462" s="1" t="str">
        <f t="shared" si="7"/>
        <v>k7072_1</v>
      </c>
      <c r="K462" s="1">
        <f>IF(E462=0,SUMPRODUCT(($A$2:$A$4734=A462)*($B$2:$B$4734=B462)*($D$2:$D$4734=D462)*($E$2:$E$4734=0)),0)</f>
        <v>0</v>
      </c>
      <c r="L462" s="1" t="str">
        <f>IF(E462=0,SUMPRODUCT(MIN($K$2:$K$4734+((($A$2:$A$4734&lt;&gt;A462)+($E$2:$E$4734&lt;&gt;0))&gt;0)*1000000)),"")</f>
        <v/>
      </c>
      <c r="M462" s="1">
        <f>IF(AND(E462=0,COUNTIFS($A$2:A462,A462,$E$2:E462,0)=1),L462,0)</f>
        <v>0</v>
      </c>
    </row>
    <row r="463" spans="1:13" ht="15" customHeight="1">
      <c r="A463" s="1">
        <v>7072</v>
      </c>
      <c r="B463" s="1" t="s">
        <v>16</v>
      </c>
      <c r="C463" s="1" t="s">
        <v>577</v>
      </c>
      <c r="D463" s="2" t="s">
        <v>578</v>
      </c>
      <c r="E463" s="1">
        <v>1</v>
      </c>
      <c r="F463" s="2" t="s">
        <v>580</v>
      </c>
      <c r="G463" s="1">
        <v>2</v>
      </c>
      <c r="H463" s="1" t="str">
        <f t="shared" si="7"/>
        <v>k7072_2</v>
      </c>
      <c r="K463" s="1">
        <f>IF(E463=0,SUMPRODUCT(($A$2:$A$4734=A463)*($B$2:$B$4734=B463)*($D$2:$D$4734=D463)*($E$2:$E$4734=0)),0)</f>
        <v>0</v>
      </c>
      <c r="L463" s="1" t="str">
        <f>IF(E463=0,SUMPRODUCT(MIN($K$2:$K$4734+((($A$2:$A$4734&lt;&gt;A463)+($E$2:$E$4734&lt;&gt;0))&gt;0)*1000000)),"")</f>
        <v/>
      </c>
      <c r="M463" s="1">
        <f>IF(AND(E463=0,COUNTIFS($A$2:A463,A463,$E$2:E463,0)=1),L463,0)</f>
        <v>0</v>
      </c>
    </row>
    <row r="464" spans="1:13" ht="15" customHeight="1">
      <c r="A464" s="1">
        <v>7072</v>
      </c>
      <c r="B464" s="1" t="s">
        <v>16</v>
      </c>
      <c r="C464" s="1" t="s">
        <v>577</v>
      </c>
      <c r="D464" s="2" t="s">
        <v>578</v>
      </c>
      <c r="E464" s="1">
        <v>1</v>
      </c>
      <c r="F464" s="2" t="s">
        <v>581</v>
      </c>
      <c r="G464" s="1">
        <v>3</v>
      </c>
      <c r="H464" s="1" t="str">
        <f t="shared" si="7"/>
        <v>k7072_3</v>
      </c>
      <c r="K464" s="1">
        <f>IF(E464=0,SUMPRODUCT(($A$2:$A$4734=A464)*($B$2:$B$4734=B464)*($D$2:$D$4734=D464)*($E$2:$E$4734=0)),0)</f>
        <v>0</v>
      </c>
      <c r="L464" s="1" t="str">
        <f>IF(E464=0,SUMPRODUCT(MIN($K$2:$K$4734+((($A$2:$A$4734&lt;&gt;A464)+($E$2:$E$4734&lt;&gt;0))&gt;0)*1000000)),"")</f>
        <v/>
      </c>
      <c r="M464" s="1">
        <f>IF(AND(E464=0,COUNTIFS($A$2:A464,A464,$E$2:E464,0)=1),L464,0)</f>
        <v>0</v>
      </c>
    </row>
    <row r="465" spans="1:13" ht="15" customHeight="1">
      <c r="A465" s="1">
        <v>7072</v>
      </c>
      <c r="B465" s="1" t="s">
        <v>9</v>
      </c>
      <c r="C465" s="1" t="s">
        <v>577</v>
      </c>
      <c r="D465" s="2" t="s">
        <v>578</v>
      </c>
      <c r="E465" s="1">
        <v>1</v>
      </c>
      <c r="F465" s="2" t="s">
        <v>582</v>
      </c>
      <c r="G465" s="1">
        <v>1</v>
      </c>
      <c r="H465" s="1" t="str">
        <f t="shared" si="7"/>
        <v>k7072_1</v>
      </c>
      <c r="K465" s="1">
        <f>IF(E465=0,SUMPRODUCT(($A$2:$A$4734=A465)*($B$2:$B$4734=B465)*($D$2:$D$4734=D465)*($E$2:$E$4734=0)),0)</f>
        <v>0</v>
      </c>
      <c r="L465" s="1" t="str">
        <f>IF(E465=0,SUMPRODUCT(MIN($K$2:$K$4734+((($A$2:$A$4734&lt;&gt;A465)+($E$2:$E$4734&lt;&gt;0))&gt;0)*1000000)),"")</f>
        <v/>
      </c>
      <c r="M465" s="1">
        <f>IF(AND(E465=0,COUNTIFS($A$2:A465,A465,$E$2:E465,0)=1),L465,0)</f>
        <v>0</v>
      </c>
    </row>
    <row r="466" spans="1:13" ht="15" customHeight="1">
      <c r="A466" s="1">
        <v>7072</v>
      </c>
      <c r="B466" s="1" t="s">
        <v>9</v>
      </c>
      <c r="C466" s="1" t="s">
        <v>577</v>
      </c>
      <c r="D466" s="2" t="s">
        <v>578</v>
      </c>
      <c r="E466" s="1">
        <v>1</v>
      </c>
      <c r="F466" s="2" t="s">
        <v>583</v>
      </c>
      <c r="G466" s="1">
        <v>2</v>
      </c>
      <c r="H466" s="1" t="str">
        <f t="shared" si="7"/>
        <v>k7072_2</v>
      </c>
      <c r="K466" s="1">
        <f>IF(E466=0,SUMPRODUCT(($A$2:$A$4734=A466)*($B$2:$B$4734=B466)*($D$2:$D$4734=D466)*($E$2:$E$4734=0)),0)</f>
        <v>0</v>
      </c>
      <c r="L466" s="1" t="str">
        <f>IF(E466=0,SUMPRODUCT(MIN($K$2:$K$4734+((($A$2:$A$4734&lt;&gt;A466)+($E$2:$E$4734&lt;&gt;0))&gt;0)*1000000)),"")</f>
        <v/>
      </c>
      <c r="M466" s="1">
        <f>IF(AND(E466=0,COUNTIFS($A$2:A466,A466,$E$2:E466,0)=1),L466,0)</f>
        <v>0</v>
      </c>
    </row>
    <row r="467" spans="1:13" ht="15" customHeight="1">
      <c r="A467" s="1">
        <v>7072</v>
      </c>
      <c r="B467" s="1" t="s">
        <v>9</v>
      </c>
      <c r="C467" s="1" t="s">
        <v>577</v>
      </c>
      <c r="D467" s="2" t="s">
        <v>578</v>
      </c>
      <c r="E467" s="1">
        <v>1</v>
      </c>
      <c r="F467" s="2" t="s">
        <v>584</v>
      </c>
      <c r="G467" s="1">
        <v>3</v>
      </c>
      <c r="H467" s="1" t="str">
        <f t="shared" si="7"/>
        <v>k7072_3</v>
      </c>
      <c r="K467" s="1">
        <f>IF(E467=0,SUMPRODUCT(($A$2:$A$4734=A467)*($B$2:$B$4734=B467)*($D$2:$D$4734=D467)*($E$2:$E$4734=0)),0)</f>
        <v>0</v>
      </c>
      <c r="L467" s="1" t="str">
        <f>IF(E467=0,SUMPRODUCT(MIN($K$2:$K$4734+((($A$2:$A$4734&lt;&gt;A467)+($E$2:$E$4734&lt;&gt;0))&gt;0)*1000000)),"")</f>
        <v/>
      </c>
      <c r="M467" s="1">
        <f>IF(AND(E467=0,COUNTIFS($A$2:A467,A467,$E$2:E467,0)=1),L467,0)</f>
        <v>0</v>
      </c>
    </row>
    <row r="468" spans="1:13" ht="15" customHeight="1">
      <c r="A468" s="1">
        <v>7072</v>
      </c>
      <c r="B468" s="1" t="s">
        <v>9</v>
      </c>
      <c r="C468" s="1" t="s">
        <v>577</v>
      </c>
      <c r="D468" s="2" t="s">
        <v>585</v>
      </c>
      <c r="E468" s="1">
        <v>1</v>
      </c>
      <c r="F468" s="2" t="s">
        <v>586</v>
      </c>
      <c r="G468" s="1">
        <v>1</v>
      </c>
      <c r="H468" s="1" t="str">
        <f t="shared" si="7"/>
        <v>k7072_1</v>
      </c>
      <c r="K468" s="1">
        <f>IF(E468=0,SUMPRODUCT(($A$2:$A$4734=A468)*($B$2:$B$4734=B468)*($D$2:$D$4734=D468)*($E$2:$E$4734=0)),0)</f>
        <v>0</v>
      </c>
      <c r="L468" s="1" t="str">
        <f>IF(E468=0,SUMPRODUCT(MIN($K$2:$K$4734+((($A$2:$A$4734&lt;&gt;A468)+($E$2:$E$4734&lt;&gt;0))&gt;0)*1000000)),"")</f>
        <v/>
      </c>
      <c r="M468" s="1">
        <f>IF(AND(E468=0,COUNTIFS($A$2:A468,A468,$E$2:E468,0)=1),L468,0)</f>
        <v>0</v>
      </c>
    </row>
    <row r="469" spans="1:13" ht="15" customHeight="1">
      <c r="A469" s="1">
        <v>7072</v>
      </c>
      <c r="B469" s="1" t="s">
        <v>9</v>
      </c>
      <c r="C469" s="1" t="s">
        <v>577</v>
      </c>
      <c r="D469" s="2" t="s">
        <v>585</v>
      </c>
      <c r="E469" s="1">
        <v>1</v>
      </c>
      <c r="F469" s="2" t="s">
        <v>587</v>
      </c>
      <c r="G469" s="1">
        <v>2</v>
      </c>
      <c r="H469" s="1" t="str">
        <f t="shared" si="7"/>
        <v>k7072_2</v>
      </c>
      <c r="K469" s="1">
        <f>IF(E469=0,SUMPRODUCT(($A$2:$A$4734=A469)*($B$2:$B$4734=B469)*($D$2:$D$4734=D469)*($E$2:$E$4734=0)),0)</f>
        <v>0</v>
      </c>
      <c r="L469" s="1" t="str">
        <f>IF(E469=0,SUMPRODUCT(MIN($K$2:$K$4734+((($A$2:$A$4734&lt;&gt;A469)+($E$2:$E$4734&lt;&gt;0))&gt;0)*1000000)),"")</f>
        <v/>
      </c>
      <c r="M469" s="1">
        <f>IF(AND(E469=0,COUNTIFS($A$2:A469,A469,$E$2:E469,0)=1),L469,0)</f>
        <v>0</v>
      </c>
    </row>
    <row r="470" spans="1:13" ht="15" customHeight="1">
      <c r="A470" s="1">
        <v>7072</v>
      </c>
      <c r="B470" s="1" t="s">
        <v>9</v>
      </c>
      <c r="C470" s="1" t="s">
        <v>577</v>
      </c>
      <c r="D470" s="2" t="s">
        <v>585</v>
      </c>
      <c r="E470" s="1">
        <v>1</v>
      </c>
      <c r="F470" s="2" t="s">
        <v>588</v>
      </c>
      <c r="G470" s="1">
        <v>3</v>
      </c>
      <c r="H470" s="1" t="str">
        <f t="shared" si="7"/>
        <v>k7072_3</v>
      </c>
      <c r="K470" s="1">
        <f>IF(E470=0,SUMPRODUCT(($A$2:$A$4734=A470)*($B$2:$B$4734=B470)*($D$2:$D$4734=D470)*($E$2:$E$4734=0)),0)</f>
        <v>0</v>
      </c>
      <c r="L470" s="1" t="str">
        <f>IF(E470=0,SUMPRODUCT(MIN($K$2:$K$4734+((($A$2:$A$4734&lt;&gt;A470)+($E$2:$E$4734&lt;&gt;0))&gt;0)*1000000)),"")</f>
        <v/>
      </c>
      <c r="M470" s="1">
        <f>IF(AND(E470=0,COUNTIFS($A$2:A470,A470,$E$2:E470,0)=1),L470,0)</f>
        <v>0</v>
      </c>
    </row>
    <row r="471" spans="1:13" ht="15" customHeight="1">
      <c r="A471" s="1">
        <v>7072</v>
      </c>
      <c r="B471" s="1" t="s">
        <v>167</v>
      </c>
      <c r="C471" s="1" t="s">
        <v>577</v>
      </c>
      <c r="D471" s="2" t="s">
        <v>589</v>
      </c>
      <c r="E471" s="1">
        <v>1</v>
      </c>
      <c r="F471" s="2" t="s">
        <v>590</v>
      </c>
      <c r="G471" s="1">
        <v>1</v>
      </c>
      <c r="H471" s="1" t="str">
        <f t="shared" si="7"/>
        <v>k7072_1</v>
      </c>
      <c r="K471" s="1">
        <f>IF(E471=0,SUMPRODUCT(($A$2:$A$4734=A471)*($B$2:$B$4734=B471)*($D$2:$D$4734=D471)*($E$2:$E$4734=0)),0)</f>
        <v>0</v>
      </c>
      <c r="L471" s="1" t="str">
        <f>IF(E471=0,SUMPRODUCT(MIN($K$2:$K$4734+((($A$2:$A$4734&lt;&gt;A471)+($E$2:$E$4734&lt;&gt;0))&gt;0)*1000000)),"")</f>
        <v/>
      </c>
      <c r="M471" s="1">
        <f>IF(AND(E471=0,COUNTIFS($A$2:A471,A471,$E$2:E471,0)=1),L471,0)</f>
        <v>0</v>
      </c>
    </row>
    <row r="472" spans="1:13" ht="15" customHeight="1">
      <c r="A472" s="1">
        <v>7072</v>
      </c>
      <c r="B472" s="1" t="s">
        <v>167</v>
      </c>
      <c r="C472" s="1" t="s">
        <v>577</v>
      </c>
      <c r="D472" s="2" t="s">
        <v>589</v>
      </c>
      <c r="E472" s="1">
        <v>1</v>
      </c>
      <c r="F472" s="2" t="s">
        <v>591</v>
      </c>
      <c r="G472" s="1">
        <v>2</v>
      </c>
      <c r="H472" s="1" t="str">
        <f t="shared" si="7"/>
        <v>k7072_2</v>
      </c>
      <c r="K472" s="1">
        <f>IF(E472=0,SUMPRODUCT(($A$2:$A$4734=A472)*($B$2:$B$4734=B472)*($D$2:$D$4734=D472)*($E$2:$E$4734=0)),0)</f>
        <v>0</v>
      </c>
      <c r="L472" s="1" t="str">
        <f>IF(E472=0,SUMPRODUCT(MIN($K$2:$K$4734+((($A$2:$A$4734&lt;&gt;A472)+($E$2:$E$4734&lt;&gt;0))&gt;0)*1000000)),"")</f>
        <v/>
      </c>
      <c r="M472" s="1">
        <f>IF(AND(E472=0,COUNTIFS($A$2:A472,A472,$E$2:E472,0)=1),L472,0)</f>
        <v>0</v>
      </c>
    </row>
    <row r="473" spans="1:13" ht="15" customHeight="1">
      <c r="A473" s="1">
        <v>7072</v>
      </c>
      <c r="B473" s="1" t="s">
        <v>167</v>
      </c>
      <c r="C473" s="1" t="s">
        <v>577</v>
      </c>
      <c r="D473" s="2" t="s">
        <v>589</v>
      </c>
      <c r="E473" s="1">
        <v>1</v>
      </c>
      <c r="F473" s="2" t="s">
        <v>592</v>
      </c>
      <c r="G473" s="1">
        <v>3</v>
      </c>
      <c r="H473" s="1" t="str">
        <f t="shared" si="7"/>
        <v>k7072_3</v>
      </c>
      <c r="K473" s="1">
        <f>IF(E473=0,SUMPRODUCT(($A$2:$A$4734=A473)*($B$2:$B$4734=B473)*($D$2:$D$4734=D473)*($E$2:$E$4734=0)),0)</f>
        <v>0</v>
      </c>
      <c r="L473" s="1" t="str">
        <f>IF(E473=0,SUMPRODUCT(MIN($K$2:$K$4734+((($A$2:$A$4734&lt;&gt;A473)+($E$2:$E$4734&lt;&gt;0))&gt;0)*1000000)),"")</f>
        <v/>
      </c>
      <c r="M473" s="1">
        <f>IF(AND(E473=0,COUNTIFS($A$2:A473,A473,$E$2:E473,0)=1),L473,0)</f>
        <v>0</v>
      </c>
    </row>
    <row r="474" spans="1:13" ht="15" customHeight="1">
      <c r="A474" s="1">
        <v>7073</v>
      </c>
      <c r="B474" s="1" t="s">
        <v>69</v>
      </c>
      <c r="C474" s="2" t="s">
        <v>593</v>
      </c>
      <c r="D474" s="2" t="s">
        <v>593</v>
      </c>
      <c r="E474" s="1">
        <v>1</v>
      </c>
      <c r="F474" s="2" t="s">
        <v>594</v>
      </c>
      <c r="G474" s="1">
        <v>1</v>
      </c>
      <c r="H474" s="1" t="str">
        <f t="shared" si="7"/>
        <v>k7073_1</v>
      </c>
      <c r="K474" s="1">
        <f>IF(E474=0,SUMPRODUCT(($A$2:$A$4734=A474)*($B$2:$B$4734=B474)*($D$2:$D$4734=D474)*($E$2:$E$4734=0)),0)</f>
        <v>0</v>
      </c>
      <c r="L474" s="1" t="str">
        <f>IF(E474=0,SUMPRODUCT(MIN($K$2:$K$4734+((($A$2:$A$4734&lt;&gt;A474)+($E$2:$E$4734&lt;&gt;0))&gt;0)*1000000)),"")</f>
        <v/>
      </c>
      <c r="M474" s="1">
        <f>IF(AND(E474=0,COUNTIFS($A$2:A474,A474,$E$2:E474,0)=1),L474,0)</f>
        <v>0</v>
      </c>
    </row>
    <row r="475" spans="1:13" ht="15" customHeight="1">
      <c r="A475" s="1">
        <v>7073</v>
      </c>
      <c r="B475" s="1" t="s">
        <v>69</v>
      </c>
      <c r="C475" s="2" t="s">
        <v>593</v>
      </c>
      <c r="D475" s="2" t="s">
        <v>593</v>
      </c>
      <c r="E475" s="1">
        <v>1</v>
      </c>
      <c r="F475" s="2" t="s">
        <v>595</v>
      </c>
      <c r="G475" s="1">
        <v>2</v>
      </c>
      <c r="H475" s="1" t="str">
        <f t="shared" si="7"/>
        <v>k7073_2</v>
      </c>
      <c r="K475" s="1">
        <f>IF(E475=0,SUMPRODUCT(($A$2:$A$4734=A475)*($B$2:$B$4734=B475)*($D$2:$D$4734=D475)*($E$2:$E$4734=0)),0)</f>
        <v>0</v>
      </c>
      <c r="L475" s="1" t="str">
        <f>IF(E475=0,SUMPRODUCT(MIN($K$2:$K$4734+((($A$2:$A$4734&lt;&gt;A475)+($E$2:$E$4734&lt;&gt;0))&gt;0)*1000000)),"")</f>
        <v/>
      </c>
      <c r="M475" s="1">
        <f>IF(AND(E475=0,COUNTIFS($A$2:A475,A475,$E$2:E475,0)=1),L475,0)</f>
        <v>0</v>
      </c>
    </row>
    <row r="476" spans="1:13" ht="15" customHeight="1">
      <c r="A476" s="1">
        <v>7073</v>
      </c>
      <c r="B476" s="1" t="s">
        <v>69</v>
      </c>
      <c r="C476" s="2" t="s">
        <v>593</v>
      </c>
      <c r="D476" s="2" t="s">
        <v>593</v>
      </c>
      <c r="E476" s="1">
        <v>1</v>
      </c>
      <c r="F476" s="2" t="s">
        <v>596</v>
      </c>
      <c r="G476" s="1">
        <v>3</v>
      </c>
      <c r="H476" s="1" t="str">
        <f t="shared" si="7"/>
        <v>k7073_3</v>
      </c>
      <c r="K476" s="1">
        <f>IF(E476=0,SUMPRODUCT(($A$2:$A$4734=A476)*($B$2:$B$4734=B476)*($D$2:$D$4734=D476)*($E$2:$E$4734=0)),0)</f>
        <v>0</v>
      </c>
      <c r="L476" s="1" t="str">
        <f>IF(E476=0,SUMPRODUCT(MIN($K$2:$K$4734+((($A$2:$A$4734&lt;&gt;A476)+($E$2:$E$4734&lt;&gt;0))&gt;0)*1000000)),"")</f>
        <v/>
      </c>
      <c r="M476" s="1">
        <f>IF(AND(E476=0,COUNTIFS($A$2:A476,A476,$E$2:E476,0)=1),L476,0)</f>
        <v>0</v>
      </c>
    </row>
    <row r="477" spans="1:13" ht="15" customHeight="1">
      <c r="A477" s="1">
        <v>7073</v>
      </c>
      <c r="B477" s="1" t="s">
        <v>69</v>
      </c>
      <c r="C477" s="2" t="s">
        <v>593</v>
      </c>
      <c r="D477" s="2" t="s">
        <v>593</v>
      </c>
      <c r="E477" s="1">
        <v>1</v>
      </c>
      <c r="F477" s="2" t="s">
        <v>597</v>
      </c>
      <c r="G477" s="1">
        <v>4</v>
      </c>
      <c r="H477" s="1" t="str">
        <f t="shared" si="7"/>
        <v>k7073_4</v>
      </c>
      <c r="K477" s="1">
        <f>IF(E477=0,SUMPRODUCT(($A$2:$A$4734=A477)*($B$2:$B$4734=B477)*($D$2:$D$4734=D477)*($E$2:$E$4734=0)),0)</f>
        <v>0</v>
      </c>
      <c r="L477" s="1" t="str">
        <f>IF(E477=0,SUMPRODUCT(MIN($K$2:$K$4734+((($A$2:$A$4734&lt;&gt;A477)+($E$2:$E$4734&lt;&gt;0))&gt;0)*1000000)),"")</f>
        <v/>
      </c>
      <c r="M477" s="1">
        <f>IF(AND(E477=0,COUNTIFS($A$2:A477,A477,$E$2:E477,0)=1),L477,0)</f>
        <v>0</v>
      </c>
    </row>
    <row r="478" spans="1:13" ht="15" customHeight="1">
      <c r="A478" s="1">
        <v>7073</v>
      </c>
      <c r="B478" s="1" t="s">
        <v>69</v>
      </c>
      <c r="C478" s="2" t="s">
        <v>593</v>
      </c>
      <c r="D478" s="2" t="s">
        <v>593</v>
      </c>
      <c r="E478" s="1">
        <v>1</v>
      </c>
      <c r="F478" s="2" t="s">
        <v>598</v>
      </c>
      <c r="G478" s="1">
        <v>5</v>
      </c>
      <c r="H478" s="1" t="str">
        <f t="shared" si="7"/>
        <v>k7073_5</v>
      </c>
      <c r="K478" s="1">
        <f>IF(E478=0,SUMPRODUCT(($A$2:$A$4734=A478)*($B$2:$B$4734=B478)*($D$2:$D$4734=D478)*($E$2:$E$4734=0)),0)</f>
        <v>0</v>
      </c>
      <c r="L478" s="1" t="str">
        <f>IF(E478=0,SUMPRODUCT(MIN($K$2:$K$4734+((($A$2:$A$4734&lt;&gt;A478)+($E$2:$E$4734&lt;&gt;0))&gt;0)*1000000)),"")</f>
        <v/>
      </c>
      <c r="M478" s="1">
        <f>IF(AND(E478=0,COUNTIFS($A$2:A478,A478,$E$2:E478,0)=1),L478,0)</f>
        <v>0</v>
      </c>
    </row>
    <row r="479" spans="1:13" ht="15" customHeight="1">
      <c r="A479" s="1">
        <v>7073</v>
      </c>
      <c r="B479" s="1" t="s">
        <v>69</v>
      </c>
      <c r="C479" s="2" t="s">
        <v>593</v>
      </c>
      <c r="D479" s="2" t="s">
        <v>593</v>
      </c>
      <c r="E479" s="1">
        <v>1</v>
      </c>
      <c r="F479" s="2" t="s">
        <v>599</v>
      </c>
      <c r="G479" s="1">
        <v>6</v>
      </c>
      <c r="H479" s="1" t="str">
        <f t="shared" si="7"/>
        <v>k7073_6</v>
      </c>
      <c r="K479" s="1">
        <f>IF(E479=0,SUMPRODUCT(($A$2:$A$4734=A479)*($B$2:$B$4734=B479)*($D$2:$D$4734=D479)*($E$2:$E$4734=0)),0)</f>
        <v>0</v>
      </c>
      <c r="L479" s="1" t="str">
        <f>IF(E479=0,SUMPRODUCT(MIN($K$2:$K$4734+((($A$2:$A$4734&lt;&gt;A479)+($E$2:$E$4734&lt;&gt;0))&gt;0)*1000000)),"")</f>
        <v/>
      </c>
      <c r="M479" s="1">
        <f>IF(AND(E479=0,COUNTIFS($A$2:A479,A479,$E$2:E479,0)=1),L479,0)</f>
        <v>0</v>
      </c>
    </row>
    <row r="480" spans="1:13" ht="15" customHeight="1">
      <c r="A480" s="1">
        <v>7073</v>
      </c>
      <c r="B480" s="1" t="s">
        <v>9</v>
      </c>
      <c r="C480" s="2" t="s">
        <v>593</v>
      </c>
      <c r="D480" s="2" t="s">
        <v>600</v>
      </c>
      <c r="E480" s="1">
        <v>1</v>
      </c>
      <c r="F480" s="2" t="s">
        <v>601</v>
      </c>
      <c r="G480" s="1">
        <v>1</v>
      </c>
      <c r="H480" s="1" t="str">
        <f t="shared" si="7"/>
        <v>k7073_1</v>
      </c>
      <c r="K480" s="1">
        <f>IF(E480=0,SUMPRODUCT(($A$2:$A$4734=A480)*($B$2:$B$4734=B480)*($D$2:$D$4734=D480)*($E$2:$E$4734=0)),0)</f>
        <v>0</v>
      </c>
      <c r="L480" s="1" t="str">
        <f>IF(E480=0,SUMPRODUCT(MIN($K$2:$K$4734+((($A$2:$A$4734&lt;&gt;A480)+($E$2:$E$4734&lt;&gt;0))&gt;0)*1000000)),"")</f>
        <v/>
      </c>
      <c r="M480" s="1">
        <f>IF(AND(E480=0,COUNTIFS($A$2:A480,A480,$E$2:E480,0)=1),L480,0)</f>
        <v>0</v>
      </c>
    </row>
    <row r="481" spans="1:13" ht="15" customHeight="1">
      <c r="A481" s="1">
        <v>7073</v>
      </c>
      <c r="B481" s="1" t="s">
        <v>9</v>
      </c>
      <c r="C481" s="2" t="s">
        <v>593</v>
      </c>
      <c r="D481" s="2" t="s">
        <v>600</v>
      </c>
      <c r="E481" s="1">
        <v>1</v>
      </c>
      <c r="F481" s="2" t="s">
        <v>602</v>
      </c>
      <c r="G481" s="1">
        <v>2</v>
      </c>
      <c r="H481" s="1" t="str">
        <f t="shared" si="7"/>
        <v>k7073_2</v>
      </c>
      <c r="K481" s="1">
        <f>IF(E481=0,SUMPRODUCT(($A$2:$A$4734=A481)*($B$2:$B$4734=B481)*($D$2:$D$4734=D481)*($E$2:$E$4734=0)),0)</f>
        <v>0</v>
      </c>
      <c r="L481" s="1" t="str">
        <f>IF(E481=0,SUMPRODUCT(MIN($K$2:$K$4734+((($A$2:$A$4734&lt;&gt;A481)+($E$2:$E$4734&lt;&gt;0))&gt;0)*1000000)),"")</f>
        <v/>
      </c>
      <c r="M481" s="1">
        <f>IF(AND(E481=0,COUNTIFS($A$2:A481,A481,$E$2:E481,0)=1),L481,0)</f>
        <v>0</v>
      </c>
    </row>
    <row r="482" spans="1:13" ht="15" customHeight="1">
      <c r="A482" s="1">
        <v>7073</v>
      </c>
      <c r="B482" s="1" t="s">
        <v>9</v>
      </c>
      <c r="C482" s="2" t="s">
        <v>593</v>
      </c>
      <c r="D482" s="2" t="s">
        <v>600</v>
      </c>
      <c r="E482" s="1">
        <v>1</v>
      </c>
      <c r="F482" s="2" t="s">
        <v>603</v>
      </c>
      <c r="G482" s="1">
        <v>3</v>
      </c>
      <c r="H482" s="1" t="str">
        <f t="shared" si="7"/>
        <v>k7073_3</v>
      </c>
      <c r="K482" s="1">
        <f>IF(E482=0,SUMPRODUCT(($A$2:$A$4734=A482)*($B$2:$B$4734=B482)*($D$2:$D$4734=D482)*($E$2:$E$4734=0)),0)</f>
        <v>0</v>
      </c>
      <c r="L482" s="1" t="str">
        <f>IF(E482=0,SUMPRODUCT(MIN($K$2:$K$4734+((($A$2:$A$4734&lt;&gt;A482)+($E$2:$E$4734&lt;&gt;0))&gt;0)*1000000)),"")</f>
        <v/>
      </c>
      <c r="M482" s="1">
        <f>IF(AND(E482=0,COUNTIFS($A$2:A482,A482,$E$2:E482,0)=1),L482,0)</f>
        <v>0</v>
      </c>
    </row>
    <row r="483" spans="1:13" ht="15" customHeight="1">
      <c r="A483" s="1">
        <v>7073</v>
      </c>
      <c r="B483" s="1" t="s">
        <v>9</v>
      </c>
      <c r="C483" s="2" t="s">
        <v>593</v>
      </c>
      <c r="D483" s="2" t="s">
        <v>600</v>
      </c>
      <c r="E483" s="1">
        <v>1</v>
      </c>
      <c r="F483" s="2" t="s">
        <v>604</v>
      </c>
      <c r="G483" s="1">
        <v>4</v>
      </c>
      <c r="H483" s="1" t="str">
        <f t="shared" si="7"/>
        <v>k7073_4</v>
      </c>
      <c r="K483" s="1">
        <f>IF(E483=0,SUMPRODUCT(($A$2:$A$4734=A483)*($B$2:$B$4734=B483)*($D$2:$D$4734=D483)*($E$2:$E$4734=0)),0)</f>
        <v>0</v>
      </c>
      <c r="L483" s="1" t="str">
        <f>IF(E483=0,SUMPRODUCT(MIN($K$2:$K$4734+((($A$2:$A$4734&lt;&gt;A483)+($E$2:$E$4734&lt;&gt;0))&gt;0)*1000000)),"")</f>
        <v/>
      </c>
      <c r="M483" s="1">
        <f>IF(AND(E483=0,COUNTIFS($A$2:A483,A483,$E$2:E483,0)=1),L483,0)</f>
        <v>0</v>
      </c>
    </row>
    <row r="484" spans="1:13" ht="15" customHeight="1">
      <c r="A484" s="1">
        <v>7073</v>
      </c>
      <c r="B484" s="1" t="s">
        <v>9</v>
      </c>
      <c r="C484" s="2" t="s">
        <v>593</v>
      </c>
      <c r="D484" s="2" t="s">
        <v>600</v>
      </c>
      <c r="E484" s="1">
        <v>1</v>
      </c>
      <c r="F484" s="2" t="s">
        <v>605</v>
      </c>
      <c r="G484" s="1">
        <v>5</v>
      </c>
      <c r="H484" s="1" t="str">
        <f t="shared" si="7"/>
        <v>k7073_5</v>
      </c>
      <c r="K484" s="1">
        <f>IF(E484=0,SUMPRODUCT(($A$2:$A$4734=A484)*($B$2:$B$4734=B484)*($D$2:$D$4734=D484)*($E$2:$E$4734=0)),0)</f>
        <v>0</v>
      </c>
      <c r="L484" s="1" t="str">
        <f>IF(E484=0,SUMPRODUCT(MIN($K$2:$K$4734+((($A$2:$A$4734&lt;&gt;A484)+($E$2:$E$4734&lt;&gt;0))&gt;0)*1000000)),"")</f>
        <v/>
      </c>
      <c r="M484" s="1">
        <f>IF(AND(E484=0,COUNTIFS($A$2:A484,A484,$E$2:E484,0)=1),L484,0)</f>
        <v>0</v>
      </c>
    </row>
    <row r="485" spans="1:13" ht="15" customHeight="1">
      <c r="A485" s="1">
        <v>7073</v>
      </c>
      <c r="B485" s="1" t="s">
        <v>9</v>
      </c>
      <c r="C485" s="2" t="s">
        <v>593</v>
      </c>
      <c r="D485" s="2" t="s">
        <v>600</v>
      </c>
      <c r="E485" s="1">
        <v>1</v>
      </c>
      <c r="F485" s="2" t="s">
        <v>605</v>
      </c>
      <c r="G485" s="1">
        <v>6</v>
      </c>
      <c r="H485" s="1" t="str">
        <f t="shared" si="7"/>
        <v>k7073_6</v>
      </c>
      <c r="K485" s="1">
        <f>IF(E485=0,SUMPRODUCT(($A$2:$A$4734=A485)*($B$2:$B$4734=B485)*($D$2:$D$4734=D485)*($E$2:$E$4734=0)),0)</f>
        <v>0</v>
      </c>
      <c r="L485" s="1" t="str">
        <f>IF(E485=0,SUMPRODUCT(MIN($K$2:$K$4734+((($A$2:$A$4734&lt;&gt;A485)+($E$2:$E$4734&lt;&gt;0))&gt;0)*1000000)),"")</f>
        <v/>
      </c>
      <c r="M485" s="1">
        <f>IF(AND(E485=0,COUNTIFS($A$2:A485,A485,$E$2:E485,0)=1),L485,0)</f>
        <v>0</v>
      </c>
    </row>
    <row r="486" spans="1:13" ht="15" customHeight="1">
      <c r="A486" s="1">
        <v>7073</v>
      </c>
      <c r="B486" s="1" t="s">
        <v>9</v>
      </c>
      <c r="C486" s="2" t="s">
        <v>593</v>
      </c>
      <c r="D486" s="2" t="s">
        <v>606</v>
      </c>
      <c r="E486" s="1">
        <v>1</v>
      </c>
      <c r="F486" s="2" t="s">
        <v>607</v>
      </c>
      <c r="G486" s="1">
        <v>1</v>
      </c>
      <c r="H486" s="1" t="str">
        <f t="shared" si="7"/>
        <v>k7073_1</v>
      </c>
      <c r="K486" s="1">
        <f>IF(E486=0,SUMPRODUCT(($A$2:$A$4734=A486)*($B$2:$B$4734=B486)*($D$2:$D$4734=D486)*($E$2:$E$4734=0)),0)</f>
        <v>0</v>
      </c>
      <c r="L486" s="1" t="str">
        <f>IF(E486=0,SUMPRODUCT(MIN($K$2:$K$4734+((($A$2:$A$4734&lt;&gt;A486)+($E$2:$E$4734&lt;&gt;0))&gt;0)*1000000)),"")</f>
        <v/>
      </c>
      <c r="M486" s="1">
        <f>IF(AND(E486=0,COUNTIFS($A$2:A486,A486,$E$2:E486,0)=1),L486,0)</f>
        <v>0</v>
      </c>
    </row>
    <row r="487" spans="1:13" ht="15" customHeight="1">
      <c r="A487" s="1">
        <v>7073</v>
      </c>
      <c r="B487" s="1" t="s">
        <v>9</v>
      </c>
      <c r="C487" s="2" t="s">
        <v>593</v>
      </c>
      <c r="D487" s="2" t="s">
        <v>606</v>
      </c>
      <c r="E487" s="1">
        <v>1</v>
      </c>
      <c r="F487" s="2" t="s">
        <v>608</v>
      </c>
      <c r="G487" s="1">
        <v>2</v>
      </c>
      <c r="H487" s="1" t="str">
        <f t="shared" si="7"/>
        <v>k7073_2</v>
      </c>
      <c r="K487" s="1">
        <f>IF(E487=0,SUMPRODUCT(($A$2:$A$4734=A487)*($B$2:$B$4734=B487)*($D$2:$D$4734=D487)*($E$2:$E$4734=0)),0)</f>
        <v>0</v>
      </c>
      <c r="L487" s="1" t="str">
        <f>IF(E487=0,SUMPRODUCT(MIN($K$2:$K$4734+((($A$2:$A$4734&lt;&gt;A487)+($E$2:$E$4734&lt;&gt;0))&gt;0)*1000000)),"")</f>
        <v/>
      </c>
      <c r="M487" s="1">
        <f>IF(AND(E487=0,COUNTIFS($A$2:A487,A487,$E$2:E487,0)=1),L487,0)</f>
        <v>0</v>
      </c>
    </row>
    <row r="488" spans="1:13" ht="15" customHeight="1">
      <c r="A488" s="1">
        <v>7073</v>
      </c>
      <c r="B488" s="1" t="s">
        <v>9</v>
      </c>
      <c r="C488" s="2" t="s">
        <v>593</v>
      </c>
      <c r="D488" s="2" t="s">
        <v>606</v>
      </c>
      <c r="E488" s="1">
        <v>1</v>
      </c>
      <c r="F488" s="2" t="s">
        <v>609</v>
      </c>
      <c r="G488" s="1">
        <v>3</v>
      </c>
      <c r="H488" s="1" t="str">
        <f t="shared" si="7"/>
        <v>k7073_3</v>
      </c>
      <c r="K488" s="1">
        <f>IF(E488=0,SUMPRODUCT(($A$2:$A$4734=A488)*($B$2:$B$4734=B488)*($D$2:$D$4734=D488)*($E$2:$E$4734=0)),0)</f>
        <v>0</v>
      </c>
      <c r="L488" s="1" t="str">
        <f>IF(E488=0,SUMPRODUCT(MIN($K$2:$K$4734+((($A$2:$A$4734&lt;&gt;A488)+($E$2:$E$4734&lt;&gt;0))&gt;0)*1000000)),"")</f>
        <v/>
      </c>
      <c r="M488" s="1">
        <f>IF(AND(E488=0,COUNTIFS($A$2:A488,A488,$E$2:E488,0)=1),L488,0)</f>
        <v>0</v>
      </c>
    </row>
    <row r="489" spans="1:13" ht="15" customHeight="1">
      <c r="A489" s="1">
        <v>7073</v>
      </c>
      <c r="B489" s="1" t="s">
        <v>9</v>
      </c>
      <c r="C489" s="2" t="s">
        <v>593</v>
      </c>
      <c r="D489" s="2" t="s">
        <v>606</v>
      </c>
      <c r="E489" s="1">
        <v>1</v>
      </c>
      <c r="F489" s="2" t="s">
        <v>608</v>
      </c>
      <c r="G489" s="1">
        <v>4</v>
      </c>
      <c r="H489" s="1" t="str">
        <f t="shared" si="7"/>
        <v>k7073_4</v>
      </c>
      <c r="K489" s="1">
        <f>IF(E489=0,SUMPRODUCT(($A$2:$A$4734=A489)*($B$2:$B$4734=B489)*($D$2:$D$4734=D489)*($E$2:$E$4734=0)),0)</f>
        <v>0</v>
      </c>
      <c r="L489" s="1" t="str">
        <f>IF(E489=0,SUMPRODUCT(MIN($K$2:$K$4734+((($A$2:$A$4734&lt;&gt;A489)+($E$2:$E$4734&lt;&gt;0))&gt;0)*1000000)),"")</f>
        <v/>
      </c>
      <c r="M489" s="1">
        <f>IF(AND(E489=0,COUNTIFS($A$2:A489,A489,$E$2:E489,0)=1),L489,0)</f>
        <v>0</v>
      </c>
    </row>
    <row r="490" spans="1:13" ht="15" customHeight="1">
      <c r="A490" s="1">
        <v>7073</v>
      </c>
      <c r="B490" s="1" t="s">
        <v>9</v>
      </c>
      <c r="C490" s="2" t="s">
        <v>593</v>
      </c>
      <c r="D490" s="2" t="s">
        <v>606</v>
      </c>
      <c r="E490" s="1">
        <v>1</v>
      </c>
      <c r="F490" s="2" t="s">
        <v>609</v>
      </c>
      <c r="G490" s="1">
        <v>5</v>
      </c>
      <c r="H490" s="1" t="str">
        <f t="shared" si="7"/>
        <v>k7073_5</v>
      </c>
      <c r="K490" s="1">
        <f>IF(E490=0,SUMPRODUCT(($A$2:$A$4734=A490)*($B$2:$B$4734=B490)*($D$2:$D$4734=D490)*($E$2:$E$4734=0)),0)</f>
        <v>0</v>
      </c>
      <c r="L490" s="1" t="str">
        <f>IF(E490=0,SUMPRODUCT(MIN($K$2:$K$4734+((($A$2:$A$4734&lt;&gt;A490)+($E$2:$E$4734&lt;&gt;0))&gt;0)*1000000)),"")</f>
        <v/>
      </c>
      <c r="M490" s="1">
        <f>IF(AND(E490=0,COUNTIFS($A$2:A490,A490,$E$2:E490,0)=1),L490,0)</f>
        <v>0</v>
      </c>
    </row>
    <row r="491" spans="1:13" ht="15" customHeight="1">
      <c r="A491" s="1">
        <v>7073</v>
      </c>
      <c r="B491" s="1" t="s">
        <v>9</v>
      </c>
      <c r="C491" s="2" t="s">
        <v>593</v>
      </c>
      <c r="D491" s="2" t="s">
        <v>606</v>
      </c>
      <c r="E491" s="1">
        <v>1</v>
      </c>
      <c r="F491" s="2" t="s">
        <v>610</v>
      </c>
      <c r="G491" s="1">
        <v>6</v>
      </c>
      <c r="H491" s="1" t="str">
        <f t="shared" si="7"/>
        <v>k7073_6</v>
      </c>
      <c r="K491" s="1">
        <f>IF(E491=0,SUMPRODUCT(($A$2:$A$4734=A491)*($B$2:$B$4734=B491)*($D$2:$D$4734=D491)*($E$2:$E$4734=0)),0)</f>
        <v>0</v>
      </c>
      <c r="L491" s="1" t="str">
        <f>IF(E491=0,SUMPRODUCT(MIN($K$2:$K$4734+((($A$2:$A$4734&lt;&gt;A491)+($E$2:$E$4734&lt;&gt;0))&gt;0)*1000000)),"")</f>
        <v/>
      </c>
      <c r="M491" s="1">
        <f>IF(AND(E491=0,COUNTIFS($A$2:A491,A491,$E$2:E491,0)=1),L491,0)</f>
        <v>0</v>
      </c>
    </row>
    <row r="492" spans="1:13" ht="15" customHeight="1">
      <c r="A492" s="1">
        <v>7073</v>
      </c>
      <c r="B492" s="1" t="s">
        <v>16</v>
      </c>
      <c r="C492" s="2" t="s">
        <v>593</v>
      </c>
      <c r="D492" s="2" t="s">
        <v>606</v>
      </c>
      <c r="E492" s="1">
        <v>1</v>
      </c>
      <c r="F492" s="2" t="s">
        <v>611</v>
      </c>
      <c r="G492" s="1">
        <v>1</v>
      </c>
      <c r="H492" s="1" t="str">
        <f t="shared" si="7"/>
        <v>k7073_1</v>
      </c>
      <c r="K492" s="1">
        <f>IF(E492=0,SUMPRODUCT(($A$2:$A$4734=A492)*($B$2:$B$4734=B492)*($D$2:$D$4734=D492)*($E$2:$E$4734=0)),0)</f>
        <v>0</v>
      </c>
      <c r="L492" s="1" t="str">
        <f>IF(E492=0,SUMPRODUCT(MIN($K$2:$K$4734+((($A$2:$A$4734&lt;&gt;A492)+($E$2:$E$4734&lt;&gt;0))&gt;0)*1000000)),"")</f>
        <v/>
      </c>
      <c r="M492" s="1">
        <f>IF(AND(E492=0,COUNTIFS($A$2:A492,A492,$E$2:E492,0)=1),L492,0)</f>
        <v>0</v>
      </c>
    </row>
    <row r="493" spans="1:13" ht="15" customHeight="1">
      <c r="A493" s="1">
        <v>7073</v>
      </c>
      <c r="B493" s="1" t="s">
        <v>16</v>
      </c>
      <c r="C493" s="2" t="s">
        <v>593</v>
      </c>
      <c r="D493" s="2" t="s">
        <v>606</v>
      </c>
      <c r="E493" s="1">
        <v>1</v>
      </c>
      <c r="F493" s="2" t="s">
        <v>612</v>
      </c>
      <c r="G493" s="1">
        <v>2</v>
      </c>
      <c r="H493" s="1" t="str">
        <f t="shared" si="7"/>
        <v>k7073_2</v>
      </c>
      <c r="K493" s="1">
        <f>IF(E493=0,SUMPRODUCT(($A$2:$A$4734=A493)*($B$2:$B$4734=B493)*($D$2:$D$4734=D493)*($E$2:$E$4734=0)),0)</f>
        <v>0</v>
      </c>
      <c r="L493" s="1" t="str">
        <f>IF(E493=0,SUMPRODUCT(MIN($K$2:$K$4734+((($A$2:$A$4734&lt;&gt;A493)+($E$2:$E$4734&lt;&gt;0))&gt;0)*1000000)),"")</f>
        <v/>
      </c>
      <c r="M493" s="1">
        <f>IF(AND(E493=0,COUNTIFS($A$2:A493,A493,$E$2:E493,0)=1),L493,0)</f>
        <v>0</v>
      </c>
    </row>
    <row r="494" spans="1:13" ht="15" customHeight="1">
      <c r="A494" s="1">
        <v>7073</v>
      </c>
      <c r="B494" s="1" t="s">
        <v>16</v>
      </c>
      <c r="C494" s="2" t="s">
        <v>593</v>
      </c>
      <c r="D494" s="2" t="s">
        <v>606</v>
      </c>
      <c r="E494" s="1">
        <v>1</v>
      </c>
      <c r="F494" s="2" t="s">
        <v>613</v>
      </c>
      <c r="G494" s="1">
        <v>3</v>
      </c>
      <c r="H494" s="1" t="str">
        <f t="shared" si="7"/>
        <v>k7073_3</v>
      </c>
      <c r="K494" s="1">
        <f>IF(E494=0,SUMPRODUCT(($A$2:$A$4734=A494)*($B$2:$B$4734=B494)*($D$2:$D$4734=D494)*($E$2:$E$4734=0)),0)</f>
        <v>0</v>
      </c>
      <c r="L494" s="1" t="str">
        <f>IF(E494=0,SUMPRODUCT(MIN($K$2:$K$4734+((($A$2:$A$4734&lt;&gt;A494)+($E$2:$E$4734&lt;&gt;0))&gt;0)*1000000)),"")</f>
        <v/>
      </c>
      <c r="M494" s="1">
        <f>IF(AND(E494=0,COUNTIFS($A$2:A494,A494,$E$2:E494,0)=1),L494,0)</f>
        <v>0</v>
      </c>
    </row>
    <row r="495" spans="1:13" ht="15" customHeight="1">
      <c r="A495" s="1">
        <v>7073</v>
      </c>
      <c r="B495" s="1" t="s">
        <v>16</v>
      </c>
      <c r="C495" s="2" t="s">
        <v>593</v>
      </c>
      <c r="D495" s="2" t="s">
        <v>606</v>
      </c>
      <c r="E495" s="1">
        <v>1</v>
      </c>
      <c r="F495" s="2" t="s">
        <v>614</v>
      </c>
      <c r="G495" s="1">
        <v>4</v>
      </c>
      <c r="H495" s="1" t="str">
        <f t="shared" si="7"/>
        <v>k7073_4</v>
      </c>
      <c r="K495" s="1">
        <f>IF(E495=0,SUMPRODUCT(($A$2:$A$4734=A495)*($B$2:$B$4734=B495)*($D$2:$D$4734=D495)*($E$2:$E$4734=0)),0)</f>
        <v>0</v>
      </c>
      <c r="L495" s="1" t="str">
        <f>IF(E495=0,SUMPRODUCT(MIN($K$2:$K$4734+((($A$2:$A$4734&lt;&gt;A495)+($E$2:$E$4734&lt;&gt;0))&gt;0)*1000000)),"")</f>
        <v/>
      </c>
      <c r="M495" s="1">
        <f>IF(AND(E495=0,COUNTIFS($A$2:A495,A495,$E$2:E495,0)=1),L495,0)</f>
        <v>0</v>
      </c>
    </row>
    <row r="496" spans="1:13" ht="15" customHeight="1">
      <c r="A496" s="1">
        <v>7073</v>
      </c>
      <c r="B496" s="1" t="s">
        <v>16</v>
      </c>
      <c r="C496" s="2" t="s">
        <v>593</v>
      </c>
      <c r="D496" s="2" t="s">
        <v>606</v>
      </c>
      <c r="E496" s="1">
        <v>1</v>
      </c>
      <c r="F496" s="2" t="s">
        <v>614</v>
      </c>
      <c r="G496" s="1">
        <v>5</v>
      </c>
      <c r="H496" s="1" t="str">
        <f t="shared" si="7"/>
        <v>k7073_5</v>
      </c>
      <c r="K496" s="1">
        <f>IF(E496=0,SUMPRODUCT(($A$2:$A$4734=A496)*($B$2:$B$4734=B496)*($D$2:$D$4734=D496)*($E$2:$E$4734=0)),0)</f>
        <v>0</v>
      </c>
      <c r="L496" s="1" t="str">
        <f>IF(E496=0,SUMPRODUCT(MIN($K$2:$K$4734+((($A$2:$A$4734&lt;&gt;A496)+($E$2:$E$4734&lt;&gt;0))&gt;0)*1000000)),"")</f>
        <v/>
      </c>
      <c r="M496" s="1">
        <f>IF(AND(E496=0,COUNTIFS($A$2:A496,A496,$E$2:E496,0)=1),L496,0)</f>
        <v>0</v>
      </c>
    </row>
    <row r="497" spans="1:13" ht="15" customHeight="1">
      <c r="A497" s="1">
        <v>7073</v>
      </c>
      <c r="B497" s="1" t="s">
        <v>16</v>
      </c>
      <c r="C497" s="2" t="s">
        <v>593</v>
      </c>
      <c r="D497" s="2" t="s">
        <v>606</v>
      </c>
      <c r="E497" s="1">
        <v>1</v>
      </c>
      <c r="F497" s="2" t="s">
        <v>615</v>
      </c>
      <c r="G497" s="1">
        <v>6</v>
      </c>
      <c r="H497" s="1" t="str">
        <f t="shared" si="7"/>
        <v>k7073_6</v>
      </c>
      <c r="K497" s="1">
        <f>IF(E497=0,SUMPRODUCT(($A$2:$A$4734=A497)*($B$2:$B$4734=B497)*($D$2:$D$4734=D497)*($E$2:$E$4734=0)),0)</f>
        <v>0</v>
      </c>
      <c r="L497" s="1" t="str">
        <f>IF(E497=0,SUMPRODUCT(MIN($K$2:$K$4734+((($A$2:$A$4734&lt;&gt;A497)+($E$2:$E$4734&lt;&gt;0))&gt;0)*1000000)),"")</f>
        <v/>
      </c>
      <c r="M497" s="1">
        <f>IF(AND(E497=0,COUNTIFS($A$2:A497,A497,$E$2:E497,0)=1),L497,0)</f>
        <v>0</v>
      </c>
    </row>
    <row r="498" spans="1:13" ht="15" customHeight="1">
      <c r="A498" s="1">
        <v>7073</v>
      </c>
      <c r="B498" s="1" t="s">
        <v>9</v>
      </c>
      <c r="C498" s="2" t="s">
        <v>593</v>
      </c>
      <c r="D498" s="2" t="s">
        <v>616</v>
      </c>
      <c r="E498" s="1">
        <v>1</v>
      </c>
      <c r="F498" s="2" t="s">
        <v>617</v>
      </c>
      <c r="G498" s="1">
        <v>1</v>
      </c>
      <c r="H498" s="1" t="str">
        <f t="shared" si="7"/>
        <v>k7073_1</v>
      </c>
      <c r="K498" s="1">
        <f>IF(E498=0,SUMPRODUCT(($A$2:$A$4734=A498)*($B$2:$B$4734=B498)*($D$2:$D$4734=D498)*($E$2:$E$4734=0)),0)</f>
        <v>0</v>
      </c>
      <c r="L498" s="1" t="str">
        <f>IF(E498=0,SUMPRODUCT(MIN($K$2:$K$4734+((($A$2:$A$4734&lt;&gt;A498)+($E$2:$E$4734&lt;&gt;0))&gt;0)*1000000)),"")</f>
        <v/>
      </c>
      <c r="M498" s="1">
        <f>IF(AND(E498=0,COUNTIFS($A$2:A498,A498,$E$2:E498,0)=1),L498,0)</f>
        <v>0</v>
      </c>
    </row>
    <row r="499" spans="1:13" ht="15" customHeight="1">
      <c r="A499" s="1">
        <v>7073</v>
      </c>
      <c r="B499" s="1" t="s">
        <v>9</v>
      </c>
      <c r="C499" s="2" t="s">
        <v>593</v>
      </c>
      <c r="D499" s="2" t="s">
        <v>616</v>
      </c>
      <c r="E499" s="1">
        <v>1</v>
      </c>
      <c r="F499" s="2" t="s">
        <v>618</v>
      </c>
      <c r="G499" s="1">
        <v>2</v>
      </c>
      <c r="H499" s="1" t="str">
        <f t="shared" si="7"/>
        <v>k7073_2</v>
      </c>
      <c r="K499" s="1">
        <f>IF(E499=0,SUMPRODUCT(($A$2:$A$4734=A499)*($B$2:$B$4734=B499)*($D$2:$D$4734=D499)*($E$2:$E$4734=0)),0)</f>
        <v>0</v>
      </c>
      <c r="L499" s="1" t="str">
        <f>IF(E499=0,SUMPRODUCT(MIN($K$2:$K$4734+((($A$2:$A$4734&lt;&gt;A499)+($E$2:$E$4734&lt;&gt;0))&gt;0)*1000000)),"")</f>
        <v/>
      </c>
      <c r="M499" s="1">
        <f>IF(AND(E499=0,COUNTIFS($A$2:A499,A499,$E$2:E499,0)=1),L499,0)</f>
        <v>0</v>
      </c>
    </row>
    <row r="500" spans="1:13" ht="15" customHeight="1">
      <c r="A500" s="1">
        <v>7073</v>
      </c>
      <c r="B500" s="1" t="s">
        <v>9</v>
      </c>
      <c r="C500" s="2" t="s">
        <v>593</v>
      </c>
      <c r="D500" s="2" t="s">
        <v>616</v>
      </c>
      <c r="E500" s="1">
        <v>1</v>
      </c>
      <c r="F500" s="2" t="s">
        <v>617</v>
      </c>
      <c r="G500" s="1">
        <v>3</v>
      </c>
      <c r="H500" s="1" t="str">
        <f t="shared" si="7"/>
        <v>k7073_3</v>
      </c>
      <c r="K500" s="1">
        <f>IF(E500=0,SUMPRODUCT(($A$2:$A$4734=A500)*($B$2:$B$4734=B500)*($D$2:$D$4734=D500)*($E$2:$E$4734=0)),0)</f>
        <v>0</v>
      </c>
      <c r="L500" s="1" t="str">
        <f>IF(E500=0,SUMPRODUCT(MIN($K$2:$K$4734+((($A$2:$A$4734&lt;&gt;A500)+($E$2:$E$4734&lt;&gt;0))&gt;0)*1000000)),"")</f>
        <v/>
      </c>
      <c r="M500" s="1">
        <f>IF(AND(E500=0,COUNTIFS($A$2:A500,A500,$E$2:E500,0)=1),L500,0)</f>
        <v>0</v>
      </c>
    </row>
    <row r="501" spans="1:13" ht="15" customHeight="1">
      <c r="A501" s="1">
        <v>7073</v>
      </c>
      <c r="B501" s="1" t="s">
        <v>9</v>
      </c>
      <c r="C501" s="2" t="s">
        <v>593</v>
      </c>
      <c r="D501" s="2" t="s">
        <v>616</v>
      </c>
      <c r="E501" s="1">
        <v>1</v>
      </c>
      <c r="F501" s="2" t="s">
        <v>618</v>
      </c>
      <c r="G501" s="1">
        <v>4</v>
      </c>
      <c r="H501" s="1" t="str">
        <f t="shared" si="7"/>
        <v>k7073_4</v>
      </c>
      <c r="K501" s="1">
        <f>IF(E501=0,SUMPRODUCT(($A$2:$A$4734=A501)*($B$2:$B$4734=B501)*($D$2:$D$4734=D501)*($E$2:$E$4734=0)),0)</f>
        <v>0</v>
      </c>
      <c r="L501" s="1" t="str">
        <f>IF(E501=0,SUMPRODUCT(MIN($K$2:$K$4734+((($A$2:$A$4734&lt;&gt;A501)+($E$2:$E$4734&lt;&gt;0))&gt;0)*1000000)),"")</f>
        <v/>
      </c>
      <c r="M501" s="1">
        <f>IF(AND(E501=0,COUNTIFS($A$2:A501,A501,$E$2:E501,0)=1),L501,0)</f>
        <v>0</v>
      </c>
    </row>
    <row r="502" spans="1:13" ht="15" customHeight="1">
      <c r="A502" s="1">
        <v>7073</v>
      </c>
      <c r="B502" s="1" t="s">
        <v>9</v>
      </c>
      <c r="C502" s="2" t="s">
        <v>593</v>
      </c>
      <c r="D502" s="2" t="s">
        <v>616</v>
      </c>
      <c r="E502" s="1">
        <v>1</v>
      </c>
      <c r="F502" s="2" t="s">
        <v>619</v>
      </c>
      <c r="G502" s="1">
        <v>5</v>
      </c>
      <c r="H502" s="1" t="str">
        <f t="shared" si="7"/>
        <v>k7073_5</v>
      </c>
      <c r="K502" s="1">
        <f>IF(E502=0,SUMPRODUCT(($A$2:$A$4734=A502)*($B$2:$B$4734=B502)*($D$2:$D$4734=D502)*($E$2:$E$4734=0)),0)</f>
        <v>0</v>
      </c>
      <c r="L502" s="1" t="str">
        <f>IF(E502=0,SUMPRODUCT(MIN($K$2:$K$4734+((($A$2:$A$4734&lt;&gt;A502)+($E$2:$E$4734&lt;&gt;0))&gt;0)*1000000)),"")</f>
        <v/>
      </c>
      <c r="M502" s="1">
        <f>IF(AND(E502=0,COUNTIFS($A$2:A502,A502,$E$2:E502,0)=1),L502,0)</f>
        <v>0</v>
      </c>
    </row>
    <row r="503" spans="1:13" ht="15" customHeight="1">
      <c r="A503" s="1">
        <v>7073</v>
      </c>
      <c r="B503" s="1" t="s">
        <v>9</v>
      </c>
      <c r="C503" s="2" t="s">
        <v>593</v>
      </c>
      <c r="D503" s="2" t="s">
        <v>616</v>
      </c>
      <c r="E503" s="1">
        <v>1</v>
      </c>
      <c r="F503" s="2" t="s">
        <v>620</v>
      </c>
      <c r="G503" s="1">
        <v>6</v>
      </c>
      <c r="H503" s="1" t="str">
        <f t="shared" si="7"/>
        <v>k7073_6</v>
      </c>
      <c r="K503" s="1">
        <f>IF(E503=0,SUMPRODUCT(($A$2:$A$4734=A503)*($B$2:$B$4734=B503)*($D$2:$D$4734=D503)*($E$2:$E$4734=0)),0)</f>
        <v>0</v>
      </c>
      <c r="L503" s="1" t="str">
        <f>IF(E503=0,SUMPRODUCT(MIN($K$2:$K$4734+((($A$2:$A$4734&lt;&gt;A503)+($E$2:$E$4734&lt;&gt;0))&gt;0)*1000000)),"")</f>
        <v/>
      </c>
      <c r="M503" s="1">
        <f>IF(AND(E503=0,COUNTIFS($A$2:A503,A503,$E$2:E503,0)=1),L503,0)</f>
        <v>0</v>
      </c>
    </row>
    <row r="504" spans="1:13" ht="15" customHeight="1">
      <c r="A504" s="1">
        <v>7073</v>
      </c>
      <c r="B504" s="1" t="s">
        <v>16</v>
      </c>
      <c r="C504" s="2" t="s">
        <v>593</v>
      </c>
      <c r="D504" s="2" t="s">
        <v>621</v>
      </c>
      <c r="E504" s="1">
        <v>1</v>
      </c>
      <c r="F504" s="2" t="s">
        <v>622</v>
      </c>
      <c r="G504" s="1">
        <v>1</v>
      </c>
      <c r="H504" s="1" t="str">
        <f t="shared" si="7"/>
        <v>k7073_1</v>
      </c>
      <c r="K504" s="1">
        <f>IF(E504=0,SUMPRODUCT(($A$2:$A$4734=A504)*($B$2:$B$4734=B504)*($D$2:$D$4734=D504)*($E$2:$E$4734=0)),0)</f>
        <v>0</v>
      </c>
      <c r="L504" s="1" t="str">
        <f>IF(E504=0,SUMPRODUCT(MIN($K$2:$K$4734+((($A$2:$A$4734&lt;&gt;A504)+($E$2:$E$4734&lt;&gt;0))&gt;0)*1000000)),"")</f>
        <v/>
      </c>
      <c r="M504" s="1">
        <f>IF(AND(E504=0,COUNTIFS($A$2:A504,A504,$E$2:E504,0)=1),L504,0)</f>
        <v>0</v>
      </c>
    </row>
    <row r="505" spans="1:13" ht="15" customHeight="1">
      <c r="A505" s="1">
        <v>7073</v>
      </c>
      <c r="B505" s="1" t="s">
        <v>16</v>
      </c>
      <c r="C505" s="2" t="s">
        <v>593</v>
      </c>
      <c r="D505" s="2" t="s">
        <v>621</v>
      </c>
      <c r="E505" s="1">
        <v>1</v>
      </c>
      <c r="F505" s="2" t="s">
        <v>623</v>
      </c>
      <c r="G505" s="1">
        <v>2</v>
      </c>
      <c r="H505" s="1" t="str">
        <f t="shared" ref="H505:H567" si="8">IF(OR(E505&lt;&gt;1,G505=""),"","k"&amp;A505&amp;"_"&amp;G505)</f>
        <v>k7073_2</v>
      </c>
      <c r="K505" s="1">
        <f>IF(E505=0,SUMPRODUCT(($A$2:$A$4734=A505)*($B$2:$B$4734=B505)*($D$2:$D$4734=D505)*($E$2:$E$4734=0)),0)</f>
        <v>0</v>
      </c>
      <c r="L505" s="1" t="str">
        <f>IF(E505=0,SUMPRODUCT(MIN($K$2:$K$4734+((($A$2:$A$4734&lt;&gt;A505)+($E$2:$E$4734&lt;&gt;0))&gt;0)*1000000)),"")</f>
        <v/>
      </c>
      <c r="M505" s="1">
        <f>IF(AND(E505=0,COUNTIFS($A$2:A505,A505,$E$2:E505,0)=1),L505,0)</f>
        <v>0</v>
      </c>
    </row>
    <row r="506" spans="1:13" ht="15" customHeight="1">
      <c r="A506" s="1">
        <v>7073</v>
      </c>
      <c r="B506" s="1" t="s">
        <v>16</v>
      </c>
      <c r="C506" s="2" t="s">
        <v>593</v>
      </c>
      <c r="D506" s="2" t="s">
        <v>621</v>
      </c>
      <c r="E506" s="1">
        <v>1</v>
      </c>
      <c r="F506" s="2" t="s">
        <v>624</v>
      </c>
      <c r="G506" s="1">
        <v>3</v>
      </c>
      <c r="H506" s="1" t="str">
        <f t="shared" si="8"/>
        <v>k7073_3</v>
      </c>
      <c r="K506" s="1">
        <f>IF(E506=0,SUMPRODUCT(($A$2:$A$4734=A506)*($B$2:$B$4734=B506)*($D$2:$D$4734=D506)*($E$2:$E$4734=0)),0)</f>
        <v>0</v>
      </c>
      <c r="L506" s="1" t="str">
        <f>IF(E506=0,SUMPRODUCT(MIN($K$2:$K$4734+((($A$2:$A$4734&lt;&gt;A506)+($E$2:$E$4734&lt;&gt;0))&gt;0)*1000000)),"")</f>
        <v/>
      </c>
      <c r="M506" s="1">
        <f>IF(AND(E506=0,COUNTIFS($A$2:A506,A506,$E$2:E506,0)=1),L506,0)</f>
        <v>0</v>
      </c>
    </row>
    <row r="507" spans="1:13" ht="15" customHeight="1">
      <c r="A507" s="1">
        <v>7073</v>
      </c>
      <c r="B507" s="1" t="s">
        <v>16</v>
      </c>
      <c r="C507" s="2" t="s">
        <v>593</v>
      </c>
      <c r="D507" s="2" t="s">
        <v>621</v>
      </c>
      <c r="E507" s="1">
        <v>1</v>
      </c>
      <c r="F507" s="2" t="s">
        <v>625</v>
      </c>
      <c r="G507" s="1">
        <v>4</v>
      </c>
      <c r="H507" s="1" t="str">
        <f t="shared" si="8"/>
        <v>k7073_4</v>
      </c>
      <c r="K507" s="1">
        <f>IF(E507=0,SUMPRODUCT(($A$2:$A$4734=A507)*($B$2:$B$4734=B507)*($D$2:$D$4734=D507)*($E$2:$E$4734=0)),0)</f>
        <v>0</v>
      </c>
      <c r="L507" s="1" t="str">
        <f>IF(E507=0,SUMPRODUCT(MIN($K$2:$K$4734+((($A$2:$A$4734&lt;&gt;A507)+($E$2:$E$4734&lt;&gt;0))&gt;0)*1000000)),"")</f>
        <v/>
      </c>
      <c r="M507" s="1">
        <f>IF(AND(E507=0,COUNTIFS($A$2:A507,A507,$E$2:E507,0)=1),L507,0)</f>
        <v>0</v>
      </c>
    </row>
    <row r="508" spans="1:13" ht="15" customHeight="1">
      <c r="A508" s="1">
        <v>7073</v>
      </c>
      <c r="B508" s="1" t="s">
        <v>16</v>
      </c>
      <c r="C508" s="2" t="s">
        <v>593</v>
      </c>
      <c r="D508" s="2" t="s">
        <v>621</v>
      </c>
      <c r="E508" s="1">
        <v>1</v>
      </c>
      <c r="F508" s="2" t="s">
        <v>626</v>
      </c>
      <c r="G508" s="1">
        <v>5</v>
      </c>
      <c r="H508" s="1" t="str">
        <f t="shared" si="8"/>
        <v>k7073_5</v>
      </c>
      <c r="K508" s="1">
        <f>IF(E508=0,SUMPRODUCT(($A$2:$A$4734=A508)*($B$2:$B$4734=B508)*($D$2:$D$4734=D508)*($E$2:$E$4734=0)),0)</f>
        <v>0</v>
      </c>
      <c r="L508" s="1" t="str">
        <f>IF(E508=0,SUMPRODUCT(MIN($K$2:$K$4734+((($A$2:$A$4734&lt;&gt;A508)+($E$2:$E$4734&lt;&gt;0))&gt;0)*1000000)),"")</f>
        <v/>
      </c>
      <c r="M508" s="1">
        <f>IF(AND(E508=0,COUNTIFS($A$2:A508,A508,$E$2:E508,0)=1),L508,0)</f>
        <v>0</v>
      </c>
    </row>
    <row r="509" spans="1:13" ht="15" customHeight="1">
      <c r="A509" s="1">
        <v>7073</v>
      </c>
      <c r="B509" s="1" t="s">
        <v>16</v>
      </c>
      <c r="C509" s="2" t="s">
        <v>593</v>
      </c>
      <c r="D509" s="2" t="s">
        <v>621</v>
      </c>
      <c r="E509" s="1">
        <v>1</v>
      </c>
      <c r="F509" s="2" t="s">
        <v>627</v>
      </c>
      <c r="G509" s="1">
        <v>6</v>
      </c>
      <c r="H509" s="1" t="str">
        <f t="shared" si="8"/>
        <v>k7073_6</v>
      </c>
      <c r="K509" s="1">
        <f>IF(E509=0,SUMPRODUCT(($A$2:$A$4734=A509)*($B$2:$B$4734=B509)*($D$2:$D$4734=D509)*($E$2:$E$4734=0)),0)</f>
        <v>0</v>
      </c>
      <c r="L509" s="1" t="str">
        <f>IF(E509=0,SUMPRODUCT(MIN($K$2:$K$4734+((($A$2:$A$4734&lt;&gt;A509)+($E$2:$E$4734&lt;&gt;0))&gt;0)*1000000)),"")</f>
        <v/>
      </c>
      <c r="M509" s="1">
        <f>IF(AND(E509=0,COUNTIFS($A$2:A509,A509,$E$2:E509,0)=1),L509,0)</f>
        <v>0</v>
      </c>
    </row>
    <row r="510" spans="1:13" ht="15" customHeight="1">
      <c r="A510" s="1">
        <v>7073</v>
      </c>
      <c r="B510" s="1" t="s">
        <v>95</v>
      </c>
      <c r="C510" s="2" t="s">
        <v>593</v>
      </c>
      <c r="D510" s="2" t="s">
        <v>628</v>
      </c>
      <c r="E510" s="1">
        <v>1</v>
      </c>
      <c r="F510" s="2" t="s">
        <v>629</v>
      </c>
      <c r="G510" s="1">
        <v>1</v>
      </c>
      <c r="H510" s="1" t="str">
        <f t="shared" si="8"/>
        <v>k7073_1</v>
      </c>
      <c r="K510" s="1">
        <f>IF(E510=0,SUMPRODUCT(($A$2:$A$4734=A510)*($B$2:$B$4734=B510)*($D$2:$D$4734=D510)*($E$2:$E$4734=0)),0)</f>
        <v>0</v>
      </c>
      <c r="L510" s="1" t="str">
        <f>IF(E510=0,SUMPRODUCT(MIN($K$2:$K$4734+((($A$2:$A$4734&lt;&gt;A510)+($E$2:$E$4734&lt;&gt;0))&gt;0)*1000000)),"")</f>
        <v/>
      </c>
      <c r="M510" s="1">
        <f>IF(AND(E510=0,COUNTIFS($A$2:A510,A510,$E$2:E510,0)=1),L510,0)</f>
        <v>0</v>
      </c>
    </row>
    <row r="511" spans="1:13" ht="15" customHeight="1">
      <c r="A511" s="1">
        <v>7073</v>
      </c>
      <c r="B511" s="1" t="s">
        <v>95</v>
      </c>
      <c r="C511" s="2" t="s">
        <v>593</v>
      </c>
      <c r="D511" s="2" t="s">
        <v>628</v>
      </c>
      <c r="E511" s="1">
        <v>1</v>
      </c>
      <c r="F511" s="2" t="s">
        <v>630</v>
      </c>
      <c r="G511" s="1">
        <v>2</v>
      </c>
      <c r="H511" s="1" t="str">
        <f t="shared" si="8"/>
        <v>k7073_2</v>
      </c>
      <c r="K511" s="1">
        <f>IF(E511=0,SUMPRODUCT(($A$2:$A$4734=A511)*($B$2:$B$4734=B511)*($D$2:$D$4734=D511)*($E$2:$E$4734=0)),0)</f>
        <v>0</v>
      </c>
      <c r="L511" s="1" t="str">
        <f>IF(E511=0,SUMPRODUCT(MIN($K$2:$K$4734+((($A$2:$A$4734&lt;&gt;A511)+($E$2:$E$4734&lt;&gt;0))&gt;0)*1000000)),"")</f>
        <v/>
      </c>
      <c r="M511" s="1">
        <f>IF(AND(E511=0,COUNTIFS($A$2:A511,A511,$E$2:E511,0)=1),L511,0)</f>
        <v>0</v>
      </c>
    </row>
    <row r="512" spans="1:13" ht="15" customHeight="1">
      <c r="A512" s="1">
        <v>7073</v>
      </c>
      <c r="B512" s="1" t="s">
        <v>95</v>
      </c>
      <c r="C512" s="2" t="s">
        <v>593</v>
      </c>
      <c r="D512" s="2" t="s">
        <v>628</v>
      </c>
      <c r="E512" s="1">
        <v>1</v>
      </c>
      <c r="F512" s="2" t="s">
        <v>631</v>
      </c>
      <c r="G512" s="1">
        <v>3</v>
      </c>
      <c r="H512" s="1" t="str">
        <f t="shared" si="8"/>
        <v>k7073_3</v>
      </c>
      <c r="K512" s="1">
        <f>IF(E512=0,SUMPRODUCT(($A$2:$A$4734=A512)*($B$2:$B$4734=B512)*($D$2:$D$4734=D512)*($E$2:$E$4734=0)),0)</f>
        <v>0</v>
      </c>
      <c r="L512" s="1" t="str">
        <f>IF(E512=0,SUMPRODUCT(MIN($K$2:$K$4734+((($A$2:$A$4734&lt;&gt;A512)+($E$2:$E$4734&lt;&gt;0))&gt;0)*1000000)),"")</f>
        <v/>
      </c>
      <c r="M512" s="1">
        <f>IF(AND(E512=0,COUNTIFS($A$2:A512,A512,$E$2:E512,0)=1),L512,0)</f>
        <v>0</v>
      </c>
    </row>
    <row r="513" spans="1:13" ht="15" customHeight="1">
      <c r="A513" s="1">
        <v>7073</v>
      </c>
      <c r="B513" s="1" t="s">
        <v>95</v>
      </c>
      <c r="C513" s="2" t="s">
        <v>593</v>
      </c>
      <c r="D513" s="2" t="s">
        <v>628</v>
      </c>
      <c r="E513" s="1">
        <v>1</v>
      </c>
      <c r="F513" s="2" t="s">
        <v>632</v>
      </c>
      <c r="G513" s="1">
        <v>4</v>
      </c>
      <c r="H513" s="1" t="str">
        <f t="shared" si="8"/>
        <v>k7073_4</v>
      </c>
      <c r="K513" s="1">
        <f>IF(E513=0,SUMPRODUCT(($A$2:$A$4734=A513)*($B$2:$B$4734=B513)*($D$2:$D$4734=D513)*($E$2:$E$4734=0)),0)</f>
        <v>0</v>
      </c>
      <c r="L513" s="1" t="str">
        <f>IF(E513=0,SUMPRODUCT(MIN($K$2:$K$4734+((($A$2:$A$4734&lt;&gt;A513)+($E$2:$E$4734&lt;&gt;0))&gt;0)*1000000)),"")</f>
        <v/>
      </c>
      <c r="M513" s="1">
        <f>IF(AND(E513=0,COUNTIFS($A$2:A513,A513,$E$2:E513,0)=1),L513,0)</f>
        <v>0</v>
      </c>
    </row>
    <row r="514" spans="1:13" ht="15" customHeight="1">
      <c r="A514" s="1">
        <v>7073</v>
      </c>
      <c r="B514" s="1" t="s">
        <v>95</v>
      </c>
      <c r="C514" s="2" t="s">
        <v>593</v>
      </c>
      <c r="D514" s="2" t="s">
        <v>628</v>
      </c>
      <c r="E514" s="1">
        <v>1</v>
      </c>
      <c r="F514" s="2" t="s">
        <v>633</v>
      </c>
      <c r="G514" s="1">
        <v>5</v>
      </c>
      <c r="H514" s="1" t="str">
        <f t="shared" si="8"/>
        <v>k7073_5</v>
      </c>
      <c r="K514" s="1">
        <f>IF(E514=0,SUMPRODUCT(($A$2:$A$4734=A514)*($B$2:$B$4734=B514)*($D$2:$D$4734=D514)*($E$2:$E$4734=0)),0)</f>
        <v>0</v>
      </c>
      <c r="L514" s="1" t="str">
        <f>IF(E514=0,SUMPRODUCT(MIN($K$2:$K$4734+((($A$2:$A$4734&lt;&gt;A514)+($E$2:$E$4734&lt;&gt;0))&gt;0)*1000000)),"")</f>
        <v/>
      </c>
      <c r="M514" s="1">
        <f>IF(AND(E514=0,COUNTIFS($A$2:A514,A514,$E$2:E514,0)=1),L514,0)</f>
        <v>0</v>
      </c>
    </row>
    <row r="515" spans="1:13" ht="15" customHeight="1">
      <c r="A515" s="1">
        <v>7073</v>
      </c>
      <c r="B515" s="1" t="s">
        <v>95</v>
      </c>
      <c r="C515" s="2" t="s">
        <v>593</v>
      </c>
      <c r="D515" s="2" t="s">
        <v>628</v>
      </c>
      <c r="E515" s="1">
        <v>1</v>
      </c>
      <c r="F515" s="2" t="s">
        <v>634</v>
      </c>
      <c r="G515" s="1">
        <v>6</v>
      </c>
      <c r="H515" s="1" t="str">
        <f t="shared" si="8"/>
        <v>k7073_6</v>
      </c>
      <c r="K515" s="1">
        <f>IF(E515=0,SUMPRODUCT(($A$2:$A$4734=A515)*($B$2:$B$4734=B515)*($D$2:$D$4734=D515)*($E$2:$E$4734=0)),0)</f>
        <v>0</v>
      </c>
      <c r="L515" s="1" t="str">
        <f>IF(E515=0,SUMPRODUCT(MIN($K$2:$K$4734+((($A$2:$A$4734&lt;&gt;A515)+($E$2:$E$4734&lt;&gt;0))&gt;0)*1000000)),"")</f>
        <v/>
      </c>
      <c r="M515" s="1">
        <f>IF(AND(E515=0,COUNTIFS($A$2:A515,A515,$E$2:E515,0)=1),L515,0)</f>
        <v>0</v>
      </c>
    </row>
    <row r="516" spans="1:13" ht="15" customHeight="1">
      <c r="A516" s="1">
        <v>7074</v>
      </c>
      <c r="B516" s="1" t="s">
        <v>635</v>
      </c>
      <c r="C516" s="2" t="s">
        <v>636</v>
      </c>
      <c r="D516" s="2" t="s">
        <v>637</v>
      </c>
      <c r="E516" s="1">
        <v>1</v>
      </c>
      <c r="F516" s="2" t="s">
        <v>638</v>
      </c>
      <c r="G516" s="1">
        <v>1</v>
      </c>
      <c r="H516" s="1" t="str">
        <f t="shared" si="8"/>
        <v>k7074_1</v>
      </c>
      <c r="K516" s="1">
        <f>IF(E516=0,SUMPRODUCT(($A$2:$A$4734=A516)*($B$2:$B$4734=B516)*($D$2:$D$4734=D516)*($E$2:$E$4734=0)),0)</f>
        <v>0</v>
      </c>
      <c r="L516" s="1" t="str">
        <f>IF(E516=0,SUMPRODUCT(MIN($K$2:$K$4734+((($A$2:$A$4734&lt;&gt;A516)+($E$2:$E$4734&lt;&gt;0))&gt;0)*1000000)),"")</f>
        <v/>
      </c>
      <c r="M516" s="1">
        <f>IF(AND(E516=0,COUNTIFS($A$2:A516,A516,$E$2:E516,0)=1),L516,0)</f>
        <v>0</v>
      </c>
    </row>
    <row r="517" spans="1:13" ht="15" customHeight="1">
      <c r="A517" s="1">
        <v>7074</v>
      </c>
      <c r="B517" s="1" t="s">
        <v>635</v>
      </c>
      <c r="C517" s="2" t="s">
        <v>636</v>
      </c>
      <c r="D517" s="2" t="s">
        <v>637</v>
      </c>
      <c r="E517" s="1">
        <v>1</v>
      </c>
      <c r="F517" s="2" t="s">
        <v>639</v>
      </c>
      <c r="G517" s="1">
        <v>2</v>
      </c>
      <c r="H517" s="1" t="str">
        <f t="shared" si="8"/>
        <v>k7074_2</v>
      </c>
      <c r="K517" s="1">
        <f>IF(E517=0,SUMPRODUCT(($A$2:$A$4734=A517)*($B$2:$B$4734=B517)*($D$2:$D$4734=D517)*($E$2:$E$4734=0)),0)</f>
        <v>0</v>
      </c>
      <c r="L517" s="1" t="str">
        <f>IF(E517=0,SUMPRODUCT(MIN($K$2:$K$4734+((($A$2:$A$4734&lt;&gt;A517)+($E$2:$E$4734&lt;&gt;0))&gt;0)*1000000)),"")</f>
        <v/>
      </c>
      <c r="M517" s="1">
        <f>IF(AND(E517=0,COUNTIFS($A$2:A517,A517,$E$2:E517,0)=1),L517,0)</f>
        <v>0</v>
      </c>
    </row>
    <row r="518" spans="1:13" ht="15" customHeight="1">
      <c r="A518" s="1">
        <v>7074</v>
      </c>
      <c r="B518" s="1" t="s">
        <v>635</v>
      </c>
      <c r="C518" s="2" t="s">
        <v>636</v>
      </c>
      <c r="D518" s="2" t="s">
        <v>637</v>
      </c>
      <c r="E518" s="1">
        <v>1</v>
      </c>
      <c r="F518" s="2" t="s">
        <v>640</v>
      </c>
      <c r="G518" s="1">
        <v>3</v>
      </c>
      <c r="H518" s="1" t="str">
        <f t="shared" si="8"/>
        <v>k7074_3</v>
      </c>
      <c r="K518" s="1">
        <f>IF(E518=0,SUMPRODUCT(($A$2:$A$4734=A518)*($B$2:$B$4734=B518)*($D$2:$D$4734=D518)*($E$2:$E$4734=0)),0)</f>
        <v>0</v>
      </c>
      <c r="L518" s="1" t="str">
        <f>IF(E518=0,SUMPRODUCT(MIN($K$2:$K$4734+((($A$2:$A$4734&lt;&gt;A518)+($E$2:$E$4734&lt;&gt;0))&gt;0)*1000000)),"")</f>
        <v/>
      </c>
      <c r="M518" s="1">
        <f>IF(AND(E518=0,COUNTIFS($A$2:A518,A518,$E$2:E518,0)=1),L518,0)</f>
        <v>0</v>
      </c>
    </row>
    <row r="519" spans="1:13" ht="15" customHeight="1">
      <c r="A519" s="1">
        <v>7074</v>
      </c>
      <c r="B519" s="1" t="s">
        <v>635</v>
      </c>
      <c r="C519" s="2" t="s">
        <v>636</v>
      </c>
      <c r="D519" s="2" t="s">
        <v>637</v>
      </c>
      <c r="E519" s="1">
        <v>1</v>
      </c>
      <c r="F519" s="2" t="s">
        <v>641</v>
      </c>
      <c r="G519" s="1">
        <v>4</v>
      </c>
      <c r="H519" s="1" t="str">
        <f t="shared" si="8"/>
        <v>k7074_4</v>
      </c>
      <c r="K519" s="1">
        <f>IF(E519=0,SUMPRODUCT(($A$2:$A$4734=A519)*($B$2:$B$4734=B519)*($D$2:$D$4734=D519)*($E$2:$E$4734=0)),0)</f>
        <v>0</v>
      </c>
      <c r="L519" s="1" t="str">
        <f>IF(E519=0,SUMPRODUCT(MIN($K$2:$K$4734+((($A$2:$A$4734&lt;&gt;A519)+($E$2:$E$4734&lt;&gt;0))&gt;0)*1000000)),"")</f>
        <v/>
      </c>
      <c r="M519" s="1">
        <f>IF(AND(E519=0,COUNTIFS($A$2:A519,A519,$E$2:E519,0)=1),L519,0)</f>
        <v>0</v>
      </c>
    </row>
    <row r="520" spans="1:13" ht="15" customHeight="1">
      <c r="A520" s="1">
        <v>7074</v>
      </c>
      <c r="B520" s="1" t="s">
        <v>635</v>
      </c>
      <c r="C520" s="2" t="s">
        <v>636</v>
      </c>
      <c r="D520" s="2" t="s">
        <v>637</v>
      </c>
      <c r="E520" s="1">
        <v>1</v>
      </c>
      <c r="F520" s="2" t="s">
        <v>642</v>
      </c>
      <c r="G520" s="1">
        <v>5</v>
      </c>
      <c r="H520" s="1" t="str">
        <f t="shared" si="8"/>
        <v>k7074_5</v>
      </c>
      <c r="K520" s="1">
        <f>IF(E520=0,SUMPRODUCT(($A$2:$A$4734=A520)*($B$2:$B$4734=B520)*($D$2:$D$4734=D520)*($E$2:$E$4734=0)),0)</f>
        <v>0</v>
      </c>
      <c r="L520" s="1" t="str">
        <f>IF(E520=0,SUMPRODUCT(MIN($K$2:$K$4734+((($A$2:$A$4734&lt;&gt;A520)+($E$2:$E$4734&lt;&gt;0))&gt;0)*1000000)),"")</f>
        <v/>
      </c>
      <c r="M520" s="1">
        <f>IF(AND(E520=0,COUNTIFS($A$2:A520,A520,$E$2:E520,0)=1),L520,0)</f>
        <v>0</v>
      </c>
    </row>
    <row r="521" spans="1:13" ht="15" customHeight="1">
      <c r="A521" s="1">
        <v>7074</v>
      </c>
      <c r="B521" s="1" t="s">
        <v>635</v>
      </c>
      <c r="C521" s="2" t="s">
        <v>636</v>
      </c>
      <c r="D521" s="2" t="s">
        <v>637</v>
      </c>
      <c r="E521" s="1">
        <v>1</v>
      </c>
      <c r="F521" s="2" t="s">
        <v>643</v>
      </c>
      <c r="G521" s="1">
        <v>6</v>
      </c>
      <c r="H521" s="1" t="str">
        <f t="shared" si="8"/>
        <v>k7074_6</v>
      </c>
      <c r="K521" s="1">
        <f>IF(E521=0,SUMPRODUCT(($A$2:$A$4734=A521)*($B$2:$B$4734=B521)*($D$2:$D$4734=D521)*($E$2:$E$4734=0)),0)</f>
        <v>0</v>
      </c>
      <c r="L521" s="1" t="str">
        <f>IF(E521=0,SUMPRODUCT(MIN($K$2:$K$4734+((($A$2:$A$4734&lt;&gt;A521)+($E$2:$E$4734&lt;&gt;0))&gt;0)*1000000)),"")</f>
        <v/>
      </c>
      <c r="M521" s="1">
        <f>IF(AND(E521=0,COUNTIFS($A$2:A521,A521,$E$2:E521,0)=1),L521,0)</f>
        <v>0</v>
      </c>
    </row>
    <row r="522" spans="1:13" ht="15" customHeight="1">
      <c r="A522" s="1">
        <v>7074</v>
      </c>
      <c r="B522" s="1" t="s">
        <v>358</v>
      </c>
      <c r="C522" s="2" t="s">
        <v>636</v>
      </c>
      <c r="D522" s="2" t="s">
        <v>644</v>
      </c>
      <c r="E522" s="1">
        <v>1</v>
      </c>
      <c r="F522" s="2" t="s">
        <v>645</v>
      </c>
      <c r="G522" s="1">
        <v>1</v>
      </c>
      <c r="H522" s="1" t="str">
        <f t="shared" si="8"/>
        <v>k7074_1</v>
      </c>
      <c r="K522" s="1">
        <f>IF(E522=0,SUMPRODUCT(($A$2:$A$4734=A522)*($B$2:$B$4734=B522)*($D$2:$D$4734=D522)*($E$2:$E$4734=0)),0)</f>
        <v>0</v>
      </c>
      <c r="L522" s="1" t="str">
        <f>IF(E522=0,SUMPRODUCT(MIN($K$2:$K$4734+((($A$2:$A$4734&lt;&gt;A522)+($E$2:$E$4734&lt;&gt;0))&gt;0)*1000000)),"")</f>
        <v/>
      </c>
      <c r="M522" s="1">
        <f>IF(AND(E522=0,COUNTIFS($A$2:A522,A522,$E$2:E522,0)=1),L522,0)</f>
        <v>0</v>
      </c>
    </row>
    <row r="523" spans="1:13" ht="15" customHeight="1">
      <c r="A523" s="1">
        <v>7074</v>
      </c>
      <c r="B523" s="1" t="s">
        <v>358</v>
      </c>
      <c r="C523" s="2" t="s">
        <v>636</v>
      </c>
      <c r="D523" s="2" t="s">
        <v>644</v>
      </c>
      <c r="E523" s="1">
        <v>1</v>
      </c>
      <c r="F523" s="2" t="s">
        <v>646</v>
      </c>
      <c r="G523" s="1">
        <v>2</v>
      </c>
      <c r="H523" s="1" t="str">
        <f t="shared" si="8"/>
        <v>k7074_2</v>
      </c>
      <c r="K523" s="1">
        <f>IF(E523=0,SUMPRODUCT(($A$2:$A$4734=A523)*($B$2:$B$4734=B523)*($D$2:$D$4734=D523)*($E$2:$E$4734=0)),0)</f>
        <v>0</v>
      </c>
      <c r="L523" s="1" t="str">
        <f>IF(E523=0,SUMPRODUCT(MIN($K$2:$K$4734+((($A$2:$A$4734&lt;&gt;A523)+($E$2:$E$4734&lt;&gt;0))&gt;0)*1000000)),"")</f>
        <v/>
      </c>
      <c r="M523" s="1">
        <f>IF(AND(E523=0,COUNTIFS($A$2:A523,A523,$E$2:E523,0)=1),L523,0)</f>
        <v>0</v>
      </c>
    </row>
    <row r="524" spans="1:13" ht="15" customHeight="1">
      <c r="A524" s="1">
        <v>7074</v>
      </c>
      <c r="B524" s="1" t="s">
        <v>358</v>
      </c>
      <c r="C524" s="2" t="s">
        <v>636</v>
      </c>
      <c r="D524" s="2" t="s">
        <v>644</v>
      </c>
      <c r="E524" s="1">
        <v>1</v>
      </c>
      <c r="F524" s="2" t="s">
        <v>647</v>
      </c>
      <c r="G524" s="1">
        <v>3</v>
      </c>
      <c r="H524" s="1" t="str">
        <f t="shared" si="8"/>
        <v>k7074_3</v>
      </c>
      <c r="K524" s="1">
        <f>IF(E524=0,SUMPRODUCT(($A$2:$A$4734=A524)*($B$2:$B$4734=B524)*($D$2:$D$4734=D524)*($E$2:$E$4734=0)),0)</f>
        <v>0</v>
      </c>
      <c r="L524" s="1" t="str">
        <f>IF(E524=0,SUMPRODUCT(MIN($K$2:$K$4734+((($A$2:$A$4734&lt;&gt;A524)+($E$2:$E$4734&lt;&gt;0))&gt;0)*1000000)),"")</f>
        <v/>
      </c>
      <c r="M524" s="1">
        <f>IF(AND(E524=0,COUNTIFS($A$2:A524,A524,$E$2:E524,0)=1),L524,0)</f>
        <v>0</v>
      </c>
    </row>
    <row r="525" spans="1:13" ht="15" customHeight="1">
      <c r="A525" s="1">
        <v>7074</v>
      </c>
      <c r="B525" s="1" t="s">
        <v>358</v>
      </c>
      <c r="C525" s="2" t="s">
        <v>636</v>
      </c>
      <c r="D525" s="2" t="s">
        <v>644</v>
      </c>
      <c r="E525" s="1">
        <v>1</v>
      </c>
      <c r="F525" s="2" t="s">
        <v>646</v>
      </c>
      <c r="G525" s="1">
        <v>4</v>
      </c>
      <c r="H525" s="1" t="str">
        <f t="shared" si="8"/>
        <v>k7074_4</v>
      </c>
      <c r="K525" s="1">
        <f>IF(E525=0,SUMPRODUCT(($A$2:$A$4734=A525)*($B$2:$B$4734=B525)*($D$2:$D$4734=D525)*($E$2:$E$4734=0)),0)</f>
        <v>0</v>
      </c>
      <c r="L525" s="1" t="str">
        <f>IF(E525=0,SUMPRODUCT(MIN($K$2:$K$4734+((($A$2:$A$4734&lt;&gt;A525)+($E$2:$E$4734&lt;&gt;0))&gt;0)*1000000)),"")</f>
        <v/>
      </c>
      <c r="M525" s="1">
        <f>IF(AND(E525=0,COUNTIFS($A$2:A525,A525,$E$2:E525,0)=1),L525,0)</f>
        <v>0</v>
      </c>
    </row>
    <row r="526" spans="1:13" ht="15" customHeight="1">
      <c r="A526" s="1">
        <v>7074</v>
      </c>
      <c r="B526" s="1" t="s">
        <v>358</v>
      </c>
      <c r="C526" s="2" t="s">
        <v>636</v>
      </c>
      <c r="D526" s="2" t="s">
        <v>644</v>
      </c>
      <c r="E526" s="1">
        <v>1</v>
      </c>
      <c r="F526" s="2" t="s">
        <v>647</v>
      </c>
      <c r="G526" s="1">
        <v>5</v>
      </c>
      <c r="H526" s="1" t="str">
        <f t="shared" si="8"/>
        <v>k7074_5</v>
      </c>
      <c r="K526" s="1">
        <f>IF(E526=0,SUMPRODUCT(($A$2:$A$4734=A526)*($B$2:$B$4734=B526)*($D$2:$D$4734=D526)*($E$2:$E$4734=0)),0)</f>
        <v>0</v>
      </c>
      <c r="L526" s="1" t="str">
        <f>IF(E526=0,SUMPRODUCT(MIN($K$2:$K$4734+((($A$2:$A$4734&lt;&gt;A526)+($E$2:$E$4734&lt;&gt;0))&gt;0)*1000000)),"")</f>
        <v/>
      </c>
      <c r="M526" s="1">
        <f>IF(AND(E526=0,COUNTIFS($A$2:A526,A526,$E$2:E526,0)=1),L526,0)</f>
        <v>0</v>
      </c>
    </row>
    <row r="527" spans="1:13" ht="15" customHeight="1">
      <c r="A527" s="1">
        <v>7074</v>
      </c>
      <c r="B527" s="1" t="s">
        <v>358</v>
      </c>
      <c r="C527" s="2" t="s">
        <v>636</v>
      </c>
      <c r="D527" s="2" t="s">
        <v>644</v>
      </c>
      <c r="E527" s="1">
        <v>1</v>
      </c>
      <c r="F527" s="2" t="s">
        <v>648</v>
      </c>
      <c r="G527" s="1">
        <v>6</v>
      </c>
      <c r="H527" s="1" t="str">
        <f t="shared" si="8"/>
        <v>k7074_6</v>
      </c>
      <c r="K527" s="1">
        <f>IF(E527=0,SUMPRODUCT(($A$2:$A$4734=A527)*($B$2:$B$4734=B527)*($D$2:$D$4734=D527)*($E$2:$E$4734=0)),0)</f>
        <v>0</v>
      </c>
      <c r="L527" s="1" t="str">
        <f>IF(E527=0,SUMPRODUCT(MIN($K$2:$K$4734+((($A$2:$A$4734&lt;&gt;A527)+($E$2:$E$4734&lt;&gt;0))&gt;0)*1000000)),"")</f>
        <v/>
      </c>
      <c r="M527" s="1">
        <f>IF(AND(E527=0,COUNTIFS($A$2:A527,A527,$E$2:E527,0)=1),L527,0)</f>
        <v>0</v>
      </c>
    </row>
    <row r="528" spans="1:13" ht="15" customHeight="1">
      <c r="A528" s="1">
        <v>7074</v>
      </c>
      <c r="B528" s="1" t="s">
        <v>635</v>
      </c>
      <c r="C528" s="2" t="s">
        <v>636</v>
      </c>
      <c r="D528" s="2" t="s">
        <v>637</v>
      </c>
      <c r="E528" s="1">
        <v>1</v>
      </c>
      <c r="F528" s="2" t="s">
        <v>649</v>
      </c>
      <c r="G528" s="1">
        <v>1</v>
      </c>
      <c r="H528" s="1" t="str">
        <f t="shared" si="8"/>
        <v>k7074_1</v>
      </c>
      <c r="K528" s="1">
        <f>IF(E528=0,SUMPRODUCT(($A$2:$A$4734=A528)*($B$2:$B$4734=B528)*($D$2:$D$4734=D528)*($E$2:$E$4734=0)),0)</f>
        <v>0</v>
      </c>
      <c r="L528" s="1" t="str">
        <f>IF(E528=0,SUMPRODUCT(MIN($K$2:$K$4734+((($A$2:$A$4734&lt;&gt;A528)+($E$2:$E$4734&lt;&gt;0))&gt;0)*1000000)),"")</f>
        <v/>
      </c>
      <c r="M528" s="1">
        <f>IF(AND(E528=0,COUNTIFS($A$2:A528,A528,$E$2:E528,0)=1),L528,0)</f>
        <v>0</v>
      </c>
    </row>
    <row r="529" spans="1:13" ht="15" customHeight="1">
      <c r="A529" s="1">
        <v>7074</v>
      </c>
      <c r="B529" s="1" t="s">
        <v>635</v>
      </c>
      <c r="C529" s="2" t="s">
        <v>636</v>
      </c>
      <c r="D529" s="2" t="s">
        <v>637</v>
      </c>
      <c r="E529" s="1">
        <v>1</v>
      </c>
      <c r="F529" s="2" t="s">
        <v>639</v>
      </c>
      <c r="G529" s="1">
        <v>2</v>
      </c>
      <c r="H529" s="1" t="str">
        <f t="shared" si="8"/>
        <v>k7074_2</v>
      </c>
      <c r="K529" s="1">
        <f>IF(E529=0,SUMPRODUCT(($A$2:$A$4734=A529)*($B$2:$B$4734=B529)*($D$2:$D$4734=D529)*($E$2:$E$4734=0)),0)</f>
        <v>0</v>
      </c>
      <c r="L529" s="1" t="str">
        <f>IF(E529=0,SUMPRODUCT(MIN($K$2:$K$4734+((($A$2:$A$4734&lt;&gt;A529)+($E$2:$E$4734&lt;&gt;0))&gt;0)*1000000)),"")</f>
        <v/>
      </c>
      <c r="M529" s="1">
        <f>IF(AND(E529=0,COUNTIFS($A$2:A529,A529,$E$2:E529,0)=1),L529,0)</f>
        <v>0</v>
      </c>
    </row>
    <row r="530" spans="1:13" ht="15" customHeight="1">
      <c r="A530" s="1">
        <v>7074</v>
      </c>
      <c r="B530" s="1" t="s">
        <v>635</v>
      </c>
      <c r="C530" s="2" t="s">
        <v>636</v>
      </c>
      <c r="D530" s="2" t="s">
        <v>637</v>
      </c>
      <c r="E530" s="1">
        <v>1</v>
      </c>
      <c r="F530" s="2" t="s">
        <v>650</v>
      </c>
      <c r="G530" s="1">
        <v>3</v>
      </c>
      <c r="H530" s="1" t="str">
        <f t="shared" si="8"/>
        <v>k7074_3</v>
      </c>
      <c r="K530" s="1">
        <f>IF(E530=0,SUMPRODUCT(($A$2:$A$4734=A530)*($B$2:$B$4734=B530)*($D$2:$D$4734=D530)*($E$2:$E$4734=0)),0)</f>
        <v>0</v>
      </c>
      <c r="L530" s="1" t="str">
        <f>IF(E530=0,SUMPRODUCT(MIN($K$2:$K$4734+((($A$2:$A$4734&lt;&gt;A530)+($E$2:$E$4734&lt;&gt;0))&gt;0)*1000000)),"")</f>
        <v/>
      </c>
      <c r="M530" s="1">
        <f>IF(AND(E530=0,COUNTIFS($A$2:A530,A530,$E$2:E530,0)=1),L530,0)</f>
        <v>0</v>
      </c>
    </row>
    <row r="531" spans="1:13" ht="15" customHeight="1">
      <c r="A531" s="1">
        <v>7074</v>
      </c>
      <c r="B531" s="1" t="s">
        <v>635</v>
      </c>
      <c r="C531" s="2" t="s">
        <v>636</v>
      </c>
      <c r="D531" s="2" t="s">
        <v>637</v>
      </c>
      <c r="E531" s="1">
        <v>1</v>
      </c>
      <c r="F531" s="2" t="s">
        <v>651</v>
      </c>
      <c r="G531" s="1">
        <v>4</v>
      </c>
      <c r="H531" s="1" t="str">
        <f t="shared" si="8"/>
        <v>k7074_4</v>
      </c>
      <c r="K531" s="1">
        <f>IF(E531=0,SUMPRODUCT(($A$2:$A$4734=A531)*($B$2:$B$4734=B531)*($D$2:$D$4734=D531)*($E$2:$E$4734=0)),0)</f>
        <v>0</v>
      </c>
      <c r="L531" s="1" t="str">
        <f>IF(E531=0,SUMPRODUCT(MIN($K$2:$K$4734+((($A$2:$A$4734&lt;&gt;A531)+($E$2:$E$4734&lt;&gt;0))&gt;0)*1000000)),"")</f>
        <v/>
      </c>
      <c r="M531" s="1">
        <f>IF(AND(E531=0,COUNTIFS($A$2:A531,A531,$E$2:E531,0)=1),L531,0)</f>
        <v>0</v>
      </c>
    </row>
    <row r="532" spans="1:13" ht="15" customHeight="1">
      <c r="A532" s="1">
        <v>7074</v>
      </c>
      <c r="B532" s="1" t="s">
        <v>635</v>
      </c>
      <c r="C532" s="2" t="s">
        <v>636</v>
      </c>
      <c r="D532" s="2" t="s">
        <v>637</v>
      </c>
      <c r="E532" s="1">
        <v>1</v>
      </c>
      <c r="F532" s="2" t="s">
        <v>652</v>
      </c>
      <c r="G532" s="1">
        <v>5</v>
      </c>
      <c r="H532" s="1" t="str">
        <f t="shared" si="8"/>
        <v>k7074_5</v>
      </c>
      <c r="K532" s="1">
        <f>IF(E532=0,SUMPRODUCT(($A$2:$A$4734=A532)*($B$2:$B$4734=B532)*($D$2:$D$4734=D532)*($E$2:$E$4734=0)),0)</f>
        <v>0</v>
      </c>
      <c r="L532" s="1" t="str">
        <f>IF(E532=0,SUMPRODUCT(MIN($K$2:$K$4734+((($A$2:$A$4734&lt;&gt;A532)+($E$2:$E$4734&lt;&gt;0))&gt;0)*1000000)),"")</f>
        <v/>
      </c>
      <c r="M532" s="1">
        <f>IF(AND(E532=0,COUNTIFS($A$2:A532,A532,$E$2:E532,0)=1),L532,0)</f>
        <v>0</v>
      </c>
    </row>
    <row r="533" spans="1:13" ht="15" customHeight="1">
      <c r="A533" s="1">
        <v>7074</v>
      </c>
      <c r="B533" s="1" t="s">
        <v>635</v>
      </c>
      <c r="C533" s="2" t="s">
        <v>636</v>
      </c>
      <c r="D533" s="2" t="s">
        <v>637</v>
      </c>
      <c r="E533" s="1">
        <v>1</v>
      </c>
      <c r="F533" s="2" t="s">
        <v>638</v>
      </c>
      <c r="G533" s="1">
        <v>6</v>
      </c>
      <c r="H533" s="1" t="str">
        <f t="shared" si="8"/>
        <v>k7074_6</v>
      </c>
      <c r="K533" s="1">
        <f>IF(E533=0,SUMPRODUCT(($A$2:$A$4734=A533)*($B$2:$B$4734=B533)*($D$2:$D$4734=D533)*($E$2:$E$4734=0)),0)</f>
        <v>0</v>
      </c>
      <c r="L533" s="1" t="str">
        <f>IF(E533=0,SUMPRODUCT(MIN($K$2:$K$4734+((($A$2:$A$4734&lt;&gt;A533)+($E$2:$E$4734&lt;&gt;0))&gt;0)*1000000)),"")</f>
        <v/>
      </c>
      <c r="M533" s="1">
        <f>IF(AND(E533=0,COUNTIFS($A$2:A533,A533,$E$2:E533,0)=1),L533,0)</f>
        <v>0</v>
      </c>
    </row>
    <row r="534" spans="1:13" ht="15" customHeight="1">
      <c r="A534" s="1">
        <v>7074</v>
      </c>
      <c r="B534" s="1" t="s">
        <v>95</v>
      </c>
      <c r="C534" s="2" t="s">
        <v>636</v>
      </c>
      <c r="D534" s="2" t="s">
        <v>653</v>
      </c>
      <c r="E534" s="1">
        <v>1</v>
      </c>
      <c r="F534" s="2" t="s">
        <v>654</v>
      </c>
      <c r="G534" s="1">
        <v>1</v>
      </c>
      <c r="H534" s="1" t="str">
        <f t="shared" si="8"/>
        <v>k7074_1</v>
      </c>
      <c r="K534" s="1">
        <f>IF(E534=0,SUMPRODUCT(($A$2:$A$4734=A534)*($B$2:$B$4734=B534)*($D$2:$D$4734=D534)*($E$2:$E$4734=0)),0)</f>
        <v>0</v>
      </c>
      <c r="L534" s="1" t="str">
        <f>IF(E534=0,SUMPRODUCT(MIN($K$2:$K$4734+((($A$2:$A$4734&lt;&gt;A534)+($E$2:$E$4734&lt;&gt;0))&gt;0)*1000000)),"")</f>
        <v/>
      </c>
      <c r="M534" s="1">
        <f>IF(AND(E534=0,COUNTIFS($A$2:A534,A534,$E$2:E534,0)=1),L534,0)</f>
        <v>0</v>
      </c>
    </row>
    <row r="535" spans="1:13" ht="15" customHeight="1">
      <c r="A535" s="1">
        <v>7074</v>
      </c>
      <c r="B535" s="1" t="s">
        <v>95</v>
      </c>
      <c r="C535" s="2" t="s">
        <v>636</v>
      </c>
      <c r="D535" s="2" t="s">
        <v>653</v>
      </c>
      <c r="E535" s="1">
        <v>1</v>
      </c>
      <c r="F535" s="2" t="s">
        <v>655</v>
      </c>
      <c r="G535" s="1">
        <v>2</v>
      </c>
      <c r="H535" s="1" t="str">
        <f t="shared" si="8"/>
        <v>k7074_2</v>
      </c>
      <c r="K535" s="1">
        <f>IF(E535=0,SUMPRODUCT(($A$2:$A$4734=A535)*($B$2:$B$4734=B535)*($D$2:$D$4734=D535)*($E$2:$E$4734=0)),0)</f>
        <v>0</v>
      </c>
      <c r="L535" s="1" t="str">
        <f>IF(E535=0,SUMPRODUCT(MIN($K$2:$K$4734+((($A$2:$A$4734&lt;&gt;A535)+($E$2:$E$4734&lt;&gt;0))&gt;0)*1000000)),"")</f>
        <v/>
      </c>
      <c r="M535" s="1">
        <f>IF(AND(E535=0,COUNTIFS($A$2:A535,A535,$E$2:E535,0)=1),L535,0)</f>
        <v>0</v>
      </c>
    </row>
    <row r="536" spans="1:13" ht="15" customHeight="1">
      <c r="A536" s="1">
        <v>7074</v>
      </c>
      <c r="B536" s="1" t="s">
        <v>95</v>
      </c>
      <c r="C536" s="2" t="s">
        <v>636</v>
      </c>
      <c r="D536" s="2" t="s">
        <v>653</v>
      </c>
      <c r="E536" s="1">
        <v>1</v>
      </c>
      <c r="F536" s="2" t="s">
        <v>656</v>
      </c>
      <c r="G536" s="1">
        <v>3</v>
      </c>
      <c r="H536" s="1" t="str">
        <f t="shared" si="8"/>
        <v>k7074_3</v>
      </c>
      <c r="K536" s="1">
        <f>IF(E536=0,SUMPRODUCT(($A$2:$A$4734=A536)*($B$2:$B$4734=B536)*($D$2:$D$4734=D536)*($E$2:$E$4734=0)),0)</f>
        <v>0</v>
      </c>
      <c r="L536" s="1" t="str">
        <f>IF(E536=0,SUMPRODUCT(MIN($K$2:$K$4734+((($A$2:$A$4734&lt;&gt;A536)+($E$2:$E$4734&lt;&gt;0))&gt;0)*1000000)),"")</f>
        <v/>
      </c>
      <c r="M536" s="1">
        <f>IF(AND(E536=0,COUNTIFS($A$2:A536,A536,$E$2:E536,0)=1),L536,0)</f>
        <v>0</v>
      </c>
    </row>
    <row r="537" spans="1:13" ht="15" customHeight="1">
      <c r="A537" s="1">
        <v>7074</v>
      </c>
      <c r="B537" s="1" t="s">
        <v>95</v>
      </c>
      <c r="C537" s="2" t="s">
        <v>636</v>
      </c>
      <c r="D537" s="2" t="s">
        <v>653</v>
      </c>
      <c r="E537" s="1">
        <v>1</v>
      </c>
      <c r="F537" s="2" t="s">
        <v>657</v>
      </c>
      <c r="G537" s="1">
        <v>4</v>
      </c>
      <c r="H537" s="1" t="str">
        <f t="shared" si="8"/>
        <v>k7074_4</v>
      </c>
      <c r="K537" s="1">
        <f>IF(E537=0,SUMPRODUCT(($A$2:$A$4734=A537)*($B$2:$B$4734=B537)*($D$2:$D$4734=D537)*($E$2:$E$4734=0)),0)</f>
        <v>0</v>
      </c>
      <c r="L537" s="1" t="str">
        <f>IF(E537=0,SUMPRODUCT(MIN($K$2:$K$4734+((($A$2:$A$4734&lt;&gt;A537)+($E$2:$E$4734&lt;&gt;0))&gt;0)*1000000)),"")</f>
        <v/>
      </c>
      <c r="M537" s="1">
        <f>IF(AND(E537=0,COUNTIFS($A$2:A537,A537,$E$2:E537,0)=1),L537,0)</f>
        <v>0</v>
      </c>
    </row>
    <row r="538" spans="1:13" ht="15" customHeight="1">
      <c r="A538" s="1">
        <v>7074</v>
      </c>
      <c r="B538" s="1" t="s">
        <v>95</v>
      </c>
      <c r="C538" s="2" t="s">
        <v>636</v>
      </c>
      <c r="D538" s="2" t="s">
        <v>653</v>
      </c>
      <c r="E538" s="1">
        <v>1</v>
      </c>
      <c r="F538" s="2" t="s">
        <v>658</v>
      </c>
      <c r="G538" s="1">
        <v>5</v>
      </c>
      <c r="H538" s="1" t="str">
        <f t="shared" si="8"/>
        <v>k7074_5</v>
      </c>
      <c r="K538" s="1">
        <f>IF(E538=0,SUMPRODUCT(($A$2:$A$4734=A538)*($B$2:$B$4734=B538)*($D$2:$D$4734=D538)*($E$2:$E$4734=0)),0)</f>
        <v>0</v>
      </c>
      <c r="L538" s="1" t="str">
        <f>IF(E538=0,SUMPRODUCT(MIN($K$2:$K$4734+((($A$2:$A$4734&lt;&gt;A538)+($E$2:$E$4734&lt;&gt;0))&gt;0)*1000000)),"")</f>
        <v/>
      </c>
      <c r="M538" s="1">
        <f>IF(AND(E538=0,COUNTIFS($A$2:A538,A538,$E$2:E538,0)=1),L538,0)</f>
        <v>0</v>
      </c>
    </row>
    <row r="539" spans="1:13" ht="15" customHeight="1">
      <c r="A539" s="1">
        <v>7074</v>
      </c>
      <c r="B539" s="1" t="s">
        <v>95</v>
      </c>
      <c r="C539" s="2" t="s">
        <v>636</v>
      </c>
      <c r="D539" s="2" t="s">
        <v>653</v>
      </c>
      <c r="E539" s="1">
        <v>1</v>
      </c>
      <c r="F539" s="2" t="s">
        <v>658</v>
      </c>
      <c r="G539" s="1">
        <v>6</v>
      </c>
      <c r="H539" s="1" t="str">
        <f t="shared" si="8"/>
        <v>k7074_6</v>
      </c>
      <c r="K539" s="1">
        <f>IF(E539=0,SUMPRODUCT(($A$2:$A$4734=A539)*($B$2:$B$4734=B539)*($D$2:$D$4734=D539)*($E$2:$E$4734=0)),0)</f>
        <v>0</v>
      </c>
      <c r="L539" s="1" t="str">
        <f>IF(E539=0,SUMPRODUCT(MIN($K$2:$K$4734+((($A$2:$A$4734&lt;&gt;A539)+($E$2:$E$4734&lt;&gt;0))&gt;0)*1000000)),"")</f>
        <v/>
      </c>
      <c r="M539" s="1">
        <f>IF(AND(E539=0,COUNTIFS($A$2:A539,A539,$E$2:E539,0)=1),L539,0)</f>
        <v>0</v>
      </c>
    </row>
    <row r="540" spans="1:13" ht="15" customHeight="1">
      <c r="A540" s="1">
        <v>7074</v>
      </c>
      <c r="B540" s="1" t="s">
        <v>635</v>
      </c>
      <c r="C540" s="2" t="s">
        <v>636</v>
      </c>
      <c r="D540" s="2" t="s">
        <v>659</v>
      </c>
      <c r="E540" s="1">
        <v>1</v>
      </c>
      <c r="F540" s="2" t="s">
        <v>660</v>
      </c>
      <c r="G540" s="1">
        <v>1</v>
      </c>
      <c r="H540" s="1" t="str">
        <f t="shared" si="8"/>
        <v>k7074_1</v>
      </c>
      <c r="K540" s="1">
        <f>IF(E540=0,SUMPRODUCT(($A$2:$A$4734=A540)*($B$2:$B$4734=B540)*($D$2:$D$4734=D540)*($E$2:$E$4734=0)),0)</f>
        <v>0</v>
      </c>
      <c r="L540" s="1" t="str">
        <f>IF(E540=0,SUMPRODUCT(MIN($K$2:$K$4734+((($A$2:$A$4734&lt;&gt;A540)+($E$2:$E$4734&lt;&gt;0))&gt;0)*1000000)),"")</f>
        <v/>
      </c>
      <c r="M540" s="1">
        <f>IF(AND(E540=0,COUNTIFS($A$2:A540,A540,$E$2:E540,0)=1),L540,0)</f>
        <v>0</v>
      </c>
    </row>
    <row r="541" spans="1:13" ht="15" customHeight="1">
      <c r="A541" s="1">
        <v>7074</v>
      </c>
      <c r="B541" s="1" t="s">
        <v>635</v>
      </c>
      <c r="C541" s="2" t="s">
        <v>636</v>
      </c>
      <c r="D541" s="2" t="s">
        <v>659</v>
      </c>
      <c r="E541" s="1">
        <v>1</v>
      </c>
      <c r="F541" s="2" t="s">
        <v>661</v>
      </c>
      <c r="G541" s="1">
        <v>2</v>
      </c>
      <c r="H541" s="1" t="str">
        <f t="shared" si="8"/>
        <v>k7074_2</v>
      </c>
      <c r="K541" s="1">
        <f>IF(E541=0,SUMPRODUCT(($A$2:$A$4734=A541)*($B$2:$B$4734=B541)*($D$2:$D$4734=D541)*($E$2:$E$4734=0)),0)</f>
        <v>0</v>
      </c>
      <c r="L541" s="1" t="str">
        <f>IF(E541=0,SUMPRODUCT(MIN($K$2:$K$4734+((($A$2:$A$4734&lt;&gt;A541)+($E$2:$E$4734&lt;&gt;0))&gt;0)*1000000)),"")</f>
        <v/>
      </c>
      <c r="M541" s="1">
        <f>IF(AND(E541=0,COUNTIFS($A$2:A541,A541,$E$2:E541,0)=1),L541,0)</f>
        <v>0</v>
      </c>
    </row>
    <row r="542" spans="1:13" ht="15" customHeight="1">
      <c r="A542" s="1">
        <v>7074</v>
      </c>
      <c r="B542" s="1" t="s">
        <v>635</v>
      </c>
      <c r="C542" s="2" t="s">
        <v>636</v>
      </c>
      <c r="D542" s="2" t="s">
        <v>659</v>
      </c>
      <c r="E542" s="1">
        <v>1</v>
      </c>
      <c r="F542" s="2" t="s">
        <v>662</v>
      </c>
      <c r="G542" s="1">
        <v>3</v>
      </c>
      <c r="H542" s="1" t="str">
        <f t="shared" si="8"/>
        <v>k7074_3</v>
      </c>
      <c r="K542" s="1">
        <f>IF(E542=0,SUMPRODUCT(($A$2:$A$4734=A542)*($B$2:$B$4734=B542)*($D$2:$D$4734=D542)*($E$2:$E$4734=0)),0)</f>
        <v>0</v>
      </c>
      <c r="L542" s="1" t="str">
        <f>IF(E542=0,SUMPRODUCT(MIN($K$2:$K$4734+((($A$2:$A$4734&lt;&gt;A542)+($E$2:$E$4734&lt;&gt;0))&gt;0)*1000000)),"")</f>
        <v/>
      </c>
      <c r="M542" s="1">
        <f>IF(AND(E542=0,COUNTIFS($A$2:A542,A542,$E$2:E542,0)=1),L542,0)</f>
        <v>0</v>
      </c>
    </row>
    <row r="543" spans="1:13" ht="15" customHeight="1">
      <c r="A543" s="1">
        <v>7074</v>
      </c>
      <c r="B543" s="1" t="s">
        <v>635</v>
      </c>
      <c r="C543" s="2" t="s">
        <v>636</v>
      </c>
      <c r="D543" s="2" t="s">
        <v>659</v>
      </c>
      <c r="E543" s="1">
        <v>1</v>
      </c>
      <c r="F543" s="2" t="s">
        <v>661</v>
      </c>
      <c r="G543" s="1">
        <v>4</v>
      </c>
      <c r="H543" s="1" t="str">
        <f t="shared" si="8"/>
        <v>k7074_4</v>
      </c>
      <c r="K543" s="1">
        <f>IF(E543=0,SUMPRODUCT(($A$2:$A$4734=A543)*($B$2:$B$4734=B543)*($D$2:$D$4734=D543)*($E$2:$E$4734=0)),0)</f>
        <v>0</v>
      </c>
      <c r="L543" s="1" t="str">
        <f>IF(E543=0,SUMPRODUCT(MIN($K$2:$K$4734+((($A$2:$A$4734&lt;&gt;A543)+($E$2:$E$4734&lt;&gt;0))&gt;0)*1000000)),"")</f>
        <v/>
      </c>
      <c r="M543" s="1">
        <f>IF(AND(E543=0,COUNTIFS($A$2:A543,A543,$E$2:E543,0)=1),L543,0)</f>
        <v>0</v>
      </c>
    </row>
    <row r="544" spans="1:13" ht="15" customHeight="1">
      <c r="A544" s="1">
        <v>7074</v>
      </c>
      <c r="B544" s="1" t="s">
        <v>635</v>
      </c>
      <c r="C544" s="2" t="s">
        <v>636</v>
      </c>
      <c r="D544" s="2" t="s">
        <v>659</v>
      </c>
      <c r="E544" s="1">
        <v>1</v>
      </c>
      <c r="F544" s="2" t="s">
        <v>662</v>
      </c>
      <c r="G544" s="1">
        <v>5</v>
      </c>
      <c r="H544" s="1" t="str">
        <f t="shared" si="8"/>
        <v>k7074_5</v>
      </c>
      <c r="K544" s="1">
        <f>IF(E544=0,SUMPRODUCT(($A$2:$A$4734=A544)*($B$2:$B$4734=B544)*($D$2:$D$4734=D544)*($E$2:$E$4734=0)),0)</f>
        <v>0</v>
      </c>
      <c r="L544" s="1" t="str">
        <f>IF(E544=0,SUMPRODUCT(MIN($K$2:$K$4734+((($A$2:$A$4734&lt;&gt;A544)+($E$2:$E$4734&lt;&gt;0))&gt;0)*1000000)),"")</f>
        <v/>
      </c>
      <c r="M544" s="1">
        <f>IF(AND(E544=0,COUNTIFS($A$2:A544,A544,$E$2:E544,0)=1),L544,0)</f>
        <v>0</v>
      </c>
    </row>
    <row r="545" spans="1:13" ht="15" customHeight="1">
      <c r="A545" s="1">
        <v>7074</v>
      </c>
      <c r="B545" s="1" t="s">
        <v>635</v>
      </c>
      <c r="C545" s="2" t="s">
        <v>636</v>
      </c>
      <c r="D545" s="2" t="s">
        <v>659</v>
      </c>
      <c r="E545" s="1">
        <v>1</v>
      </c>
      <c r="F545" s="2" t="s">
        <v>663</v>
      </c>
      <c r="G545" s="1">
        <v>6</v>
      </c>
      <c r="H545" s="1" t="str">
        <f t="shared" si="8"/>
        <v>k7074_6</v>
      </c>
      <c r="K545" s="1">
        <f>IF(E545=0,SUMPRODUCT(($A$2:$A$4734=A545)*($B$2:$B$4734=B545)*($D$2:$D$4734=D545)*($E$2:$E$4734=0)),0)</f>
        <v>0</v>
      </c>
      <c r="L545" s="1" t="str">
        <f>IF(E545=0,SUMPRODUCT(MIN($K$2:$K$4734+((($A$2:$A$4734&lt;&gt;A545)+($E$2:$E$4734&lt;&gt;0))&gt;0)*1000000)),"")</f>
        <v/>
      </c>
      <c r="M545" s="1">
        <f>IF(AND(E545=0,COUNTIFS($A$2:A545,A545,$E$2:E545,0)=1),L545,0)</f>
        <v>0</v>
      </c>
    </row>
    <row r="546" spans="1:13" ht="15" customHeight="1">
      <c r="A546" s="1">
        <v>7082</v>
      </c>
      <c r="B546" s="1" t="s">
        <v>9</v>
      </c>
      <c r="C546" s="2" t="s">
        <v>664</v>
      </c>
      <c r="D546" s="2" t="s">
        <v>665</v>
      </c>
      <c r="E546" s="1">
        <v>0</v>
      </c>
      <c r="F546" s="2" t="s">
        <v>666</v>
      </c>
      <c r="H546" s="1" t="str">
        <f t="shared" si="8"/>
        <v/>
      </c>
      <c r="K546" s="1">
        <f>IF(E546=0,SUMPRODUCT(($A$2:$A$4734=A546)*($B$2:$B$4734=B546)*($D$2:$D$4734=D546)*($E$2:$E$4734=0)),0)</f>
        <v>3</v>
      </c>
      <c r="L546" s="1">
        <f>IF(E546=0,SUMPRODUCT(MIN($K$2:$K$4734+((($A$2:$A$4734&lt;&gt;A546)+($E$2:$E$4734&lt;&gt;0))&gt;0)*1000000)),"")</f>
        <v>3</v>
      </c>
      <c r="M546" s="1">
        <f>IF(AND(E546=0,COUNTIFS($A$2:A546,A546,$E$2:E546,0)=1),L546,0)</f>
        <v>3</v>
      </c>
    </row>
    <row r="547" spans="1:13" ht="15" customHeight="1">
      <c r="A547" s="1">
        <v>7082</v>
      </c>
      <c r="B547" s="1" t="s">
        <v>9</v>
      </c>
      <c r="C547" s="2" t="s">
        <v>664</v>
      </c>
      <c r="D547" s="2" t="s">
        <v>665</v>
      </c>
      <c r="E547" s="1">
        <v>0</v>
      </c>
      <c r="F547" s="2" t="s">
        <v>667</v>
      </c>
      <c r="H547" s="1" t="str">
        <f t="shared" si="8"/>
        <v/>
      </c>
      <c r="K547" s="1">
        <f>IF(E547=0,SUMPRODUCT(($A$2:$A$4734=A547)*($B$2:$B$4734=B547)*($D$2:$D$4734=D547)*($E$2:$E$4734=0)),0)</f>
        <v>3</v>
      </c>
      <c r="L547" s="1">
        <f>IF(E547=0,SUMPRODUCT(MIN($K$2:$K$4734+((($A$2:$A$4734&lt;&gt;A547)+($E$2:$E$4734&lt;&gt;0))&gt;0)*1000000)),"")</f>
        <v>3</v>
      </c>
      <c r="M547" s="1">
        <f>IF(AND(E547=0,COUNTIFS($A$2:A547,A547,$E$2:E547,0)=1),L547,0)</f>
        <v>0</v>
      </c>
    </row>
    <row r="548" spans="1:13" ht="15" customHeight="1">
      <c r="A548" s="1">
        <v>7082</v>
      </c>
      <c r="B548" s="1" t="s">
        <v>9</v>
      </c>
      <c r="C548" s="2" t="s">
        <v>664</v>
      </c>
      <c r="D548" s="2" t="s">
        <v>665</v>
      </c>
      <c r="E548" s="1">
        <v>0</v>
      </c>
      <c r="F548" s="2" t="s">
        <v>668</v>
      </c>
      <c r="H548" s="1" t="str">
        <f t="shared" si="8"/>
        <v/>
      </c>
      <c r="K548" s="1">
        <f>IF(E548=0,SUMPRODUCT(($A$2:$A$4734=A548)*($B$2:$B$4734=B548)*($D$2:$D$4734=D548)*($E$2:$E$4734=0)),0)</f>
        <v>3</v>
      </c>
      <c r="L548" s="1">
        <f>IF(E548=0,SUMPRODUCT(MIN($K$2:$K$4734+((($A$2:$A$4734&lt;&gt;A548)+($E$2:$E$4734&lt;&gt;0))&gt;0)*1000000)),"")</f>
        <v>3</v>
      </c>
      <c r="M548" s="1">
        <f>IF(AND(E548=0,COUNTIFS($A$2:A548,A548,$E$2:E548,0)=1),L548,0)</f>
        <v>0</v>
      </c>
    </row>
    <row r="549" spans="1:13" ht="15" customHeight="1">
      <c r="A549" s="1">
        <v>7083</v>
      </c>
      <c r="B549" s="1" t="s">
        <v>9</v>
      </c>
      <c r="C549" s="2" t="s">
        <v>669</v>
      </c>
      <c r="D549" s="2" t="s">
        <v>670</v>
      </c>
      <c r="E549" s="1">
        <v>0</v>
      </c>
      <c r="F549" s="2" t="s">
        <v>671</v>
      </c>
      <c r="H549" s="1" t="str">
        <f t="shared" si="8"/>
        <v/>
      </c>
      <c r="K549" s="1">
        <f>IF(E549=0,SUMPRODUCT(($A$2:$A$4734=A549)*($B$2:$B$4734=B549)*($D$2:$D$4734=D549)*($E$2:$E$4734=0)),0)</f>
        <v>4</v>
      </c>
      <c r="L549" s="1">
        <f>IF(E549=0,SUMPRODUCT(MIN($K$2:$K$4734+((($A$2:$A$4734&lt;&gt;A549)+($E$2:$E$4734&lt;&gt;0))&gt;0)*1000000)),"")</f>
        <v>4</v>
      </c>
      <c r="M549" s="1">
        <f>IF(AND(E549=0,COUNTIFS($A$2:A549,A549,$E$2:E549,0)=1),L549,0)</f>
        <v>4</v>
      </c>
    </row>
    <row r="550" spans="1:13" ht="15" customHeight="1">
      <c r="A550" s="1">
        <v>7083</v>
      </c>
      <c r="B550" s="1" t="s">
        <v>9</v>
      </c>
      <c r="C550" s="2" t="s">
        <v>669</v>
      </c>
      <c r="D550" s="2" t="s">
        <v>670</v>
      </c>
      <c r="E550" s="1">
        <v>0</v>
      </c>
      <c r="F550" s="2" t="s">
        <v>672</v>
      </c>
      <c r="H550" s="1" t="str">
        <f t="shared" si="8"/>
        <v/>
      </c>
      <c r="K550" s="1">
        <f>IF(E550=0,SUMPRODUCT(($A$2:$A$4734=A550)*($B$2:$B$4734=B550)*($D$2:$D$4734=D550)*($E$2:$E$4734=0)),0)</f>
        <v>4</v>
      </c>
      <c r="L550" s="1">
        <f>IF(E550=0,SUMPRODUCT(MIN($K$2:$K$4734+((($A$2:$A$4734&lt;&gt;A550)+($E$2:$E$4734&lt;&gt;0))&gt;0)*1000000)),"")</f>
        <v>4</v>
      </c>
      <c r="M550" s="1">
        <f>IF(AND(E550=0,COUNTIFS($A$2:A550,A550,$E$2:E550,0)=1),L550,0)</f>
        <v>0</v>
      </c>
    </row>
    <row r="551" spans="1:13" ht="15" customHeight="1">
      <c r="A551" s="1">
        <v>7083</v>
      </c>
      <c r="B551" s="1" t="s">
        <v>9</v>
      </c>
      <c r="C551" s="2" t="s">
        <v>669</v>
      </c>
      <c r="D551" s="2" t="s">
        <v>670</v>
      </c>
      <c r="E551" s="1">
        <v>0</v>
      </c>
      <c r="F551" s="2" t="s">
        <v>673</v>
      </c>
      <c r="H551" s="1" t="str">
        <f t="shared" si="8"/>
        <v/>
      </c>
      <c r="K551" s="1">
        <f>IF(E551=0,SUMPRODUCT(($A$2:$A$4734=A551)*($B$2:$B$4734=B551)*($D$2:$D$4734=D551)*($E$2:$E$4734=0)),0)</f>
        <v>4</v>
      </c>
      <c r="L551" s="1">
        <f>IF(E551=0,SUMPRODUCT(MIN($K$2:$K$4734+((($A$2:$A$4734&lt;&gt;A551)+($E$2:$E$4734&lt;&gt;0))&gt;0)*1000000)),"")</f>
        <v>4</v>
      </c>
      <c r="M551" s="1">
        <f>IF(AND(E551=0,COUNTIFS($A$2:A551,A551,$E$2:E551,0)=1),L551,0)</f>
        <v>0</v>
      </c>
    </row>
    <row r="552" spans="1:13" ht="15" customHeight="1">
      <c r="A552" s="1">
        <v>7083</v>
      </c>
      <c r="B552" s="1" t="s">
        <v>9</v>
      </c>
      <c r="C552" s="2" t="s">
        <v>669</v>
      </c>
      <c r="D552" s="2" t="s">
        <v>670</v>
      </c>
      <c r="E552" s="1">
        <v>0</v>
      </c>
      <c r="F552" s="2" t="s">
        <v>674</v>
      </c>
      <c r="H552" s="1" t="str">
        <f t="shared" si="8"/>
        <v/>
      </c>
      <c r="K552" s="1">
        <f>IF(E552=0,SUMPRODUCT(($A$2:$A$4734=A552)*($B$2:$B$4734=B552)*($D$2:$D$4734=D552)*($E$2:$E$4734=0)),0)</f>
        <v>4</v>
      </c>
      <c r="L552" s="1">
        <f>IF(E552=0,SUMPRODUCT(MIN($K$2:$K$4734+((($A$2:$A$4734&lt;&gt;A552)+($E$2:$E$4734&lt;&gt;0))&gt;0)*1000000)),"")</f>
        <v>4</v>
      </c>
      <c r="M552" s="1">
        <f>IF(AND(E552=0,COUNTIFS($A$2:A552,A552,$E$2:E552,0)=1),L552,0)</f>
        <v>0</v>
      </c>
    </row>
    <row r="553" spans="1:13" ht="15" customHeight="1">
      <c r="A553" s="1">
        <v>7083</v>
      </c>
      <c r="B553" s="1" t="s">
        <v>16</v>
      </c>
      <c r="C553" s="2" t="s">
        <v>669</v>
      </c>
      <c r="D553" s="2" t="s">
        <v>670</v>
      </c>
      <c r="E553" s="1">
        <v>0</v>
      </c>
      <c r="F553" s="2" t="s">
        <v>675</v>
      </c>
      <c r="H553" s="1" t="str">
        <f t="shared" si="8"/>
        <v/>
      </c>
      <c r="K553" s="1">
        <f>IF(E553=0,SUMPRODUCT(($A$2:$A$4734=A553)*($B$2:$B$4734=B553)*($D$2:$D$4734=D553)*($E$2:$E$4734=0)),0)</f>
        <v>6</v>
      </c>
      <c r="L553" s="1">
        <f>IF(E553=0,SUMPRODUCT(MIN($K$2:$K$4734+((($A$2:$A$4734&lt;&gt;A553)+($E$2:$E$4734&lt;&gt;0))&gt;0)*1000000)),"")</f>
        <v>4</v>
      </c>
      <c r="M553" s="1">
        <f>IF(AND(E553=0,COUNTIFS($A$2:A553,A553,$E$2:E553,0)=1),L553,0)</f>
        <v>0</v>
      </c>
    </row>
    <row r="554" spans="1:13" ht="15" customHeight="1">
      <c r="A554" s="1">
        <v>7083</v>
      </c>
      <c r="B554" s="1" t="s">
        <v>16</v>
      </c>
      <c r="C554" s="2" t="s">
        <v>669</v>
      </c>
      <c r="D554" s="2" t="s">
        <v>670</v>
      </c>
      <c r="E554" s="1">
        <v>0</v>
      </c>
      <c r="F554" s="2" t="s">
        <v>674</v>
      </c>
      <c r="H554" s="1" t="str">
        <f t="shared" si="8"/>
        <v/>
      </c>
      <c r="K554" s="1">
        <f>IF(E554=0,SUMPRODUCT(($A$2:$A$4734=A554)*($B$2:$B$4734=B554)*($D$2:$D$4734=D554)*($E$2:$E$4734=0)),0)</f>
        <v>6</v>
      </c>
      <c r="L554" s="1">
        <f>IF(E554=0,SUMPRODUCT(MIN($K$2:$K$4734+((($A$2:$A$4734&lt;&gt;A554)+($E$2:$E$4734&lt;&gt;0))&gt;0)*1000000)),"")</f>
        <v>4</v>
      </c>
      <c r="M554" s="1">
        <f>IF(AND(E554=0,COUNTIFS($A$2:A554,A554,$E$2:E554,0)=1),L554,0)</f>
        <v>0</v>
      </c>
    </row>
    <row r="555" spans="1:13" ht="15" customHeight="1">
      <c r="A555" s="1">
        <v>7083</v>
      </c>
      <c r="B555" s="1" t="s">
        <v>16</v>
      </c>
      <c r="C555" s="2" t="s">
        <v>669</v>
      </c>
      <c r="D555" s="2" t="s">
        <v>670</v>
      </c>
      <c r="E555" s="1">
        <v>0</v>
      </c>
      <c r="F555" s="2" t="s">
        <v>676</v>
      </c>
      <c r="H555" s="1" t="str">
        <f t="shared" si="8"/>
        <v/>
      </c>
      <c r="K555" s="1">
        <f>IF(E555=0,SUMPRODUCT(($A$2:$A$4734=A555)*($B$2:$B$4734=B555)*($D$2:$D$4734=D555)*($E$2:$E$4734=0)),0)</f>
        <v>6</v>
      </c>
      <c r="L555" s="1">
        <f>IF(E555=0,SUMPRODUCT(MIN($K$2:$K$4734+((($A$2:$A$4734&lt;&gt;A555)+($E$2:$E$4734&lt;&gt;0))&gt;0)*1000000)),"")</f>
        <v>4</v>
      </c>
      <c r="M555" s="1">
        <f>IF(AND(E555=0,COUNTIFS($A$2:A555,A555,$E$2:E555,0)=1),L555,0)</f>
        <v>0</v>
      </c>
    </row>
    <row r="556" spans="1:13" ht="15" customHeight="1">
      <c r="A556" s="1">
        <v>7083</v>
      </c>
      <c r="B556" s="1" t="s">
        <v>16</v>
      </c>
      <c r="C556" s="2" t="s">
        <v>669</v>
      </c>
      <c r="D556" s="2" t="s">
        <v>670</v>
      </c>
      <c r="E556" s="1">
        <v>0</v>
      </c>
      <c r="F556" s="2" t="s">
        <v>672</v>
      </c>
      <c r="H556" s="1" t="str">
        <f t="shared" si="8"/>
        <v/>
      </c>
      <c r="K556" s="1">
        <f>IF(E556=0,SUMPRODUCT(($A$2:$A$4734=A556)*($B$2:$B$4734=B556)*($D$2:$D$4734=D556)*($E$2:$E$4734=0)),0)</f>
        <v>6</v>
      </c>
      <c r="L556" s="1">
        <f>IF(E556=0,SUMPRODUCT(MIN($K$2:$K$4734+((($A$2:$A$4734&lt;&gt;A556)+($E$2:$E$4734&lt;&gt;0))&gt;0)*1000000)),"")</f>
        <v>4</v>
      </c>
      <c r="M556" s="1">
        <f>IF(AND(E556=0,COUNTIFS($A$2:A556,A556,$E$2:E556,0)=1),L556,0)</f>
        <v>0</v>
      </c>
    </row>
    <row r="557" spans="1:13" ht="15" customHeight="1">
      <c r="A557" s="1">
        <v>7083</v>
      </c>
      <c r="B557" s="1" t="s">
        <v>16</v>
      </c>
      <c r="C557" s="2" t="s">
        <v>669</v>
      </c>
      <c r="D557" s="2" t="s">
        <v>670</v>
      </c>
      <c r="E557" s="1">
        <v>0</v>
      </c>
      <c r="F557" s="2" t="s">
        <v>671</v>
      </c>
      <c r="H557" s="1" t="str">
        <f t="shared" si="8"/>
        <v/>
      </c>
      <c r="K557" s="1">
        <f>IF(E557=0,SUMPRODUCT(($A$2:$A$4734=A557)*($B$2:$B$4734=B557)*($D$2:$D$4734=D557)*($E$2:$E$4734=0)),0)</f>
        <v>6</v>
      </c>
      <c r="L557" s="1">
        <f>IF(E557=0,SUMPRODUCT(MIN($K$2:$K$4734+((($A$2:$A$4734&lt;&gt;A557)+($E$2:$E$4734&lt;&gt;0))&gt;0)*1000000)),"")</f>
        <v>4</v>
      </c>
      <c r="M557" s="1">
        <f>IF(AND(E557=0,COUNTIFS($A$2:A557,A557,$E$2:E557,0)=1),L557,0)</f>
        <v>0</v>
      </c>
    </row>
    <row r="558" spans="1:13" ht="15" customHeight="1">
      <c r="A558" s="1">
        <v>7083</v>
      </c>
      <c r="B558" s="1" t="s">
        <v>16</v>
      </c>
      <c r="C558" s="2" t="s">
        <v>669</v>
      </c>
      <c r="D558" s="2" t="s">
        <v>670</v>
      </c>
      <c r="E558" s="1">
        <v>0</v>
      </c>
      <c r="F558" s="2" t="s">
        <v>677</v>
      </c>
      <c r="H558" s="1" t="str">
        <f t="shared" si="8"/>
        <v/>
      </c>
      <c r="K558" s="1">
        <f>IF(E558=0,SUMPRODUCT(($A$2:$A$4734=A558)*($B$2:$B$4734=B558)*($D$2:$D$4734=D558)*($E$2:$E$4734=0)),0)</f>
        <v>6</v>
      </c>
      <c r="L558" s="1">
        <f>IF(E558=0,SUMPRODUCT(MIN($K$2:$K$4734+((($A$2:$A$4734&lt;&gt;A558)+($E$2:$E$4734&lt;&gt;0))&gt;0)*1000000)),"")</f>
        <v>4</v>
      </c>
      <c r="M558" s="1">
        <f>IF(AND(E558=0,COUNTIFS($A$2:A558,A558,$E$2:E558,0)=1),L558,0)</f>
        <v>0</v>
      </c>
    </row>
    <row r="559" spans="1:13" ht="15" customHeight="1">
      <c r="A559" s="1">
        <v>7083</v>
      </c>
      <c r="B559" s="1" t="s">
        <v>16</v>
      </c>
      <c r="C559" s="2" t="s">
        <v>669</v>
      </c>
      <c r="D559" s="2" t="s">
        <v>678</v>
      </c>
      <c r="E559" s="1">
        <v>0</v>
      </c>
      <c r="F559" s="2" t="s">
        <v>679</v>
      </c>
      <c r="H559" s="1" t="str">
        <f t="shared" si="8"/>
        <v/>
      </c>
      <c r="K559" s="1">
        <f>IF(E559=0,SUMPRODUCT(($A$2:$A$4734=A559)*($B$2:$B$4734=B559)*($D$2:$D$4734=D559)*($E$2:$E$4734=0)),0)</f>
        <v>4</v>
      </c>
      <c r="L559" s="1">
        <f>IF(E559=0,SUMPRODUCT(MIN($K$2:$K$4734+((($A$2:$A$4734&lt;&gt;A559)+($E$2:$E$4734&lt;&gt;0))&gt;0)*1000000)),"")</f>
        <v>4</v>
      </c>
      <c r="M559" s="1">
        <f>IF(AND(E559=0,COUNTIFS($A$2:A559,A559,$E$2:E559,0)=1),L559,0)</f>
        <v>0</v>
      </c>
    </row>
    <row r="560" spans="1:13" ht="15" customHeight="1">
      <c r="A560" s="1">
        <v>7083</v>
      </c>
      <c r="B560" s="1" t="s">
        <v>16</v>
      </c>
      <c r="C560" s="2" t="s">
        <v>669</v>
      </c>
      <c r="D560" s="2" t="s">
        <v>678</v>
      </c>
      <c r="E560" s="1">
        <v>0</v>
      </c>
      <c r="F560" s="2" t="s">
        <v>680</v>
      </c>
      <c r="H560" s="1" t="str">
        <f t="shared" si="8"/>
        <v/>
      </c>
      <c r="K560" s="1">
        <f>IF(E560=0,SUMPRODUCT(($A$2:$A$4734=A560)*($B$2:$B$4734=B560)*($D$2:$D$4734=D560)*($E$2:$E$4734=0)),0)</f>
        <v>4</v>
      </c>
      <c r="L560" s="1">
        <f>IF(E560=0,SUMPRODUCT(MIN($K$2:$K$4734+((($A$2:$A$4734&lt;&gt;A560)+($E$2:$E$4734&lt;&gt;0))&gt;0)*1000000)),"")</f>
        <v>4</v>
      </c>
      <c r="M560" s="1">
        <f>IF(AND(E560=0,COUNTIFS($A$2:A560,A560,$E$2:E560,0)=1),L560,0)</f>
        <v>0</v>
      </c>
    </row>
    <row r="561" spans="1:13" ht="15" customHeight="1">
      <c r="A561" s="1">
        <v>7083</v>
      </c>
      <c r="B561" s="1" t="s">
        <v>16</v>
      </c>
      <c r="C561" s="2" t="s">
        <v>669</v>
      </c>
      <c r="D561" s="2" t="s">
        <v>678</v>
      </c>
      <c r="E561" s="1">
        <v>0</v>
      </c>
      <c r="F561" s="2" t="s">
        <v>681</v>
      </c>
      <c r="H561" s="1" t="str">
        <f t="shared" si="8"/>
        <v/>
      </c>
      <c r="K561" s="1">
        <f>IF(E561=0,SUMPRODUCT(($A$2:$A$4734=A561)*($B$2:$B$4734=B561)*($D$2:$D$4734=D561)*($E$2:$E$4734=0)),0)</f>
        <v>4</v>
      </c>
      <c r="L561" s="1">
        <f>IF(E561=0,SUMPRODUCT(MIN($K$2:$K$4734+((($A$2:$A$4734&lt;&gt;A561)+($E$2:$E$4734&lt;&gt;0))&gt;0)*1000000)),"")</f>
        <v>4</v>
      </c>
      <c r="M561" s="1">
        <f>IF(AND(E561=0,COUNTIFS($A$2:A561,A561,$E$2:E561,0)=1),L561,0)</f>
        <v>0</v>
      </c>
    </row>
    <row r="562" spans="1:13" ht="15" customHeight="1">
      <c r="A562" s="1">
        <v>7083</v>
      </c>
      <c r="B562" s="1" t="s">
        <v>16</v>
      </c>
      <c r="C562" s="2" t="s">
        <v>669</v>
      </c>
      <c r="D562" s="2" t="s">
        <v>678</v>
      </c>
      <c r="E562" s="1">
        <v>0</v>
      </c>
      <c r="F562" s="2" t="s">
        <v>682</v>
      </c>
      <c r="H562" s="1" t="str">
        <f t="shared" si="8"/>
        <v/>
      </c>
      <c r="K562" s="1">
        <f>IF(E562=0,SUMPRODUCT(($A$2:$A$4734=A562)*($B$2:$B$4734=B562)*($D$2:$D$4734=D562)*($E$2:$E$4734=0)),0)</f>
        <v>4</v>
      </c>
      <c r="L562" s="1">
        <f>IF(E562=0,SUMPRODUCT(MIN($K$2:$K$4734+((($A$2:$A$4734&lt;&gt;A562)+($E$2:$E$4734&lt;&gt;0))&gt;0)*1000000)),"")</f>
        <v>4</v>
      </c>
      <c r="M562" s="1">
        <f>IF(AND(E562=0,COUNTIFS($A$2:A562,A562,$E$2:E562,0)=1),L562,0)</f>
        <v>0</v>
      </c>
    </row>
    <row r="563" spans="1:13" ht="15" customHeight="1">
      <c r="A563" s="1">
        <v>7085</v>
      </c>
      <c r="B563" s="1" t="s">
        <v>9</v>
      </c>
      <c r="C563" s="2" t="s">
        <v>683</v>
      </c>
      <c r="D563" s="2" t="s">
        <v>684</v>
      </c>
      <c r="E563" s="1">
        <v>0</v>
      </c>
      <c r="F563" s="2" t="s">
        <v>685</v>
      </c>
      <c r="H563" s="1" t="str">
        <f t="shared" si="8"/>
        <v/>
      </c>
      <c r="K563" s="1">
        <f>IF(E563=0,SUMPRODUCT(($A$2:$A$4734=A563)*($B$2:$B$4734=B563)*($D$2:$D$4734=D563)*($E$2:$E$4734=0)),0)</f>
        <v>6</v>
      </c>
      <c r="L563" s="1">
        <f>IF(E563=0,SUMPRODUCT(MIN($K$2:$K$4734+((($A$2:$A$4734&lt;&gt;A563)+($E$2:$E$4734&lt;&gt;0))&gt;0)*1000000)),"")</f>
        <v>3</v>
      </c>
      <c r="M563" s="1">
        <f>IF(AND(E563=0,COUNTIFS($A$2:A563,A563,$E$2:E563,0)=1),L563,0)</f>
        <v>3</v>
      </c>
    </row>
    <row r="564" spans="1:13" ht="15" customHeight="1">
      <c r="A564" s="1">
        <v>7085</v>
      </c>
      <c r="B564" s="1" t="s">
        <v>9</v>
      </c>
      <c r="C564" s="2" t="s">
        <v>683</v>
      </c>
      <c r="D564" s="2" t="s">
        <v>684</v>
      </c>
      <c r="E564" s="1">
        <v>0</v>
      </c>
      <c r="F564" s="2" t="s">
        <v>686</v>
      </c>
      <c r="H564" s="1" t="str">
        <f t="shared" si="8"/>
        <v/>
      </c>
      <c r="K564" s="1">
        <f>IF(E564=0,SUMPRODUCT(($A$2:$A$4734=A564)*($B$2:$B$4734=B564)*($D$2:$D$4734=D564)*($E$2:$E$4734=0)),0)</f>
        <v>6</v>
      </c>
      <c r="L564" s="1">
        <f>IF(E564=0,SUMPRODUCT(MIN($K$2:$K$4734+((($A$2:$A$4734&lt;&gt;A564)+($E$2:$E$4734&lt;&gt;0))&gt;0)*1000000)),"")</f>
        <v>3</v>
      </c>
      <c r="M564" s="1">
        <f>IF(AND(E564=0,COUNTIFS($A$2:A564,A564,$E$2:E564,0)=1),L564,0)</f>
        <v>0</v>
      </c>
    </row>
    <row r="565" spans="1:13" ht="15" customHeight="1">
      <c r="A565" s="1">
        <v>7085</v>
      </c>
      <c r="B565" s="1" t="s">
        <v>9</v>
      </c>
      <c r="C565" s="2" t="s">
        <v>683</v>
      </c>
      <c r="D565" s="2" t="s">
        <v>684</v>
      </c>
      <c r="E565" s="1">
        <v>0</v>
      </c>
      <c r="F565" s="2" t="s">
        <v>687</v>
      </c>
      <c r="H565" s="1" t="str">
        <f t="shared" si="8"/>
        <v/>
      </c>
      <c r="K565" s="1">
        <f>IF(E565=0,SUMPRODUCT(($A$2:$A$4734=A565)*($B$2:$B$4734=B565)*($D$2:$D$4734=D565)*($E$2:$E$4734=0)),0)</f>
        <v>6</v>
      </c>
      <c r="L565" s="1">
        <f>IF(E565=0,SUMPRODUCT(MIN($K$2:$K$4734+((($A$2:$A$4734&lt;&gt;A565)+($E$2:$E$4734&lt;&gt;0))&gt;0)*1000000)),"")</f>
        <v>3</v>
      </c>
      <c r="M565" s="1">
        <f>IF(AND(E565=0,COUNTIFS($A$2:A565,A565,$E$2:E565,0)=1),L565,0)</f>
        <v>0</v>
      </c>
    </row>
    <row r="566" spans="1:13" ht="15" customHeight="1">
      <c r="A566" s="1">
        <v>7085</v>
      </c>
      <c r="B566" s="1" t="s">
        <v>9</v>
      </c>
      <c r="C566" s="2" t="s">
        <v>683</v>
      </c>
      <c r="D566" s="2" t="s">
        <v>684</v>
      </c>
      <c r="E566" s="1">
        <v>0</v>
      </c>
      <c r="F566" s="2" t="s">
        <v>688</v>
      </c>
      <c r="H566" s="1" t="str">
        <f t="shared" si="8"/>
        <v/>
      </c>
      <c r="K566" s="1">
        <f>IF(E566=0,SUMPRODUCT(($A$2:$A$4734=A566)*($B$2:$B$4734=B566)*($D$2:$D$4734=D566)*($E$2:$E$4734=0)),0)</f>
        <v>6</v>
      </c>
      <c r="L566" s="1">
        <f>IF(E566=0,SUMPRODUCT(MIN($K$2:$K$4734+((($A$2:$A$4734&lt;&gt;A566)+($E$2:$E$4734&lt;&gt;0))&gt;0)*1000000)),"")</f>
        <v>3</v>
      </c>
      <c r="M566" s="1">
        <f>IF(AND(E566=0,COUNTIFS($A$2:A566,A566,$E$2:E566,0)=1),L566,0)</f>
        <v>0</v>
      </c>
    </row>
    <row r="567" spans="1:13" ht="15" customHeight="1">
      <c r="A567" s="1">
        <v>7085</v>
      </c>
      <c r="B567" s="1" t="s">
        <v>9</v>
      </c>
      <c r="C567" s="2" t="s">
        <v>683</v>
      </c>
      <c r="D567" s="2" t="s">
        <v>684</v>
      </c>
      <c r="E567" s="1">
        <v>0</v>
      </c>
      <c r="F567" s="2" t="s">
        <v>689</v>
      </c>
      <c r="H567" s="1" t="str">
        <f t="shared" si="8"/>
        <v/>
      </c>
      <c r="K567" s="1">
        <f>IF(E567=0,SUMPRODUCT(($A$2:$A$4734=A567)*($B$2:$B$4734=B567)*($D$2:$D$4734=D567)*($E$2:$E$4734=0)),0)</f>
        <v>6</v>
      </c>
      <c r="L567" s="1">
        <f>IF(E567=0,SUMPRODUCT(MIN($K$2:$K$4734+((($A$2:$A$4734&lt;&gt;A567)+($E$2:$E$4734&lt;&gt;0))&gt;0)*1000000)),"")</f>
        <v>3</v>
      </c>
      <c r="M567" s="1">
        <f>IF(AND(E567=0,COUNTIFS($A$2:A567,A567,$E$2:E567,0)=1),L567,0)</f>
        <v>0</v>
      </c>
    </row>
    <row r="568" spans="1:13" ht="15" customHeight="1">
      <c r="A568" s="1">
        <v>7085</v>
      </c>
      <c r="B568" s="1" t="s">
        <v>9</v>
      </c>
      <c r="C568" s="2" t="s">
        <v>683</v>
      </c>
      <c r="D568" s="2" t="s">
        <v>684</v>
      </c>
      <c r="E568" s="1">
        <v>0</v>
      </c>
      <c r="F568" s="2" t="s">
        <v>690</v>
      </c>
      <c r="H568" s="1" t="str">
        <f t="shared" ref="H568:H629" si="9">IF(OR(E568&lt;&gt;1,G568=""),"","k"&amp;A568&amp;"_"&amp;G568)</f>
        <v/>
      </c>
      <c r="K568" s="1">
        <f>IF(E568=0,SUMPRODUCT(($A$2:$A$4734=A568)*($B$2:$B$4734=B568)*($D$2:$D$4734=D568)*($E$2:$E$4734=0)),0)</f>
        <v>6</v>
      </c>
      <c r="L568" s="1">
        <f>IF(E568=0,SUMPRODUCT(MIN($K$2:$K$4734+((($A$2:$A$4734&lt;&gt;A568)+($E$2:$E$4734&lt;&gt;0))&gt;0)*1000000)),"")</f>
        <v>3</v>
      </c>
      <c r="M568" s="1">
        <f>IF(AND(E568=0,COUNTIFS($A$2:A568,A568,$E$2:E568,0)=1),L568,0)</f>
        <v>0</v>
      </c>
    </row>
    <row r="569" spans="1:13" ht="15" customHeight="1">
      <c r="A569" s="1">
        <v>7085</v>
      </c>
      <c r="B569" s="1" t="s">
        <v>16</v>
      </c>
      <c r="C569" s="2" t="s">
        <v>683</v>
      </c>
      <c r="D569" s="2" t="s">
        <v>691</v>
      </c>
      <c r="E569" s="1">
        <v>0</v>
      </c>
      <c r="F569" s="2" t="s">
        <v>692</v>
      </c>
      <c r="H569" s="1" t="str">
        <f t="shared" si="9"/>
        <v/>
      </c>
      <c r="K569" s="1">
        <f>IF(E569=0,SUMPRODUCT(($A$2:$A$4734=A569)*($B$2:$B$4734=B569)*($D$2:$D$4734=D569)*($E$2:$E$4734=0)),0)</f>
        <v>3</v>
      </c>
      <c r="L569" s="1">
        <f>IF(E569=0,SUMPRODUCT(MIN($K$2:$K$4734+((($A$2:$A$4734&lt;&gt;A569)+($E$2:$E$4734&lt;&gt;0))&gt;0)*1000000)),"")</f>
        <v>3</v>
      </c>
      <c r="M569" s="1">
        <f>IF(AND(E569=0,COUNTIFS($A$2:A569,A569,$E$2:E569,0)=1),L569,0)</f>
        <v>0</v>
      </c>
    </row>
    <row r="570" spans="1:13" ht="15" customHeight="1">
      <c r="A570" s="1">
        <v>7085</v>
      </c>
      <c r="B570" s="1" t="s">
        <v>16</v>
      </c>
      <c r="C570" s="2" t="s">
        <v>683</v>
      </c>
      <c r="D570" s="2" t="s">
        <v>691</v>
      </c>
      <c r="E570" s="1">
        <v>0</v>
      </c>
      <c r="F570" s="2" t="s">
        <v>693</v>
      </c>
      <c r="H570" s="1" t="str">
        <f t="shared" si="9"/>
        <v/>
      </c>
      <c r="K570" s="1">
        <f>IF(E570=0,SUMPRODUCT(($A$2:$A$4734=A570)*($B$2:$B$4734=B570)*($D$2:$D$4734=D570)*($E$2:$E$4734=0)),0)</f>
        <v>3</v>
      </c>
      <c r="L570" s="1">
        <f>IF(E570=0,SUMPRODUCT(MIN($K$2:$K$4734+((($A$2:$A$4734&lt;&gt;A570)+($E$2:$E$4734&lt;&gt;0))&gt;0)*1000000)),"")</f>
        <v>3</v>
      </c>
      <c r="M570" s="1">
        <f>IF(AND(E570=0,COUNTIFS($A$2:A570,A570,$E$2:E570,0)=1),L570,0)</f>
        <v>0</v>
      </c>
    </row>
    <row r="571" spans="1:13" ht="15" customHeight="1">
      <c r="A571" s="1">
        <v>7085</v>
      </c>
      <c r="B571" s="1" t="s">
        <v>16</v>
      </c>
      <c r="C571" s="2" t="s">
        <v>683</v>
      </c>
      <c r="D571" s="2" t="s">
        <v>691</v>
      </c>
      <c r="E571" s="1">
        <v>0</v>
      </c>
      <c r="F571" s="2" t="s">
        <v>694</v>
      </c>
      <c r="H571" s="1" t="str">
        <f t="shared" si="9"/>
        <v/>
      </c>
      <c r="K571" s="1">
        <f>IF(E571=0,SUMPRODUCT(($A$2:$A$4734=A571)*($B$2:$B$4734=B571)*($D$2:$D$4734=D571)*($E$2:$E$4734=0)),0)</f>
        <v>3</v>
      </c>
      <c r="L571" s="1">
        <f>IF(E571=0,SUMPRODUCT(MIN($K$2:$K$4734+((($A$2:$A$4734&lt;&gt;A571)+($E$2:$E$4734&lt;&gt;0))&gt;0)*1000000)),"")</f>
        <v>3</v>
      </c>
      <c r="M571" s="1">
        <f>IF(AND(E571=0,COUNTIFS($A$2:A571,A571,$E$2:E571,0)=1),L571,0)</f>
        <v>0</v>
      </c>
    </row>
    <row r="572" spans="1:13" ht="15" customHeight="1">
      <c r="A572" s="1">
        <v>7085</v>
      </c>
      <c r="B572" s="1" t="s">
        <v>9</v>
      </c>
      <c r="C572" s="2" t="s">
        <v>683</v>
      </c>
      <c r="D572" s="2" t="s">
        <v>695</v>
      </c>
      <c r="E572" s="1">
        <v>0</v>
      </c>
      <c r="F572" s="2" t="s">
        <v>696</v>
      </c>
      <c r="H572" s="1" t="str">
        <f t="shared" si="9"/>
        <v/>
      </c>
      <c r="K572" s="1">
        <f>IF(E572=0,SUMPRODUCT(($A$2:$A$4734=A572)*($B$2:$B$4734=B572)*($D$2:$D$4734=D572)*($E$2:$E$4734=0)),0)</f>
        <v>5</v>
      </c>
      <c r="L572" s="1">
        <f>IF(E572=0,SUMPRODUCT(MIN($K$2:$K$4734+((($A$2:$A$4734&lt;&gt;A572)+($E$2:$E$4734&lt;&gt;0))&gt;0)*1000000)),"")</f>
        <v>3</v>
      </c>
      <c r="M572" s="1">
        <f>IF(AND(E572=0,COUNTIFS($A$2:A572,A572,$E$2:E572,0)=1),L572,0)</f>
        <v>0</v>
      </c>
    </row>
    <row r="573" spans="1:13" ht="15" customHeight="1">
      <c r="A573" s="1">
        <v>7085</v>
      </c>
      <c r="B573" s="1" t="s">
        <v>9</v>
      </c>
      <c r="C573" s="2" t="s">
        <v>683</v>
      </c>
      <c r="D573" s="2" t="s">
        <v>695</v>
      </c>
      <c r="E573" s="1">
        <v>0</v>
      </c>
      <c r="F573" s="2" t="s">
        <v>697</v>
      </c>
      <c r="H573" s="1" t="str">
        <f t="shared" si="9"/>
        <v/>
      </c>
      <c r="K573" s="1">
        <f>IF(E573=0,SUMPRODUCT(($A$2:$A$4734=A573)*($B$2:$B$4734=B573)*($D$2:$D$4734=D573)*($E$2:$E$4734=0)),0)</f>
        <v>5</v>
      </c>
      <c r="L573" s="1">
        <f>IF(E573=0,SUMPRODUCT(MIN($K$2:$K$4734+((($A$2:$A$4734&lt;&gt;A573)+($E$2:$E$4734&lt;&gt;0))&gt;0)*1000000)),"")</f>
        <v>3</v>
      </c>
      <c r="M573" s="1">
        <f>IF(AND(E573=0,COUNTIFS($A$2:A573,A573,$E$2:E573,0)=1),L573,0)</f>
        <v>0</v>
      </c>
    </row>
    <row r="574" spans="1:13" ht="15" customHeight="1">
      <c r="A574" s="1">
        <v>7085</v>
      </c>
      <c r="B574" s="1" t="s">
        <v>9</v>
      </c>
      <c r="C574" s="2" t="s">
        <v>683</v>
      </c>
      <c r="D574" s="2" t="s">
        <v>695</v>
      </c>
      <c r="E574" s="1">
        <v>0</v>
      </c>
      <c r="F574" s="2" t="s">
        <v>698</v>
      </c>
      <c r="H574" s="1" t="str">
        <f t="shared" si="9"/>
        <v/>
      </c>
      <c r="K574" s="1">
        <f>IF(E574=0,SUMPRODUCT(($A$2:$A$4734=A574)*($B$2:$B$4734=B574)*($D$2:$D$4734=D574)*($E$2:$E$4734=0)),0)</f>
        <v>5</v>
      </c>
      <c r="L574" s="1">
        <f>IF(E574=0,SUMPRODUCT(MIN($K$2:$K$4734+((($A$2:$A$4734&lt;&gt;A574)+($E$2:$E$4734&lt;&gt;0))&gt;0)*1000000)),"")</f>
        <v>3</v>
      </c>
      <c r="M574" s="1">
        <f>IF(AND(E574=0,COUNTIFS($A$2:A574,A574,$E$2:E574,0)=1),L574,0)</f>
        <v>0</v>
      </c>
    </row>
    <row r="575" spans="1:13" ht="15" customHeight="1">
      <c r="A575" s="1">
        <v>7085</v>
      </c>
      <c r="B575" s="1" t="s">
        <v>9</v>
      </c>
      <c r="C575" s="2" t="s">
        <v>683</v>
      </c>
      <c r="D575" s="2" t="s">
        <v>695</v>
      </c>
      <c r="E575" s="1">
        <v>0</v>
      </c>
      <c r="F575" s="2" t="s">
        <v>699</v>
      </c>
      <c r="H575" s="1" t="str">
        <f t="shared" si="9"/>
        <v/>
      </c>
      <c r="K575" s="1">
        <f>IF(E575=0,SUMPRODUCT(($A$2:$A$4734=A575)*($B$2:$B$4734=B575)*($D$2:$D$4734=D575)*($E$2:$E$4734=0)),0)</f>
        <v>5</v>
      </c>
      <c r="L575" s="1">
        <f>IF(E575=0,SUMPRODUCT(MIN($K$2:$K$4734+((($A$2:$A$4734&lt;&gt;A575)+($E$2:$E$4734&lt;&gt;0))&gt;0)*1000000)),"")</f>
        <v>3</v>
      </c>
      <c r="M575" s="1">
        <f>IF(AND(E575=0,COUNTIFS($A$2:A575,A575,$E$2:E575,0)=1),L575,0)</f>
        <v>0</v>
      </c>
    </row>
    <row r="576" spans="1:13" ht="15" customHeight="1">
      <c r="A576" s="1">
        <v>7085</v>
      </c>
      <c r="B576" s="1" t="s">
        <v>9</v>
      </c>
      <c r="C576" s="2" t="s">
        <v>683</v>
      </c>
      <c r="D576" s="2" t="s">
        <v>695</v>
      </c>
      <c r="E576" s="1">
        <v>0</v>
      </c>
      <c r="F576" s="2" t="s">
        <v>700</v>
      </c>
      <c r="H576" s="1" t="str">
        <f t="shared" si="9"/>
        <v/>
      </c>
      <c r="K576" s="1">
        <f>IF(E576=0,SUMPRODUCT(($A$2:$A$4734=A576)*($B$2:$B$4734=B576)*($D$2:$D$4734=D576)*($E$2:$E$4734=0)),0)</f>
        <v>5</v>
      </c>
      <c r="L576" s="1">
        <f>IF(E576=0,SUMPRODUCT(MIN($K$2:$K$4734+((($A$2:$A$4734&lt;&gt;A576)+($E$2:$E$4734&lt;&gt;0))&gt;0)*1000000)),"")</f>
        <v>3</v>
      </c>
      <c r="M576" s="1">
        <f>IF(AND(E576=0,COUNTIFS($A$2:A576,A576,$E$2:E576,0)=1),L576,0)</f>
        <v>0</v>
      </c>
    </row>
    <row r="577" spans="1:13" ht="15" customHeight="1">
      <c r="A577" s="1">
        <v>7086</v>
      </c>
      <c r="B577" s="1" t="s">
        <v>167</v>
      </c>
      <c r="C577" s="1" t="s">
        <v>701</v>
      </c>
      <c r="D577" s="2" t="s">
        <v>702</v>
      </c>
      <c r="E577" s="1">
        <v>1</v>
      </c>
      <c r="F577" s="2" t="s">
        <v>703</v>
      </c>
      <c r="G577" s="1">
        <v>1</v>
      </c>
      <c r="H577" s="1" t="str">
        <f t="shared" si="9"/>
        <v>k7086_1</v>
      </c>
      <c r="K577" s="1">
        <f>IF(E577=0,SUMPRODUCT(($A$2:$A$4734=A577)*($B$2:$B$4734=B577)*($D$2:$D$4734=D577)*($E$2:$E$4734=0)),0)</f>
        <v>0</v>
      </c>
      <c r="L577" s="1" t="str">
        <f>IF(E577=0,SUMPRODUCT(MIN($K$2:$K$4734+((($A$2:$A$4734&lt;&gt;A577)+($E$2:$E$4734&lt;&gt;0))&gt;0)*1000000)),"")</f>
        <v/>
      </c>
      <c r="M577" s="1">
        <f>IF(AND(E577=0,COUNTIFS($A$2:A577,A577,$E$2:E577,0)=1),L577,0)</f>
        <v>0</v>
      </c>
    </row>
    <row r="578" spans="1:13" ht="15" customHeight="1">
      <c r="A578" s="1">
        <v>7086</v>
      </c>
      <c r="B578" s="1" t="s">
        <v>167</v>
      </c>
      <c r="C578" s="1" t="s">
        <v>701</v>
      </c>
      <c r="D578" s="2" t="s">
        <v>702</v>
      </c>
      <c r="E578" s="1">
        <v>1</v>
      </c>
      <c r="F578" s="2" t="s">
        <v>704</v>
      </c>
      <c r="G578" s="1">
        <v>2</v>
      </c>
      <c r="H578" s="1" t="str">
        <f t="shared" si="9"/>
        <v>k7086_2</v>
      </c>
      <c r="K578" s="1">
        <f>IF(E578=0,SUMPRODUCT(($A$2:$A$4734=A578)*($B$2:$B$4734=B578)*($D$2:$D$4734=D578)*($E$2:$E$4734=0)),0)</f>
        <v>0</v>
      </c>
      <c r="L578" s="1" t="str">
        <f>IF(E578=0,SUMPRODUCT(MIN($K$2:$K$4734+((($A$2:$A$4734&lt;&gt;A578)+($E$2:$E$4734&lt;&gt;0))&gt;0)*1000000)),"")</f>
        <v/>
      </c>
      <c r="M578" s="1">
        <f>IF(AND(E578=0,COUNTIFS($A$2:A578,A578,$E$2:E578,0)=1),L578,0)</f>
        <v>0</v>
      </c>
    </row>
    <row r="579" spans="1:13" ht="15" customHeight="1">
      <c r="A579" s="1">
        <v>7086</v>
      </c>
      <c r="B579" s="1" t="s">
        <v>167</v>
      </c>
      <c r="C579" s="1" t="s">
        <v>701</v>
      </c>
      <c r="D579" s="2" t="s">
        <v>702</v>
      </c>
      <c r="E579" s="1">
        <v>1</v>
      </c>
      <c r="F579" s="2" t="s">
        <v>705</v>
      </c>
      <c r="G579" s="1">
        <v>3</v>
      </c>
      <c r="H579" s="1" t="str">
        <f t="shared" si="9"/>
        <v>k7086_3</v>
      </c>
      <c r="K579" s="1">
        <f>IF(E579=0,SUMPRODUCT(($A$2:$A$4734=A579)*($B$2:$B$4734=B579)*($D$2:$D$4734=D579)*($E$2:$E$4734=0)),0)</f>
        <v>0</v>
      </c>
      <c r="L579" s="1" t="str">
        <f>IF(E579=0,SUMPRODUCT(MIN($K$2:$K$4734+((($A$2:$A$4734&lt;&gt;A579)+($E$2:$E$4734&lt;&gt;0))&gt;0)*1000000)),"")</f>
        <v/>
      </c>
      <c r="M579" s="1">
        <f>IF(AND(E579=0,COUNTIFS($A$2:A579,A579,$E$2:E579,0)=1),L579,0)</f>
        <v>0</v>
      </c>
    </row>
    <row r="580" spans="1:13" ht="15" customHeight="1">
      <c r="A580" s="1">
        <v>7086</v>
      </c>
      <c r="B580" s="1" t="s">
        <v>167</v>
      </c>
      <c r="C580" s="1" t="s">
        <v>701</v>
      </c>
      <c r="D580" s="2" t="s">
        <v>702</v>
      </c>
      <c r="E580" s="1">
        <v>1</v>
      </c>
      <c r="F580" s="2" t="s">
        <v>706</v>
      </c>
      <c r="G580" s="1">
        <v>4</v>
      </c>
      <c r="H580" s="1" t="str">
        <f t="shared" si="9"/>
        <v>k7086_4</v>
      </c>
      <c r="K580" s="1">
        <f>IF(E580=0,SUMPRODUCT(($A$2:$A$4734=A580)*($B$2:$B$4734=B580)*($D$2:$D$4734=D580)*($E$2:$E$4734=0)),0)</f>
        <v>0</v>
      </c>
      <c r="L580" s="1" t="str">
        <f>IF(E580=0,SUMPRODUCT(MIN($K$2:$K$4734+((($A$2:$A$4734&lt;&gt;A580)+($E$2:$E$4734&lt;&gt;0))&gt;0)*1000000)),"")</f>
        <v/>
      </c>
      <c r="M580" s="1">
        <f>IF(AND(E580=0,COUNTIFS($A$2:A580,A580,$E$2:E580,0)=1),L580,0)</f>
        <v>0</v>
      </c>
    </row>
    <row r="581" spans="1:13" ht="15" customHeight="1">
      <c r="A581" s="1">
        <v>7086</v>
      </c>
      <c r="B581" s="1" t="s">
        <v>167</v>
      </c>
      <c r="C581" s="1" t="s">
        <v>701</v>
      </c>
      <c r="D581" s="2" t="s">
        <v>702</v>
      </c>
      <c r="E581" s="1">
        <v>1</v>
      </c>
      <c r="F581" s="2" t="s">
        <v>707</v>
      </c>
      <c r="G581" s="1">
        <v>5</v>
      </c>
      <c r="H581" s="1" t="str">
        <f t="shared" si="9"/>
        <v>k7086_5</v>
      </c>
      <c r="K581" s="1">
        <f>IF(E581=0,SUMPRODUCT(($A$2:$A$4734=A581)*($B$2:$B$4734=B581)*($D$2:$D$4734=D581)*($E$2:$E$4734=0)),0)</f>
        <v>0</v>
      </c>
      <c r="L581" s="1" t="str">
        <f>IF(E581=0,SUMPRODUCT(MIN($K$2:$K$4734+((($A$2:$A$4734&lt;&gt;A581)+($E$2:$E$4734&lt;&gt;0))&gt;0)*1000000)),"")</f>
        <v/>
      </c>
      <c r="M581" s="1">
        <f>IF(AND(E581=0,COUNTIFS($A$2:A581,A581,$E$2:E581,0)=1),L581,0)</f>
        <v>0</v>
      </c>
    </row>
    <row r="582" spans="1:13" ht="15" customHeight="1">
      <c r="A582" s="1">
        <v>7087</v>
      </c>
      <c r="B582" s="1" t="s">
        <v>9</v>
      </c>
      <c r="C582" s="2" t="s">
        <v>708</v>
      </c>
      <c r="D582" s="2" t="s">
        <v>709</v>
      </c>
      <c r="E582" s="1">
        <v>0</v>
      </c>
      <c r="F582" s="2" t="s">
        <v>686</v>
      </c>
      <c r="H582" s="1" t="str">
        <f t="shared" si="9"/>
        <v/>
      </c>
      <c r="K582" s="1">
        <f>IF(E582=0,SUMPRODUCT(($A$2:$A$4734=A582)*($B$2:$B$4734=B582)*($D$2:$D$4734=D582)*($E$2:$E$4734=0)),0)</f>
        <v>5</v>
      </c>
      <c r="L582" s="1">
        <f>IF(E582=0,SUMPRODUCT(MIN($K$2:$K$4734+((($A$2:$A$4734&lt;&gt;A582)+($E$2:$E$4734&lt;&gt;0))&gt;0)*1000000)),"")</f>
        <v>4</v>
      </c>
      <c r="M582" s="1">
        <f>IF(AND(E582=0,COUNTIFS($A$2:A582,A582,$E$2:E582,0)=1),L582,0)</f>
        <v>4</v>
      </c>
    </row>
    <row r="583" spans="1:13" ht="15" customHeight="1">
      <c r="A583" s="1">
        <v>7087</v>
      </c>
      <c r="B583" s="1" t="s">
        <v>9</v>
      </c>
      <c r="C583" s="2" t="s">
        <v>708</v>
      </c>
      <c r="D583" s="2" t="s">
        <v>709</v>
      </c>
      <c r="E583" s="1">
        <v>0</v>
      </c>
      <c r="F583" s="2" t="s">
        <v>710</v>
      </c>
      <c r="H583" s="1" t="str">
        <f t="shared" si="9"/>
        <v/>
      </c>
      <c r="K583" s="1">
        <f>IF(E583=0,SUMPRODUCT(($A$2:$A$4734=A583)*($B$2:$B$4734=B583)*($D$2:$D$4734=D583)*($E$2:$E$4734=0)),0)</f>
        <v>5</v>
      </c>
      <c r="L583" s="1">
        <f>IF(E583=0,SUMPRODUCT(MIN($K$2:$K$4734+((($A$2:$A$4734&lt;&gt;A583)+($E$2:$E$4734&lt;&gt;0))&gt;0)*1000000)),"")</f>
        <v>4</v>
      </c>
      <c r="M583" s="1">
        <f>IF(AND(E583=0,COUNTIFS($A$2:A583,A583,$E$2:E583,0)=1),L583,0)</f>
        <v>0</v>
      </c>
    </row>
    <row r="584" spans="1:13" ht="15" customHeight="1">
      <c r="A584" s="1">
        <v>7087</v>
      </c>
      <c r="B584" s="1" t="s">
        <v>9</v>
      </c>
      <c r="C584" s="2" t="s">
        <v>708</v>
      </c>
      <c r="D584" s="2" t="s">
        <v>709</v>
      </c>
      <c r="E584" s="1">
        <v>0</v>
      </c>
      <c r="F584" s="2" t="s">
        <v>711</v>
      </c>
      <c r="H584" s="1" t="str">
        <f t="shared" si="9"/>
        <v/>
      </c>
      <c r="K584" s="1">
        <f>IF(E584=0,SUMPRODUCT(($A$2:$A$4734=A584)*($B$2:$B$4734=B584)*($D$2:$D$4734=D584)*($E$2:$E$4734=0)),0)</f>
        <v>5</v>
      </c>
      <c r="L584" s="1">
        <f>IF(E584=0,SUMPRODUCT(MIN($K$2:$K$4734+((($A$2:$A$4734&lt;&gt;A584)+($E$2:$E$4734&lt;&gt;0))&gt;0)*1000000)),"")</f>
        <v>4</v>
      </c>
      <c r="M584" s="1">
        <f>IF(AND(E584=0,COUNTIFS($A$2:A584,A584,$E$2:E584,0)=1),L584,0)</f>
        <v>0</v>
      </c>
    </row>
    <row r="585" spans="1:13" ht="15" customHeight="1">
      <c r="A585" s="1">
        <v>7087</v>
      </c>
      <c r="B585" s="1" t="s">
        <v>9</v>
      </c>
      <c r="C585" s="2" t="s">
        <v>708</v>
      </c>
      <c r="D585" s="2" t="s">
        <v>709</v>
      </c>
      <c r="E585" s="1">
        <v>0</v>
      </c>
      <c r="F585" s="2" t="s">
        <v>687</v>
      </c>
      <c r="H585" s="1" t="str">
        <f t="shared" si="9"/>
        <v/>
      </c>
      <c r="K585" s="1">
        <f>IF(E585=0,SUMPRODUCT(($A$2:$A$4734=A585)*($B$2:$B$4734=B585)*($D$2:$D$4734=D585)*($E$2:$E$4734=0)),0)</f>
        <v>5</v>
      </c>
      <c r="L585" s="1">
        <f>IF(E585=0,SUMPRODUCT(MIN($K$2:$K$4734+((($A$2:$A$4734&lt;&gt;A585)+($E$2:$E$4734&lt;&gt;0))&gt;0)*1000000)),"")</f>
        <v>4</v>
      </c>
      <c r="M585" s="1">
        <f>IF(AND(E585=0,COUNTIFS($A$2:A585,A585,$E$2:E585,0)=1),L585,0)</f>
        <v>0</v>
      </c>
    </row>
    <row r="586" spans="1:13" ht="15" customHeight="1">
      <c r="A586" s="1">
        <v>7087</v>
      </c>
      <c r="B586" s="1" t="s">
        <v>9</v>
      </c>
      <c r="C586" s="2" t="s">
        <v>708</v>
      </c>
      <c r="D586" s="2" t="s">
        <v>709</v>
      </c>
      <c r="E586" s="1">
        <v>0</v>
      </c>
      <c r="F586" s="2" t="s">
        <v>712</v>
      </c>
      <c r="H586" s="1" t="str">
        <f t="shared" si="9"/>
        <v/>
      </c>
      <c r="K586" s="1">
        <f>IF(E586=0,SUMPRODUCT(($A$2:$A$4734=A586)*($B$2:$B$4734=B586)*($D$2:$D$4734=D586)*($E$2:$E$4734=0)),0)</f>
        <v>5</v>
      </c>
      <c r="L586" s="1">
        <f>IF(E586=0,SUMPRODUCT(MIN($K$2:$K$4734+((($A$2:$A$4734&lt;&gt;A586)+($E$2:$E$4734&lt;&gt;0))&gt;0)*1000000)),"")</f>
        <v>4</v>
      </c>
      <c r="M586" s="1">
        <f>IF(AND(E586=0,COUNTIFS($A$2:A586,A586,$E$2:E586,0)=1),L586,0)</f>
        <v>0</v>
      </c>
    </row>
    <row r="587" spans="1:13" ht="15" customHeight="1">
      <c r="A587" s="1">
        <v>7087</v>
      </c>
      <c r="B587" s="1" t="s">
        <v>16</v>
      </c>
      <c r="C587" s="2" t="s">
        <v>708</v>
      </c>
      <c r="D587" s="2" t="s">
        <v>713</v>
      </c>
      <c r="E587" s="1">
        <v>0</v>
      </c>
      <c r="F587" s="2" t="s">
        <v>714</v>
      </c>
      <c r="H587" s="1" t="str">
        <f t="shared" si="9"/>
        <v/>
      </c>
      <c r="K587" s="1">
        <f>IF(E587=0,SUMPRODUCT(($A$2:$A$4734=A587)*($B$2:$B$4734=B587)*($D$2:$D$4734=D587)*($E$2:$E$4734=0)),0)</f>
        <v>5</v>
      </c>
      <c r="L587" s="1">
        <f>IF(E587=0,SUMPRODUCT(MIN($K$2:$K$4734+((($A$2:$A$4734&lt;&gt;A587)+($E$2:$E$4734&lt;&gt;0))&gt;0)*1000000)),"")</f>
        <v>4</v>
      </c>
      <c r="M587" s="1">
        <f>IF(AND(E587=0,COUNTIFS($A$2:A587,A587,$E$2:E587,0)=1),L587,0)</f>
        <v>0</v>
      </c>
    </row>
    <row r="588" spans="1:13" ht="15" customHeight="1">
      <c r="A588" s="1">
        <v>7087</v>
      </c>
      <c r="B588" s="1" t="s">
        <v>16</v>
      </c>
      <c r="C588" s="2" t="s">
        <v>708</v>
      </c>
      <c r="D588" s="2" t="s">
        <v>713</v>
      </c>
      <c r="E588" s="1">
        <v>0</v>
      </c>
      <c r="F588" s="2" t="s">
        <v>715</v>
      </c>
      <c r="H588" s="1" t="str">
        <f t="shared" si="9"/>
        <v/>
      </c>
      <c r="K588" s="1">
        <f>IF(E588=0,SUMPRODUCT(($A$2:$A$4734=A588)*($B$2:$B$4734=B588)*($D$2:$D$4734=D588)*($E$2:$E$4734=0)),0)</f>
        <v>5</v>
      </c>
      <c r="L588" s="1">
        <f>IF(E588=0,SUMPRODUCT(MIN($K$2:$K$4734+((($A$2:$A$4734&lt;&gt;A588)+($E$2:$E$4734&lt;&gt;0))&gt;0)*1000000)),"")</f>
        <v>4</v>
      </c>
      <c r="M588" s="1">
        <f>IF(AND(E588=0,COUNTIFS($A$2:A588,A588,$E$2:E588,0)=1),L588,0)</f>
        <v>0</v>
      </c>
    </row>
    <row r="589" spans="1:13" ht="15" customHeight="1">
      <c r="A589" s="1">
        <v>7087</v>
      </c>
      <c r="B589" s="1" t="s">
        <v>16</v>
      </c>
      <c r="C589" s="2" t="s">
        <v>708</v>
      </c>
      <c r="D589" s="2" t="s">
        <v>713</v>
      </c>
      <c r="E589" s="1">
        <v>0</v>
      </c>
      <c r="F589" s="2" t="s">
        <v>716</v>
      </c>
      <c r="H589" s="1" t="str">
        <f t="shared" si="9"/>
        <v/>
      </c>
      <c r="K589" s="1">
        <f>IF(E589=0,SUMPRODUCT(($A$2:$A$4734=A589)*($B$2:$B$4734=B589)*($D$2:$D$4734=D589)*($E$2:$E$4734=0)),0)</f>
        <v>5</v>
      </c>
      <c r="L589" s="1">
        <f>IF(E589=0,SUMPRODUCT(MIN($K$2:$K$4734+((($A$2:$A$4734&lt;&gt;A589)+($E$2:$E$4734&lt;&gt;0))&gt;0)*1000000)),"")</f>
        <v>4</v>
      </c>
      <c r="M589" s="1">
        <f>IF(AND(E589=0,COUNTIFS($A$2:A589,A589,$E$2:E589,0)=1),L589,0)</f>
        <v>0</v>
      </c>
    </row>
    <row r="590" spans="1:13" ht="15" customHeight="1">
      <c r="A590" s="1">
        <v>7087</v>
      </c>
      <c r="B590" s="1" t="s">
        <v>16</v>
      </c>
      <c r="C590" s="2" t="s">
        <v>708</v>
      </c>
      <c r="D590" s="2" t="s">
        <v>713</v>
      </c>
      <c r="E590" s="1">
        <v>0</v>
      </c>
      <c r="F590" s="2" t="s">
        <v>717</v>
      </c>
      <c r="H590" s="1" t="str">
        <f t="shared" si="9"/>
        <v/>
      </c>
      <c r="K590" s="1">
        <f>IF(E590=0,SUMPRODUCT(($A$2:$A$4734=A590)*($B$2:$B$4734=B590)*($D$2:$D$4734=D590)*($E$2:$E$4734=0)),0)</f>
        <v>5</v>
      </c>
      <c r="L590" s="1">
        <f>IF(E590=0,SUMPRODUCT(MIN($K$2:$K$4734+((($A$2:$A$4734&lt;&gt;A590)+($E$2:$E$4734&lt;&gt;0))&gt;0)*1000000)),"")</f>
        <v>4</v>
      </c>
      <c r="M590" s="1">
        <f>IF(AND(E590=0,COUNTIFS($A$2:A590,A590,$E$2:E590,0)=1),L590,0)</f>
        <v>0</v>
      </c>
    </row>
    <row r="591" spans="1:13" ht="15" customHeight="1">
      <c r="A591" s="1">
        <v>7087</v>
      </c>
      <c r="B591" s="1" t="s">
        <v>16</v>
      </c>
      <c r="C591" s="2" t="s">
        <v>708</v>
      </c>
      <c r="D591" s="2" t="s">
        <v>713</v>
      </c>
      <c r="E591" s="1">
        <v>0</v>
      </c>
      <c r="F591" s="2" t="s">
        <v>718</v>
      </c>
      <c r="H591" s="1" t="str">
        <f t="shared" si="9"/>
        <v/>
      </c>
      <c r="K591" s="1">
        <f>IF(E591=0,SUMPRODUCT(($A$2:$A$4734=A591)*($B$2:$B$4734=B591)*($D$2:$D$4734=D591)*($E$2:$E$4734=0)),0)</f>
        <v>5</v>
      </c>
      <c r="L591" s="1">
        <f>IF(E591=0,SUMPRODUCT(MIN($K$2:$K$4734+((($A$2:$A$4734&lt;&gt;A591)+($E$2:$E$4734&lt;&gt;0))&gt;0)*1000000)),"")</f>
        <v>4</v>
      </c>
      <c r="M591" s="1">
        <f>IF(AND(E591=0,COUNTIFS($A$2:A591,A591,$E$2:E591,0)=1),L591,0)</f>
        <v>0</v>
      </c>
    </row>
    <row r="592" spans="1:13" ht="15" customHeight="1">
      <c r="A592" s="1">
        <v>7087</v>
      </c>
      <c r="B592" s="1" t="s">
        <v>9</v>
      </c>
      <c r="C592" s="2" t="s">
        <v>708</v>
      </c>
      <c r="D592" s="2" t="s">
        <v>719</v>
      </c>
      <c r="E592" s="1">
        <v>0</v>
      </c>
      <c r="F592" s="2" t="s">
        <v>720</v>
      </c>
      <c r="H592" s="1" t="str">
        <f t="shared" si="9"/>
        <v/>
      </c>
      <c r="K592" s="1">
        <f>IF(E592=0,SUMPRODUCT(($A$2:$A$4734=A592)*($B$2:$B$4734=B592)*($D$2:$D$4734=D592)*($E$2:$E$4734=0)),0)</f>
        <v>6</v>
      </c>
      <c r="L592" s="1">
        <f>IF(E592=0,SUMPRODUCT(MIN($K$2:$K$4734+((($A$2:$A$4734&lt;&gt;A592)+($E$2:$E$4734&lt;&gt;0))&gt;0)*1000000)),"")</f>
        <v>4</v>
      </c>
      <c r="M592" s="1">
        <f>IF(AND(E592=0,COUNTIFS($A$2:A592,A592,$E$2:E592,0)=1),L592,0)</f>
        <v>0</v>
      </c>
    </row>
    <row r="593" spans="1:13" ht="15" customHeight="1">
      <c r="A593" s="1">
        <v>7087</v>
      </c>
      <c r="B593" s="1" t="s">
        <v>9</v>
      </c>
      <c r="C593" s="2" t="s">
        <v>708</v>
      </c>
      <c r="D593" s="2" t="s">
        <v>719</v>
      </c>
      <c r="E593" s="1">
        <v>0</v>
      </c>
      <c r="F593" s="2" t="s">
        <v>721</v>
      </c>
      <c r="H593" s="1" t="str">
        <f t="shared" si="9"/>
        <v/>
      </c>
      <c r="K593" s="1">
        <f>IF(E593=0,SUMPRODUCT(($A$2:$A$4734=A593)*($B$2:$B$4734=B593)*($D$2:$D$4734=D593)*($E$2:$E$4734=0)),0)</f>
        <v>6</v>
      </c>
      <c r="L593" s="1">
        <f>IF(E593=0,SUMPRODUCT(MIN($K$2:$K$4734+((($A$2:$A$4734&lt;&gt;A593)+($E$2:$E$4734&lt;&gt;0))&gt;0)*1000000)),"")</f>
        <v>4</v>
      </c>
      <c r="M593" s="1">
        <f>IF(AND(E593=0,COUNTIFS($A$2:A593,A593,$E$2:E593,0)=1),L593,0)</f>
        <v>0</v>
      </c>
    </row>
    <row r="594" spans="1:13" ht="15" customHeight="1">
      <c r="A594" s="1">
        <v>7087</v>
      </c>
      <c r="B594" s="1" t="s">
        <v>9</v>
      </c>
      <c r="C594" s="2" t="s">
        <v>708</v>
      </c>
      <c r="D594" s="2" t="s">
        <v>719</v>
      </c>
      <c r="E594" s="1">
        <v>0</v>
      </c>
      <c r="F594" s="2" t="s">
        <v>722</v>
      </c>
      <c r="H594" s="1" t="str">
        <f t="shared" si="9"/>
        <v/>
      </c>
      <c r="K594" s="1">
        <f>IF(E594=0,SUMPRODUCT(($A$2:$A$4734=A594)*($B$2:$B$4734=B594)*($D$2:$D$4734=D594)*($E$2:$E$4734=0)),0)</f>
        <v>6</v>
      </c>
      <c r="L594" s="1">
        <f>IF(E594=0,SUMPRODUCT(MIN($K$2:$K$4734+((($A$2:$A$4734&lt;&gt;A594)+($E$2:$E$4734&lt;&gt;0))&gt;0)*1000000)),"")</f>
        <v>4</v>
      </c>
      <c r="M594" s="1">
        <f>IF(AND(E594=0,COUNTIFS($A$2:A594,A594,$E$2:E594,0)=1),L594,0)</f>
        <v>0</v>
      </c>
    </row>
    <row r="595" spans="1:13" ht="15" customHeight="1">
      <c r="A595" s="1">
        <v>7087</v>
      </c>
      <c r="B595" s="1" t="s">
        <v>9</v>
      </c>
      <c r="C595" s="2" t="s">
        <v>708</v>
      </c>
      <c r="D595" s="2" t="s">
        <v>719</v>
      </c>
      <c r="E595" s="1">
        <v>0</v>
      </c>
      <c r="F595" s="2" t="s">
        <v>723</v>
      </c>
      <c r="H595" s="1" t="str">
        <f t="shared" si="9"/>
        <v/>
      </c>
      <c r="K595" s="1">
        <f>IF(E595=0,SUMPRODUCT(($A$2:$A$4734=A595)*($B$2:$B$4734=B595)*($D$2:$D$4734=D595)*($E$2:$E$4734=0)),0)</f>
        <v>6</v>
      </c>
      <c r="L595" s="1">
        <f>IF(E595=0,SUMPRODUCT(MIN($K$2:$K$4734+((($A$2:$A$4734&lt;&gt;A595)+($E$2:$E$4734&lt;&gt;0))&gt;0)*1000000)),"")</f>
        <v>4</v>
      </c>
      <c r="M595" s="1">
        <f>IF(AND(E595=0,COUNTIFS($A$2:A595,A595,$E$2:E595,0)=1),L595,0)</f>
        <v>0</v>
      </c>
    </row>
    <row r="596" spans="1:13" ht="15" customHeight="1">
      <c r="A596" s="1">
        <v>7087</v>
      </c>
      <c r="B596" s="1" t="s">
        <v>9</v>
      </c>
      <c r="C596" s="2" t="s">
        <v>708</v>
      </c>
      <c r="D596" s="2" t="s">
        <v>719</v>
      </c>
      <c r="E596" s="1">
        <v>0</v>
      </c>
      <c r="F596" s="2" t="s">
        <v>724</v>
      </c>
      <c r="H596" s="1" t="str">
        <f t="shared" si="9"/>
        <v/>
      </c>
      <c r="K596" s="1">
        <f>IF(E596=0,SUMPRODUCT(($A$2:$A$4734=A596)*($B$2:$B$4734=B596)*($D$2:$D$4734=D596)*($E$2:$E$4734=0)),0)</f>
        <v>6</v>
      </c>
      <c r="L596" s="1">
        <f>IF(E596=0,SUMPRODUCT(MIN($K$2:$K$4734+((($A$2:$A$4734&lt;&gt;A596)+($E$2:$E$4734&lt;&gt;0))&gt;0)*1000000)),"")</f>
        <v>4</v>
      </c>
      <c r="M596" s="1">
        <f>IF(AND(E596=0,COUNTIFS($A$2:A596,A596,$E$2:E596,0)=1),L596,0)</f>
        <v>0</v>
      </c>
    </row>
    <row r="597" spans="1:13" ht="15" customHeight="1">
      <c r="A597" s="1">
        <v>7087</v>
      </c>
      <c r="B597" s="1" t="s">
        <v>9</v>
      </c>
      <c r="C597" s="2" t="s">
        <v>708</v>
      </c>
      <c r="D597" s="2" t="s">
        <v>719</v>
      </c>
      <c r="E597" s="1">
        <v>0</v>
      </c>
      <c r="F597" s="2" t="s">
        <v>725</v>
      </c>
      <c r="H597" s="1" t="str">
        <f t="shared" si="9"/>
        <v/>
      </c>
      <c r="K597" s="1">
        <f>IF(E597=0,SUMPRODUCT(($A$2:$A$4734=A597)*($B$2:$B$4734=B597)*($D$2:$D$4734=D597)*($E$2:$E$4734=0)),0)</f>
        <v>6</v>
      </c>
      <c r="L597" s="1">
        <f>IF(E597=0,SUMPRODUCT(MIN($K$2:$K$4734+((($A$2:$A$4734&lt;&gt;A597)+($E$2:$E$4734&lt;&gt;0))&gt;0)*1000000)),"")</f>
        <v>4</v>
      </c>
      <c r="M597" s="1">
        <f>IF(AND(E597=0,COUNTIFS($A$2:A597,A597,$E$2:E597,0)=1),L597,0)</f>
        <v>0</v>
      </c>
    </row>
    <row r="598" spans="1:13" ht="15" customHeight="1">
      <c r="A598" s="1">
        <v>7087</v>
      </c>
      <c r="B598" s="1" t="s">
        <v>16</v>
      </c>
      <c r="C598" s="2" t="s">
        <v>708</v>
      </c>
      <c r="D598" s="2" t="s">
        <v>726</v>
      </c>
      <c r="E598" s="1">
        <v>0</v>
      </c>
      <c r="F598" s="2" t="s">
        <v>727</v>
      </c>
      <c r="H598" s="1" t="str">
        <f t="shared" si="9"/>
        <v/>
      </c>
      <c r="K598" s="1">
        <f>IF(E598=0,SUMPRODUCT(($A$2:$A$4734=A598)*($B$2:$B$4734=B598)*($D$2:$D$4734=D598)*($E$2:$E$4734=0)),0)</f>
        <v>4</v>
      </c>
      <c r="L598" s="1">
        <f>IF(E598=0,SUMPRODUCT(MIN($K$2:$K$4734+((($A$2:$A$4734&lt;&gt;A598)+($E$2:$E$4734&lt;&gt;0))&gt;0)*1000000)),"")</f>
        <v>4</v>
      </c>
      <c r="M598" s="1">
        <f>IF(AND(E598=0,COUNTIFS($A$2:A598,A598,$E$2:E598,0)=1),L598,0)</f>
        <v>0</v>
      </c>
    </row>
    <row r="599" spans="1:13" ht="15" customHeight="1">
      <c r="A599" s="1">
        <v>7087</v>
      </c>
      <c r="B599" s="1" t="s">
        <v>16</v>
      </c>
      <c r="C599" s="2" t="s">
        <v>708</v>
      </c>
      <c r="D599" s="2" t="s">
        <v>726</v>
      </c>
      <c r="E599" s="1">
        <v>0</v>
      </c>
      <c r="F599" s="2" t="s">
        <v>728</v>
      </c>
      <c r="H599" s="1" t="str">
        <f t="shared" si="9"/>
        <v/>
      </c>
      <c r="K599" s="1">
        <f>IF(E599=0,SUMPRODUCT(($A$2:$A$4734=A599)*($B$2:$B$4734=B599)*($D$2:$D$4734=D599)*($E$2:$E$4734=0)),0)</f>
        <v>4</v>
      </c>
      <c r="L599" s="1">
        <f>IF(E599=0,SUMPRODUCT(MIN($K$2:$K$4734+((($A$2:$A$4734&lt;&gt;A599)+($E$2:$E$4734&lt;&gt;0))&gt;0)*1000000)),"")</f>
        <v>4</v>
      </c>
      <c r="M599" s="1">
        <f>IF(AND(E599=0,COUNTIFS($A$2:A599,A599,$E$2:E599,0)=1),L599,0)</f>
        <v>0</v>
      </c>
    </row>
    <row r="600" spans="1:13" ht="15" customHeight="1">
      <c r="A600" s="1">
        <v>7087</v>
      </c>
      <c r="B600" s="1" t="s">
        <v>16</v>
      </c>
      <c r="C600" s="2" t="s">
        <v>708</v>
      </c>
      <c r="D600" s="2" t="s">
        <v>726</v>
      </c>
      <c r="E600" s="1">
        <v>0</v>
      </c>
      <c r="F600" s="2" t="s">
        <v>729</v>
      </c>
      <c r="H600" s="1" t="str">
        <f t="shared" si="9"/>
        <v/>
      </c>
      <c r="K600" s="1">
        <f>IF(E600=0,SUMPRODUCT(($A$2:$A$4734=A600)*($B$2:$B$4734=B600)*($D$2:$D$4734=D600)*($E$2:$E$4734=0)),0)</f>
        <v>4</v>
      </c>
      <c r="L600" s="1">
        <f>IF(E600=0,SUMPRODUCT(MIN($K$2:$K$4734+((($A$2:$A$4734&lt;&gt;A600)+($E$2:$E$4734&lt;&gt;0))&gt;0)*1000000)),"")</f>
        <v>4</v>
      </c>
      <c r="M600" s="1">
        <f>IF(AND(E600=0,COUNTIFS($A$2:A600,A600,$E$2:E600,0)=1),L600,0)</f>
        <v>0</v>
      </c>
    </row>
    <row r="601" spans="1:13" ht="15" customHeight="1">
      <c r="A601" s="1">
        <v>7087</v>
      </c>
      <c r="B601" s="1" t="s">
        <v>16</v>
      </c>
      <c r="C601" s="2" t="s">
        <v>708</v>
      </c>
      <c r="D601" s="2" t="s">
        <v>726</v>
      </c>
      <c r="E601" s="1">
        <v>0</v>
      </c>
      <c r="F601" s="2" t="s">
        <v>730</v>
      </c>
      <c r="H601" s="1" t="str">
        <f t="shared" si="9"/>
        <v/>
      </c>
      <c r="K601" s="1">
        <f>IF(E601=0,SUMPRODUCT(($A$2:$A$4734=A601)*($B$2:$B$4734=B601)*($D$2:$D$4734=D601)*($E$2:$E$4734=0)),0)</f>
        <v>4</v>
      </c>
      <c r="L601" s="1">
        <f>IF(E601=0,SUMPRODUCT(MIN($K$2:$K$4734+((($A$2:$A$4734&lt;&gt;A601)+($E$2:$E$4734&lt;&gt;0))&gt;0)*1000000)),"")</f>
        <v>4</v>
      </c>
      <c r="M601" s="1">
        <f>IF(AND(E601=0,COUNTIFS($A$2:A601,A601,$E$2:E601,0)=1),L601,0)</f>
        <v>0</v>
      </c>
    </row>
    <row r="602" spans="1:13" ht="15" customHeight="1">
      <c r="A602" s="1">
        <v>7088</v>
      </c>
      <c r="B602" s="1" t="s">
        <v>9</v>
      </c>
      <c r="C602" s="2" t="s">
        <v>731</v>
      </c>
      <c r="D602" s="2" t="s">
        <v>732</v>
      </c>
      <c r="E602" s="1">
        <v>0</v>
      </c>
      <c r="F602" s="2" t="s">
        <v>733</v>
      </c>
      <c r="H602" s="1" t="str">
        <f t="shared" si="9"/>
        <v/>
      </c>
      <c r="K602" s="1">
        <f>IF(E602=0,SUMPRODUCT(($A$2:$A$4734=A602)*($B$2:$B$4734=B602)*($D$2:$D$4734=D602)*($E$2:$E$4734=0)),0)</f>
        <v>4</v>
      </c>
      <c r="L602" s="1">
        <f>IF(E602=0,SUMPRODUCT(MIN($K$2:$K$4734+((($A$2:$A$4734&lt;&gt;A602)+($E$2:$E$4734&lt;&gt;0))&gt;0)*1000000)),"")</f>
        <v>3</v>
      </c>
      <c r="M602" s="1">
        <f>IF(AND(E602=0,COUNTIFS($A$2:A602,A602,$E$2:E602,0)=1),L602,0)</f>
        <v>3</v>
      </c>
    </row>
    <row r="603" spans="1:13" ht="15" customHeight="1">
      <c r="A603" s="1">
        <v>7088</v>
      </c>
      <c r="B603" s="1" t="s">
        <v>9</v>
      </c>
      <c r="C603" s="2" t="s">
        <v>731</v>
      </c>
      <c r="D603" s="2" t="s">
        <v>732</v>
      </c>
      <c r="E603" s="1">
        <v>0</v>
      </c>
      <c r="F603" s="2" t="s">
        <v>734</v>
      </c>
      <c r="H603" s="1" t="str">
        <f t="shared" si="9"/>
        <v/>
      </c>
      <c r="K603" s="1">
        <f>IF(E603=0,SUMPRODUCT(($A$2:$A$4734=A603)*($B$2:$B$4734=B603)*($D$2:$D$4734=D603)*($E$2:$E$4734=0)),0)</f>
        <v>4</v>
      </c>
      <c r="L603" s="1">
        <f>IF(E603=0,SUMPRODUCT(MIN($K$2:$K$4734+((($A$2:$A$4734&lt;&gt;A603)+($E$2:$E$4734&lt;&gt;0))&gt;0)*1000000)),"")</f>
        <v>3</v>
      </c>
      <c r="M603" s="1">
        <f>IF(AND(E603=0,COUNTIFS($A$2:A603,A603,$E$2:E603,0)=1),L603,0)</f>
        <v>0</v>
      </c>
    </row>
    <row r="604" spans="1:13" ht="15" customHeight="1">
      <c r="A604" s="1">
        <v>7088</v>
      </c>
      <c r="B604" s="1" t="s">
        <v>9</v>
      </c>
      <c r="C604" s="2" t="s">
        <v>731</v>
      </c>
      <c r="D604" s="2" t="s">
        <v>732</v>
      </c>
      <c r="E604" s="1">
        <v>0</v>
      </c>
      <c r="F604" s="2" t="s">
        <v>735</v>
      </c>
      <c r="H604" s="1" t="str">
        <f t="shared" si="9"/>
        <v/>
      </c>
      <c r="K604" s="1">
        <f>IF(E604=0,SUMPRODUCT(($A$2:$A$4734=A604)*($B$2:$B$4734=B604)*($D$2:$D$4734=D604)*($E$2:$E$4734=0)),0)</f>
        <v>4</v>
      </c>
      <c r="L604" s="1">
        <f>IF(E604=0,SUMPRODUCT(MIN($K$2:$K$4734+((($A$2:$A$4734&lt;&gt;A604)+($E$2:$E$4734&lt;&gt;0))&gt;0)*1000000)),"")</f>
        <v>3</v>
      </c>
      <c r="M604" s="1">
        <f>IF(AND(E604=0,COUNTIFS($A$2:A604,A604,$E$2:E604,0)=1),L604,0)</f>
        <v>0</v>
      </c>
    </row>
    <row r="605" spans="1:13" ht="15" customHeight="1">
      <c r="A605" s="1">
        <v>7088</v>
      </c>
      <c r="B605" s="1" t="s">
        <v>9</v>
      </c>
      <c r="C605" s="2" t="s">
        <v>731</v>
      </c>
      <c r="D605" s="2" t="s">
        <v>732</v>
      </c>
      <c r="E605" s="1">
        <v>0</v>
      </c>
      <c r="F605" s="2" t="s">
        <v>736</v>
      </c>
      <c r="H605" s="1" t="str">
        <f t="shared" si="9"/>
        <v/>
      </c>
      <c r="K605" s="1">
        <f>IF(E605=0,SUMPRODUCT(($A$2:$A$4734=A605)*($B$2:$B$4734=B605)*($D$2:$D$4734=D605)*($E$2:$E$4734=0)),0)</f>
        <v>4</v>
      </c>
      <c r="L605" s="1">
        <f>IF(E605=0,SUMPRODUCT(MIN($K$2:$K$4734+((($A$2:$A$4734&lt;&gt;A605)+($E$2:$E$4734&lt;&gt;0))&gt;0)*1000000)),"")</f>
        <v>3</v>
      </c>
      <c r="M605" s="1">
        <f>IF(AND(E605=0,COUNTIFS($A$2:A605,A605,$E$2:E605,0)=1),L605,0)</f>
        <v>0</v>
      </c>
    </row>
    <row r="606" spans="1:13" ht="15" customHeight="1">
      <c r="A606" s="1">
        <v>7088</v>
      </c>
      <c r="B606" s="1" t="s">
        <v>16</v>
      </c>
      <c r="C606" s="2" t="s">
        <v>731</v>
      </c>
      <c r="D606" s="2" t="s">
        <v>737</v>
      </c>
      <c r="E606" s="1">
        <v>0</v>
      </c>
      <c r="F606" s="2" t="s">
        <v>738</v>
      </c>
      <c r="H606" s="1" t="str">
        <f t="shared" si="9"/>
        <v/>
      </c>
      <c r="K606" s="1">
        <f>IF(E606=0,SUMPRODUCT(($A$2:$A$4734=A606)*($B$2:$B$4734=B606)*($D$2:$D$4734=D606)*($E$2:$E$4734=0)),0)</f>
        <v>6</v>
      </c>
      <c r="L606" s="1">
        <f>IF(E606=0,SUMPRODUCT(MIN($K$2:$K$4734+((($A$2:$A$4734&lt;&gt;A606)+($E$2:$E$4734&lt;&gt;0))&gt;0)*1000000)),"")</f>
        <v>3</v>
      </c>
      <c r="M606" s="1">
        <f>IF(AND(E606=0,COUNTIFS($A$2:A606,A606,$E$2:E606,0)=1),L606,0)</f>
        <v>0</v>
      </c>
    </row>
    <row r="607" spans="1:13" ht="15" customHeight="1">
      <c r="A607" s="1">
        <v>7088</v>
      </c>
      <c r="B607" s="1" t="s">
        <v>16</v>
      </c>
      <c r="C607" s="2" t="s">
        <v>731</v>
      </c>
      <c r="D607" s="2" t="s">
        <v>737</v>
      </c>
      <c r="E607" s="1">
        <v>0</v>
      </c>
      <c r="F607" s="2" t="s">
        <v>739</v>
      </c>
      <c r="H607" s="1" t="str">
        <f t="shared" si="9"/>
        <v/>
      </c>
      <c r="K607" s="1">
        <f>IF(E607=0,SUMPRODUCT(($A$2:$A$4734=A607)*($B$2:$B$4734=B607)*($D$2:$D$4734=D607)*($E$2:$E$4734=0)),0)</f>
        <v>6</v>
      </c>
      <c r="L607" s="1">
        <f>IF(E607=0,SUMPRODUCT(MIN($K$2:$K$4734+((($A$2:$A$4734&lt;&gt;A607)+($E$2:$E$4734&lt;&gt;0))&gt;0)*1000000)),"")</f>
        <v>3</v>
      </c>
      <c r="M607" s="1">
        <f>IF(AND(E607=0,COUNTIFS($A$2:A607,A607,$E$2:E607,0)=1),L607,0)</f>
        <v>0</v>
      </c>
    </row>
    <row r="608" spans="1:13" ht="15" customHeight="1">
      <c r="A608" s="1">
        <v>7088</v>
      </c>
      <c r="B608" s="1" t="s">
        <v>16</v>
      </c>
      <c r="C608" s="2" t="s">
        <v>731</v>
      </c>
      <c r="D608" s="2" t="s">
        <v>737</v>
      </c>
      <c r="E608" s="1">
        <v>0</v>
      </c>
      <c r="F608" s="2" t="s">
        <v>740</v>
      </c>
      <c r="H608" s="1" t="str">
        <f t="shared" si="9"/>
        <v/>
      </c>
      <c r="K608" s="1">
        <f>IF(E608=0,SUMPRODUCT(($A$2:$A$4734=A608)*($B$2:$B$4734=B608)*($D$2:$D$4734=D608)*($E$2:$E$4734=0)),0)</f>
        <v>6</v>
      </c>
      <c r="L608" s="1">
        <f>IF(E608=0,SUMPRODUCT(MIN($K$2:$K$4734+((($A$2:$A$4734&lt;&gt;A608)+($E$2:$E$4734&lt;&gt;0))&gt;0)*1000000)),"")</f>
        <v>3</v>
      </c>
      <c r="M608" s="1">
        <f>IF(AND(E608=0,COUNTIFS($A$2:A608,A608,$E$2:E608,0)=1),L608,0)</f>
        <v>0</v>
      </c>
    </row>
    <row r="609" spans="1:13" ht="15" customHeight="1">
      <c r="A609" s="1">
        <v>7088</v>
      </c>
      <c r="B609" s="1" t="s">
        <v>16</v>
      </c>
      <c r="C609" s="2" t="s">
        <v>731</v>
      </c>
      <c r="D609" s="2" t="s">
        <v>737</v>
      </c>
      <c r="E609" s="1">
        <v>0</v>
      </c>
      <c r="F609" s="2" t="s">
        <v>741</v>
      </c>
      <c r="H609" s="1" t="str">
        <f t="shared" si="9"/>
        <v/>
      </c>
      <c r="K609" s="1">
        <f>IF(E609=0,SUMPRODUCT(($A$2:$A$4734=A609)*($B$2:$B$4734=B609)*($D$2:$D$4734=D609)*($E$2:$E$4734=0)),0)</f>
        <v>6</v>
      </c>
      <c r="L609" s="1">
        <f>IF(E609=0,SUMPRODUCT(MIN($K$2:$K$4734+((($A$2:$A$4734&lt;&gt;A609)+($E$2:$E$4734&lt;&gt;0))&gt;0)*1000000)),"")</f>
        <v>3</v>
      </c>
      <c r="M609" s="1">
        <f>IF(AND(E609=0,COUNTIFS($A$2:A609,A609,$E$2:E609,0)=1),L609,0)</f>
        <v>0</v>
      </c>
    </row>
    <row r="610" spans="1:13" ht="15" customHeight="1">
      <c r="A610" s="1">
        <v>7088</v>
      </c>
      <c r="B610" s="1" t="s">
        <v>16</v>
      </c>
      <c r="C610" s="2" t="s">
        <v>731</v>
      </c>
      <c r="D610" s="2" t="s">
        <v>737</v>
      </c>
      <c r="E610" s="1">
        <v>0</v>
      </c>
      <c r="F610" s="2" t="s">
        <v>742</v>
      </c>
      <c r="H610" s="1" t="str">
        <f t="shared" si="9"/>
        <v/>
      </c>
      <c r="K610" s="1">
        <f>IF(E610=0,SUMPRODUCT(($A$2:$A$4734=A610)*($B$2:$B$4734=B610)*($D$2:$D$4734=D610)*($E$2:$E$4734=0)),0)</f>
        <v>6</v>
      </c>
      <c r="L610" s="1">
        <f>IF(E610=0,SUMPRODUCT(MIN($K$2:$K$4734+((($A$2:$A$4734&lt;&gt;A610)+($E$2:$E$4734&lt;&gt;0))&gt;0)*1000000)),"")</f>
        <v>3</v>
      </c>
      <c r="M610" s="1">
        <f>IF(AND(E610=0,COUNTIFS($A$2:A610,A610,$E$2:E610,0)=1),L610,0)</f>
        <v>0</v>
      </c>
    </row>
    <row r="611" spans="1:13" ht="15" customHeight="1">
      <c r="A611" s="1">
        <v>7088</v>
      </c>
      <c r="B611" s="1" t="s">
        <v>16</v>
      </c>
      <c r="C611" s="2" t="s">
        <v>731</v>
      </c>
      <c r="D611" s="2" t="s">
        <v>737</v>
      </c>
      <c r="E611" s="1">
        <v>0</v>
      </c>
      <c r="F611" s="2" t="s">
        <v>743</v>
      </c>
      <c r="H611" s="1" t="str">
        <f t="shared" si="9"/>
        <v/>
      </c>
      <c r="K611" s="1">
        <f>IF(E611=0,SUMPRODUCT(($A$2:$A$4734=A611)*($B$2:$B$4734=B611)*($D$2:$D$4734=D611)*($E$2:$E$4734=0)),0)</f>
        <v>6</v>
      </c>
      <c r="L611" s="1">
        <f>IF(E611=0,SUMPRODUCT(MIN($K$2:$K$4734+((($A$2:$A$4734&lt;&gt;A611)+($E$2:$E$4734&lt;&gt;0))&gt;0)*1000000)),"")</f>
        <v>3</v>
      </c>
      <c r="M611" s="1">
        <f>IF(AND(E611=0,COUNTIFS($A$2:A611,A611,$E$2:E611,0)=1),L611,0)</f>
        <v>0</v>
      </c>
    </row>
    <row r="612" spans="1:13" ht="15" customHeight="1">
      <c r="A612" s="1">
        <v>7088</v>
      </c>
      <c r="B612" s="1" t="s">
        <v>16</v>
      </c>
      <c r="C612" s="2" t="s">
        <v>731</v>
      </c>
      <c r="D612" s="2" t="s">
        <v>744</v>
      </c>
      <c r="E612" s="1">
        <v>0</v>
      </c>
      <c r="F612" s="2" t="s">
        <v>745</v>
      </c>
      <c r="H612" s="1" t="str">
        <f t="shared" si="9"/>
        <v/>
      </c>
      <c r="K612" s="1">
        <f>IF(E612=0,SUMPRODUCT(($A$2:$A$4734=A612)*($B$2:$B$4734=B612)*($D$2:$D$4734=D612)*($E$2:$E$4734=0)),0)</f>
        <v>3</v>
      </c>
      <c r="L612" s="1">
        <f>IF(E612=0,SUMPRODUCT(MIN($K$2:$K$4734+((($A$2:$A$4734&lt;&gt;A612)+($E$2:$E$4734&lt;&gt;0))&gt;0)*1000000)),"")</f>
        <v>3</v>
      </c>
      <c r="M612" s="1">
        <f>IF(AND(E612=0,COUNTIFS($A$2:A612,A612,$E$2:E612,0)=1),L612,0)</f>
        <v>0</v>
      </c>
    </row>
    <row r="613" spans="1:13" ht="15" customHeight="1">
      <c r="A613" s="1">
        <v>7088</v>
      </c>
      <c r="B613" s="1" t="s">
        <v>16</v>
      </c>
      <c r="C613" s="2" t="s">
        <v>731</v>
      </c>
      <c r="D613" s="2" t="s">
        <v>744</v>
      </c>
      <c r="E613" s="1">
        <v>0</v>
      </c>
      <c r="F613" s="2" t="s">
        <v>746</v>
      </c>
      <c r="H613" s="1" t="str">
        <f t="shared" si="9"/>
        <v/>
      </c>
      <c r="K613" s="1">
        <f>IF(E613=0,SUMPRODUCT(($A$2:$A$4734=A613)*($B$2:$B$4734=B613)*($D$2:$D$4734=D613)*($E$2:$E$4734=0)),0)</f>
        <v>3</v>
      </c>
      <c r="L613" s="1">
        <f>IF(E613=0,SUMPRODUCT(MIN($K$2:$K$4734+((($A$2:$A$4734&lt;&gt;A613)+($E$2:$E$4734&lt;&gt;0))&gt;0)*1000000)),"")</f>
        <v>3</v>
      </c>
      <c r="M613" s="1">
        <f>IF(AND(E613=0,COUNTIFS($A$2:A613,A613,$E$2:E613,0)=1),L613,0)</f>
        <v>0</v>
      </c>
    </row>
    <row r="614" spans="1:13" ht="15" customHeight="1">
      <c r="A614" s="1">
        <v>7088</v>
      </c>
      <c r="B614" s="1" t="s">
        <v>16</v>
      </c>
      <c r="C614" s="2" t="s">
        <v>731</v>
      </c>
      <c r="D614" s="2" t="s">
        <v>744</v>
      </c>
      <c r="E614" s="1">
        <v>0</v>
      </c>
      <c r="F614" s="2" t="s">
        <v>747</v>
      </c>
      <c r="H614" s="1" t="str">
        <f t="shared" si="9"/>
        <v/>
      </c>
      <c r="K614" s="1">
        <f>IF(E614=0,SUMPRODUCT(($A$2:$A$4734=A614)*($B$2:$B$4734=B614)*($D$2:$D$4734=D614)*($E$2:$E$4734=0)),0)</f>
        <v>3</v>
      </c>
      <c r="L614" s="1">
        <f>IF(E614=0,SUMPRODUCT(MIN($K$2:$K$4734+((($A$2:$A$4734&lt;&gt;A614)+($E$2:$E$4734&lt;&gt;0))&gt;0)*1000000)),"")</f>
        <v>3</v>
      </c>
      <c r="M614" s="1">
        <f>IF(AND(E614=0,COUNTIFS($A$2:A614,A614,$E$2:E614,0)=1),L614,0)</f>
        <v>0</v>
      </c>
    </row>
    <row r="615" spans="1:13" ht="15" customHeight="1">
      <c r="A615" s="1">
        <v>7089</v>
      </c>
      <c r="B615" s="1" t="s">
        <v>9</v>
      </c>
      <c r="C615" s="2" t="s">
        <v>748</v>
      </c>
      <c r="D615" s="2" t="s">
        <v>749</v>
      </c>
      <c r="E615" s="1">
        <v>1</v>
      </c>
      <c r="F615" s="2" t="s">
        <v>750</v>
      </c>
      <c r="G615" s="1">
        <v>1</v>
      </c>
      <c r="H615" s="1" t="str">
        <f t="shared" si="9"/>
        <v>k7089_1</v>
      </c>
      <c r="K615" s="1">
        <f>IF(E615=0,SUMPRODUCT(($A$2:$A$4734=A615)*($B$2:$B$4734=B615)*($D$2:$D$4734=D615)*($E$2:$E$4734=0)),0)</f>
        <v>0</v>
      </c>
      <c r="L615" s="1" t="str">
        <f>IF(E615=0,SUMPRODUCT(MIN($K$2:$K$4734+((($A$2:$A$4734&lt;&gt;A615)+($E$2:$E$4734&lt;&gt;0))&gt;0)*1000000)),"")</f>
        <v/>
      </c>
      <c r="M615" s="1">
        <f>IF(AND(E615=0,COUNTIFS($A$2:A615,A615,$E$2:E615,0)=1),L615,0)</f>
        <v>0</v>
      </c>
    </row>
    <row r="616" spans="1:13" ht="15" customHeight="1">
      <c r="A616" s="1">
        <v>7089</v>
      </c>
      <c r="B616" s="1" t="s">
        <v>9</v>
      </c>
      <c r="C616" s="2" t="s">
        <v>748</v>
      </c>
      <c r="D616" s="2" t="s">
        <v>749</v>
      </c>
      <c r="E616" s="1">
        <v>1</v>
      </c>
      <c r="F616" s="2" t="s">
        <v>751</v>
      </c>
      <c r="G616" s="1">
        <v>2</v>
      </c>
      <c r="H616" s="1" t="str">
        <f t="shared" si="9"/>
        <v>k7089_2</v>
      </c>
      <c r="K616" s="1">
        <f>IF(E616=0,SUMPRODUCT(($A$2:$A$4734=A616)*($B$2:$B$4734=B616)*($D$2:$D$4734=D616)*($E$2:$E$4734=0)),0)</f>
        <v>0</v>
      </c>
      <c r="L616" s="1" t="str">
        <f>IF(E616=0,SUMPRODUCT(MIN($K$2:$K$4734+((($A$2:$A$4734&lt;&gt;A616)+($E$2:$E$4734&lt;&gt;0))&gt;0)*1000000)),"")</f>
        <v/>
      </c>
      <c r="M616" s="1">
        <f>IF(AND(E616=0,COUNTIFS($A$2:A616,A616,$E$2:E616,0)=1),L616,0)</f>
        <v>0</v>
      </c>
    </row>
    <row r="617" spans="1:13" ht="15" customHeight="1">
      <c r="A617" s="1">
        <v>7089</v>
      </c>
      <c r="B617" s="1" t="s">
        <v>9</v>
      </c>
      <c r="C617" s="2" t="s">
        <v>748</v>
      </c>
      <c r="D617" s="2" t="s">
        <v>749</v>
      </c>
      <c r="E617" s="1">
        <v>1</v>
      </c>
      <c r="F617" s="2" t="s">
        <v>752</v>
      </c>
      <c r="G617" s="1">
        <v>3</v>
      </c>
      <c r="H617" s="1" t="str">
        <f t="shared" si="9"/>
        <v>k7089_3</v>
      </c>
      <c r="K617" s="1">
        <f>IF(E617=0,SUMPRODUCT(($A$2:$A$4734=A617)*($B$2:$B$4734=B617)*($D$2:$D$4734=D617)*($E$2:$E$4734=0)),0)</f>
        <v>0</v>
      </c>
      <c r="L617" s="1" t="str">
        <f>IF(E617=0,SUMPRODUCT(MIN($K$2:$K$4734+((($A$2:$A$4734&lt;&gt;A617)+($E$2:$E$4734&lt;&gt;0))&gt;0)*1000000)),"")</f>
        <v/>
      </c>
      <c r="M617" s="1">
        <f>IF(AND(E617=0,COUNTIFS($A$2:A617,A617,$E$2:E617,0)=1),L617,0)</f>
        <v>0</v>
      </c>
    </row>
    <row r="618" spans="1:13" ht="15" customHeight="1">
      <c r="A618" s="1">
        <v>7089</v>
      </c>
      <c r="B618" s="1" t="s">
        <v>9</v>
      </c>
      <c r="C618" s="2" t="s">
        <v>748</v>
      </c>
      <c r="D618" s="2" t="s">
        <v>749</v>
      </c>
      <c r="E618" s="1">
        <v>1</v>
      </c>
      <c r="F618" s="2" t="s">
        <v>753</v>
      </c>
      <c r="G618" s="1">
        <v>4</v>
      </c>
      <c r="H618" s="1" t="str">
        <f t="shared" si="9"/>
        <v>k7089_4</v>
      </c>
      <c r="K618" s="1">
        <f>IF(E618=0,SUMPRODUCT(($A$2:$A$4734=A618)*($B$2:$B$4734=B618)*($D$2:$D$4734=D618)*($E$2:$E$4734=0)),0)</f>
        <v>0</v>
      </c>
      <c r="L618" s="1" t="str">
        <f>IF(E618=0,SUMPRODUCT(MIN($K$2:$K$4734+((($A$2:$A$4734&lt;&gt;A618)+($E$2:$E$4734&lt;&gt;0))&gt;0)*1000000)),"")</f>
        <v/>
      </c>
      <c r="M618" s="1">
        <f>IF(AND(E618=0,COUNTIFS($A$2:A618,A618,$E$2:E618,0)=1),L618,0)</f>
        <v>0</v>
      </c>
    </row>
    <row r="619" spans="1:13" ht="15" customHeight="1">
      <c r="A619" s="1">
        <v>7089</v>
      </c>
      <c r="B619" s="1" t="s">
        <v>144</v>
      </c>
      <c r="C619" s="2" t="s">
        <v>748</v>
      </c>
      <c r="D619" s="2" t="s">
        <v>748</v>
      </c>
      <c r="E619" s="1">
        <v>1</v>
      </c>
      <c r="F619" s="2" t="s">
        <v>754</v>
      </c>
      <c r="G619" s="1">
        <v>1</v>
      </c>
      <c r="H619" s="1" t="str">
        <f t="shared" si="9"/>
        <v>k7089_1</v>
      </c>
      <c r="K619" s="1">
        <f>IF(E619=0,SUMPRODUCT(($A$2:$A$4734=A619)*($B$2:$B$4734=B619)*($D$2:$D$4734=D619)*($E$2:$E$4734=0)),0)</f>
        <v>0</v>
      </c>
      <c r="L619" s="1" t="str">
        <f>IF(E619=0,SUMPRODUCT(MIN($K$2:$K$4734+((($A$2:$A$4734&lt;&gt;A619)+($E$2:$E$4734&lt;&gt;0))&gt;0)*1000000)),"")</f>
        <v/>
      </c>
      <c r="M619" s="1">
        <f>IF(AND(E619=0,COUNTIFS($A$2:A619,A619,$E$2:E619,0)=1),L619,0)</f>
        <v>0</v>
      </c>
    </row>
    <row r="620" spans="1:13" ht="15" customHeight="1">
      <c r="A620" s="1">
        <v>7089</v>
      </c>
      <c r="B620" s="1" t="s">
        <v>144</v>
      </c>
      <c r="C620" s="2" t="s">
        <v>748</v>
      </c>
      <c r="D620" s="2" t="s">
        <v>748</v>
      </c>
      <c r="E620" s="1">
        <v>1</v>
      </c>
      <c r="F620" s="2" t="s">
        <v>755</v>
      </c>
      <c r="G620" s="1">
        <v>2</v>
      </c>
      <c r="H620" s="1" t="str">
        <f t="shared" si="9"/>
        <v>k7089_2</v>
      </c>
      <c r="K620" s="1">
        <f>IF(E620=0,SUMPRODUCT(($A$2:$A$4734=A620)*($B$2:$B$4734=B620)*($D$2:$D$4734=D620)*($E$2:$E$4734=0)),0)</f>
        <v>0</v>
      </c>
      <c r="L620" s="1" t="str">
        <f>IF(E620=0,SUMPRODUCT(MIN($K$2:$K$4734+((($A$2:$A$4734&lt;&gt;A620)+($E$2:$E$4734&lt;&gt;0))&gt;0)*1000000)),"")</f>
        <v/>
      </c>
      <c r="M620" s="1">
        <f>IF(AND(E620=0,COUNTIFS($A$2:A620,A620,$E$2:E620,0)=1),L620,0)</f>
        <v>0</v>
      </c>
    </row>
    <row r="621" spans="1:13" ht="15" customHeight="1">
      <c r="A621" s="1">
        <v>7089</v>
      </c>
      <c r="B621" s="1" t="s">
        <v>144</v>
      </c>
      <c r="C621" s="2" t="s">
        <v>748</v>
      </c>
      <c r="D621" s="2" t="s">
        <v>748</v>
      </c>
      <c r="E621" s="1">
        <v>1</v>
      </c>
      <c r="F621" s="2" t="s">
        <v>756</v>
      </c>
      <c r="G621" s="1">
        <v>3</v>
      </c>
      <c r="H621" s="1" t="str">
        <f t="shared" si="9"/>
        <v>k7089_3</v>
      </c>
      <c r="K621" s="1">
        <f>IF(E621=0,SUMPRODUCT(($A$2:$A$4734=A621)*($B$2:$B$4734=B621)*($D$2:$D$4734=D621)*($E$2:$E$4734=0)),0)</f>
        <v>0</v>
      </c>
      <c r="L621" s="1" t="str">
        <f>IF(E621=0,SUMPRODUCT(MIN($K$2:$K$4734+((($A$2:$A$4734&lt;&gt;A621)+($E$2:$E$4734&lt;&gt;0))&gt;0)*1000000)),"")</f>
        <v/>
      </c>
      <c r="M621" s="1">
        <f>IF(AND(E621=0,COUNTIFS($A$2:A621,A621,$E$2:E621,0)=1),L621,0)</f>
        <v>0</v>
      </c>
    </row>
    <row r="622" spans="1:13" ht="15" customHeight="1">
      <c r="A622" s="1">
        <v>7089</v>
      </c>
      <c r="B622" s="1" t="s">
        <v>144</v>
      </c>
      <c r="C622" s="2" t="s">
        <v>748</v>
      </c>
      <c r="D622" s="2" t="s">
        <v>748</v>
      </c>
      <c r="E622" s="1">
        <v>1</v>
      </c>
      <c r="F622" s="2" t="s">
        <v>757</v>
      </c>
      <c r="G622" s="1">
        <v>4</v>
      </c>
      <c r="H622" s="1" t="str">
        <f t="shared" si="9"/>
        <v>k7089_4</v>
      </c>
      <c r="K622" s="1">
        <f>IF(E622=0,SUMPRODUCT(($A$2:$A$4734=A622)*($B$2:$B$4734=B622)*($D$2:$D$4734=D622)*($E$2:$E$4734=0)),0)</f>
        <v>0</v>
      </c>
      <c r="L622" s="1" t="str">
        <f>IF(E622=0,SUMPRODUCT(MIN($K$2:$K$4734+((($A$2:$A$4734&lt;&gt;A622)+($E$2:$E$4734&lt;&gt;0))&gt;0)*1000000)),"")</f>
        <v/>
      </c>
      <c r="M622" s="1">
        <f>IF(AND(E622=0,COUNTIFS($A$2:A622,A622,$E$2:E622,0)=1),L622,0)</f>
        <v>0</v>
      </c>
    </row>
    <row r="623" spans="1:13" ht="15" customHeight="1">
      <c r="A623" s="1">
        <v>7090</v>
      </c>
      <c r="B623" s="1" t="s">
        <v>95</v>
      </c>
      <c r="C623" s="2" t="s">
        <v>758</v>
      </c>
      <c r="D623" s="2" t="s">
        <v>759</v>
      </c>
      <c r="E623" s="1">
        <v>1</v>
      </c>
      <c r="F623" s="2" t="s">
        <v>760</v>
      </c>
      <c r="G623" s="1">
        <v>1</v>
      </c>
      <c r="H623" s="1" t="str">
        <f t="shared" si="9"/>
        <v>k7090_1</v>
      </c>
      <c r="K623" s="1">
        <f>IF(E623=0,SUMPRODUCT(($A$2:$A$4734=A623)*($B$2:$B$4734=B623)*($D$2:$D$4734=D623)*($E$2:$E$4734=0)),0)</f>
        <v>0</v>
      </c>
      <c r="L623" s="1" t="str">
        <f>IF(E623=0,SUMPRODUCT(MIN($K$2:$K$4734+((($A$2:$A$4734&lt;&gt;A623)+($E$2:$E$4734&lt;&gt;0))&gt;0)*1000000)),"")</f>
        <v/>
      </c>
      <c r="M623" s="1">
        <f>IF(AND(E623=0,COUNTIFS($A$2:A623,A623,$E$2:E623,0)=1),L623,0)</f>
        <v>0</v>
      </c>
    </row>
    <row r="624" spans="1:13" ht="15" customHeight="1">
      <c r="A624" s="1">
        <v>7090</v>
      </c>
      <c r="B624" s="1" t="s">
        <v>95</v>
      </c>
      <c r="C624" s="2" t="s">
        <v>758</v>
      </c>
      <c r="D624" s="2" t="s">
        <v>759</v>
      </c>
      <c r="E624" s="1">
        <v>1</v>
      </c>
      <c r="F624" s="2" t="s">
        <v>761</v>
      </c>
      <c r="G624" s="1">
        <v>2</v>
      </c>
      <c r="H624" s="1" t="str">
        <f t="shared" si="9"/>
        <v>k7090_2</v>
      </c>
      <c r="K624" s="1">
        <f>IF(E624=0,SUMPRODUCT(($A$2:$A$4734=A624)*($B$2:$B$4734=B624)*($D$2:$D$4734=D624)*($E$2:$E$4734=0)),0)</f>
        <v>0</v>
      </c>
      <c r="L624" s="1" t="str">
        <f>IF(E624=0,SUMPRODUCT(MIN($K$2:$K$4734+((($A$2:$A$4734&lt;&gt;A624)+($E$2:$E$4734&lt;&gt;0))&gt;0)*1000000)),"")</f>
        <v/>
      </c>
      <c r="M624" s="1">
        <f>IF(AND(E624=0,COUNTIFS($A$2:A624,A624,$E$2:E624,0)=1),L624,0)</f>
        <v>0</v>
      </c>
    </row>
    <row r="625" spans="1:13" ht="15" customHeight="1">
      <c r="A625" s="1">
        <v>7090</v>
      </c>
      <c r="B625" s="1" t="s">
        <v>95</v>
      </c>
      <c r="C625" s="2" t="s">
        <v>758</v>
      </c>
      <c r="D625" s="2" t="s">
        <v>759</v>
      </c>
      <c r="E625" s="1">
        <v>1</v>
      </c>
      <c r="F625" s="2" t="s">
        <v>762</v>
      </c>
      <c r="G625" s="1">
        <v>3</v>
      </c>
      <c r="H625" s="1" t="str">
        <f t="shared" si="9"/>
        <v>k7090_3</v>
      </c>
      <c r="K625" s="1">
        <f>IF(E625=0,SUMPRODUCT(($A$2:$A$4734=A625)*($B$2:$B$4734=B625)*($D$2:$D$4734=D625)*($E$2:$E$4734=0)),0)</f>
        <v>0</v>
      </c>
      <c r="L625" s="1" t="str">
        <f>IF(E625=0,SUMPRODUCT(MIN($K$2:$K$4734+((($A$2:$A$4734&lt;&gt;A625)+($E$2:$E$4734&lt;&gt;0))&gt;0)*1000000)),"")</f>
        <v/>
      </c>
      <c r="M625" s="1">
        <f>IF(AND(E625=0,COUNTIFS($A$2:A625,A625,$E$2:E625,0)=1),L625,0)</f>
        <v>0</v>
      </c>
    </row>
    <row r="626" spans="1:13" ht="15" customHeight="1">
      <c r="A626" s="1">
        <v>7090</v>
      </c>
      <c r="B626" s="1" t="s">
        <v>95</v>
      </c>
      <c r="C626" s="2" t="s">
        <v>758</v>
      </c>
      <c r="D626" s="2" t="s">
        <v>759</v>
      </c>
      <c r="E626" s="1">
        <v>1</v>
      </c>
      <c r="F626" s="2" t="s">
        <v>763</v>
      </c>
      <c r="G626" s="1">
        <v>4</v>
      </c>
      <c r="H626" s="1" t="str">
        <f t="shared" si="9"/>
        <v>k7090_4</v>
      </c>
      <c r="K626" s="1">
        <f>IF(E626=0,SUMPRODUCT(($A$2:$A$4734=A626)*($B$2:$B$4734=B626)*($D$2:$D$4734=D626)*($E$2:$E$4734=0)),0)</f>
        <v>0</v>
      </c>
      <c r="L626" s="1" t="str">
        <f>IF(E626=0,SUMPRODUCT(MIN($K$2:$K$4734+((($A$2:$A$4734&lt;&gt;A626)+($E$2:$E$4734&lt;&gt;0))&gt;0)*1000000)),"")</f>
        <v/>
      </c>
      <c r="M626" s="1">
        <f>IF(AND(E626=0,COUNTIFS($A$2:A626,A626,$E$2:E626,0)=1),L626,0)</f>
        <v>0</v>
      </c>
    </row>
    <row r="627" spans="1:13" ht="15" customHeight="1">
      <c r="A627" s="1">
        <v>7090</v>
      </c>
      <c r="B627" s="1" t="s">
        <v>9</v>
      </c>
      <c r="C627" s="2" t="s">
        <v>758</v>
      </c>
      <c r="D627" s="2" t="s">
        <v>759</v>
      </c>
      <c r="E627" s="1">
        <v>1</v>
      </c>
      <c r="F627" s="2" t="s">
        <v>764</v>
      </c>
      <c r="G627" s="1">
        <v>1</v>
      </c>
      <c r="H627" s="1" t="str">
        <f t="shared" si="9"/>
        <v>k7090_1</v>
      </c>
      <c r="K627" s="1">
        <f>IF(E627=0,SUMPRODUCT(($A$2:$A$4734=A627)*($B$2:$B$4734=B627)*($D$2:$D$4734=D627)*($E$2:$E$4734=0)),0)</f>
        <v>0</v>
      </c>
      <c r="L627" s="1" t="str">
        <f>IF(E627=0,SUMPRODUCT(MIN($K$2:$K$4734+((($A$2:$A$4734&lt;&gt;A627)+($E$2:$E$4734&lt;&gt;0))&gt;0)*1000000)),"")</f>
        <v/>
      </c>
      <c r="M627" s="1">
        <f>IF(AND(E627=0,COUNTIFS($A$2:A627,A627,$E$2:E627,0)=1),L627,0)</f>
        <v>0</v>
      </c>
    </row>
    <row r="628" spans="1:13" ht="15" customHeight="1">
      <c r="A628" s="1">
        <v>7090</v>
      </c>
      <c r="B628" s="1" t="s">
        <v>9</v>
      </c>
      <c r="C628" s="2" t="s">
        <v>758</v>
      </c>
      <c r="D628" s="2" t="s">
        <v>759</v>
      </c>
      <c r="E628" s="1">
        <v>1</v>
      </c>
      <c r="F628" s="2" t="s">
        <v>765</v>
      </c>
      <c r="G628" s="1">
        <v>2</v>
      </c>
      <c r="H628" s="1" t="str">
        <f t="shared" si="9"/>
        <v>k7090_2</v>
      </c>
      <c r="K628" s="1">
        <f>IF(E628=0,SUMPRODUCT(($A$2:$A$4734=A628)*($B$2:$B$4734=B628)*($D$2:$D$4734=D628)*($E$2:$E$4734=0)),0)</f>
        <v>0</v>
      </c>
      <c r="L628" s="1" t="str">
        <f>IF(E628=0,SUMPRODUCT(MIN($K$2:$K$4734+((($A$2:$A$4734&lt;&gt;A628)+($E$2:$E$4734&lt;&gt;0))&gt;0)*1000000)),"")</f>
        <v/>
      </c>
      <c r="M628" s="1">
        <f>IF(AND(E628=0,COUNTIFS($A$2:A628,A628,$E$2:E628,0)=1),L628,0)</f>
        <v>0</v>
      </c>
    </row>
    <row r="629" spans="1:13" ht="15" customHeight="1">
      <c r="A629" s="1">
        <v>7090</v>
      </c>
      <c r="B629" s="1" t="s">
        <v>9</v>
      </c>
      <c r="C629" s="2" t="s">
        <v>758</v>
      </c>
      <c r="D629" s="2" t="s">
        <v>759</v>
      </c>
      <c r="E629" s="1">
        <v>1</v>
      </c>
      <c r="F629" s="2" t="s">
        <v>766</v>
      </c>
      <c r="G629" s="1">
        <v>3</v>
      </c>
      <c r="H629" s="1" t="str">
        <f t="shared" si="9"/>
        <v>k7090_3</v>
      </c>
      <c r="K629" s="1">
        <f>IF(E629=0,SUMPRODUCT(($A$2:$A$4734=A629)*($B$2:$B$4734=B629)*($D$2:$D$4734=D629)*($E$2:$E$4734=0)),0)</f>
        <v>0</v>
      </c>
      <c r="L629" s="1" t="str">
        <f>IF(E629=0,SUMPRODUCT(MIN($K$2:$K$4734+((($A$2:$A$4734&lt;&gt;A629)+($E$2:$E$4734&lt;&gt;0))&gt;0)*1000000)),"")</f>
        <v/>
      </c>
      <c r="M629" s="1">
        <f>IF(AND(E629=0,COUNTIFS($A$2:A629,A629,$E$2:E629,0)=1),L629,0)</f>
        <v>0</v>
      </c>
    </row>
    <row r="630" spans="1:13" ht="15" customHeight="1">
      <c r="A630" s="1">
        <v>7090</v>
      </c>
      <c r="B630" s="1" t="s">
        <v>9</v>
      </c>
      <c r="C630" s="2" t="s">
        <v>758</v>
      </c>
      <c r="D630" s="2" t="s">
        <v>759</v>
      </c>
      <c r="E630" s="1">
        <v>1</v>
      </c>
      <c r="F630" s="2" t="s">
        <v>767</v>
      </c>
      <c r="G630" s="1">
        <v>4</v>
      </c>
      <c r="H630" s="1" t="str">
        <f t="shared" ref="H630:H692" si="10">IF(OR(E630&lt;&gt;1,G630=""),"","k"&amp;A630&amp;"_"&amp;G630)</f>
        <v>k7090_4</v>
      </c>
      <c r="K630" s="1">
        <f>IF(E630=0,SUMPRODUCT(($A$2:$A$4734=A630)*($B$2:$B$4734=B630)*($D$2:$D$4734=D630)*($E$2:$E$4734=0)),0)</f>
        <v>0</v>
      </c>
      <c r="L630" s="1" t="str">
        <f>IF(E630=0,SUMPRODUCT(MIN($K$2:$K$4734+((($A$2:$A$4734&lt;&gt;A630)+($E$2:$E$4734&lt;&gt;0))&gt;0)*1000000)),"")</f>
        <v/>
      </c>
      <c r="M630" s="1">
        <f>IF(AND(E630=0,COUNTIFS($A$2:A630,A630,$E$2:E630,0)=1),L630,0)</f>
        <v>0</v>
      </c>
    </row>
    <row r="631" spans="1:13" ht="15" customHeight="1">
      <c r="A631" s="1">
        <v>7090</v>
      </c>
      <c r="B631" s="1" t="s">
        <v>9</v>
      </c>
      <c r="C631" s="2" t="s">
        <v>758</v>
      </c>
      <c r="D631" s="2" t="s">
        <v>768</v>
      </c>
      <c r="E631" s="1">
        <v>1</v>
      </c>
      <c r="F631" s="2" t="s">
        <v>769</v>
      </c>
      <c r="G631" s="1">
        <v>1</v>
      </c>
      <c r="H631" s="1" t="str">
        <f t="shared" si="10"/>
        <v>k7090_1</v>
      </c>
      <c r="K631" s="1">
        <f>IF(E631=0,SUMPRODUCT(($A$2:$A$4734=A631)*($B$2:$B$4734=B631)*($D$2:$D$4734=D631)*($E$2:$E$4734=0)),0)</f>
        <v>0</v>
      </c>
      <c r="L631" s="1" t="str">
        <f>IF(E631=0,SUMPRODUCT(MIN($K$2:$K$4734+((($A$2:$A$4734&lt;&gt;A631)+($E$2:$E$4734&lt;&gt;0))&gt;0)*1000000)),"")</f>
        <v/>
      </c>
      <c r="M631" s="1">
        <f>IF(AND(E631=0,COUNTIFS($A$2:A631,A631,$E$2:E631,0)=1),L631,0)</f>
        <v>0</v>
      </c>
    </row>
    <row r="632" spans="1:13" ht="15" customHeight="1">
      <c r="A632" s="1">
        <v>7090</v>
      </c>
      <c r="B632" s="1" t="s">
        <v>9</v>
      </c>
      <c r="C632" s="2" t="s">
        <v>758</v>
      </c>
      <c r="D632" s="2" t="s">
        <v>768</v>
      </c>
      <c r="E632" s="1">
        <v>1</v>
      </c>
      <c r="F632" s="2" t="s">
        <v>770</v>
      </c>
      <c r="G632" s="1">
        <v>2</v>
      </c>
      <c r="H632" s="1" t="str">
        <f t="shared" si="10"/>
        <v>k7090_2</v>
      </c>
      <c r="K632" s="1">
        <f>IF(E632=0,SUMPRODUCT(($A$2:$A$4734=A632)*($B$2:$B$4734=B632)*($D$2:$D$4734=D632)*($E$2:$E$4734=0)),0)</f>
        <v>0</v>
      </c>
      <c r="L632" s="1" t="str">
        <f>IF(E632=0,SUMPRODUCT(MIN($K$2:$K$4734+((($A$2:$A$4734&lt;&gt;A632)+($E$2:$E$4734&lt;&gt;0))&gt;0)*1000000)),"")</f>
        <v/>
      </c>
      <c r="M632" s="1">
        <f>IF(AND(E632=0,COUNTIFS($A$2:A632,A632,$E$2:E632,0)=1),L632,0)</f>
        <v>0</v>
      </c>
    </row>
    <row r="633" spans="1:13" ht="15" customHeight="1">
      <c r="A633" s="1">
        <v>7090</v>
      </c>
      <c r="B633" s="1" t="s">
        <v>9</v>
      </c>
      <c r="C633" s="2" t="s">
        <v>758</v>
      </c>
      <c r="D633" s="2" t="s">
        <v>768</v>
      </c>
      <c r="E633" s="1">
        <v>1</v>
      </c>
      <c r="F633" s="2" t="s">
        <v>771</v>
      </c>
      <c r="G633" s="1">
        <v>3</v>
      </c>
      <c r="H633" s="1" t="str">
        <f t="shared" si="10"/>
        <v>k7090_3</v>
      </c>
      <c r="K633" s="1">
        <f>IF(E633=0,SUMPRODUCT(($A$2:$A$4734=A633)*($B$2:$B$4734=B633)*($D$2:$D$4734=D633)*($E$2:$E$4734=0)),0)</f>
        <v>0</v>
      </c>
      <c r="L633" s="1" t="str">
        <f>IF(E633=0,SUMPRODUCT(MIN($K$2:$K$4734+((($A$2:$A$4734&lt;&gt;A633)+($E$2:$E$4734&lt;&gt;0))&gt;0)*1000000)),"")</f>
        <v/>
      </c>
      <c r="M633" s="1">
        <f>IF(AND(E633=0,COUNTIFS($A$2:A633,A633,$E$2:E633,0)=1),L633,0)</f>
        <v>0</v>
      </c>
    </row>
    <row r="634" spans="1:13" ht="15" customHeight="1">
      <c r="A634" s="1">
        <v>7090</v>
      </c>
      <c r="B634" s="1" t="s">
        <v>9</v>
      </c>
      <c r="C634" s="2" t="s">
        <v>758</v>
      </c>
      <c r="D634" s="2" t="s">
        <v>768</v>
      </c>
      <c r="E634" s="1">
        <v>1</v>
      </c>
      <c r="F634" s="2" t="s">
        <v>772</v>
      </c>
      <c r="G634" s="1">
        <v>4</v>
      </c>
      <c r="H634" s="1" t="str">
        <f t="shared" si="10"/>
        <v>k7090_4</v>
      </c>
      <c r="K634" s="1">
        <f>IF(E634=0,SUMPRODUCT(($A$2:$A$4734=A634)*($B$2:$B$4734=B634)*($D$2:$D$4734=D634)*($E$2:$E$4734=0)),0)</f>
        <v>0</v>
      </c>
      <c r="L634" s="1" t="str">
        <f>IF(E634=0,SUMPRODUCT(MIN($K$2:$K$4734+((($A$2:$A$4734&lt;&gt;A634)+($E$2:$E$4734&lt;&gt;0))&gt;0)*1000000)),"")</f>
        <v/>
      </c>
      <c r="M634" s="1">
        <f>IF(AND(E634=0,COUNTIFS($A$2:A634,A634,$E$2:E634,0)=1),L634,0)</f>
        <v>0</v>
      </c>
    </row>
    <row r="635" spans="1:13" ht="15" customHeight="1">
      <c r="A635" s="1">
        <v>7090</v>
      </c>
      <c r="B635" s="1" t="s">
        <v>9</v>
      </c>
      <c r="C635" s="2" t="s">
        <v>758</v>
      </c>
      <c r="D635" s="2" t="s">
        <v>773</v>
      </c>
      <c r="E635" s="1">
        <v>1</v>
      </c>
      <c r="F635" s="2" t="s">
        <v>774</v>
      </c>
      <c r="G635" s="1">
        <v>1</v>
      </c>
      <c r="H635" s="1" t="str">
        <f t="shared" si="10"/>
        <v>k7090_1</v>
      </c>
      <c r="K635" s="1">
        <f>IF(E635=0,SUMPRODUCT(($A$2:$A$4734=A635)*($B$2:$B$4734=B635)*($D$2:$D$4734=D635)*($E$2:$E$4734=0)),0)</f>
        <v>0</v>
      </c>
      <c r="L635" s="1" t="str">
        <f>IF(E635=0,SUMPRODUCT(MIN($K$2:$K$4734+((($A$2:$A$4734&lt;&gt;A635)+($E$2:$E$4734&lt;&gt;0))&gt;0)*1000000)),"")</f>
        <v/>
      </c>
      <c r="M635" s="1">
        <f>IF(AND(E635=0,COUNTIFS($A$2:A635,A635,$E$2:E635,0)=1),L635,0)</f>
        <v>0</v>
      </c>
    </row>
    <row r="636" spans="1:13" ht="15" customHeight="1">
      <c r="A636" s="1">
        <v>7090</v>
      </c>
      <c r="B636" s="1" t="s">
        <v>9</v>
      </c>
      <c r="C636" s="2" t="s">
        <v>758</v>
      </c>
      <c r="D636" s="2" t="s">
        <v>773</v>
      </c>
      <c r="E636" s="1">
        <v>1</v>
      </c>
      <c r="F636" s="2" t="s">
        <v>775</v>
      </c>
      <c r="G636" s="1">
        <v>2</v>
      </c>
      <c r="H636" s="1" t="str">
        <f t="shared" si="10"/>
        <v>k7090_2</v>
      </c>
      <c r="K636" s="1">
        <f>IF(E636=0,SUMPRODUCT(($A$2:$A$4734=A636)*($B$2:$B$4734=B636)*($D$2:$D$4734=D636)*($E$2:$E$4734=0)),0)</f>
        <v>0</v>
      </c>
      <c r="L636" s="1" t="str">
        <f>IF(E636=0,SUMPRODUCT(MIN($K$2:$K$4734+((($A$2:$A$4734&lt;&gt;A636)+($E$2:$E$4734&lt;&gt;0))&gt;0)*1000000)),"")</f>
        <v/>
      </c>
      <c r="M636" s="1">
        <f>IF(AND(E636=0,COUNTIFS($A$2:A636,A636,$E$2:E636,0)=1),L636,0)</f>
        <v>0</v>
      </c>
    </row>
    <row r="637" spans="1:13" ht="15" customHeight="1">
      <c r="A637" s="1">
        <v>7090</v>
      </c>
      <c r="B637" s="1" t="s">
        <v>9</v>
      </c>
      <c r="C637" s="2" t="s">
        <v>758</v>
      </c>
      <c r="D637" s="2" t="s">
        <v>773</v>
      </c>
      <c r="E637" s="1">
        <v>1</v>
      </c>
      <c r="F637" s="2" t="s">
        <v>776</v>
      </c>
      <c r="G637" s="1">
        <v>3</v>
      </c>
      <c r="H637" s="1" t="str">
        <f t="shared" si="10"/>
        <v>k7090_3</v>
      </c>
      <c r="K637" s="1">
        <f>IF(E637=0,SUMPRODUCT(($A$2:$A$4734=A637)*($B$2:$B$4734=B637)*($D$2:$D$4734=D637)*($E$2:$E$4734=0)),0)</f>
        <v>0</v>
      </c>
      <c r="L637" s="1" t="str">
        <f>IF(E637=0,SUMPRODUCT(MIN($K$2:$K$4734+((($A$2:$A$4734&lt;&gt;A637)+($E$2:$E$4734&lt;&gt;0))&gt;0)*1000000)),"")</f>
        <v/>
      </c>
      <c r="M637" s="1">
        <f>IF(AND(E637=0,COUNTIFS($A$2:A637,A637,$E$2:E637,0)=1),L637,0)</f>
        <v>0</v>
      </c>
    </row>
    <row r="638" spans="1:13" ht="15" customHeight="1">
      <c r="A638" s="1">
        <v>7090</v>
      </c>
      <c r="B638" s="1" t="s">
        <v>9</v>
      </c>
      <c r="C638" s="2" t="s">
        <v>758</v>
      </c>
      <c r="D638" s="2" t="s">
        <v>773</v>
      </c>
      <c r="E638" s="1">
        <v>1</v>
      </c>
      <c r="F638" s="2" t="s">
        <v>777</v>
      </c>
      <c r="G638" s="1">
        <v>4</v>
      </c>
      <c r="H638" s="1" t="str">
        <f t="shared" si="10"/>
        <v>k7090_4</v>
      </c>
      <c r="K638" s="1">
        <f>IF(E638=0,SUMPRODUCT(($A$2:$A$4734=A638)*($B$2:$B$4734=B638)*($D$2:$D$4734=D638)*($E$2:$E$4734=0)),0)</f>
        <v>0</v>
      </c>
      <c r="L638" s="1" t="str">
        <f>IF(E638=0,SUMPRODUCT(MIN($K$2:$K$4734+((($A$2:$A$4734&lt;&gt;A638)+($E$2:$E$4734&lt;&gt;0))&gt;0)*1000000)),"")</f>
        <v/>
      </c>
      <c r="M638" s="1">
        <f>IF(AND(E638=0,COUNTIFS($A$2:A638,A638,$E$2:E638,0)=1),L638,0)</f>
        <v>0</v>
      </c>
    </row>
    <row r="639" spans="1:13" ht="15" customHeight="1">
      <c r="A639" s="1">
        <v>7091</v>
      </c>
      <c r="B639" s="1" t="s">
        <v>161</v>
      </c>
      <c r="C639" s="1" t="s">
        <v>778</v>
      </c>
      <c r="D639" s="1" t="s">
        <v>778</v>
      </c>
      <c r="E639" s="1">
        <v>1</v>
      </c>
      <c r="F639" s="2" t="s">
        <v>779</v>
      </c>
      <c r="G639" s="1">
        <v>1</v>
      </c>
      <c r="H639" s="1" t="str">
        <f t="shared" si="10"/>
        <v>k7091_1</v>
      </c>
      <c r="K639" s="1">
        <f>IF(E639=0,SUMPRODUCT(($A$2:$A$4734=A639)*($B$2:$B$4734=B639)*($D$2:$D$4734=D639)*($E$2:$E$4734=0)),0)</f>
        <v>0</v>
      </c>
      <c r="L639" s="1" t="str">
        <f>IF(E639=0,SUMPRODUCT(MIN($K$2:$K$4734+((($A$2:$A$4734&lt;&gt;A639)+($E$2:$E$4734&lt;&gt;0))&gt;0)*1000000)),"")</f>
        <v/>
      </c>
      <c r="M639" s="1">
        <f>IF(AND(E639=0,COUNTIFS($A$2:A639,A639,$E$2:E639,0)=1),L639,0)</f>
        <v>0</v>
      </c>
    </row>
    <row r="640" spans="1:13" ht="15" customHeight="1">
      <c r="A640" s="1">
        <v>7091</v>
      </c>
      <c r="B640" s="1" t="s">
        <v>161</v>
      </c>
      <c r="C640" s="1" t="s">
        <v>778</v>
      </c>
      <c r="D640" s="1" t="s">
        <v>778</v>
      </c>
      <c r="E640" s="1">
        <v>1</v>
      </c>
      <c r="F640" s="2" t="s">
        <v>780</v>
      </c>
      <c r="G640" s="1">
        <v>2</v>
      </c>
      <c r="H640" s="1" t="str">
        <f t="shared" si="10"/>
        <v>k7091_2</v>
      </c>
      <c r="K640" s="1">
        <f>IF(E640=0,SUMPRODUCT(($A$2:$A$4734=A640)*($B$2:$B$4734=B640)*($D$2:$D$4734=D640)*($E$2:$E$4734=0)),0)</f>
        <v>0</v>
      </c>
      <c r="L640" s="1" t="str">
        <f>IF(E640=0,SUMPRODUCT(MIN($K$2:$K$4734+((($A$2:$A$4734&lt;&gt;A640)+($E$2:$E$4734&lt;&gt;0))&gt;0)*1000000)),"")</f>
        <v/>
      </c>
      <c r="M640" s="1">
        <f>IF(AND(E640=0,COUNTIFS($A$2:A640,A640,$E$2:E640,0)=1),L640,0)</f>
        <v>0</v>
      </c>
    </row>
    <row r="641" spans="1:13" ht="15" customHeight="1">
      <c r="A641" s="1">
        <v>7091</v>
      </c>
      <c r="B641" s="1" t="s">
        <v>161</v>
      </c>
      <c r="C641" s="1" t="s">
        <v>778</v>
      </c>
      <c r="D641" s="1" t="s">
        <v>778</v>
      </c>
      <c r="E641" s="1">
        <v>1</v>
      </c>
      <c r="F641" s="2" t="s">
        <v>781</v>
      </c>
      <c r="G641" s="1">
        <v>3</v>
      </c>
      <c r="H641" s="1" t="str">
        <f t="shared" si="10"/>
        <v>k7091_3</v>
      </c>
      <c r="K641" s="1">
        <f>IF(E641=0,SUMPRODUCT(($A$2:$A$4734=A641)*($B$2:$B$4734=B641)*($D$2:$D$4734=D641)*($E$2:$E$4734=0)),0)</f>
        <v>0</v>
      </c>
      <c r="L641" s="1" t="str">
        <f>IF(E641=0,SUMPRODUCT(MIN($K$2:$K$4734+((($A$2:$A$4734&lt;&gt;A641)+($E$2:$E$4734&lt;&gt;0))&gt;0)*1000000)),"")</f>
        <v/>
      </c>
      <c r="M641" s="1">
        <f>IF(AND(E641=0,COUNTIFS($A$2:A641,A641,$E$2:E641,0)=1),L641,0)</f>
        <v>0</v>
      </c>
    </row>
    <row r="642" spans="1:13" ht="15" customHeight="1">
      <c r="A642" s="1">
        <v>7091</v>
      </c>
      <c r="B642" s="1" t="s">
        <v>161</v>
      </c>
      <c r="C642" s="1" t="s">
        <v>778</v>
      </c>
      <c r="D642" s="1" t="s">
        <v>778</v>
      </c>
      <c r="E642" s="1">
        <v>1</v>
      </c>
      <c r="F642" s="2" t="s">
        <v>782</v>
      </c>
      <c r="G642" s="1">
        <v>4</v>
      </c>
      <c r="H642" s="1" t="str">
        <f t="shared" si="10"/>
        <v>k7091_4</v>
      </c>
      <c r="K642" s="1">
        <f>IF(E642=0,SUMPRODUCT(($A$2:$A$4734=A642)*($B$2:$B$4734=B642)*($D$2:$D$4734=D642)*($E$2:$E$4734=0)),0)</f>
        <v>0</v>
      </c>
      <c r="L642" s="1" t="str">
        <f>IF(E642=0,SUMPRODUCT(MIN($K$2:$K$4734+((($A$2:$A$4734&lt;&gt;A642)+($E$2:$E$4734&lt;&gt;0))&gt;0)*1000000)),"")</f>
        <v/>
      </c>
      <c r="M642" s="1">
        <f>IF(AND(E642=0,COUNTIFS($A$2:A642,A642,$E$2:E642,0)=1),L642,0)</f>
        <v>0</v>
      </c>
    </row>
    <row r="643" spans="1:13" ht="15" customHeight="1">
      <c r="A643" s="1">
        <v>7092</v>
      </c>
      <c r="B643" s="1" t="s">
        <v>358</v>
      </c>
      <c r="C643" s="2" t="s">
        <v>783</v>
      </c>
      <c r="D643" s="2" t="s">
        <v>784</v>
      </c>
      <c r="E643" s="1">
        <v>1</v>
      </c>
      <c r="F643" s="1">
        <v>15</v>
      </c>
      <c r="G643" s="1">
        <v>1</v>
      </c>
      <c r="H643" s="1" t="str">
        <f t="shared" si="10"/>
        <v>k7092_1</v>
      </c>
      <c r="K643" s="1">
        <f>IF(E643=0,SUMPRODUCT(($A$2:$A$4734=A643)*($B$2:$B$4734=B643)*($D$2:$D$4734=D643)*($E$2:$E$4734=0)),0)</f>
        <v>0</v>
      </c>
      <c r="L643" s="1" t="str">
        <f>IF(E643=0,SUMPRODUCT(MIN($K$2:$K$4734+((($A$2:$A$4734&lt;&gt;A643)+($E$2:$E$4734&lt;&gt;0))&gt;0)*1000000)),"")</f>
        <v/>
      </c>
      <c r="M643" s="1">
        <f>IF(AND(E643=0,COUNTIFS($A$2:A643,A643,$E$2:E643,0)=1),L643,0)</f>
        <v>0</v>
      </c>
    </row>
    <row r="644" spans="1:13" ht="15" customHeight="1">
      <c r="A644" s="1">
        <v>7092</v>
      </c>
      <c r="B644" s="1" t="s">
        <v>358</v>
      </c>
      <c r="C644" s="2" t="s">
        <v>783</v>
      </c>
      <c r="D644" s="2" t="s">
        <v>784</v>
      </c>
      <c r="E644" s="1">
        <v>1</v>
      </c>
      <c r="F644" s="2" t="s">
        <v>785</v>
      </c>
      <c r="G644" s="1">
        <v>2</v>
      </c>
      <c r="H644" s="1" t="str">
        <f t="shared" si="10"/>
        <v>k7092_2</v>
      </c>
      <c r="K644" s="1">
        <f>IF(E644=0,SUMPRODUCT(($A$2:$A$4734=A644)*($B$2:$B$4734=B644)*($D$2:$D$4734=D644)*($E$2:$E$4734=0)),0)</f>
        <v>0</v>
      </c>
      <c r="L644" s="1" t="str">
        <f>IF(E644=0,SUMPRODUCT(MIN($K$2:$K$4734+((($A$2:$A$4734&lt;&gt;A644)+($E$2:$E$4734&lt;&gt;0))&gt;0)*1000000)),"")</f>
        <v/>
      </c>
      <c r="M644" s="1">
        <f>IF(AND(E644=0,COUNTIFS($A$2:A644,A644,$E$2:E644,0)=1),L644,0)</f>
        <v>0</v>
      </c>
    </row>
    <row r="645" spans="1:13" ht="15" customHeight="1">
      <c r="A645" s="1">
        <v>7092</v>
      </c>
      <c r="B645" s="1" t="s">
        <v>358</v>
      </c>
      <c r="C645" s="2" t="s">
        <v>783</v>
      </c>
      <c r="D645" s="2" t="s">
        <v>784</v>
      </c>
      <c r="E645" s="1">
        <v>1</v>
      </c>
      <c r="F645" s="1">
        <v>14</v>
      </c>
      <c r="G645" s="1">
        <v>3</v>
      </c>
      <c r="H645" s="1" t="str">
        <f t="shared" si="10"/>
        <v>k7092_3</v>
      </c>
      <c r="K645" s="1">
        <f>IF(E645=0,SUMPRODUCT(($A$2:$A$4734=A645)*($B$2:$B$4734=B645)*($D$2:$D$4734=D645)*($E$2:$E$4734=0)),0)</f>
        <v>0</v>
      </c>
      <c r="L645" s="1" t="str">
        <f>IF(E645=0,SUMPRODUCT(MIN($K$2:$K$4734+((($A$2:$A$4734&lt;&gt;A645)+($E$2:$E$4734&lt;&gt;0))&gt;0)*1000000)),"")</f>
        <v/>
      </c>
      <c r="M645" s="1">
        <f>IF(AND(E645=0,COUNTIFS($A$2:A645,A645,$E$2:E645,0)=1),L645,0)</f>
        <v>0</v>
      </c>
    </row>
    <row r="646" spans="1:13" ht="15" customHeight="1">
      <c r="A646" s="1">
        <v>7092</v>
      </c>
      <c r="B646" s="1" t="s">
        <v>358</v>
      </c>
      <c r="C646" s="2" t="s">
        <v>783</v>
      </c>
      <c r="D646" s="2" t="s">
        <v>784</v>
      </c>
      <c r="E646" s="1">
        <v>1</v>
      </c>
      <c r="F646" s="1">
        <v>14</v>
      </c>
      <c r="G646" s="1">
        <v>4</v>
      </c>
      <c r="H646" s="1" t="str">
        <f t="shared" si="10"/>
        <v>k7092_4</v>
      </c>
      <c r="K646" s="1">
        <f>IF(E646=0,SUMPRODUCT(($A$2:$A$4734=A646)*($B$2:$B$4734=B646)*($D$2:$D$4734=D646)*($E$2:$E$4734=0)),0)</f>
        <v>0</v>
      </c>
      <c r="L646" s="1" t="str">
        <f>IF(E646=0,SUMPRODUCT(MIN($K$2:$K$4734+((($A$2:$A$4734&lt;&gt;A646)+($E$2:$E$4734&lt;&gt;0))&gt;0)*1000000)),"")</f>
        <v/>
      </c>
      <c r="M646" s="1">
        <f>IF(AND(E646=0,COUNTIFS($A$2:A646,A646,$E$2:E646,0)=1),L646,0)</f>
        <v>0</v>
      </c>
    </row>
    <row r="647" spans="1:13" ht="15" customHeight="1">
      <c r="A647" s="1">
        <v>7092</v>
      </c>
      <c r="B647" s="1" t="s">
        <v>173</v>
      </c>
      <c r="C647" s="2" t="s">
        <v>783</v>
      </c>
      <c r="D647" s="2" t="s">
        <v>784</v>
      </c>
      <c r="E647" s="1">
        <v>1</v>
      </c>
      <c r="F647" s="2" t="s">
        <v>786</v>
      </c>
      <c r="G647" s="1">
        <v>1</v>
      </c>
      <c r="H647" s="1" t="str">
        <f t="shared" si="10"/>
        <v>k7092_1</v>
      </c>
      <c r="K647" s="1">
        <f>IF(E647=0,SUMPRODUCT(($A$2:$A$4734=A647)*($B$2:$B$4734=B647)*($D$2:$D$4734=D647)*($E$2:$E$4734=0)),0)</f>
        <v>0</v>
      </c>
      <c r="L647" s="1" t="str">
        <f>IF(E647=0,SUMPRODUCT(MIN($K$2:$K$4734+((($A$2:$A$4734&lt;&gt;A647)+($E$2:$E$4734&lt;&gt;0))&gt;0)*1000000)),"")</f>
        <v/>
      </c>
      <c r="M647" s="1">
        <f>IF(AND(E647=0,COUNTIFS($A$2:A647,A647,$E$2:E647,0)=1),L647,0)</f>
        <v>0</v>
      </c>
    </row>
    <row r="648" spans="1:13" ht="15" customHeight="1">
      <c r="A648" s="1">
        <v>7092</v>
      </c>
      <c r="B648" s="1" t="s">
        <v>173</v>
      </c>
      <c r="C648" s="2" t="s">
        <v>783</v>
      </c>
      <c r="D648" s="2" t="s">
        <v>784</v>
      </c>
      <c r="E648" s="1">
        <v>1</v>
      </c>
      <c r="F648" s="1">
        <v>15</v>
      </c>
      <c r="G648" s="1">
        <v>2</v>
      </c>
      <c r="H648" s="1" t="str">
        <f t="shared" si="10"/>
        <v>k7092_2</v>
      </c>
      <c r="K648" s="1">
        <f>IF(E648=0,SUMPRODUCT(($A$2:$A$4734=A648)*($B$2:$B$4734=B648)*($D$2:$D$4734=D648)*($E$2:$E$4734=0)),0)</f>
        <v>0</v>
      </c>
      <c r="L648" s="1" t="str">
        <f>IF(E648=0,SUMPRODUCT(MIN($K$2:$K$4734+((($A$2:$A$4734&lt;&gt;A648)+($E$2:$E$4734&lt;&gt;0))&gt;0)*1000000)),"")</f>
        <v/>
      </c>
      <c r="M648" s="1">
        <f>IF(AND(E648=0,COUNTIFS($A$2:A648,A648,$E$2:E648,0)=1),L648,0)</f>
        <v>0</v>
      </c>
    </row>
    <row r="649" spans="1:13" ht="15" customHeight="1">
      <c r="A649" s="1">
        <v>7092</v>
      </c>
      <c r="B649" s="1" t="s">
        <v>173</v>
      </c>
      <c r="C649" s="2" t="s">
        <v>783</v>
      </c>
      <c r="D649" s="2" t="s">
        <v>784</v>
      </c>
      <c r="E649" s="1">
        <v>1</v>
      </c>
      <c r="F649" s="2" t="s">
        <v>787</v>
      </c>
      <c r="G649" s="1">
        <v>3</v>
      </c>
      <c r="H649" s="1" t="str">
        <f t="shared" si="10"/>
        <v>k7092_3</v>
      </c>
      <c r="K649" s="1">
        <f>IF(E649=0,SUMPRODUCT(($A$2:$A$4734=A649)*($B$2:$B$4734=B649)*($D$2:$D$4734=D649)*($E$2:$E$4734=0)),0)</f>
        <v>0</v>
      </c>
      <c r="L649" s="1" t="str">
        <f>IF(E649=0,SUMPRODUCT(MIN($K$2:$K$4734+((($A$2:$A$4734&lt;&gt;A649)+($E$2:$E$4734&lt;&gt;0))&gt;0)*1000000)),"")</f>
        <v/>
      </c>
      <c r="M649" s="1">
        <f>IF(AND(E649=0,COUNTIFS($A$2:A649,A649,$E$2:E649,0)=1),L649,0)</f>
        <v>0</v>
      </c>
    </row>
    <row r="650" spans="1:13" ht="15" customHeight="1">
      <c r="A650" s="1">
        <v>7092</v>
      </c>
      <c r="B650" s="1" t="s">
        <v>173</v>
      </c>
      <c r="C650" s="2" t="s">
        <v>783</v>
      </c>
      <c r="D650" s="2" t="s">
        <v>784</v>
      </c>
      <c r="E650" s="1">
        <v>1</v>
      </c>
      <c r="F650" s="2" t="s">
        <v>788</v>
      </c>
      <c r="G650" s="1">
        <v>4</v>
      </c>
      <c r="H650" s="1" t="str">
        <f t="shared" si="10"/>
        <v>k7092_4</v>
      </c>
      <c r="K650" s="1">
        <f>IF(E650=0,SUMPRODUCT(($A$2:$A$4734=A650)*($B$2:$B$4734=B650)*($D$2:$D$4734=D650)*($E$2:$E$4734=0)),0)</f>
        <v>0</v>
      </c>
      <c r="L650" s="1" t="str">
        <f>IF(E650=0,SUMPRODUCT(MIN($K$2:$K$4734+((($A$2:$A$4734&lt;&gt;A650)+($E$2:$E$4734&lt;&gt;0))&gt;0)*1000000)),"")</f>
        <v/>
      </c>
      <c r="M650" s="1">
        <f>IF(AND(E650=0,COUNTIFS($A$2:A650,A650,$E$2:E650,0)=1),L650,0)</f>
        <v>0</v>
      </c>
    </row>
    <row r="651" spans="1:13" ht="15" customHeight="1">
      <c r="A651" s="1">
        <v>7093</v>
      </c>
      <c r="B651" s="1" t="s">
        <v>144</v>
      </c>
      <c r="C651" s="2" t="s">
        <v>789</v>
      </c>
      <c r="D651" s="2" t="s">
        <v>790</v>
      </c>
      <c r="E651" s="1">
        <v>1</v>
      </c>
      <c r="F651" s="2" t="s">
        <v>791</v>
      </c>
      <c r="G651" s="1">
        <v>1</v>
      </c>
      <c r="H651" s="1" t="str">
        <f t="shared" si="10"/>
        <v>k7093_1</v>
      </c>
      <c r="K651" s="1">
        <f>IF(E651=0,SUMPRODUCT(($A$2:$A$4734=A651)*($B$2:$B$4734=B651)*($D$2:$D$4734=D651)*($E$2:$E$4734=0)),0)</f>
        <v>0</v>
      </c>
      <c r="L651" s="1" t="str">
        <f>IF(E651=0,SUMPRODUCT(MIN($K$2:$K$4734+((($A$2:$A$4734&lt;&gt;A651)+($E$2:$E$4734&lt;&gt;0))&gt;0)*1000000)),"")</f>
        <v/>
      </c>
      <c r="M651" s="1">
        <f>IF(AND(E651=0,COUNTIFS($A$2:A651,A651,$E$2:E651,0)=1),L651,0)</f>
        <v>0</v>
      </c>
    </row>
    <row r="652" spans="1:13" ht="15" customHeight="1">
      <c r="A652" s="1">
        <v>7093</v>
      </c>
      <c r="B652" s="1" t="s">
        <v>144</v>
      </c>
      <c r="C652" s="2" t="s">
        <v>789</v>
      </c>
      <c r="D652" s="2" t="s">
        <v>790</v>
      </c>
      <c r="E652" s="1">
        <v>1</v>
      </c>
      <c r="F652" s="2" t="s">
        <v>792</v>
      </c>
      <c r="G652" s="1">
        <v>2</v>
      </c>
      <c r="H652" s="1" t="str">
        <f t="shared" si="10"/>
        <v>k7093_2</v>
      </c>
      <c r="K652" s="1">
        <f>IF(E652=0,SUMPRODUCT(($A$2:$A$4734=A652)*($B$2:$B$4734=B652)*($D$2:$D$4734=D652)*($E$2:$E$4734=0)),0)</f>
        <v>0</v>
      </c>
      <c r="L652" s="1" t="str">
        <f>IF(E652=0,SUMPRODUCT(MIN($K$2:$K$4734+((($A$2:$A$4734&lt;&gt;A652)+($E$2:$E$4734&lt;&gt;0))&gt;0)*1000000)),"")</f>
        <v/>
      </c>
      <c r="M652" s="1">
        <f>IF(AND(E652=0,COUNTIFS($A$2:A652,A652,$E$2:E652,0)=1),L652,0)</f>
        <v>0</v>
      </c>
    </row>
    <row r="653" spans="1:13" ht="15" customHeight="1">
      <c r="A653" s="1">
        <v>7093</v>
      </c>
      <c r="B653" s="1" t="s">
        <v>144</v>
      </c>
      <c r="C653" s="2" t="s">
        <v>789</v>
      </c>
      <c r="D653" s="2" t="s">
        <v>790</v>
      </c>
      <c r="E653" s="1">
        <v>1</v>
      </c>
      <c r="F653" s="2" t="s">
        <v>793</v>
      </c>
      <c r="G653" s="1">
        <v>3</v>
      </c>
      <c r="H653" s="1" t="str">
        <f t="shared" si="10"/>
        <v>k7093_3</v>
      </c>
      <c r="K653" s="1">
        <f>IF(E653=0,SUMPRODUCT(($A$2:$A$4734=A653)*($B$2:$B$4734=B653)*($D$2:$D$4734=D653)*($E$2:$E$4734=0)),0)</f>
        <v>0</v>
      </c>
      <c r="L653" s="1" t="str">
        <f>IF(E653=0,SUMPRODUCT(MIN($K$2:$K$4734+((($A$2:$A$4734&lt;&gt;A653)+($E$2:$E$4734&lt;&gt;0))&gt;0)*1000000)),"")</f>
        <v/>
      </c>
      <c r="M653" s="1">
        <f>IF(AND(E653=0,COUNTIFS($A$2:A653,A653,$E$2:E653,0)=1),L653,0)</f>
        <v>0</v>
      </c>
    </row>
    <row r="654" spans="1:13" ht="15" customHeight="1">
      <c r="A654" s="1">
        <v>7094</v>
      </c>
      <c r="B654" s="1" t="s">
        <v>95</v>
      </c>
      <c r="C654" s="2" t="s">
        <v>794</v>
      </c>
      <c r="D654" s="2" t="s">
        <v>795</v>
      </c>
      <c r="E654" s="1">
        <v>1</v>
      </c>
      <c r="F654" s="2" t="s">
        <v>796</v>
      </c>
      <c r="G654" s="1">
        <v>1</v>
      </c>
      <c r="H654" s="1" t="str">
        <f t="shared" si="10"/>
        <v>k7094_1</v>
      </c>
      <c r="K654" s="1">
        <f>IF(E654=0,SUMPRODUCT(($A$2:$A$4734=A654)*($B$2:$B$4734=B654)*($D$2:$D$4734=D654)*($E$2:$E$4734=0)),0)</f>
        <v>0</v>
      </c>
      <c r="L654" s="1" t="str">
        <f>IF(E654=0,SUMPRODUCT(MIN($K$2:$K$4734+((($A$2:$A$4734&lt;&gt;A654)+($E$2:$E$4734&lt;&gt;0))&gt;0)*1000000)),"")</f>
        <v/>
      </c>
      <c r="M654" s="1">
        <f>IF(AND(E654=0,COUNTIFS($A$2:A654,A654,$E$2:E654,0)=1),L654,0)</f>
        <v>0</v>
      </c>
    </row>
    <row r="655" spans="1:13" ht="15" customHeight="1">
      <c r="A655" s="1">
        <v>7094</v>
      </c>
      <c r="B655" s="1" t="s">
        <v>95</v>
      </c>
      <c r="C655" s="2" t="s">
        <v>794</v>
      </c>
      <c r="D655" s="2" t="s">
        <v>795</v>
      </c>
      <c r="E655" s="1">
        <v>1</v>
      </c>
      <c r="F655" s="2" t="s">
        <v>797</v>
      </c>
      <c r="G655" s="1">
        <v>2</v>
      </c>
      <c r="H655" s="1" t="str">
        <f t="shared" si="10"/>
        <v>k7094_2</v>
      </c>
      <c r="K655" s="1">
        <f>IF(E655=0,SUMPRODUCT(($A$2:$A$4734=A655)*($B$2:$B$4734=B655)*($D$2:$D$4734=D655)*($E$2:$E$4734=0)),0)</f>
        <v>0</v>
      </c>
      <c r="L655" s="1" t="str">
        <f>IF(E655=0,SUMPRODUCT(MIN($K$2:$K$4734+((($A$2:$A$4734&lt;&gt;A655)+($E$2:$E$4734&lt;&gt;0))&gt;0)*1000000)),"")</f>
        <v/>
      </c>
      <c r="M655" s="1">
        <f>IF(AND(E655=0,COUNTIFS($A$2:A655,A655,$E$2:E655,0)=1),L655,0)</f>
        <v>0</v>
      </c>
    </row>
    <row r="656" spans="1:13" ht="15" customHeight="1">
      <c r="A656" s="1">
        <v>7094</v>
      </c>
      <c r="B656" s="1" t="s">
        <v>95</v>
      </c>
      <c r="C656" s="2" t="s">
        <v>794</v>
      </c>
      <c r="D656" s="2" t="s">
        <v>795</v>
      </c>
      <c r="E656" s="1">
        <v>1</v>
      </c>
      <c r="F656" s="2" t="s">
        <v>798</v>
      </c>
      <c r="G656" s="1">
        <v>3</v>
      </c>
      <c r="H656" s="1" t="str">
        <f t="shared" si="10"/>
        <v>k7094_3</v>
      </c>
      <c r="K656" s="1">
        <f>IF(E656=0,SUMPRODUCT(($A$2:$A$4734=A656)*($B$2:$B$4734=B656)*($D$2:$D$4734=D656)*($E$2:$E$4734=0)),0)</f>
        <v>0</v>
      </c>
      <c r="L656" s="1" t="str">
        <f>IF(E656=0,SUMPRODUCT(MIN($K$2:$K$4734+((($A$2:$A$4734&lt;&gt;A656)+($E$2:$E$4734&lt;&gt;0))&gt;0)*1000000)),"")</f>
        <v/>
      </c>
      <c r="M656" s="1">
        <f>IF(AND(E656=0,COUNTIFS($A$2:A656,A656,$E$2:E656,0)=1),L656,0)</f>
        <v>0</v>
      </c>
    </row>
    <row r="657" spans="1:13" ht="15" customHeight="1">
      <c r="A657" s="1">
        <v>7094</v>
      </c>
      <c r="B657" s="1" t="s">
        <v>95</v>
      </c>
      <c r="C657" s="2" t="s">
        <v>794</v>
      </c>
      <c r="D657" s="2" t="s">
        <v>795</v>
      </c>
      <c r="E657" s="1">
        <v>1</v>
      </c>
      <c r="F657" s="2" t="s">
        <v>799</v>
      </c>
      <c r="G657" s="1">
        <v>4</v>
      </c>
      <c r="H657" s="1" t="str">
        <f t="shared" si="10"/>
        <v>k7094_4</v>
      </c>
      <c r="K657" s="1">
        <f>IF(E657=0,SUMPRODUCT(($A$2:$A$4734=A657)*($B$2:$B$4734=B657)*($D$2:$D$4734=D657)*($E$2:$E$4734=0)),0)</f>
        <v>0</v>
      </c>
      <c r="L657" s="1" t="str">
        <f>IF(E657=0,SUMPRODUCT(MIN($K$2:$K$4734+((($A$2:$A$4734&lt;&gt;A657)+($E$2:$E$4734&lt;&gt;0))&gt;0)*1000000)),"")</f>
        <v/>
      </c>
      <c r="M657" s="1">
        <f>IF(AND(E657=0,COUNTIFS($A$2:A657,A657,$E$2:E657,0)=1),L657,0)</f>
        <v>0</v>
      </c>
    </row>
    <row r="658" spans="1:13" ht="15" customHeight="1">
      <c r="A658" s="1">
        <v>7094</v>
      </c>
      <c r="B658" s="1" t="s">
        <v>95</v>
      </c>
      <c r="C658" s="2" t="s">
        <v>794</v>
      </c>
      <c r="D658" s="2" t="s">
        <v>795</v>
      </c>
      <c r="E658" s="1">
        <v>1</v>
      </c>
      <c r="F658" s="2" t="s">
        <v>800</v>
      </c>
      <c r="G658" s="1">
        <v>5</v>
      </c>
      <c r="H658" s="1" t="str">
        <f t="shared" si="10"/>
        <v>k7094_5</v>
      </c>
      <c r="K658" s="1">
        <f>IF(E658=0,SUMPRODUCT(($A$2:$A$4734=A658)*($B$2:$B$4734=B658)*($D$2:$D$4734=D658)*($E$2:$E$4734=0)),0)</f>
        <v>0</v>
      </c>
      <c r="L658" s="1" t="str">
        <f>IF(E658=0,SUMPRODUCT(MIN($K$2:$K$4734+((($A$2:$A$4734&lt;&gt;A658)+($E$2:$E$4734&lt;&gt;0))&gt;0)*1000000)),"")</f>
        <v/>
      </c>
      <c r="M658" s="1">
        <f>IF(AND(E658=0,COUNTIFS($A$2:A658,A658,$E$2:E658,0)=1),L658,0)</f>
        <v>0</v>
      </c>
    </row>
    <row r="659" spans="1:13" ht="15" customHeight="1">
      <c r="A659" s="1">
        <v>7094</v>
      </c>
      <c r="B659" s="1" t="s">
        <v>95</v>
      </c>
      <c r="C659" s="2" t="s">
        <v>794</v>
      </c>
      <c r="D659" s="2" t="s">
        <v>795</v>
      </c>
      <c r="E659" s="1">
        <v>1</v>
      </c>
      <c r="F659" s="2" t="s">
        <v>801</v>
      </c>
      <c r="G659" s="1">
        <v>6</v>
      </c>
      <c r="H659" s="1" t="str">
        <f t="shared" si="10"/>
        <v>k7094_6</v>
      </c>
      <c r="K659" s="1">
        <f>IF(E659=0,SUMPRODUCT(($A$2:$A$4734=A659)*($B$2:$B$4734=B659)*($D$2:$D$4734=D659)*($E$2:$E$4734=0)),0)</f>
        <v>0</v>
      </c>
      <c r="L659" s="1" t="str">
        <f>IF(E659=0,SUMPRODUCT(MIN($K$2:$K$4734+((($A$2:$A$4734&lt;&gt;A659)+($E$2:$E$4734&lt;&gt;0))&gt;0)*1000000)),"")</f>
        <v/>
      </c>
      <c r="M659" s="1">
        <f>IF(AND(E659=0,COUNTIFS($A$2:A659,A659,$E$2:E659,0)=1),L659,0)</f>
        <v>0</v>
      </c>
    </row>
    <row r="660" spans="1:13" ht="15" customHeight="1">
      <c r="A660" s="1">
        <v>7094</v>
      </c>
      <c r="B660" s="1" t="s">
        <v>167</v>
      </c>
      <c r="C660" s="2" t="s">
        <v>794</v>
      </c>
      <c r="D660" s="2" t="s">
        <v>802</v>
      </c>
      <c r="E660" s="1">
        <v>1</v>
      </c>
      <c r="F660" s="2" t="s">
        <v>803</v>
      </c>
      <c r="G660" s="1">
        <v>1</v>
      </c>
      <c r="H660" s="1" t="str">
        <f t="shared" si="10"/>
        <v>k7094_1</v>
      </c>
      <c r="K660" s="1">
        <f>IF(E660=0,SUMPRODUCT(($A$2:$A$4734=A660)*($B$2:$B$4734=B660)*($D$2:$D$4734=D660)*($E$2:$E$4734=0)),0)</f>
        <v>0</v>
      </c>
      <c r="L660" s="1" t="str">
        <f>IF(E660=0,SUMPRODUCT(MIN($K$2:$K$4734+((($A$2:$A$4734&lt;&gt;A660)+($E$2:$E$4734&lt;&gt;0))&gt;0)*1000000)),"")</f>
        <v/>
      </c>
      <c r="M660" s="1">
        <f>IF(AND(E660=0,COUNTIFS($A$2:A660,A660,$E$2:E660,0)=1),L660,0)</f>
        <v>0</v>
      </c>
    </row>
    <row r="661" spans="1:13" ht="15" customHeight="1">
      <c r="A661" s="1">
        <v>7094</v>
      </c>
      <c r="B661" s="1" t="s">
        <v>167</v>
      </c>
      <c r="C661" s="2" t="s">
        <v>794</v>
      </c>
      <c r="D661" s="2" t="s">
        <v>802</v>
      </c>
      <c r="E661" s="1">
        <v>1</v>
      </c>
      <c r="F661" s="2" t="s">
        <v>804</v>
      </c>
      <c r="G661" s="1">
        <v>2</v>
      </c>
      <c r="H661" s="1" t="str">
        <f t="shared" si="10"/>
        <v>k7094_2</v>
      </c>
      <c r="K661" s="1">
        <f>IF(E661=0,SUMPRODUCT(($A$2:$A$4734=A661)*($B$2:$B$4734=B661)*($D$2:$D$4734=D661)*($E$2:$E$4734=0)),0)</f>
        <v>0</v>
      </c>
      <c r="L661" s="1" t="str">
        <f>IF(E661=0,SUMPRODUCT(MIN($K$2:$K$4734+((($A$2:$A$4734&lt;&gt;A661)+($E$2:$E$4734&lt;&gt;0))&gt;0)*1000000)),"")</f>
        <v/>
      </c>
      <c r="M661" s="1">
        <f>IF(AND(E661=0,COUNTIFS($A$2:A661,A661,$E$2:E661,0)=1),L661,0)</f>
        <v>0</v>
      </c>
    </row>
    <row r="662" spans="1:13" ht="15" customHeight="1">
      <c r="A662" s="1">
        <v>7094</v>
      </c>
      <c r="B662" s="1" t="s">
        <v>167</v>
      </c>
      <c r="C662" s="2" t="s">
        <v>794</v>
      </c>
      <c r="D662" s="2" t="s">
        <v>802</v>
      </c>
      <c r="E662" s="1">
        <v>1</v>
      </c>
      <c r="F662" s="2" t="s">
        <v>805</v>
      </c>
      <c r="G662" s="1">
        <v>3</v>
      </c>
      <c r="H662" s="1" t="str">
        <f t="shared" si="10"/>
        <v>k7094_3</v>
      </c>
      <c r="K662" s="1">
        <f>IF(E662=0,SUMPRODUCT(($A$2:$A$4734=A662)*($B$2:$B$4734=B662)*($D$2:$D$4734=D662)*($E$2:$E$4734=0)),0)</f>
        <v>0</v>
      </c>
      <c r="L662" s="1" t="str">
        <f>IF(E662=0,SUMPRODUCT(MIN($K$2:$K$4734+((($A$2:$A$4734&lt;&gt;A662)+($E$2:$E$4734&lt;&gt;0))&gt;0)*1000000)),"")</f>
        <v/>
      </c>
      <c r="M662" s="1">
        <f>IF(AND(E662=0,COUNTIFS($A$2:A662,A662,$E$2:E662,0)=1),L662,0)</f>
        <v>0</v>
      </c>
    </row>
    <row r="663" spans="1:13" ht="15" customHeight="1">
      <c r="A663" s="1">
        <v>7094</v>
      </c>
      <c r="B663" s="1" t="s">
        <v>167</v>
      </c>
      <c r="C663" s="2" t="s">
        <v>794</v>
      </c>
      <c r="D663" s="2" t="s">
        <v>802</v>
      </c>
      <c r="E663" s="1">
        <v>1</v>
      </c>
      <c r="F663" s="2" t="s">
        <v>806</v>
      </c>
      <c r="G663" s="1">
        <v>4</v>
      </c>
      <c r="H663" s="1" t="str">
        <f t="shared" si="10"/>
        <v>k7094_4</v>
      </c>
      <c r="K663" s="1">
        <f>IF(E663=0,SUMPRODUCT(($A$2:$A$4734=A663)*($B$2:$B$4734=B663)*($D$2:$D$4734=D663)*($E$2:$E$4734=0)),0)</f>
        <v>0</v>
      </c>
      <c r="L663" s="1" t="str">
        <f>IF(E663=0,SUMPRODUCT(MIN($K$2:$K$4734+((($A$2:$A$4734&lt;&gt;A663)+($E$2:$E$4734&lt;&gt;0))&gt;0)*1000000)),"")</f>
        <v/>
      </c>
      <c r="M663" s="1">
        <f>IF(AND(E663=0,COUNTIFS($A$2:A663,A663,$E$2:E663,0)=1),L663,0)</f>
        <v>0</v>
      </c>
    </row>
    <row r="664" spans="1:13" ht="15" customHeight="1">
      <c r="A664" s="1">
        <v>7094</v>
      </c>
      <c r="B664" s="1" t="s">
        <v>167</v>
      </c>
      <c r="C664" s="2" t="s">
        <v>794</v>
      </c>
      <c r="D664" s="2" t="s">
        <v>802</v>
      </c>
      <c r="E664" s="1">
        <v>1</v>
      </c>
      <c r="F664" s="2" t="s">
        <v>805</v>
      </c>
      <c r="G664" s="1">
        <v>5</v>
      </c>
      <c r="H664" s="1" t="str">
        <f t="shared" si="10"/>
        <v>k7094_5</v>
      </c>
      <c r="K664" s="1">
        <f>IF(E664=0,SUMPRODUCT(($A$2:$A$4734=A664)*($B$2:$B$4734=B664)*($D$2:$D$4734=D664)*($E$2:$E$4734=0)),0)</f>
        <v>0</v>
      </c>
      <c r="L664" s="1" t="str">
        <f>IF(E664=0,SUMPRODUCT(MIN($K$2:$K$4734+((($A$2:$A$4734&lt;&gt;A664)+($E$2:$E$4734&lt;&gt;0))&gt;0)*1000000)),"")</f>
        <v/>
      </c>
      <c r="M664" s="1">
        <f>IF(AND(E664=0,COUNTIFS($A$2:A664,A664,$E$2:E664,0)=1),L664,0)</f>
        <v>0</v>
      </c>
    </row>
    <row r="665" spans="1:13" ht="15" customHeight="1">
      <c r="A665" s="1">
        <v>7094</v>
      </c>
      <c r="B665" s="1" t="s">
        <v>167</v>
      </c>
      <c r="C665" s="2" t="s">
        <v>794</v>
      </c>
      <c r="D665" s="2" t="s">
        <v>802</v>
      </c>
      <c r="E665" s="1">
        <v>1</v>
      </c>
      <c r="F665" s="2" t="s">
        <v>806</v>
      </c>
      <c r="G665" s="1">
        <v>6</v>
      </c>
      <c r="H665" s="1" t="str">
        <f t="shared" si="10"/>
        <v>k7094_6</v>
      </c>
      <c r="K665" s="1">
        <f>IF(E665=0,SUMPRODUCT(($A$2:$A$4734=A665)*($B$2:$B$4734=B665)*($D$2:$D$4734=D665)*($E$2:$E$4734=0)),0)</f>
        <v>0</v>
      </c>
      <c r="L665" s="1" t="str">
        <f>IF(E665=0,SUMPRODUCT(MIN($K$2:$K$4734+((($A$2:$A$4734&lt;&gt;A665)+($E$2:$E$4734&lt;&gt;0))&gt;0)*1000000)),"")</f>
        <v/>
      </c>
      <c r="M665" s="1">
        <f>IF(AND(E665=0,COUNTIFS($A$2:A665,A665,$E$2:E665,0)=1),L665,0)</f>
        <v>0</v>
      </c>
    </row>
    <row r="666" spans="1:13" ht="15" customHeight="1">
      <c r="A666" s="1">
        <v>7094</v>
      </c>
      <c r="B666" s="1" t="s">
        <v>161</v>
      </c>
      <c r="C666" s="2" t="s">
        <v>794</v>
      </c>
      <c r="D666" s="2" t="s">
        <v>794</v>
      </c>
      <c r="E666" s="1">
        <v>1</v>
      </c>
      <c r="F666" s="2" t="s">
        <v>807</v>
      </c>
      <c r="G666" s="1">
        <v>1</v>
      </c>
      <c r="H666" s="1" t="str">
        <f t="shared" si="10"/>
        <v>k7094_1</v>
      </c>
      <c r="K666" s="1">
        <f>IF(E666=0,SUMPRODUCT(($A$2:$A$4734=A666)*($B$2:$B$4734=B666)*($D$2:$D$4734=D666)*($E$2:$E$4734=0)),0)</f>
        <v>0</v>
      </c>
      <c r="L666" s="1" t="str">
        <f>IF(E666=0,SUMPRODUCT(MIN($K$2:$K$4734+((($A$2:$A$4734&lt;&gt;A666)+($E$2:$E$4734&lt;&gt;0))&gt;0)*1000000)),"")</f>
        <v/>
      </c>
      <c r="M666" s="1">
        <f>IF(AND(E666=0,COUNTIFS($A$2:A666,A666,$E$2:E666,0)=1),L666,0)</f>
        <v>0</v>
      </c>
    </row>
    <row r="667" spans="1:13" ht="15" customHeight="1">
      <c r="A667" s="1">
        <v>7094</v>
      </c>
      <c r="B667" s="1" t="s">
        <v>161</v>
      </c>
      <c r="C667" s="2" t="s">
        <v>794</v>
      </c>
      <c r="D667" s="2" t="s">
        <v>794</v>
      </c>
      <c r="E667" s="1">
        <v>1</v>
      </c>
      <c r="F667" s="2" t="s">
        <v>808</v>
      </c>
      <c r="G667" s="1">
        <v>2</v>
      </c>
      <c r="H667" s="1" t="str">
        <f t="shared" si="10"/>
        <v>k7094_2</v>
      </c>
      <c r="K667" s="1">
        <f>IF(E667=0,SUMPRODUCT(($A$2:$A$4734=A667)*($B$2:$B$4734=B667)*($D$2:$D$4734=D667)*($E$2:$E$4734=0)),0)</f>
        <v>0</v>
      </c>
      <c r="L667" s="1" t="str">
        <f>IF(E667=0,SUMPRODUCT(MIN($K$2:$K$4734+((($A$2:$A$4734&lt;&gt;A667)+($E$2:$E$4734&lt;&gt;0))&gt;0)*1000000)),"")</f>
        <v/>
      </c>
      <c r="M667" s="1">
        <f>IF(AND(E667=0,COUNTIFS($A$2:A667,A667,$E$2:E667,0)=1),L667,0)</f>
        <v>0</v>
      </c>
    </row>
    <row r="668" spans="1:13" ht="15" customHeight="1">
      <c r="A668" s="1">
        <v>7094</v>
      </c>
      <c r="B668" s="1" t="s">
        <v>161</v>
      </c>
      <c r="C668" s="2" t="s">
        <v>794</v>
      </c>
      <c r="D668" s="2" t="s">
        <v>794</v>
      </c>
      <c r="E668" s="1">
        <v>1</v>
      </c>
      <c r="F668" s="2" t="s">
        <v>809</v>
      </c>
      <c r="G668" s="1">
        <v>3</v>
      </c>
      <c r="H668" s="1" t="str">
        <f t="shared" si="10"/>
        <v>k7094_3</v>
      </c>
      <c r="K668" s="1">
        <f>IF(E668=0,SUMPRODUCT(($A$2:$A$4734=A668)*($B$2:$B$4734=B668)*($D$2:$D$4734=D668)*($E$2:$E$4734=0)),0)</f>
        <v>0</v>
      </c>
      <c r="L668" s="1" t="str">
        <f>IF(E668=0,SUMPRODUCT(MIN($K$2:$K$4734+((($A$2:$A$4734&lt;&gt;A668)+($E$2:$E$4734&lt;&gt;0))&gt;0)*1000000)),"")</f>
        <v/>
      </c>
      <c r="M668" s="1">
        <f>IF(AND(E668=0,COUNTIFS($A$2:A668,A668,$E$2:E668,0)=1),L668,0)</f>
        <v>0</v>
      </c>
    </row>
    <row r="669" spans="1:13" ht="15" customHeight="1">
      <c r="A669" s="1">
        <v>7094</v>
      </c>
      <c r="B669" s="1" t="s">
        <v>161</v>
      </c>
      <c r="C669" s="2" t="s">
        <v>794</v>
      </c>
      <c r="D669" s="2" t="s">
        <v>794</v>
      </c>
      <c r="E669" s="1">
        <v>1</v>
      </c>
      <c r="F669" s="2" t="s">
        <v>810</v>
      </c>
      <c r="G669" s="1">
        <v>4</v>
      </c>
      <c r="H669" s="1" t="str">
        <f t="shared" si="10"/>
        <v>k7094_4</v>
      </c>
      <c r="K669" s="1">
        <f>IF(E669=0,SUMPRODUCT(($A$2:$A$4734=A669)*($B$2:$B$4734=B669)*($D$2:$D$4734=D669)*($E$2:$E$4734=0)),0)</f>
        <v>0</v>
      </c>
      <c r="L669" s="1" t="str">
        <f>IF(E669=0,SUMPRODUCT(MIN($K$2:$K$4734+((($A$2:$A$4734&lt;&gt;A669)+($E$2:$E$4734&lt;&gt;0))&gt;0)*1000000)),"")</f>
        <v/>
      </c>
      <c r="M669" s="1">
        <f>IF(AND(E669=0,COUNTIFS($A$2:A669,A669,$E$2:E669,0)=1),L669,0)</f>
        <v>0</v>
      </c>
    </row>
    <row r="670" spans="1:13" ht="15" customHeight="1">
      <c r="A670" s="1">
        <v>7094</v>
      </c>
      <c r="B670" s="1" t="s">
        <v>161</v>
      </c>
      <c r="C670" s="2" t="s">
        <v>794</v>
      </c>
      <c r="D670" s="2" t="s">
        <v>794</v>
      </c>
      <c r="E670" s="1">
        <v>1</v>
      </c>
      <c r="F670" s="2" t="s">
        <v>809</v>
      </c>
      <c r="G670" s="1">
        <v>5</v>
      </c>
      <c r="H670" s="1" t="str">
        <f t="shared" si="10"/>
        <v>k7094_5</v>
      </c>
      <c r="K670" s="1">
        <f>IF(E670=0,SUMPRODUCT(($A$2:$A$4734=A670)*($B$2:$B$4734=B670)*($D$2:$D$4734=D670)*($E$2:$E$4734=0)),0)</f>
        <v>0</v>
      </c>
      <c r="L670" s="1" t="str">
        <f>IF(E670=0,SUMPRODUCT(MIN($K$2:$K$4734+((($A$2:$A$4734&lt;&gt;A670)+($E$2:$E$4734&lt;&gt;0))&gt;0)*1000000)),"")</f>
        <v/>
      </c>
      <c r="M670" s="1">
        <f>IF(AND(E670=0,COUNTIFS($A$2:A670,A670,$E$2:E670,0)=1),L670,0)</f>
        <v>0</v>
      </c>
    </row>
    <row r="671" spans="1:13" ht="15" customHeight="1">
      <c r="A671" s="1">
        <v>7094</v>
      </c>
      <c r="B671" s="1" t="s">
        <v>161</v>
      </c>
      <c r="C671" s="2" t="s">
        <v>794</v>
      </c>
      <c r="D671" s="2" t="s">
        <v>794</v>
      </c>
      <c r="E671" s="1">
        <v>1</v>
      </c>
      <c r="F671" s="2" t="s">
        <v>810</v>
      </c>
      <c r="G671" s="1">
        <v>6</v>
      </c>
      <c r="H671" s="1" t="str">
        <f t="shared" si="10"/>
        <v>k7094_6</v>
      </c>
      <c r="K671" s="1">
        <f>IF(E671=0,SUMPRODUCT(($A$2:$A$4734=A671)*($B$2:$B$4734=B671)*($D$2:$D$4734=D671)*($E$2:$E$4734=0)),0)</f>
        <v>0</v>
      </c>
      <c r="L671" s="1" t="str">
        <f>IF(E671=0,SUMPRODUCT(MIN($K$2:$K$4734+((($A$2:$A$4734&lt;&gt;A671)+($E$2:$E$4734&lt;&gt;0))&gt;0)*1000000)),"")</f>
        <v/>
      </c>
      <c r="M671" s="1">
        <f>IF(AND(E671=0,COUNTIFS($A$2:A671,A671,$E$2:E671,0)=1),L671,0)</f>
        <v>0</v>
      </c>
    </row>
    <row r="672" spans="1:13" ht="15" customHeight="1">
      <c r="A672" s="1">
        <v>7094</v>
      </c>
      <c r="B672" s="1" t="s">
        <v>16</v>
      </c>
      <c r="C672" s="2" t="s">
        <v>794</v>
      </c>
      <c r="D672" s="2" t="s">
        <v>802</v>
      </c>
      <c r="E672" s="1">
        <v>1</v>
      </c>
      <c r="F672" s="2" t="s">
        <v>811</v>
      </c>
      <c r="G672" s="1">
        <v>1</v>
      </c>
      <c r="H672" s="1" t="str">
        <f t="shared" si="10"/>
        <v>k7094_1</v>
      </c>
      <c r="K672" s="1">
        <f>IF(E672=0,SUMPRODUCT(($A$2:$A$4734=A672)*($B$2:$B$4734=B672)*($D$2:$D$4734=D672)*($E$2:$E$4734=0)),0)</f>
        <v>0</v>
      </c>
      <c r="L672" s="1" t="str">
        <f>IF(E672=0,SUMPRODUCT(MIN($K$2:$K$4734+((($A$2:$A$4734&lt;&gt;A672)+($E$2:$E$4734&lt;&gt;0))&gt;0)*1000000)),"")</f>
        <v/>
      </c>
      <c r="M672" s="1">
        <f>IF(AND(E672=0,COUNTIFS($A$2:A672,A672,$E$2:E672,0)=1),L672,0)</f>
        <v>0</v>
      </c>
    </row>
    <row r="673" spans="1:13" ht="15" customHeight="1">
      <c r="A673" s="1">
        <v>7094</v>
      </c>
      <c r="B673" s="1" t="s">
        <v>16</v>
      </c>
      <c r="C673" s="2" t="s">
        <v>794</v>
      </c>
      <c r="D673" s="2" t="s">
        <v>802</v>
      </c>
      <c r="E673" s="1">
        <v>1</v>
      </c>
      <c r="F673" s="2" t="s">
        <v>812</v>
      </c>
      <c r="G673" s="1">
        <v>2</v>
      </c>
      <c r="H673" s="1" t="str">
        <f t="shared" si="10"/>
        <v>k7094_2</v>
      </c>
      <c r="K673" s="1">
        <f>IF(E673=0,SUMPRODUCT(($A$2:$A$4734=A673)*($B$2:$B$4734=B673)*($D$2:$D$4734=D673)*($E$2:$E$4734=0)),0)</f>
        <v>0</v>
      </c>
      <c r="L673" s="1" t="str">
        <f>IF(E673=0,SUMPRODUCT(MIN($K$2:$K$4734+((($A$2:$A$4734&lt;&gt;A673)+($E$2:$E$4734&lt;&gt;0))&gt;0)*1000000)),"")</f>
        <v/>
      </c>
      <c r="M673" s="1">
        <f>IF(AND(E673=0,COUNTIFS($A$2:A673,A673,$E$2:E673,0)=1),L673,0)</f>
        <v>0</v>
      </c>
    </row>
    <row r="674" spans="1:13" ht="15" customHeight="1">
      <c r="A674" s="1">
        <v>7094</v>
      </c>
      <c r="B674" s="1" t="s">
        <v>16</v>
      </c>
      <c r="C674" s="2" t="s">
        <v>794</v>
      </c>
      <c r="D674" s="2" t="s">
        <v>802</v>
      </c>
      <c r="E674" s="1">
        <v>1</v>
      </c>
      <c r="F674" s="2" t="s">
        <v>813</v>
      </c>
      <c r="G674" s="1">
        <v>3</v>
      </c>
      <c r="H674" s="1" t="str">
        <f t="shared" si="10"/>
        <v>k7094_3</v>
      </c>
      <c r="K674" s="1">
        <f>IF(E674=0,SUMPRODUCT(($A$2:$A$4734=A674)*($B$2:$B$4734=B674)*($D$2:$D$4734=D674)*($E$2:$E$4734=0)),0)</f>
        <v>0</v>
      </c>
      <c r="L674" s="1" t="str">
        <f>IF(E674=0,SUMPRODUCT(MIN($K$2:$K$4734+((($A$2:$A$4734&lt;&gt;A674)+($E$2:$E$4734&lt;&gt;0))&gt;0)*1000000)),"")</f>
        <v/>
      </c>
      <c r="M674" s="1">
        <f>IF(AND(E674=0,COUNTIFS($A$2:A674,A674,$E$2:E674,0)=1),L674,0)</f>
        <v>0</v>
      </c>
    </row>
    <row r="675" spans="1:13" ht="15" customHeight="1">
      <c r="A675" s="1">
        <v>7094</v>
      </c>
      <c r="B675" s="1" t="s">
        <v>16</v>
      </c>
      <c r="C675" s="2" t="s">
        <v>794</v>
      </c>
      <c r="D675" s="2" t="s">
        <v>802</v>
      </c>
      <c r="E675" s="1">
        <v>1</v>
      </c>
      <c r="F675" s="2" t="s">
        <v>814</v>
      </c>
      <c r="G675" s="1">
        <v>4</v>
      </c>
      <c r="H675" s="1" t="str">
        <f t="shared" si="10"/>
        <v>k7094_4</v>
      </c>
      <c r="K675" s="1">
        <f>IF(E675=0,SUMPRODUCT(($A$2:$A$4734=A675)*($B$2:$B$4734=B675)*($D$2:$D$4734=D675)*($E$2:$E$4734=0)),0)</f>
        <v>0</v>
      </c>
      <c r="L675" s="1" t="str">
        <f>IF(E675=0,SUMPRODUCT(MIN($K$2:$K$4734+((($A$2:$A$4734&lt;&gt;A675)+($E$2:$E$4734&lt;&gt;0))&gt;0)*1000000)),"")</f>
        <v/>
      </c>
      <c r="M675" s="1">
        <f>IF(AND(E675=0,COUNTIFS($A$2:A675,A675,$E$2:E675,0)=1),L675,0)</f>
        <v>0</v>
      </c>
    </row>
    <row r="676" spans="1:13" ht="15" customHeight="1">
      <c r="A676" s="1">
        <v>7094</v>
      </c>
      <c r="B676" s="1" t="s">
        <v>16</v>
      </c>
      <c r="C676" s="2" t="s">
        <v>794</v>
      </c>
      <c r="D676" s="2" t="s">
        <v>802</v>
      </c>
      <c r="E676" s="1">
        <v>1</v>
      </c>
      <c r="F676" s="2" t="s">
        <v>814</v>
      </c>
      <c r="G676" s="1">
        <v>5</v>
      </c>
      <c r="H676" s="1" t="str">
        <f t="shared" si="10"/>
        <v>k7094_5</v>
      </c>
      <c r="K676" s="1">
        <f>IF(E676=0,SUMPRODUCT(($A$2:$A$4734=A676)*($B$2:$B$4734=B676)*($D$2:$D$4734=D676)*($E$2:$E$4734=0)),0)</f>
        <v>0</v>
      </c>
      <c r="L676" s="1" t="str">
        <f>IF(E676=0,SUMPRODUCT(MIN($K$2:$K$4734+((($A$2:$A$4734&lt;&gt;A676)+($E$2:$E$4734&lt;&gt;0))&gt;0)*1000000)),"")</f>
        <v/>
      </c>
      <c r="M676" s="1">
        <f>IF(AND(E676=0,COUNTIFS($A$2:A676,A676,$E$2:E676,0)=1),L676,0)</f>
        <v>0</v>
      </c>
    </row>
    <row r="677" spans="1:13" ht="15" customHeight="1">
      <c r="A677" s="1">
        <v>7094</v>
      </c>
      <c r="B677" s="1" t="s">
        <v>16</v>
      </c>
      <c r="C677" s="2" t="s">
        <v>794</v>
      </c>
      <c r="D677" s="2" t="s">
        <v>802</v>
      </c>
      <c r="E677" s="1">
        <v>1</v>
      </c>
      <c r="F677" s="2" t="s">
        <v>815</v>
      </c>
      <c r="G677" s="1">
        <v>6</v>
      </c>
      <c r="H677" s="1" t="str">
        <f t="shared" si="10"/>
        <v>k7094_6</v>
      </c>
      <c r="K677" s="1">
        <f>IF(E677=0,SUMPRODUCT(($A$2:$A$4734=A677)*($B$2:$B$4734=B677)*($D$2:$D$4734=D677)*($E$2:$E$4734=0)),0)</f>
        <v>0</v>
      </c>
      <c r="L677" s="1" t="str">
        <f>IF(E677=0,SUMPRODUCT(MIN($K$2:$K$4734+((($A$2:$A$4734&lt;&gt;A677)+($E$2:$E$4734&lt;&gt;0))&gt;0)*1000000)),"")</f>
        <v/>
      </c>
      <c r="M677" s="1">
        <f>IF(AND(E677=0,COUNTIFS($A$2:A677,A677,$E$2:E677,0)=1),L677,0)</f>
        <v>0</v>
      </c>
    </row>
    <row r="678" spans="1:13" ht="15" customHeight="1">
      <c r="A678" s="1">
        <v>7096</v>
      </c>
      <c r="B678" s="1" t="s">
        <v>9</v>
      </c>
      <c r="C678" s="2" t="s">
        <v>816</v>
      </c>
      <c r="D678" s="2" t="s">
        <v>817</v>
      </c>
      <c r="E678" s="1">
        <v>0</v>
      </c>
      <c r="F678" s="2" t="s">
        <v>818</v>
      </c>
      <c r="H678" s="1" t="str">
        <f t="shared" si="10"/>
        <v/>
      </c>
      <c r="K678" s="1">
        <f>IF(E678=0,SUMPRODUCT(($A$2:$A$4734=A678)*($B$2:$B$4734=B678)*($D$2:$D$4734=D678)*($E$2:$E$4734=0)),0)</f>
        <v>3</v>
      </c>
      <c r="L678" s="1">
        <f>IF(E678=0,SUMPRODUCT(MIN($K$2:$K$4734+((($A$2:$A$4734&lt;&gt;A678)+($E$2:$E$4734&lt;&gt;0))&gt;0)*1000000)),"")</f>
        <v>3</v>
      </c>
      <c r="M678" s="1">
        <f>IF(AND(E678=0,COUNTIFS($A$2:A678,A678,$E$2:E678,0)=1),L678,0)</f>
        <v>3</v>
      </c>
    </row>
    <row r="679" spans="1:13" ht="15" customHeight="1">
      <c r="A679" s="1">
        <v>7096</v>
      </c>
      <c r="B679" s="1" t="s">
        <v>9</v>
      </c>
      <c r="C679" s="2" t="s">
        <v>816</v>
      </c>
      <c r="D679" s="2" t="s">
        <v>817</v>
      </c>
      <c r="E679" s="1">
        <v>0</v>
      </c>
      <c r="F679" s="2" t="s">
        <v>819</v>
      </c>
      <c r="H679" s="1" t="str">
        <f t="shared" si="10"/>
        <v/>
      </c>
      <c r="K679" s="1">
        <f>IF(E679=0,SUMPRODUCT(($A$2:$A$4734=A679)*($B$2:$B$4734=B679)*($D$2:$D$4734=D679)*($E$2:$E$4734=0)),0)</f>
        <v>3</v>
      </c>
      <c r="L679" s="1">
        <f>IF(E679=0,SUMPRODUCT(MIN($K$2:$K$4734+((($A$2:$A$4734&lt;&gt;A679)+($E$2:$E$4734&lt;&gt;0))&gt;0)*1000000)),"")</f>
        <v>3</v>
      </c>
      <c r="M679" s="1">
        <f>IF(AND(E679=0,COUNTIFS($A$2:A679,A679,$E$2:E679,0)=1),L679,0)</f>
        <v>0</v>
      </c>
    </row>
    <row r="680" spans="1:13" ht="15" customHeight="1">
      <c r="A680" s="1">
        <v>7096</v>
      </c>
      <c r="B680" s="1" t="s">
        <v>9</v>
      </c>
      <c r="C680" s="2" t="s">
        <v>816</v>
      </c>
      <c r="D680" s="2" t="s">
        <v>817</v>
      </c>
      <c r="E680" s="1">
        <v>0</v>
      </c>
      <c r="F680" s="2" t="s">
        <v>820</v>
      </c>
      <c r="H680" s="1" t="str">
        <f t="shared" si="10"/>
        <v/>
      </c>
      <c r="K680" s="1">
        <f>IF(E680=0,SUMPRODUCT(($A$2:$A$4734=A680)*($B$2:$B$4734=B680)*($D$2:$D$4734=D680)*($E$2:$E$4734=0)),0)</f>
        <v>3</v>
      </c>
      <c r="L680" s="1">
        <f>IF(E680=0,SUMPRODUCT(MIN($K$2:$K$4734+((($A$2:$A$4734&lt;&gt;A680)+($E$2:$E$4734&lt;&gt;0))&gt;0)*1000000)),"")</f>
        <v>3</v>
      </c>
      <c r="M680" s="1">
        <f>IF(AND(E680=0,COUNTIFS($A$2:A680,A680,$E$2:E680,0)=1),L680,0)</f>
        <v>0</v>
      </c>
    </row>
    <row r="681" spans="1:13" ht="15" customHeight="1">
      <c r="A681" s="1">
        <v>7097</v>
      </c>
      <c r="B681" s="1" t="s">
        <v>9</v>
      </c>
      <c r="C681" s="2" t="s">
        <v>821</v>
      </c>
      <c r="D681" s="2" t="s">
        <v>822</v>
      </c>
      <c r="E681" s="1">
        <v>1</v>
      </c>
      <c r="F681" s="2" t="s">
        <v>823</v>
      </c>
      <c r="G681" s="1">
        <v>1</v>
      </c>
      <c r="H681" s="1" t="str">
        <f t="shared" si="10"/>
        <v>k7097_1</v>
      </c>
      <c r="K681" s="1">
        <f>IF(E681=0,SUMPRODUCT(($A$2:$A$4734=A681)*($B$2:$B$4734=B681)*($D$2:$D$4734=D681)*($E$2:$E$4734=0)),0)</f>
        <v>0</v>
      </c>
      <c r="L681" s="1" t="str">
        <f>IF(E681=0,SUMPRODUCT(MIN($K$2:$K$4734+((($A$2:$A$4734&lt;&gt;A681)+($E$2:$E$4734&lt;&gt;0))&gt;0)*1000000)),"")</f>
        <v/>
      </c>
      <c r="M681" s="1">
        <f>IF(AND(E681=0,COUNTIFS($A$2:A681,A681,$E$2:E681,0)=1),L681,0)</f>
        <v>0</v>
      </c>
    </row>
    <row r="682" spans="1:13" ht="15" customHeight="1">
      <c r="A682" s="1">
        <v>7097</v>
      </c>
      <c r="B682" s="1" t="s">
        <v>9</v>
      </c>
      <c r="C682" s="2" t="s">
        <v>821</v>
      </c>
      <c r="D682" s="2" t="s">
        <v>822</v>
      </c>
      <c r="E682" s="1">
        <v>1</v>
      </c>
      <c r="F682" s="2" t="s">
        <v>824</v>
      </c>
      <c r="G682" s="1">
        <v>2</v>
      </c>
      <c r="H682" s="1" t="str">
        <f t="shared" si="10"/>
        <v>k7097_2</v>
      </c>
      <c r="K682" s="1">
        <f>IF(E682=0,SUMPRODUCT(($A$2:$A$4734=A682)*($B$2:$B$4734=B682)*($D$2:$D$4734=D682)*($E$2:$E$4734=0)),0)</f>
        <v>0</v>
      </c>
      <c r="L682" s="1" t="str">
        <f>IF(E682=0,SUMPRODUCT(MIN($K$2:$K$4734+((($A$2:$A$4734&lt;&gt;A682)+($E$2:$E$4734&lt;&gt;0))&gt;0)*1000000)),"")</f>
        <v/>
      </c>
      <c r="M682" s="1">
        <f>IF(AND(E682=0,COUNTIFS($A$2:A682,A682,$E$2:E682,0)=1),L682,0)</f>
        <v>0</v>
      </c>
    </row>
    <row r="683" spans="1:13" ht="15" customHeight="1">
      <c r="A683" s="1">
        <v>7097</v>
      </c>
      <c r="B683" s="1" t="s">
        <v>9</v>
      </c>
      <c r="C683" s="2" t="s">
        <v>821</v>
      </c>
      <c r="D683" s="2" t="s">
        <v>822</v>
      </c>
      <c r="E683" s="1">
        <v>1</v>
      </c>
      <c r="F683" s="2" t="s">
        <v>825</v>
      </c>
      <c r="G683" s="1">
        <v>3</v>
      </c>
      <c r="H683" s="1" t="str">
        <f t="shared" si="10"/>
        <v>k7097_3</v>
      </c>
      <c r="K683" s="1">
        <f>IF(E683=0,SUMPRODUCT(($A$2:$A$4734=A683)*($B$2:$B$4734=B683)*($D$2:$D$4734=D683)*($E$2:$E$4734=0)),0)</f>
        <v>0</v>
      </c>
      <c r="L683" s="1" t="str">
        <f>IF(E683=0,SUMPRODUCT(MIN($K$2:$K$4734+((($A$2:$A$4734&lt;&gt;A683)+($E$2:$E$4734&lt;&gt;0))&gt;0)*1000000)),"")</f>
        <v/>
      </c>
      <c r="M683" s="1">
        <f>IF(AND(E683=0,COUNTIFS($A$2:A683,A683,$E$2:E683,0)=1),L683,0)</f>
        <v>0</v>
      </c>
    </row>
    <row r="684" spans="1:13" ht="15" customHeight="1">
      <c r="A684" s="1">
        <v>7097</v>
      </c>
      <c r="B684" s="1" t="s">
        <v>9</v>
      </c>
      <c r="C684" s="2" t="s">
        <v>821</v>
      </c>
      <c r="D684" s="2" t="s">
        <v>822</v>
      </c>
      <c r="E684" s="1">
        <v>1</v>
      </c>
      <c r="F684" s="2" t="s">
        <v>826</v>
      </c>
      <c r="G684" s="1">
        <v>4</v>
      </c>
      <c r="H684" s="1" t="str">
        <f t="shared" si="10"/>
        <v>k7097_4</v>
      </c>
      <c r="K684" s="1">
        <f>IF(E684=0,SUMPRODUCT(($A$2:$A$4734=A684)*($B$2:$B$4734=B684)*($D$2:$D$4734=D684)*($E$2:$E$4734=0)),0)</f>
        <v>0</v>
      </c>
      <c r="L684" s="1" t="str">
        <f>IF(E684=0,SUMPRODUCT(MIN($K$2:$K$4734+((($A$2:$A$4734&lt;&gt;A684)+($E$2:$E$4734&lt;&gt;0))&gt;0)*1000000)),"")</f>
        <v/>
      </c>
      <c r="M684" s="1">
        <f>IF(AND(E684=0,COUNTIFS($A$2:A684,A684,$E$2:E684,0)=1),L684,0)</f>
        <v>0</v>
      </c>
    </row>
    <row r="685" spans="1:13" ht="15" customHeight="1">
      <c r="A685" s="1">
        <v>7097</v>
      </c>
      <c r="B685" s="1" t="s">
        <v>9</v>
      </c>
      <c r="C685" s="2" t="s">
        <v>821</v>
      </c>
      <c r="D685" s="2" t="s">
        <v>822</v>
      </c>
      <c r="E685" s="1">
        <v>1</v>
      </c>
      <c r="F685" s="2" t="s">
        <v>825</v>
      </c>
      <c r="G685" s="1">
        <v>5</v>
      </c>
      <c r="H685" s="1" t="str">
        <f t="shared" si="10"/>
        <v>k7097_5</v>
      </c>
      <c r="K685" s="1">
        <f>IF(E685=0,SUMPRODUCT(($A$2:$A$4734=A685)*($B$2:$B$4734=B685)*($D$2:$D$4734=D685)*($E$2:$E$4734=0)),0)</f>
        <v>0</v>
      </c>
      <c r="L685" s="1" t="str">
        <f>IF(E685=0,SUMPRODUCT(MIN($K$2:$K$4734+((($A$2:$A$4734&lt;&gt;A685)+($E$2:$E$4734&lt;&gt;0))&gt;0)*1000000)),"")</f>
        <v/>
      </c>
      <c r="M685" s="1">
        <f>IF(AND(E685=0,COUNTIFS($A$2:A685,A685,$E$2:E685,0)=1),L685,0)</f>
        <v>0</v>
      </c>
    </row>
    <row r="686" spans="1:13" ht="15" customHeight="1">
      <c r="A686" s="1">
        <v>7097</v>
      </c>
      <c r="B686" s="1" t="s">
        <v>9</v>
      </c>
      <c r="C686" s="2" t="s">
        <v>821</v>
      </c>
      <c r="D686" s="2" t="s">
        <v>822</v>
      </c>
      <c r="E686" s="1">
        <v>1</v>
      </c>
      <c r="F686" s="2" t="s">
        <v>826</v>
      </c>
      <c r="G686" s="1">
        <v>6</v>
      </c>
      <c r="H686" s="1" t="str">
        <f t="shared" si="10"/>
        <v>k7097_6</v>
      </c>
      <c r="K686" s="1">
        <f>IF(E686=0,SUMPRODUCT(($A$2:$A$4734=A686)*($B$2:$B$4734=B686)*($D$2:$D$4734=D686)*($E$2:$E$4734=0)),0)</f>
        <v>0</v>
      </c>
      <c r="L686" s="1" t="str">
        <f>IF(E686=0,SUMPRODUCT(MIN($K$2:$K$4734+((($A$2:$A$4734&lt;&gt;A686)+($E$2:$E$4734&lt;&gt;0))&gt;0)*1000000)),"")</f>
        <v/>
      </c>
      <c r="M686" s="1">
        <f>IF(AND(E686=0,COUNTIFS($A$2:A686,A686,$E$2:E686,0)=1),L686,0)</f>
        <v>0</v>
      </c>
    </row>
    <row r="687" spans="1:13" ht="15" customHeight="1">
      <c r="A687" s="1">
        <v>7097</v>
      </c>
      <c r="B687" s="1" t="s">
        <v>173</v>
      </c>
      <c r="C687" s="2" t="s">
        <v>821</v>
      </c>
      <c r="D687" s="2" t="s">
        <v>821</v>
      </c>
      <c r="E687" s="1">
        <v>1</v>
      </c>
      <c r="F687" s="2" t="s">
        <v>827</v>
      </c>
      <c r="G687" s="1">
        <v>1</v>
      </c>
      <c r="H687" s="1" t="str">
        <f t="shared" si="10"/>
        <v>k7097_1</v>
      </c>
      <c r="K687" s="1">
        <f>IF(E687=0,SUMPRODUCT(($A$2:$A$4734=A687)*($B$2:$B$4734=B687)*($D$2:$D$4734=D687)*($E$2:$E$4734=0)),0)</f>
        <v>0</v>
      </c>
      <c r="L687" s="1" t="str">
        <f>IF(E687=0,SUMPRODUCT(MIN($K$2:$K$4734+((($A$2:$A$4734&lt;&gt;A687)+($E$2:$E$4734&lt;&gt;0))&gt;0)*1000000)),"")</f>
        <v/>
      </c>
      <c r="M687" s="1">
        <f>IF(AND(E687=0,COUNTIFS($A$2:A687,A687,$E$2:E687,0)=1),L687,0)</f>
        <v>0</v>
      </c>
    </row>
    <row r="688" spans="1:13" ht="15" customHeight="1">
      <c r="A688" s="1">
        <v>7097</v>
      </c>
      <c r="B688" s="1" t="s">
        <v>173</v>
      </c>
      <c r="C688" s="2" t="s">
        <v>821</v>
      </c>
      <c r="D688" s="2" t="s">
        <v>821</v>
      </c>
      <c r="E688" s="1">
        <v>1</v>
      </c>
      <c r="F688" s="2" t="s">
        <v>828</v>
      </c>
      <c r="G688" s="1">
        <v>2</v>
      </c>
      <c r="H688" s="1" t="str">
        <f t="shared" si="10"/>
        <v>k7097_2</v>
      </c>
      <c r="K688" s="1">
        <f>IF(E688=0,SUMPRODUCT(($A$2:$A$4734=A688)*($B$2:$B$4734=B688)*($D$2:$D$4734=D688)*($E$2:$E$4734=0)),0)</f>
        <v>0</v>
      </c>
      <c r="L688" s="1" t="str">
        <f>IF(E688=0,SUMPRODUCT(MIN($K$2:$K$4734+((($A$2:$A$4734&lt;&gt;A688)+($E$2:$E$4734&lt;&gt;0))&gt;0)*1000000)),"")</f>
        <v/>
      </c>
      <c r="M688" s="1">
        <f>IF(AND(E688=0,COUNTIFS($A$2:A688,A688,$E$2:E688,0)=1),L688,0)</f>
        <v>0</v>
      </c>
    </row>
    <row r="689" spans="1:13" ht="15" customHeight="1">
      <c r="A689" s="1">
        <v>7097</v>
      </c>
      <c r="B689" s="1" t="s">
        <v>173</v>
      </c>
      <c r="C689" s="2" t="s">
        <v>821</v>
      </c>
      <c r="D689" s="2" t="s">
        <v>821</v>
      </c>
      <c r="E689" s="1">
        <v>1</v>
      </c>
      <c r="F689" s="2" t="s">
        <v>829</v>
      </c>
      <c r="G689" s="1">
        <v>3</v>
      </c>
      <c r="H689" s="1" t="str">
        <f t="shared" si="10"/>
        <v>k7097_3</v>
      </c>
      <c r="K689" s="1">
        <f>IF(E689=0,SUMPRODUCT(($A$2:$A$4734=A689)*($B$2:$B$4734=B689)*($D$2:$D$4734=D689)*($E$2:$E$4734=0)),0)</f>
        <v>0</v>
      </c>
      <c r="L689" s="1" t="str">
        <f>IF(E689=0,SUMPRODUCT(MIN($K$2:$K$4734+((($A$2:$A$4734&lt;&gt;A689)+($E$2:$E$4734&lt;&gt;0))&gt;0)*1000000)),"")</f>
        <v/>
      </c>
      <c r="M689" s="1">
        <f>IF(AND(E689=0,COUNTIFS($A$2:A689,A689,$E$2:E689,0)=1),L689,0)</f>
        <v>0</v>
      </c>
    </row>
    <row r="690" spans="1:13" ht="15" customHeight="1">
      <c r="A690" s="1">
        <v>7097</v>
      </c>
      <c r="B690" s="1" t="s">
        <v>173</v>
      </c>
      <c r="C690" s="2" t="s">
        <v>821</v>
      </c>
      <c r="D690" s="2" t="s">
        <v>821</v>
      </c>
      <c r="E690" s="1">
        <v>1</v>
      </c>
      <c r="F690" s="2" t="s">
        <v>830</v>
      </c>
      <c r="G690" s="1">
        <v>4</v>
      </c>
      <c r="H690" s="1" t="str">
        <f t="shared" si="10"/>
        <v>k7097_4</v>
      </c>
      <c r="K690" s="1">
        <f>IF(E690=0,SUMPRODUCT(($A$2:$A$4734=A690)*($B$2:$B$4734=B690)*($D$2:$D$4734=D690)*($E$2:$E$4734=0)),0)</f>
        <v>0</v>
      </c>
      <c r="L690" s="1" t="str">
        <f>IF(E690=0,SUMPRODUCT(MIN($K$2:$K$4734+((($A$2:$A$4734&lt;&gt;A690)+($E$2:$E$4734&lt;&gt;0))&gt;0)*1000000)),"")</f>
        <v/>
      </c>
      <c r="M690" s="1">
        <f>IF(AND(E690=0,COUNTIFS($A$2:A690,A690,$E$2:E690,0)=1),L690,0)</f>
        <v>0</v>
      </c>
    </row>
    <row r="691" spans="1:13" ht="15" customHeight="1">
      <c r="A691" s="1">
        <v>7097</v>
      </c>
      <c r="B691" s="1" t="s">
        <v>173</v>
      </c>
      <c r="C691" s="2" t="s">
        <v>821</v>
      </c>
      <c r="D691" s="2" t="s">
        <v>821</v>
      </c>
      <c r="E691" s="1">
        <v>1</v>
      </c>
      <c r="F691" s="2" t="s">
        <v>831</v>
      </c>
      <c r="G691" s="1">
        <v>5</v>
      </c>
      <c r="H691" s="1" t="str">
        <f t="shared" si="10"/>
        <v>k7097_5</v>
      </c>
      <c r="K691" s="1">
        <f>IF(E691=0,SUMPRODUCT(($A$2:$A$4734=A691)*($B$2:$B$4734=B691)*($D$2:$D$4734=D691)*($E$2:$E$4734=0)),0)</f>
        <v>0</v>
      </c>
      <c r="L691" s="1" t="str">
        <f>IF(E691=0,SUMPRODUCT(MIN($K$2:$K$4734+((($A$2:$A$4734&lt;&gt;A691)+($E$2:$E$4734&lt;&gt;0))&gt;0)*1000000)),"")</f>
        <v/>
      </c>
      <c r="M691" s="1">
        <f>IF(AND(E691=0,COUNTIFS($A$2:A691,A691,$E$2:E691,0)=1),L691,0)</f>
        <v>0</v>
      </c>
    </row>
    <row r="692" spans="1:13" ht="15" customHeight="1">
      <c r="A692" s="1">
        <v>7097</v>
      </c>
      <c r="B692" s="1" t="s">
        <v>173</v>
      </c>
      <c r="C692" s="2" t="s">
        <v>821</v>
      </c>
      <c r="D692" s="2" t="s">
        <v>821</v>
      </c>
      <c r="E692" s="1">
        <v>1</v>
      </c>
      <c r="F692" s="2" t="s">
        <v>832</v>
      </c>
      <c r="G692" s="1">
        <v>6</v>
      </c>
      <c r="H692" s="1" t="str">
        <f t="shared" si="10"/>
        <v>k7097_6</v>
      </c>
      <c r="K692" s="1">
        <f>IF(E692=0,SUMPRODUCT(($A$2:$A$4734=A692)*($B$2:$B$4734=B692)*($D$2:$D$4734=D692)*($E$2:$E$4734=0)),0)</f>
        <v>0</v>
      </c>
      <c r="L692" s="1" t="str">
        <f>IF(E692=0,SUMPRODUCT(MIN($K$2:$K$4734+((($A$2:$A$4734&lt;&gt;A692)+($E$2:$E$4734&lt;&gt;0))&gt;0)*1000000)),"")</f>
        <v/>
      </c>
      <c r="M692" s="1">
        <f>IF(AND(E692=0,COUNTIFS($A$2:A692,A692,$E$2:E692,0)=1),L692,0)</f>
        <v>0</v>
      </c>
    </row>
    <row r="693" spans="1:13" ht="15" customHeight="1">
      <c r="A693" s="1">
        <v>7098</v>
      </c>
      <c r="B693" s="1" t="s">
        <v>9</v>
      </c>
      <c r="C693" s="1" t="s">
        <v>833</v>
      </c>
      <c r="D693" s="2" t="s">
        <v>834</v>
      </c>
      <c r="E693" s="1">
        <v>0</v>
      </c>
      <c r="F693" s="2" t="s">
        <v>835</v>
      </c>
      <c r="H693" s="1" t="str">
        <f t="shared" ref="H693:H754" si="11">IF(OR(E693&lt;&gt;1,G693=""),"","k"&amp;A693&amp;"_"&amp;G693)</f>
        <v/>
      </c>
      <c r="K693" s="1">
        <f>IF(E693=0,SUMPRODUCT(($A$2:$A$4734=A693)*($B$2:$B$4734=B693)*($D$2:$D$4734=D693)*($E$2:$E$4734=0)),0)</f>
        <v>3</v>
      </c>
      <c r="L693" s="1">
        <f>IF(E693=0,SUMPRODUCT(MIN($K$2:$K$4734+((($A$2:$A$4734&lt;&gt;A693)+($E$2:$E$4734&lt;&gt;0))&gt;0)*1000000)),"")</f>
        <v>3</v>
      </c>
      <c r="M693" s="1">
        <f>IF(AND(E693=0,COUNTIFS($A$2:A693,A693,$E$2:E693,0)=1),L693,0)</f>
        <v>3</v>
      </c>
    </row>
    <row r="694" spans="1:13" ht="15" customHeight="1">
      <c r="A694" s="1">
        <v>7098</v>
      </c>
      <c r="B694" s="1" t="s">
        <v>9</v>
      </c>
      <c r="C694" s="1" t="s">
        <v>833</v>
      </c>
      <c r="D694" s="2" t="s">
        <v>834</v>
      </c>
      <c r="E694" s="1">
        <v>0</v>
      </c>
      <c r="F694" s="2" t="s">
        <v>836</v>
      </c>
      <c r="H694" s="1" t="str">
        <f t="shared" si="11"/>
        <v/>
      </c>
      <c r="K694" s="1">
        <f>IF(E694=0,SUMPRODUCT(($A$2:$A$4734=A694)*($B$2:$B$4734=B694)*($D$2:$D$4734=D694)*($E$2:$E$4734=0)),0)</f>
        <v>3</v>
      </c>
      <c r="L694" s="1">
        <f>IF(E694=0,SUMPRODUCT(MIN($K$2:$K$4734+((($A$2:$A$4734&lt;&gt;A694)+($E$2:$E$4734&lt;&gt;0))&gt;0)*1000000)),"")</f>
        <v>3</v>
      </c>
      <c r="M694" s="1">
        <f>IF(AND(E694=0,COUNTIFS($A$2:A694,A694,$E$2:E694,0)=1),L694,0)</f>
        <v>0</v>
      </c>
    </row>
    <row r="695" spans="1:13" ht="15" customHeight="1">
      <c r="A695" s="1">
        <v>7098</v>
      </c>
      <c r="B695" s="1" t="s">
        <v>9</v>
      </c>
      <c r="C695" s="1" t="s">
        <v>833</v>
      </c>
      <c r="D695" s="2" t="s">
        <v>834</v>
      </c>
      <c r="E695" s="1">
        <v>0</v>
      </c>
      <c r="F695" s="2" t="s">
        <v>837</v>
      </c>
      <c r="H695" s="1" t="str">
        <f t="shared" si="11"/>
        <v/>
      </c>
      <c r="K695" s="1">
        <f>IF(E695=0,SUMPRODUCT(($A$2:$A$4734=A695)*($B$2:$B$4734=B695)*($D$2:$D$4734=D695)*($E$2:$E$4734=0)),0)</f>
        <v>3</v>
      </c>
      <c r="L695" s="1">
        <f>IF(E695=0,SUMPRODUCT(MIN($K$2:$K$4734+((($A$2:$A$4734&lt;&gt;A695)+($E$2:$E$4734&lt;&gt;0))&gt;0)*1000000)),"")</f>
        <v>3</v>
      </c>
      <c r="M695" s="1">
        <f>IF(AND(E695=0,COUNTIFS($A$2:A695,A695,$E$2:E695,0)=1),L695,0)</f>
        <v>0</v>
      </c>
    </row>
    <row r="696" spans="1:13" ht="15" customHeight="1">
      <c r="A696" s="1">
        <v>7098</v>
      </c>
      <c r="B696" s="1" t="s">
        <v>9</v>
      </c>
      <c r="C696" s="1" t="s">
        <v>833</v>
      </c>
      <c r="D696" s="2" t="s">
        <v>838</v>
      </c>
      <c r="E696" s="1">
        <v>0</v>
      </c>
      <c r="F696" s="2" t="s">
        <v>839</v>
      </c>
      <c r="H696" s="1" t="str">
        <f t="shared" si="11"/>
        <v/>
      </c>
      <c r="K696" s="1">
        <f>IF(E696=0,SUMPRODUCT(($A$2:$A$4734=A696)*($B$2:$B$4734=B696)*($D$2:$D$4734=D696)*($E$2:$E$4734=0)),0)</f>
        <v>6</v>
      </c>
      <c r="L696" s="1">
        <f>IF(E696=0,SUMPRODUCT(MIN($K$2:$K$4734+((($A$2:$A$4734&lt;&gt;A696)+($E$2:$E$4734&lt;&gt;0))&gt;0)*1000000)),"")</f>
        <v>3</v>
      </c>
      <c r="M696" s="1">
        <f>IF(AND(E696=0,COUNTIFS($A$2:A696,A696,$E$2:E696,0)=1),L696,0)</f>
        <v>0</v>
      </c>
    </row>
    <row r="697" spans="1:13" ht="15" customHeight="1">
      <c r="A697" s="1">
        <v>7098</v>
      </c>
      <c r="B697" s="1" t="s">
        <v>9</v>
      </c>
      <c r="C697" s="1" t="s">
        <v>833</v>
      </c>
      <c r="D697" s="2" t="s">
        <v>838</v>
      </c>
      <c r="E697" s="1">
        <v>0</v>
      </c>
      <c r="F697" s="2" t="s">
        <v>840</v>
      </c>
      <c r="H697" s="1" t="str">
        <f t="shared" si="11"/>
        <v/>
      </c>
      <c r="K697" s="1">
        <f>IF(E697=0,SUMPRODUCT(($A$2:$A$4734=A697)*($B$2:$B$4734=B697)*($D$2:$D$4734=D697)*($E$2:$E$4734=0)),0)</f>
        <v>6</v>
      </c>
      <c r="L697" s="1">
        <f>IF(E697=0,SUMPRODUCT(MIN($K$2:$K$4734+((($A$2:$A$4734&lt;&gt;A697)+($E$2:$E$4734&lt;&gt;0))&gt;0)*1000000)),"")</f>
        <v>3</v>
      </c>
      <c r="M697" s="1">
        <f>IF(AND(E697=0,COUNTIFS($A$2:A697,A697,$E$2:E697,0)=1),L697,0)</f>
        <v>0</v>
      </c>
    </row>
    <row r="698" spans="1:13" ht="15" customHeight="1">
      <c r="A698" s="1">
        <v>7098</v>
      </c>
      <c r="B698" s="1" t="s">
        <v>9</v>
      </c>
      <c r="C698" s="1" t="s">
        <v>833</v>
      </c>
      <c r="D698" s="2" t="s">
        <v>838</v>
      </c>
      <c r="E698" s="1">
        <v>0</v>
      </c>
      <c r="F698" s="2" t="s">
        <v>841</v>
      </c>
      <c r="H698" s="1" t="str">
        <f t="shared" si="11"/>
        <v/>
      </c>
      <c r="K698" s="1">
        <f>IF(E698=0,SUMPRODUCT(($A$2:$A$4734=A698)*($B$2:$B$4734=B698)*($D$2:$D$4734=D698)*($E$2:$E$4734=0)),0)</f>
        <v>6</v>
      </c>
      <c r="L698" s="1">
        <f>IF(E698=0,SUMPRODUCT(MIN($K$2:$K$4734+((($A$2:$A$4734&lt;&gt;A698)+($E$2:$E$4734&lt;&gt;0))&gt;0)*1000000)),"")</f>
        <v>3</v>
      </c>
      <c r="M698" s="1">
        <f>IF(AND(E698=0,COUNTIFS($A$2:A698,A698,$E$2:E698,0)=1),L698,0)</f>
        <v>0</v>
      </c>
    </row>
    <row r="699" spans="1:13" ht="15" customHeight="1">
      <c r="A699" s="1">
        <v>7098</v>
      </c>
      <c r="B699" s="1" t="s">
        <v>9</v>
      </c>
      <c r="C699" s="1" t="s">
        <v>833</v>
      </c>
      <c r="D699" s="2" t="s">
        <v>838</v>
      </c>
      <c r="E699" s="1">
        <v>0</v>
      </c>
      <c r="F699" s="2" t="s">
        <v>842</v>
      </c>
      <c r="H699" s="1" t="str">
        <f t="shared" si="11"/>
        <v/>
      </c>
      <c r="K699" s="1">
        <f>IF(E699=0,SUMPRODUCT(($A$2:$A$4734=A699)*($B$2:$B$4734=B699)*($D$2:$D$4734=D699)*($E$2:$E$4734=0)),0)</f>
        <v>6</v>
      </c>
      <c r="L699" s="1">
        <f>IF(E699=0,SUMPRODUCT(MIN($K$2:$K$4734+((($A$2:$A$4734&lt;&gt;A699)+($E$2:$E$4734&lt;&gt;0))&gt;0)*1000000)),"")</f>
        <v>3</v>
      </c>
      <c r="M699" s="1">
        <f>IF(AND(E699=0,COUNTIFS($A$2:A699,A699,$E$2:E699,0)=1),L699,0)</f>
        <v>0</v>
      </c>
    </row>
    <row r="700" spans="1:13" ht="15" customHeight="1">
      <c r="A700" s="1">
        <v>7098</v>
      </c>
      <c r="B700" s="1" t="s">
        <v>9</v>
      </c>
      <c r="C700" s="1" t="s">
        <v>833</v>
      </c>
      <c r="D700" s="2" t="s">
        <v>838</v>
      </c>
      <c r="E700" s="1">
        <v>0</v>
      </c>
      <c r="F700" s="2" t="s">
        <v>843</v>
      </c>
      <c r="H700" s="1" t="str">
        <f t="shared" si="11"/>
        <v/>
      </c>
      <c r="K700" s="1">
        <f>IF(E700=0,SUMPRODUCT(($A$2:$A$4734=A700)*($B$2:$B$4734=B700)*($D$2:$D$4734=D700)*($E$2:$E$4734=0)),0)</f>
        <v>6</v>
      </c>
      <c r="L700" s="1">
        <f>IF(E700=0,SUMPRODUCT(MIN($K$2:$K$4734+((($A$2:$A$4734&lt;&gt;A700)+($E$2:$E$4734&lt;&gt;0))&gt;0)*1000000)),"")</f>
        <v>3</v>
      </c>
      <c r="M700" s="1">
        <f>IF(AND(E700=0,COUNTIFS($A$2:A700,A700,$E$2:E700,0)=1),L700,0)</f>
        <v>0</v>
      </c>
    </row>
    <row r="701" spans="1:13" ht="15" customHeight="1">
      <c r="A701" s="1">
        <v>7098</v>
      </c>
      <c r="B701" s="1" t="s">
        <v>9</v>
      </c>
      <c r="C701" s="1" t="s">
        <v>833</v>
      </c>
      <c r="D701" s="2" t="s">
        <v>838</v>
      </c>
      <c r="E701" s="1">
        <v>0</v>
      </c>
      <c r="F701" s="2" t="s">
        <v>844</v>
      </c>
      <c r="H701" s="1" t="str">
        <f t="shared" si="11"/>
        <v/>
      </c>
      <c r="K701" s="1">
        <f>IF(E701=0,SUMPRODUCT(($A$2:$A$4734=A701)*($B$2:$B$4734=B701)*($D$2:$D$4734=D701)*($E$2:$E$4734=0)),0)</f>
        <v>6</v>
      </c>
      <c r="L701" s="1">
        <f>IF(E701=0,SUMPRODUCT(MIN($K$2:$K$4734+((($A$2:$A$4734&lt;&gt;A701)+($E$2:$E$4734&lt;&gt;0))&gt;0)*1000000)),"")</f>
        <v>3</v>
      </c>
      <c r="M701" s="1">
        <f>IF(AND(E701=0,COUNTIFS($A$2:A701,A701,$E$2:E701,0)=1),L701,0)</f>
        <v>0</v>
      </c>
    </row>
    <row r="702" spans="1:13" ht="15" customHeight="1">
      <c r="A702" s="1">
        <v>7099</v>
      </c>
      <c r="B702" s="1" t="s">
        <v>9</v>
      </c>
      <c r="C702" s="2" t="s">
        <v>845</v>
      </c>
      <c r="D702" s="2" t="s">
        <v>846</v>
      </c>
      <c r="E702" s="1">
        <v>1</v>
      </c>
      <c r="F702" s="2" t="s">
        <v>847</v>
      </c>
      <c r="G702" s="1">
        <v>1</v>
      </c>
      <c r="H702" s="1" t="str">
        <f t="shared" si="11"/>
        <v>k7099_1</v>
      </c>
      <c r="K702" s="1">
        <f>IF(E702=0,SUMPRODUCT(($A$2:$A$4734=A702)*($B$2:$B$4734=B702)*($D$2:$D$4734=D702)*($E$2:$E$4734=0)),0)</f>
        <v>0</v>
      </c>
      <c r="L702" s="1" t="str">
        <f>IF(E702=0,SUMPRODUCT(MIN($K$2:$K$4734+((($A$2:$A$4734&lt;&gt;A702)+($E$2:$E$4734&lt;&gt;0))&gt;0)*1000000)),"")</f>
        <v/>
      </c>
      <c r="M702" s="1">
        <f>IF(AND(E702=0,COUNTIFS($A$2:A702,A702,$E$2:E702,0)=1),L702,0)</f>
        <v>0</v>
      </c>
    </row>
    <row r="703" spans="1:13" ht="15" customHeight="1">
      <c r="A703" s="1">
        <v>7099</v>
      </c>
      <c r="B703" s="1" t="s">
        <v>9</v>
      </c>
      <c r="C703" s="2" t="s">
        <v>845</v>
      </c>
      <c r="D703" s="2" t="s">
        <v>846</v>
      </c>
      <c r="E703" s="1">
        <v>1</v>
      </c>
      <c r="F703" s="2" t="s">
        <v>848</v>
      </c>
      <c r="G703" s="1">
        <v>2</v>
      </c>
      <c r="H703" s="1" t="str">
        <f t="shared" si="11"/>
        <v>k7099_2</v>
      </c>
      <c r="K703" s="1">
        <f>IF(E703=0,SUMPRODUCT(($A$2:$A$4734=A703)*($B$2:$B$4734=B703)*($D$2:$D$4734=D703)*($E$2:$E$4734=0)),0)</f>
        <v>0</v>
      </c>
      <c r="L703" s="1" t="str">
        <f>IF(E703=0,SUMPRODUCT(MIN($K$2:$K$4734+((($A$2:$A$4734&lt;&gt;A703)+($E$2:$E$4734&lt;&gt;0))&gt;0)*1000000)),"")</f>
        <v/>
      </c>
      <c r="M703" s="1">
        <f>IF(AND(E703=0,COUNTIFS($A$2:A703,A703,$E$2:E703,0)=1),L703,0)</f>
        <v>0</v>
      </c>
    </row>
    <row r="704" spans="1:13" ht="15" customHeight="1">
      <c r="A704" s="1">
        <v>7099</v>
      </c>
      <c r="B704" s="1" t="s">
        <v>9</v>
      </c>
      <c r="C704" s="2" t="s">
        <v>845</v>
      </c>
      <c r="D704" s="2" t="s">
        <v>846</v>
      </c>
      <c r="E704" s="1">
        <v>1</v>
      </c>
      <c r="F704" s="2" t="s">
        <v>849</v>
      </c>
      <c r="G704" s="1">
        <v>3</v>
      </c>
      <c r="H704" s="1" t="str">
        <f t="shared" si="11"/>
        <v>k7099_3</v>
      </c>
      <c r="K704" s="1">
        <f>IF(E704=0,SUMPRODUCT(($A$2:$A$4734=A704)*($B$2:$B$4734=B704)*($D$2:$D$4734=D704)*($E$2:$E$4734=0)),0)</f>
        <v>0</v>
      </c>
      <c r="L704" s="1" t="str">
        <f>IF(E704=0,SUMPRODUCT(MIN($K$2:$K$4734+((($A$2:$A$4734&lt;&gt;A704)+($E$2:$E$4734&lt;&gt;0))&gt;0)*1000000)),"")</f>
        <v/>
      </c>
      <c r="M704" s="1">
        <f>IF(AND(E704=0,COUNTIFS($A$2:A704,A704,$E$2:E704,0)=1),L704,0)</f>
        <v>0</v>
      </c>
    </row>
    <row r="705" spans="1:13" ht="15" customHeight="1">
      <c r="A705" s="1">
        <v>7099</v>
      </c>
      <c r="B705" s="1" t="s">
        <v>9</v>
      </c>
      <c r="C705" s="2" t="s">
        <v>845</v>
      </c>
      <c r="D705" s="2" t="s">
        <v>846</v>
      </c>
      <c r="E705" s="1">
        <v>1</v>
      </c>
      <c r="F705" s="2" t="s">
        <v>850</v>
      </c>
      <c r="G705" s="1">
        <v>4</v>
      </c>
      <c r="H705" s="1" t="str">
        <f t="shared" si="11"/>
        <v>k7099_4</v>
      </c>
      <c r="K705" s="1">
        <f>IF(E705=0,SUMPRODUCT(($A$2:$A$4734=A705)*($B$2:$B$4734=B705)*($D$2:$D$4734=D705)*($E$2:$E$4734=0)),0)</f>
        <v>0</v>
      </c>
      <c r="L705" s="1" t="str">
        <f>IF(E705=0,SUMPRODUCT(MIN($K$2:$K$4734+((($A$2:$A$4734&lt;&gt;A705)+($E$2:$E$4734&lt;&gt;0))&gt;0)*1000000)),"")</f>
        <v/>
      </c>
      <c r="M705" s="1">
        <f>IF(AND(E705=0,COUNTIFS($A$2:A705,A705,$E$2:E705,0)=1),L705,0)</f>
        <v>0</v>
      </c>
    </row>
    <row r="706" spans="1:13" ht="15" customHeight="1">
      <c r="A706" s="1">
        <v>7099</v>
      </c>
      <c r="B706" s="1" t="s">
        <v>144</v>
      </c>
      <c r="C706" s="2" t="s">
        <v>845</v>
      </c>
      <c r="D706" s="2" t="s">
        <v>845</v>
      </c>
      <c r="E706" s="1">
        <v>1</v>
      </c>
      <c r="F706" s="2" t="s">
        <v>851</v>
      </c>
      <c r="G706" s="1">
        <v>1</v>
      </c>
      <c r="H706" s="1" t="str">
        <f t="shared" si="11"/>
        <v>k7099_1</v>
      </c>
      <c r="K706" s="1">
        <f>IF(E706=0,SUMPRODUCT(($A$2:$A$4734=A706)*($B$2:$B$4734=B706)*($D$2:$D$4734=D706)*($E$2:$E$4734=0)),0)</f>
        <v>0</v>
      </c>
      <c r="L706" s="1" t="str">
        <f>IF(E706=0,SUMPRODUCT(MIN($K$2:$K$4734+((($A$2:$A$4734&lt;&gt;A706)+($E$2:$E$4734&lt;&gt;0))&gt;0)*1000000)),"")</f>
        <v/>
      </c>
      <c r="M706" s="1">
        <f>IF(AND(E706=0,COUNTIFS($A$2:A706,A706,$E$2:E706,0)=1),L706,0)</f>
        <v>0</v>
      </c>
    </row>
    <row r="707" spans="1:13" ht="15" customHeight="1">
      <c r="A707" s="1">
        <v>7099</v>
      </c>
      <c r="B707" s="1" t="s">
        <v>144</v>
      </c>
      <c r="C707" s="2" t="s">
        <v>845</v>
      </c>
      <c r="D707" s="2" t="s">
        <v>845</v>
      </c>
      <c r="E707" s="1">
        <v>1</v>
      </c>
      <c r="F707" s="2" t="s">
        <v>852</v>
      </c>
      <c r="G707" s="1">
        <v>2</v>
      </c>
      <c r="H707" s="1" t="str">
        <f t="shared" si="11"/>
        <v>k7099_2</v>
      </c>
      <c r="K707" s="1">
        <f>IF(E707=0,SUMPRODUCT(($A$2:$A$4734=A707)*($B$2:$B$4734=B707)*($D$2:$D$4734=D707)*($E$2:$E$4734=0)),0)</f>
        <v>0</v>
      </c>
      <c r="L707" s="1" t="str">
        <f>IF(E707=0,SUMPRODUCT(MIN($K$2:$K$4734+((($A$2:$A$4734&lt;&gt;A707)+($E$2:$E$4734&lt;&gt;0))&gt;0)*1000000)),"")</f>
        <v/>
      </c>
      <c r="M707" s="1">
        <f>IF(AND(E707=0,COUNTIFS($A$2:A707,A707,$E$2:E707,0)=1),L707,0)</f>
        <v>0</v>
      </c>
    </row>
    <row r="708" spans="1:13" ht="15" customHeight="1">
      <c r="A708" s="1">
        <v>7099</v>
      </c>
      <c r="B708" s="1" t="s">
        <v>144</v>
      </c>
      <c r="C708" s="2" t="s">
        <v>845</v>
      </c>
      <c r="D708" s="2" t="s">
        <v>845</v>
      </c>
      <c r="E708" s="1">
        <v>1</v>
      </c>
      <c r="F708" s="2" t="s">
        <v>853</v>
      </c>
      <c r="G708" s="1">
        <v>3</v>
      </c>
      <c r="H708" s="1" t="str">
        <f t="shared" si="11"/>
        <v>k7099_3</v>
      </c>
      <c r="K708" s="1">
        <f>IF(E708=0,SUMPRODUCT(($A$2:$A$4734=A708)*($B$2:$B$4734=B708)*($D$2:$D$4734=D708)*($E$2:$E$4734=0)),0)</f>
        <v>0</v>
      </c>
      <c r="L708" s="1" t="str">
        <f>IF(E708=0,SUMPRODUCT(MIN($K$2:$K$4734+((($A$2:$A$4734&lt;&gt;A708)+($E$2:$E$4734&lt;&gt;0))&gt;0)*1000000)),"")</f>
        <v/>
      </c>
      <c r="M708" s="1">
        <f>IF(AND(E708=0,COUNTIFS($A$2:A708,A708,$E$2:E708,0)=1),L708,0)</f>
        <v>0</v>
      </c>
    </row>
    <row r="709" spans="1:13" ht="15" customHeight="1">
      <c r="A709" s="1">
        <v>7099</v>
      </c>
      <c r="B709" s="1" t="s">
        <v>144</v>
      </c>
      <c r="C709" s="2" t="s">
        <v>845</v>
      </c>
      <c r="D709" s="2" t="s">
        <v>845</v>
      </c>
      <c r="E709" s="1">
        <v>1</v>
      </c>
      <c r="F709" s="2" t="s">
        <v>854</v>
      </c>
      <c r="G709" s="1">
        <v>4</v>
      </c>
      <c r="H709" s="1" t="str">
        <f t="shared" si="11"/>
        <v>k7099_4</v>
      </c>
      <c r="K709" s="1">
        <f>IF(E709=0,SUMPRODUCT(($A$2:$A$4734=A709)*($B$2:$B$4734=B709)*($D$2:$D$4734=D709)*($E$2:$E$4734=0)),0)</f>
        <v>0</v>
      </c>
      <c r="L709" s="1" t="str">
        <f>IF(E709=0,SUMPRODUCT(MIN($K$2:$K$4734+((($A$2:$A$4734&lt;&gt;A709)+($E$2:$E$4734&lt;&gt;0))&gt;0)*1000000)),"")</f>
        <v/>
      </c>
      <c r="M709" s="1">
        <f>IF(AND(E709=0,COUNTIFS($A$2:A709,A709,$E$2:E709,0)=1),L709,0)</f>
        <v>0</v>
      </c>
    </row>
    <row r="710" spans="1:13" ht="15" customHeight="1">
      <c r="A710" s="1">
        <v>7099</v>
      </c>
      <c r="B710" s="1" t="s">
        <v>69</v>
      </c>
      <c r="C710" s="2" t="s">
        <v>845</v>
      </c>
      <c r="D710" s="2" t="s">
        <v>855</v>
      </c>
      <c r="E710" s="1">
        <v>1</v>
      </c>
      <c r="F710" s="2" t="s">
        <v>856</v>
      </c>
      <c r="G710" s="1">
        <v>1</v>
      </c>
      <c r="H710" s="1" t="str">
        <f t="shared" si="11"/>
        <v>k7099_1</v>
      </c>
      <c r="K710" s="1">
        <f>IF(E710=0,SUMPRODUCT(($A$2:$A$4734=A710)*($B$2:$B$4734=B710)*($D$2:$D$4734=D710)*($E$2:$E$4734=0)),0)</f>
        <v>0</v>
      </c>
      <c r="L710" s="1" t="str">
        <f>IF(E710=0,SUMPRODUCT(MIN($K$2:$K$4734+((($A$2:$A$4734&lt;&gt;A710)+($E$2:$E$4734&lt;&gt;0))&gt;0)*1000000)),"")</f>
        <v/>
      </c>
      <c r="M710" s="1">
        <f>IF(AND(E710=0,COUNTIFS($A$2:A710,A710,$E$2:E710,0)=1),L710,0)</f>
        <v>0</v>
      </c>
    </row>
    <row r="711" spans="1:13" ht="15" customHeight="1">
      <c r="A711" s="1">
        <v>7099</v>
      </c>
      <c r="B711" s="1" t="s">
        <v>69</v>
      </c>
      <c r="C711" s="2" t="s">
        <v>845</v>
      </c>
      <c r="D711" s="2" t="s">
        <v>855</v>
      </c>
      <c r="E711" s="1">
        <v>1</v>
      </c>
      <c r="F711" s="2" t="s">
        <v>857</v>
      </c>
      <c r="G711" s="1">
        <v>2</v>
      </c>
      <c r="H711" s="1" t="str">
        <f t="shared" si="11"/>
        <v>k7099_2</v>
      </c>
      <c r="K711" s="1">
        <f>IF(E711=0,SUMPRODUCT(($A$2:$A$4734=A711)*($B$2:$B$4734=B711)*($D$2:$D$4734=D711)*($E$2:$E$4734=0)),0)</f>
        <v>0</v>
      </c>
      <c r="L711" s="1" t="str">
        <f>IF(E711=0,SUMPRODUCT(MIN($K$2:$K$4734+((($A$2:$A$4734&lt;&gt;A711)+($E$2:$E$4734&lt;&gt;0))&gt;0)*1000000)),"")</f>
        <v/>
      </c>
      <c r="M711" s="1">
        <f>IF(AND(E711=0,COUNTIFS($A$2:A711,A711,$E$2:E711,0)=1),L711,0)</f>
        <v>0</v>
      </c>
    </row>
    <row r="712" spans="1:13" ht="15" customHeight="1">
      <c r="A712" s="1">
        <v>7099</v>
      </c>
      <c r="B712" s="1" t="s">
        <v>69</v>
      </c>
      <c r="C712" s="2" t="s">
        <v>845</v>
      </c>
      <c r="D712" s="2" t="s">
        <v>855</v>
      </c>
      <c r="E712" s="1">
        <v>1</v>
      </c>
      <c r="F712" s="2" t="s">
        <v>858</v>
      </c>
      <c r="G712" s="1">
        <v>3</v>
      </c>
      <c r="H712" s="1" t="str">
        <f t="shared" si="11"/>
        <v>k7099_3</v>
      </c>
      <c r="K712" s="1">
        <f>IF(E712=0,SUMPRODUCT(($A$2:$A$4734=A712)*($B$2:$B$4734=B712)*($D$2:$D$4734=D712)*($E$2:$E$4734=0)),0)</f>
        <v>0</v>
      </c>
      <c r="L712" s="1" t="str">
        <f>IF(E712=0,SUMPRODUCT(MIN($K$2:$K$4734+((($A$2:$A$4734&lt;&gt;A712)+($E$2:$E$4734&lt;&gt;0))&gt;0)*1000000)),"")</f>
        <v/>
      </c>
      <c r="M712" s="1">
        <f>IF(AND(E712=0,COUNTIFS($A$2:A712,A712,$E$2:E712,0)=1),L712,0)</f>
        <v>0</v>
      </c>
    </row>
    <row r="713" spans="1:13" ht="15" customHeight="1">
      <c r="A713" s="1">
        <v>7099</v>
      </c>
      <c r="B713" s="1" t="s">
        <v>69</v>
      </c>
      <c r="C713" s="2" t="s">
        <v>845</v>
      </c>
      <c r="D713" s="2" t="s">
        <v>855</v>
      </c>
      <c r="E713" s="1">
        <v>1</v>
      </c>
      <c r="F713" s="2" t="s">
        <v>859</v>
      </c>
      <c r="G713" s="1">
        <v>4</v>
      </c>
      <c r="H713" s="1" t="str">
        <f t="shared" si="11"/>
        <v>k7099_4</v>
      </c>
      <c r="K713" s="1">
        <f>IF(E713=0,SUMPRODUCT(($A$2:$A$4734=A713)*($B$2:$B$4734=B713)*($D$2:$D$4734=D713)*($E$2:$E$4734=0)),0)</f>
        <v>0</v>
      </c>
      <c r="L713" s="1" t="str">
        <f>IF(E713=0,SUMPRODUCT(MIN($K$2:$K$4734+((($A$2:$A$4734&lt;&gt;A713)+($E$2:$E$4734&lt;&gt;0))&gt;0)*1000000)),"")</f>
        <v/>
      </c>
      <c r="M713" s="1">
        <f>IF(AND(E713=0,COUNTIFS($A$2:A713,A713,$E$2:E713,0)=1),L713,0)</f>
        <v>0</v>
      </c>
    </row>
    <row r="714" spans="1:13" ht="15" customHeight="1">
      <c r="A714" s="1">
        <v>7100</v>
      </c>
      <c r="B714" s="1" t="s">
        <v>16</v>
      </c>
      <c r="C714" s="2" t="s">
        <v>860</v>
      </c>
      <c r="D714" s="2" t="s">
        <v>861</v>
      </c>
      <c r="E714" s="1">
        <v>1</v>
      </c>
      <c r="F714" s="2" t="s">
        <v>862</v>
      </c>
      <c r="G714" s="1">
        <v>1</v>
      </c>
      <c r="H714" s="1" t="str">
        <f t="shared" si="11"/>
        <v>k7100_1</v>
      </c>
      <c r="K714" s="1">
        <f>IF(E714=0,SUMPRODUCT(($A$2:$A$4734=A714)*($B$2:$B$4734=B714)*($D$2:$D$4734=D714)*($E$2:$E$4734=0)),0)</f>
        <v>0</v>
      </c>
      <c r="L714" s="1" t="str">
        <f>IF(E714=0,SUMPRODUCT(MIN($K$2:$K$4734+((($A$2:$A$4734&lt;&gt;A714)+($E$2:$E$4734&lt;&gt;0))&gt;0)*1000000)),"")</f>
        <v/>
      </c>
      <c r="M714" s="1">
        <f>IF(AND(E714=0,COUNTIFS($A$2:A714,A714,$E$2:E714,0)=1),L714,0)</f>
        <v>0</v>
      </c>
    </row>
    <row r="715" spans="1:13" ht="15" customHeight="1">
      <c r="A715" s="1">
        <v>7100</v>
      </c>
      <c r="B715" s="1" t="s">
        <v>16</v>
      </c>
      <c r="C715" s="2" t="s">
        <v>860</v>
      </c>
      <c r="D715" s="2" t="s">
        <v>861</v>
      </c>
      <c r="E715" s="1">
        <v>1</v>
      </c>
      <c r="F715" s="2" t="s">
        <v>863</v>
      </c>
      <c r="G715" s="1">
        <v>2</v>
      </c>
      <c r="H715" s="1" t="str">
        <f t="shared" si="11"/>
        <v>k7100_2</v>
      </c>
      <c r="K715" s="1">
        <f>IF(E715=0,SUMPRODUCT(($A$2:$A$4734=A715)*($B$2:$B$4734=B715)*($D$2:$D$4734=D715)*($E$2:$E$4734=0)),0)</f>
        <v>0</v>
      </c>
      <c r="L715" s="1" t="str">
        <f>IF(E715=0,SUMPRODUCT(MIN($K$2:$K$4734+((($A$2:$A$4734&lt;&gt;A715)+($E$2:$E$4734&lt;&gt;0))&gt;0)*1000000)),"")</f>
        <v/>
      </c>
      <c r="M715" s="1">
        <f>IF(AND(E715=0,COUNTIFS($A$2:A715,A715,$E$2:E715,0)=1),L715,0)</f>
        <v>0</v>
      </c>
    </row>
    <row r="716" spans="1:13" ht="15" customHeight="1">
      <c r="A716" s="1">
        <v>7100</v>
      </c>
      <c r="B716" s="1" t="s">
        <v>16</v>
      </c>
      <c r="C716" s="2" t="s">
        <v>860</v>
      </c>
      <c r="D716" s="2" t="s">
        <v>861</v>
      </c>
      <c r="E716" s="1">
        <v>1</v>
      </c>
      <c r="F716" s="2" t="s">
        <v>864</v>
      </c>
      <c r="G716" s="1">
        <v>3</v>
      </c>
      <c r="H716" s="1" t="str">
        <f t="shared" si="11"/>
        <v>k7100_3</v>
      </c>
      <c r="K716" s="1">
        <f>IF(E716=0,SUMPRODUCT(($A$2:$A$4734=A716)*($B$2:$B$4734=B716)*($D$2:$D$4734=D716)*($E$2:$E$4734=0)),0)</f>
        <v>0</v>
      </c>
      <c r="L716" s="1" t="str">
        <f>IF(E716=0,SUMPRODUCT(MIN($K$2:$K$4734+((($A$2:$A$4734&lt;&gt;A716)+($E$2:$E$4734&lt;&gt;0))&gt;0)*1000000)),"")</f>
        <v/>
      </c>
      <c r="M716" s="1">
        <f>IF(AND(E716=0,COUNTIFS($A$2:A716,A716,$E$2:E716,0)=1),L716,0)</f>
        <v>0</v>
      </c>
    </row>
    <row r="717" spans="1:13" ht="15" customHeight="1">
      <c r="A717" s="1">
        <v>7100</v>
      </c>
      <c r="B717" s="1" t="s">
        <v>16</v>
      </c>
      <c r="C717" s="2" t="s">
        <v>860</v>
      </c>
      <c r="D717" s="2" t="s">
        <v>861</v>
      </c>
      <c r="E717" s="1">
        <v>1</v>
      </c>
      <c r="F717" s="2" t="s">
        <v>865</v>
      </c>
      <c r="G717" s="1">
        <v>4</v>
      </c>
      <c r="H717" s="1" t="str">
        <f t="shared" si="11"/>
        <v>k7100_4</v>
      </c>
      <c r="K717" s="1">
        <f>IF(E717=0,SUMPRODUCT(($A$2:$A$4734=A717)*($B$2:$B$4734=B717)*($D$2:$D$4734=D717)*($E$2:$E$4734=0)),0)</f>
        <v>0</v>
      </c>
      <c r="L717" s="1" t="str">
        <f>IF(E717=0,SUMPRODUCT(MIN($K$2:$K$4734+((($A$2:$A$4734&lt;&gt;A717)+($E$2:$E$4734&lt;&gt;0))&gt;0)*1000000)),"")</f>
        <v/>
      </c>
      <c r="M717" s="1">
        <f>IF(AND(E717=0,COUNTIFS($A$2:A717,A717,$E$2:E717,0)=1),L717,0)</f>
        <v>0</v>
      </c>
    </row>
    <row r="718" spans="1:13" ht="15" customHeight="1">
      <c r="A718" s="1">
        <v>7100</v>
      </c>
      <c r="B718" s="1" t="s">
        <v>16</v>
      </c>
      <c r="C718" s="2" t="s">
        <v>860</v>
      </c>
      <c r="D718" s="2" t="s">
        <v>861</v>
      </c>
      <c r="E718" s="1">
        <v>1</v>
      </c>
      <c r="F718" s="2" t="s">
        <v>866</v>
      </c>
      <c r="G718" s="1">
        <v>5</v>
      </c>
      <c r="H718" s="1" t="str">
        <f t="shared" si="11"/>
        <v>k7100_5</v>
      </c>
      <c r="K718" s="1">
        <f>IF(E718=0,SUMPRODUCT(($A$2:$A$4734=A718)*($B$2:$B$4734=B718)*($D$2:$D$4734=D718)*($E$2:$E$4734=0)),0)</f>
        <v>0</v>
      </c>
      <c r="L718" s="1" t="str">
        <f>IF(E718=0,SUMPRODUCT(MIN($K$2:$K$4734+((($A$2:$A$4734&lt;&gt;A718)+($E$2:$E$4734&lt;&gt;0))&gt;0)*1000000)),"")</f>
        <v/>
      </c>
      <c r="M718" s="1">
        <f>IF(AND(E718=0,COUNTIFS($A$2:A718,A718,$E$2:E718,0)=1),L718,0)</f>
        <v>0</v>
      </c>
    </row>
    <row r="719" spans="1:13" ht="15" customHeight="1">
      <c r="A719" s="1">
        <v>7100</v>
      </c>
      <c r="B719" s="1" t="s">
        <v>16</v>
      </c>
      <c r="C719" s="2" t="s">
        <v>860</v>
      </c>
      <c r="D719" s="2" t="s">
        <v>861</v>
      </c>
      <c r="E719" s="1">
        <v>1</v>
      </c>
      <c r="F719" s="2" t="s">
        <v>866</v>
      </c>
      <c r="G719" s="1">
        <v>6</v>
      </c>
      <c r="H719" s="1" t="str">
        <f t="shared" si="11"/>
        <v>k7100_6</v>
      </c>
      <c r="K719" s="1">
        <f>IF(E719=0,SUMPRODUCT(($A$2:$A$4734=A719)*($B$2:$B$4734=B719)*($D$2:$D$4734=D719)*($E$2:$E$4734=0)),0)</f>
        <v>0</v>
      </c>
      <c r="L719" s="1" t="str">
        <f>IF(E719=0,SUMPRODUCT(MIN($K$2:$K$4734+((($A$2:$A$4734&lt;&gt;A719)+($E$2:$E$4734&lt;&gt;0))&gt;0)*1000000)),"")</f>
        <v/>
      </c>
      <c r="M719" s="1">
        <f>IF(AND(E719=0,COUNTIFS($A$2:A719,A719,$E$2:E719,0)=1),L719,0)</f>
        <v>0</v>
      </c>
    </row>
    <row r="720" spans="1:13" ht="15" customHeight="1">
      <c r="A720" s="1">
        <v>7100</v>
      </c>
      <c r="B720" s="1" t="s">
        <v>358</v>
      </c>
      <c r="C720" s="2" t="s">
        <v>860</v>
      </c>
      <c r="D720" s="2" t="s">
        <v>867</v>
      </c>
      <c r="E720" s="1">
        <v>1</v>
      </c>
      <c r="F720" s="2" t="s">
        <v>868</v>
      </c>
      <c r="G720" s="1">
        <v>1</v>
      </c>
      <c r="H720" s="1" t="str">
        <f t="shared" si="11"/>
        <v>k7100_1</v>
      </c>
      <c r="K720" s="1">
        <f>IF(E720=0,SUMPRODUCT(($A$2:$A$4734=A720)*($B$2:$B$4734=B720)*($D$2:$D$4734=D720)*($E$2:$E$4734=0)),0)</f>
        <v>0</v>
      </c>
      <c r="L720" s="1" t="str">
        <f>IF(E720=0,SUMPRODUCT(MIN($K$2:$K$4734+((($A$2:$A$4734&lt;&gt;A720)+($E$2:$E$4734&lt;&gt;0))&gt;0)*1000000)),"")</f>
        <v/>
      </c>
      <c r="M720" s="1">
        <f>IF(AND(E720=0,COUNTIFS($A$2:A720,A720,$E$2:E720,0)=1),L720,0)</f>
        <v>0</v>
      </c>
    </row>
    <row r="721" spans="1:13" ht="15" customHeight="1">
      <c r="A721" s="1">
        <v>7100</v>
      </c>
      <c r="B721" s="1" t="s">
        <v>358</v>
      </c>
      <c r="C721" s="2" t="s">
        <v>860</v>
      </c>
      <c r="D721" s="2" t="s">
        <v>867</v>
      </c>
      <c r="E721" s="1">
        <v>1</v>
      </c>
      <c r="F721" s="2" t="s">
        <v>869</v>
      </c>
      <c r="G721" s="1">
        <v>2</v>
      </c>
      <c r="H721" s="1" t="str">
        <f t="shared" si="11"/>
        <v>k7100_2</v>
      </c>
      <c r="K721" s="1">
        <f>IF(E721=0,SUMPRODUCT(($A$2:$A$4734=A721)*($B$2:$B$4734=B721)*($D$2:$D$4734=D721)*($E$2:$E$4734=0)),0)</f>
        <v>0</v>
      </c>
      <c r="L721" s="1" t="str">
        <f>IF(E721=0,SUMPRODUCT(MIN($K$2:$K$4734+((($A$2:$A$4734&lt;&gt;A721)+($E$2:$E$4734&lt;&gt;0))&gt;0)*1000000)),"")</f>
        <v/>
      </c>
      <c r="M721" s="1">
        <f>IF(AND(E721=0,COUNTIFS($A$2:A721,A721,$E$2:E721,0)=1),L721,0)</f>
        <v>0</v>
      </c>
    </row>
    <row r="722" spans="1:13" ht="15" customHeight="1">
      <c r="A722" s="1">
        <v>7100</v>
      </c>
      <c r="B722" s="1" t="s">
        <v>358</v>
      </c>
      <c r="C722" s="2" t="s">
        <v>860</v>
      </c>
      <c r="D722" s="2" t="s">
        <v>867</v>
      </c>
      <c r="E722" s="1">
        <v>1</v>
      </c>
      <c r="F722" s="2" t="s">
        <v>870</v>
      </c>
      <c r="G722" s="1">
        <v>3</v>
      </c>
      <c r="H722" s="1" t="str">
        <f t="shared" si="11"/>
        <v>k7100_3</v>
      </c>
      <c r="K722" s="1">
        <f>IF(E722=0,SUMPRODUCT(($A$2:$A$4734=A722)*($B$2:$B$4734=B722)*($D$2:$D$4734=D722)*($E$2:$E$4734=0)),0)</f>
        <v>0</v>
      </c>
      <c r="L722" s="1" t="str">
        <f>IF(E722=0,SUMPRODUCT(MIN($K$2:$K$4734+((($A$2:$A$4734&lt;&gt;A722)+($E$2:$E$4734&lt;&gt;0))&gt;0)*1000000)),"")</f>
        <v/>
      </c>
      <c r="M722" s="1">
        <f>IF(AND(E722=0,COUNTIFS($A$2:A722,A722,$E$2:E722,0)=1),L722,0)</f>
        <v>0</v>
      </c>
    </row>
    <row r="723" spans="1:13" ht="15" customHeight="1">
      <c r="A723" s="1">
        <v>7100</v>
      </c>
      <c r="B723" s="1" t="s">
        <v>358</v>
      </c>
      <c r="C723" s="2" t="s">
        <v>860</v>
      </c>
      <c r="D723" s="2" t="s">
        <v>867</v>
      </c>
      <c r="E723" s="1">
        <v>1</v>
      </c>
      <c r="F723" s="2" t="s">
        <v>871</v>
      </c>
      <c r="G723" s="1">
        <v>4</v>
      </c>
      <c r="H723" s="1" t="str">
        <f t="shared" si="11"/>
        <v>k7100_4</v>
      </c>
      <c r="K723" s="1">
        <f>IF(E723=0,SUMPRODUCT(($A$2:$A$4734=A723)*($B$2:$B$4734=B723)*($D$2:$D$4734=D723)*($E$2:$E$4734=0)),0)</f>
        <v>0</v>
      </c>
      <c r="L723" s="1" t="str">
        <f>IF(E723=0,SUMPRODUCT(MIN($K$2:$K$4734+((($A$2:$A$4734&lt;&gt;A723)+($E$2:$E$4734&lt;&gt;0))&gt;0)*1000000)),"")</f>
        <v/>
      </c>
      <c r="M723" s="1">
        <f>IF(AND(E723=0,COUNTIFS($A$2:A723,A723,$E$2:E723,0)=1),L723,0)</f>
        <v>0</v>
      </c>
    </row>
    <row r="724" spans="1:13" ht="15" customHeight="1">
      <c r="A724" s="1">
        <v>7100</v>
      </c>
      <c r="B724" s="1" t="s">
        <v>358</v>
      </c>
      <c r="C724" s="2" t="s">
        <v>860</v>
      </c>
      <c r="D724" s="2" t="s">
        <v>867</v>
      </c>
      <c r="E724" s="1">
        <v>1</v>
      </c>
      <c r="F724" s="2" t="s">
        <v>870</v>
      </c>
      <c r="G724" s="1">
        <v>5</v>
      </c>
      <c r="H724" s="1" t="str">
        <f t="shared" si="11"/>
        <v>k7100_5</v>
      </c>
      <c r="K724" s="1">
        <f>IF(E724=0,SUMPRODUCT(($A$2:$A$4734=A724)*($B$2:$B$4734=B724)*($D$2:$D$4734=D724)*($E$2:$E$4734=0)),0)</f>
        <v>0</v>
      </c>
      <c r="L724" s="1" t="str">
        <f>IF(E724=0,SUMPRODUCT(MIN($K$2:$K$4734+((($A$2:$A$4734&lt;&gt;A724)+($E$2:$E$4734&lt;&gt;0))&gt;0)*1000000)),"")</f>
        <v/>
      </c>
      <c r="M724" s="1">
        <f>IF(AND(E724=0,COUNTIFS($A$2:A724,A724,$E$2:E724,0)=1),L724,0)</f>
        <v>0</v>
      </c>
    </row>
    <row r="725" spans="1:13" ht="15" customHeight="1">
      <c r="A725" s="1">
        <v>7100</v>
      </c>
      <c r="B725" s="1" t="s">
        <v>358</v>
      </c>
      <c r="C725" s="2" t="s">
        <v>860</v>
      </c>
      <c r="D725" s="2" t="s">
        <v>867</v>
      </c>
      <c r="E725" s="1">
        <v>1</v>
      </c>
      <c r="F725" s="2" t="s">
        <v>871</v>
      </c>
      <c r="G725" s="1">
        <v>6</v>
      </c>
      <c r="H725" s="1" t="str">
        <f t="shared" si="11"/>
        <v>k7100_6</v>
      </c>
      <c r="K725" s="1">
        <f>IF(E725=0,SUMPRODUCT(($A$2:$A$4734=A725)*($B$2:$B$4734=B725)*($D$2:$D$4734=D725)*($E$2:$E$4734=0)),0)</f>
        <v>0</v>
      </c>
      <c r="L725" s="1" t="str">
        <f>IF(E725=0,SUMPRODUCT(MIN($K$2:$K$4734+((($A$2:$A$4734&lt;&gt;A725)+($E$2:$E$4734&lt;&gt;0))&gt;0)*1000000)),"")</f>
        <v/>
      </c>
      <c r="M725" s="1">
        <f>IF(AND(E725=0,COUNTIFS($A$2:A725,A725,$E$2:E725,0)=1),L725,0)</f>
        <v>0</v>
      </c>
    </row>
    <row r="726" spans="1:13" ht="15" customHeight="1">
      <c r="A726" s="1">
        <v>7100</v>
      </c>
      <c r="B726" s="1" t="s">
        <v>872</v>
      </c>
      <c r="C726" s="2" t="s">
        <v>860</v>
      </c>
      <c r="D726" s="2" t="s">
        <v>873</v>
      </c>
      <c r="E726" s="1">
        <v>1</v>
      </c>
      <c r="F726" s="2" t="s">
        <v>874</v>
      </c>
      <c r="G726" s="1">
        <v>1</v>
      </c>
      <c r="H726" s="1" t="str">
        <f t="shared" si="11"/>
        <v>k7100_1</v>
      </c>
      <c r="K726" s="1">
        <f>IF(E726=0,SUMPRODUCT(($A$2:$A$4734=A726)*($B$2:$B$4734=B726)*($D$2:$D$4734=D726)*($E$2:$E$4734=0)),0)</f>
        <v>0</v>
      </c>
      <c r="L726" s="1" t="str">
        <f>IF(E726=0,SUMPRODUCT(MIN($K$2:$K$4734+((($A$2:$A$4734&lt;&gt;A726)+($E$2:$E$4734&lt;&gt;0))&gt;0)*1000000)),"")</f>
        <v/>
      </c>
      <c r="M726" s="1">
        <f>IF(AND(E726=0,COUNTIFS($A$2:A726,A726,$E$2:E726,0)=1),L726,0)</f>
        <v>0</v>
      </c>
    </row>
    <row r="727" spans="1:13" ht="15" customHeight="1">
      <c r="A727" s="1">
        <v>7100</v>
      </c>
      <c r="B727" s="1" t="s">
        <v>872</v>
      </c>
      <c r="C727" s="2" t="s">
        <v>860</v>
      </c>
      <c r="D727" s="2" t="s">
        <v>873</v>
      </c>
      <c r="E727" s="1">
        <v>1</v>
      </c>
      <c r="F727" s="2" t="s">
        <v>875</v>
      </c>
      <c r="G727" s="1">
        <v>2</v>
      </c>
      <c r="H727" s="1" t="str">
        <f t="shared" si="11"/>
        <v>k7100_2</v>
      </c>
      <c r="K727" s="1">
        <f>IF(E727=0,SUMPRODUCT(($A$2:$A$4734=A727)*($B$2:$B$4734=B727)*($D$2:$D$4734=D727)*($E$2:$E$4734=0)),0)</f>
        <v>0</v>
      </c>
      <c r="L727" s="1" t="str">
        <f>IF(E727=0,SUMPRODUCT(MIN($K$2:$K$4734+((($A$2:$A$4734&lt;&gt;A727)+($E$2:$E$4734&lt;&gt;0))&gt;0)*1000000)),"")</f>
        <v/>
      </c>
      <c r="M727" s="1">
        <f>IF(AND(E727=0,COUNTIFS($A$2:A727,A727,$E$2:E727,0)=1),L727,0)</f>
        <v>0</v>
      </c>
    </row>
    <row r="728" spans="1:13" ht="15" customHeight="1">
      <c r="A728" s="1">
        <v>7100</v>
      </c>
      <c r="B728" s="1" t="s">
        <v>872</v>
      </c>
      <c r="C728" s="2" t="s">
        <v>860</v>
      </c>
      <c r="D728" s="2" t="s">
        <v>873</v>
      </c>
      <c r="E728" s="1">
        <v>1</v>
      </c>
      <c r="F728" s="2" t="s">
        <v>876</v>
      </c>
      <c r="G728" s="1">
        <v>3</v>
      </c>
      <c r="H728" s="1" t="str">
        <f t="shared" si="11"/>
        <v>k7100_3</v>
      </c>
      <c r="K728" s="1">
        <f>IF(E728=0,SUMPRODUCT(($A$2:$A$4734=A728)*($B$2:$B$4734=B728)*($D$2:$D$4734=D728)*($E$2:$E$4734=0)),0)</f>
        <v>0</v>
      </c>
      <c r="L728" s="1" t="str">
        <f>IF(E728=0,SUMPRODUCT(MIN($K$2:$K$4734+((($A$2:$A$4734&lt;&gt;A728)+($E$2:$E$4734&lt;&gt;0))&gt;0)*1000000)),"")</f>
        <v/>
      </c>
      <c r="M728" s="1">
        <f>IF(AND(E728=0,COUNTIFS($A$2:A728,A728,$E$2:E728,0)=1),L728,0)</f>
        <v>0</v>
      </c>
    </row>
    <row r="729" spans="1:13" ht="15" customHeight="1">
      <c r="A729" s="1">
        <v>7100</v>
      </c>
      <c r="B729" s="1" t="s">
        <v>872</v>
      </c>
      <c r="C729" s="2" t="s">
        <v>860</v>
      </c>
      <c r="D729" s="2" t="s">
        <v>873</v>
      </c>
      <c r="E729" s="1">
        <v>1</v>
      </c>
      <c r="F729" s="2" t="s">
        <v>877</v>
      </c>
      <c r="G729" s="1">
        <v>4</v>
      </c>
      <c r="H729" s="1" t="str">
        <f t="shared" si="11"/>
        <v>k7100_4</v>
      </c>
      <c r="K729" s="1">
        <f>IF(E729=0,SUMPRODUCT(($A$2:$A$4734=A729)*($B$2:$B$4734=B729)*($D$2:$D$4734=D729)*($E$2:$E$4734=0)),0)</f>
        <v>0</v>
      </c>
      <c r="L729" s="1" t="str">
        <f>IF(E729=0,SUMPRODUCT(MIN($K$2:$K$4734+((($A$2:$A$4734&lt;&gt;A729)+($E$2:$E$4734&lt;&gt;0))&gt;0)*1000000)),"")</f>
        <v/>
      </c>
      <c r="M729" s="1">
        <f>IF(AND(E729=0,COUNTIFS($A$2:A729,A729,$E$2:E729,0)=1),L729,0)</f>
        <v>0</v>
      </c>
    </row>
    <row r="730" spans="1:13" ht="15" customHeight="1">
      <c r="A730" s="1">
        <v>7100</v>
      </c>
      <c r="B730" s="1" t="s">
        <v>872</v>
      </c>
      <c r="C730" s="2" t="s">
        <v>860</v>
      </c>
      <c r="D730" s="2" t="s">
        <v>873</v>
      </c>
      <c r="E730" s="1">
        <v>1</v>
      </c>
      <c r="F730" s="2" t="s">
        <v>878</v>
      </c>
      <c r="G730" s="1">
        <v>5</v>
      </c>
      <c r="H730" s="1" t="str">
        <f t="shared" si="11"/>
        <v>k7100_5</v>
      </c>
      <c r="K730" s="1">
        <f>IF(E730=0,SUMPRODUCT(($A$2:$A$4734=A730)*($B$2:$B$4734=B730)*($D$2:$D$4734=D730)*($E$2:$E$4734=0)),0)</f>
        <v>0</v>
      </c>
      <c r="L730" s="1" t="str">
        <f>IF(E730=0,SUMPRODUCT(MIN($K$2:$K$4734+((($A$2:$A$4734&lt;&gt;A730)+($E$2:$E$4734&lt;&gt;0))&gt;0)*1000000)),"")</f>
        <v/>
      </c>
      <c r="M730" s="1">
        <f>IF(AND(E730=0,COUNTIFS($A$2:A730,A730,$E$2:E730,0)=1),L730,0)</f>
        <v>0</v>
      </c>
    </row>
    <row r="731" spans="1:13" ht="15" customHeight="1">
      <c r="A731" s="1">
        <v>7100</v>
      </c>
      <c r="B731" s="1" t="s">
        <v>872</v>
      </c>
      <c r="C731" s="2" t="s">
        <v>860</v>
      </c>
      <c r="D731" s="2" t="s">
        <v>873</v>
      </c>
      <c r="E731" s="1">
        <v>1</v>
      </c>
      <c r="F731" s="2" t="s">
        <v>879</v>
      </c>
      <c r="G731" s="1">
        <v>6</v>
      </c>
      <c r="H731" s="1" t="str">
        <f t="shared" si="11"/>
        <v>k7100_6</v>
      </c>
      <c r="K731" s="1">
        <f>IF(E731=0,SUMPRODUCT(($A$2:$A$4734=A731)*($B$2:$B$4734=B731)*($D$2:$D$4734=D731)*($E$2:$E$4734=0)),0)</f>
        <v>0</v>
      </c>
      <c r="L731" s="1" t="str">
        <f>IF(E731=0,SUMPRODUCT(MIN($K$2:$K$4734+((($A$2:$A$4734&lt;&gt;A731)+($E$2:$E$4734&lt;&gt;0))&gt;0)*1000000)),"")</f>
        <v/>
      </c>
      <c r="M731" s="1">
        <f>IF(AND(E731=0,COUNTIFS($A$2:A731,A731,$E$2:E731,0)=1),L731,0)</f>
        <v>0</v>
      </c>
    </row>
    <row r="732" spans="1:13" ht="15" customHeight="1">
      <c r="A732" s="1">
        <v>7100</v>
      </c>
      <c r="B732" s="1" t="s">
        <v>144</v>
      </c>
      <c r="C732" s="2" t="s">
        <v>860</v>
      </c>
      <c r="D732" s="2" t="s">
        <v>880</v>
      </c>
      <c r="E732" s="1">
        <v>1</v>
      </c>
      <c r="F732" s="2" t="s">
        <v>881</v>
      </c>
      <c r="G732" s="1">
        <v>1</v>
      </c>
      <c r="H732" s="1" t="str">
        <f t="shared" si="11"/>
        <v>k7100_1</v>
      </c>
      <c r="K732" s="1">
        <f>IF(E732=0,SUMPRODUCT(($A$2:$A$4734=A732)*($B$2:$B$4734=B732)*($D$2:$D$4734=D732)*($E$2:$E$4734=0)),0)</f>
        <v>0</v>
      </c>
      <c r="L732" s="1" t="str">
        <f>IF(E732=0,SUMPRODUCT(MIN($K$2:$K$4734+((($A$2:$A$4734&lt;&gt;A732)+($E$2:$E$4734&lt;&gt;0))&gt;0)*1000000)),"")</f>
        <v/>
      </c>
      <c r="M732" s="1">
        <f>IF(AND(E732=0,COUNTIFS($A$2:A732,A732,$E$2:E732,0)=1),L732,0)</f>
        <v>0</v>
      </c>
    </row>
    <row r="733" spans="1:13" ht="15" customHeight="1">
      <c r="A733" s="1">
        <v>7100</v>
      </c>
      <c r="B733" s="1" t="s">
        <v>144</v>
      </c>
      <c r="C733" s="2" t="s">
        <v>860</v>
      </c>
      <c r="D733" s="2" t="s">
        <v>880</v>
      </c>
      <c r="E733" s="1">
        <v>1</v>
      </c>
      <c r="F733" s="2" t="s">
        <v>882</v>
      </c>
      <c r="G733" s="1">
        <v>2</v>
      </c>
      <c r="H733" s="1" t="str">
        <f t="shared" si="11"/>
        <v>k7100_2</v>
      </c>
      <c r="K733" s="1">
        <f>IF(E733=0,SUMPRODUCT(($A$2:$A$4734=A733)*($B$2:$B$4734=B733)*($D$2:$D$4734=D733)*($E$2:$E$4734=0)),0)</f>
        <v>0</v>
      </c>
      <c r="L733" s="1" t="str">
        <f>IF(E733=0,SUMPRODUCT(MIN($K$2:$K$4734+((($A$2:$A$4734&lt;&gt;A733)+($E$2:$E$4734&lt;&gt;0))&gt;0)*1000000)),"")</f>
        <v/>
      </c>
      <c r="M733" s="1">
        <f>IF(AND(E733=0,COUNTIFS($A$2:A733,A733,$E$2:E733,0)=1),L733,0)</f>
        <v>0</v>
      </c>
    </row>
    <row r="734" spans="1:13" ht="15" customHeight="1">
      <c r="A734" s="1">
        <v>7100</v>
      </c>
      <c r="B734" s="1" t="s">
        <v>144</v>
      </c>
      <c r="C734" s="2" t="s">
        <v>860</v>
      </c>
      <c r="D734" s="2" t="s">
        <v>880</v>
      </c>
      <c r="E734" s="1">
        <v>1</v>
      </c>
      <c r="F734" s="2" t="s">
        <v>883</v>
      </c>
      <c r="G734" s="1">
        <v>3</v>
      </c>
      <c r="H734" s="1" t="str">
        <f t="shared" si="11"/>
        <v>k7100_3</v>
      </c>
      <c r="K734" s="1">
        <f>IF(E734=0,SUMPRODUCT(($A$2:$A$4734=A734)*($B$2:$B$4734=B734)*($D$2:$D$4734=D734)*($E$2:$E$4734=0)),0)</f>
        <v>0</v>
      </c>
      <c r="L734" s="1" t="str">
        <f>IF(E734=0,SUMPRODUCT(MIN($K$2:$K$4734+((($A$2:$A$4734&lt;&gt;A734)+($E$2:$E$4734&lt;&gt;0))&gt;0)*1000000)),"")</f>
        <v/>
      </c>
      <c r="M734" s="1">
        <f>IF(AND(E734=0,COUNTIFS($A$2:A734,A734,$E$2:E734,0)=1),L734,0)</f>
        <v>0</v>
      </c>
    </row>
    <row r="735" spans="1:13" ht="15" customHeight="1">
      <c r="A735" s="1">
        <v>7100</v>
      </c>
      <c r="B735" s="1" t="s">
        <v>144</v>
      </c>
      <c r="C735" s="2" t="s">
        <v>860</v>
      </c>
      <c r="D735" s="2" t="s">
        <v>880</v>
      </c>
      <c r="E735" s="1">
        <v>1</v>
      </c>
      <c r="F735" s="2" t="s">
        <v>884</v>
      </c>
      <c r="G735" s="1">
        <v>4</v>
      </c>
      <c r="H735" s="1" t="str">
        <f t="shared" si="11"/>
        <v>k7100_4</v>
      </c>
      <c r="K735" s="1">
        <f>IF(E735=0,SUMPRODUCT(($A$2:$A$4734=A735)*($B$2:$B$4734=B735)*($D$2:$D$4734=D735)*($E$2:$E$4734=0)),0)</f>
        <v>0</v>
      </c>
      <c r="L735" s="1" t="str">
        <f>IF(E735=0,SUMPRODUCT(MIN($K$2:$K$4734+((($A$2:$A$4734&lt;&gt;A735)+($E$2:$E$4734&lt;&gt;0))&gt;0)*1000000)),"")</f>
        <v/>
      </c>
      <c r="M735" s="1">
        <f>IF(AND(E735=0,COUNTIFS($A$2:A735,A735,$E$2:E735,0)=1),L735,0)</f>
        <v>0</v>
      </c>
    </row>
    <row r="736" spans="1:13" ht="15" customHeight="1">
      <c r="A736" s="1">
        <v>7100</v>
      </c>
      <c r="B736" s="1" t="s">
        <v>144</v>
      </c>
      <c r="C736" s="2" t="s">
        <v>860</v>
      </c>
      <c r="D736" s="2" t="s">
        <v>880</v>
      </c>
      <c r="E736" s="1">
        <v>1</v>
      </c>
      <c r="F736" s="2" t="s">
        <v>885</v>
      </c>
      <c r="G736" s="1">
        <v>5</v>
      </c>
      <c r="H736" s="1" t="str">
        <f t="shared" si="11"/>
        <v>k7100_5</v>
      </c>
      <c r="K736" s="1">
        <f>IF(E736=0,SUMPRODUCT(($A$2:$A$4734=A736)*($B$2:$B$4734=B736)*($D$2:$D$4734=D736)*($E$2:$E$4734=0)),0)</f>
        <v>0</v>
      </c>
      <c r="L736" s="1" t="str">
        <f>IF(E736=0,SUMPRODUCT(MIN($K$2:$K$4734+((($A$2:$A$4734&lt;&gt;A736)+($E$2:$E$4734&lt;&gt;0))&gt;0)*1000000)),"")</f>
        <v/>
      </c>
      <c r="M736" s="1">
        <f>IF(AND(E736=0,COUNTIFS($A$2:A736,A736,$E$2:E736,0)=1),L736,0)</f>
        <v>0</v>
      </c>
    </row>
    <row r="737" spans="1:13" ht="15" customHeight="1">
      <c r="A737" s="1">
        <v>7100</v>
      </c>
      <c r="B737" s="1" t="s">
        <v>144</v>
      </c>
      <c r="C737" s="2" t="s">
        <v>860</v>
      </c>
      <c r="D737" s="2" t="s">
        <v>880</v>
      </c>
      <c r="E737" s="1">
        <v>1</v>
      </c>
      <c r="F737" s="2" t="s">
        <v>885</v>
      </c>
      <c r="G737" s="1">
        <v>6</v>
      </c>
      <c r="H737" s="1" t="str">
        <f t="shared" si="11"/>
        <v>k7100_6</v>
      </c>
      <c r="K737" s="1">
        <f>IF(E737=0,SUMPRODUCT(($A$2:$A$4734=A737)*($B$2:$B$4734=B737)*($D$2:$D$4734=D737)*($E$2:$E$4734=0)),0)</f>
        <v>0</v>
      </c>
      <c r="L737" s="1" t="str">
        <f>IF(E737=0,SUMPRODUCT(MIN($K$2:$K$4734+((($A$2:$A$4734&lt;&gt;A737)+($E$2:$E$4734&lt;&gt;0))&gt;0)*1000000)),"")</f>
        <v/>
      </c>
      <c r="M737" s="1">
        <f>IF(AND(E737=0,COUNTIFS($A$2:A737,A737,$E$2:E737,0)=1),L737,0)</f>
        <v>0</v>
      </c>
    </row>
    <row r="738" spans="1:13" ht="15" customHeight="1">
      <c r="A738" s="1">
        <v>7102</v>
      </c>
      <c r="B738" s="1" t="s">
        <v>173</v>
      </c>
      <c r="C738" s="2" t="s">
        <v>886</v>
      </c>
      <c r="D738" s="2" t="s">
        <v>886</v>
      </c>
      <c r="E738" s="1">
        <v>1</v>
      </c>
      <c r="F738" s="2" t="s">
        <v>887</v>
      </c>
      <c r="G738" s="1">
        <v>1</v>
      </c>
      <c r="H738" s="1" t="str">
        <f t="shared" si="11"/>
        <v>k7102_1</v>
      </c>
      <c r="K738" s="1">
        <f>IF(E738=0,SUMPRODUCT(($A$2:$A$4734=A738)*($B$2:$B$4734=B738)*($D$2:$D$4734=D738)*($E$2:$E$4734=0)),0)</f>
        <v>0</v>
      </c>
      <c r="L738" s="1" t="str">
        <f>IF(E738=0,SUMPRODUCT(MIN($K$2:$K$4734+((($A$2:$A$4734&lt;&gt;A738)+($E$2:$E$4734&lt;&gt;0))&gt;0)*1000000)),"")</f>
        <v/>
      </c>
      <c r="M738" s="1">
        <f>IF(AND(E738=0,COUNTIFS($A$2:A738,A738,$E$2:E738,0)=1),L738,0)</f>
        <v>0</v>
      </c>
    </row>
    <row r="739" spans="1:13" ht="15" customHeight="1">
      <c r="A739" s="1">
        <v>7102</v>
      </c>
      <c r="B739" s="1" t="s">
        <v>173</v>
      </c>
      <c r="C739" s="2" t="s">
        <v>886</v>
      </c>
      <c r="D739" s="2" t="s">
        <v>886</v>
      </c>
      <c r="E739" s="1">
        <v>1</v>
      </c>
      <c r="F739" s="2" t="s">
        <v>888</v>
      </c>
      <c r="G739" s="1">
        <v>2</v>
      </c>
      <c r="H739" s="1" t="str">
        <f t="shared" si="11"/>
        <v>k7102_2</v>
      </c>
      <c r="K739" s="1">
        <f>IF(E739=0,SUMPRODUCT(($A$2:$A$4734=A739)*($B$2:$B$4734=B739)*($D$2:$D$4734=D739)*($E$2:$E$4734=0)),0)</f>
        <v>0</v>
      </c>
      <c r="L739" s="1" t="str">
        <f>IF(E739=0,SUMPRODUCT(MIN($K$2:$K$4734+((($A$2:$A$4734&lt;&gt;A739)+($E$2:$E$4734&lt;&gt;0))&gt;0)*1000000)),"")</f>
        <v/>
      </c>
      <c r="M739" s="1">
        <f>IF(AND(E739=0,COUNTIFS($A$2:A739,A739,$E$2:E739,0)=1),L739,0)</f>
        <v>0</v>
      </c>
    </row>
    <row r="740" spans="1:13" ht="15" customHeight="1">
      <c r="A740" s="1">
        <v>7102</v>
      </c>
      <c r="B740" s="1" t="s">
        <v>173</v>
      </c>
      <c r="C740" s="2" t="s">
        <v>886</v>
      </c>
      <c r="D740" s="2" t="s">
        <v>886</v>
      </c>
      <c r="E740" s="1">
        <v>1</v>
      </c>
      <c r="F740" s="2" t="s">
        <v>889</v>
      </c>
      <c r="G740" s="1">
        <v>3</v>
      </c>
      <c r="H740" s="1" t="str">
        <f t="shared" si="11"/>
        <v>k7102_3</v>
      </c>
      <c r="K740" s="1">
        <f>IF(E740=0,SUMPRODUCT(($A$2:$A$4734=A740)*($B$2:$B$4734=B740)*($D$2:$D$4734=D740)*($E$2:$E$4734=0)),0)</f>
        <v>0</v>
      </c>
      <c r="L740" s="1" t="str">
        <f>IF(E740=0,SUMPRODUCT(MIN($K$2:$K$4734+((($A$2:$A$4734&lt;&gt;A740)+($E$2:$E$4734&lt;&gt;0))&gt;0)*1000000)),"")</f>
        <v/>
      </c>
      <c r="M740" s="1">
        <f>IF(AND(E740=0,COUNTIFS($A$2:A740,A740,$E$2:E740,0)=1),L740,0)</f>
        <v>0</v>
      </c>
    </row>
    <row r="741" spans="1:13" ht="15" customHeight="1">
      <c r="A741" s="1">
        <v>7102</v>
      </c>
      <c r="B741" s="1" t="s">
        <v>173</v>
      </c>
      <c r="C741" s="2" t="s">
        <v>886</v>
      </c>
      <c r="D741" s="2" t="s">
        <v>886</v>
      </c>
      <c r="E741" s="1">
        <v>1</v>
      </c>
      <c r="F741" s="2" t="s">
        <v>890</v>
      </c>
      <c r="G741" s="1">
        <v>4</v>
      </c>
      <c r="H741" s="1" t="str">
        <f t="shared" si="11"/>
        <v>k7102_4</v>
      </c>
      <c r="K741" s="1">
        <f>IF(E741=0,SUMPRODUCT(($A$2:$A$4734=A741)*($B$2:$B$4734=B741)*($D$2:$D$4734=D741)*($E$2:$E$4734=0)),0)</f>
        <v>0</v>
      </c>
      <c r="L741" s="1" t="str">
        <f>IF(E741=0,SUMPRODUCT(MIN($K$2:$K$4734+((($A$2:$A$4734&lt;&gt;A741)+($E$2:$E$4734&lt;&gt;0))&gt;0)*1000000)),"")</f>
        <v/>
      </c>
      <c r="M741" s="1">
        <f>IF(AND(E741=0,COUNTIFS($A$2:A741,A741,$E$2:E741,0)=1),L741,0)</f>
        <v>0</v>
      </c>
    </row>
    <row r="742" spans="1:13" ht="15" customHeight="1">
      <c r="A742" s="1">
        <v>7102</v>
      </c>
      <c r="B742" s="1" t="s">
        <v>69</v>
      </c>
      <c r="C742" s="2" t="s">
        <v>886</v>
      </c>
      <c r="D742" s="2" t="s">
        <v>891</v>
      </c>
      <c r="E742" s="1">
        <v>1</v>
      </c>
      <c r="F742" s="2" t="s">
        <v>892</v>
      </c>
      <c r="G742" s="1">
        <v>1</v>
      </c>
      <c r="H742" s="1" t="str">
        <f t="shared" si="11"/>
        <v>k7102_1</v>
      </c>
      <c r="K742" s="1">
        <f>IF(E742=0,SUMPRODUCT(($A$2:$A$4734=A742)*($B$2:$B$4734=B742)*($D$2:$D$4734=D742)*($E$2:$E$4734=0)),0)</f>
        <v>0</v>
      </c>
      <c r="L742" s="1" t="str">
        <f>IF(E742=0,SUMPRODUCT(MIN($K$2:$K$4734+((($A$2:$A$4734&lt;&gt;A742)+($E$2:$E$4734&lt;&gt;0))&gt;0)*1000000)),"")</f>
        <v/>
      </c>
      <c r="M742" s="1">
        <f>IF(AND(E742=0,COUNTIFS($A$2:A742,A742,$E$2:E742,0)=1),L742,0)</f>
        <v>0</v>
      </c>
    </row>
    <row r="743" spans="1:13" ht="15" customHeight="1">
      <c r="A743" s="1">
        <v>7102</v>
      </c>
      <c r="B743" s="1" t="s">
        <v>69</v>
      </c>
      <c r="C743" s="2" t="s">
        <v>886</v>
      </c>
      <c r="D743" s="2" t="s">
        <v>891</v>
      </c>
      <c r="E743" s="1">
        <v>1</v>
      </c>
      <c r="F743" s="2" t="s">
        <v>893</v>
      </c>
      <c r="G743" s="1">
        <v>2</v>
      </c>
      <c r="H743" s="1" t="str">
        <f t="shared" si="11"/>
        <v>k7102_2</v>
      </c>
      <c r="K743" s="1">
        <f>IF(E743=0,SUMPRODUCT(($A$2:$A$4734=A743)*($B$2:$B$4734=B743)*($D$2:$D$4734=D743)*($E$2:$E$4734=0)),0)</f>
        <v>0</v>
      </c>
      <c r="L743" s="1" t="str">
        <f>IF(E743=0,SUMPRODUCT(MIN($K$2:$K$4734+((($A$2:$A$4734&lt;&gt;A743)+($E$2:$E$4734&lt;&gt;0))&gt;0)*1000000)),"")</f>
        <v/>
      </c>
      <c r="M743" s="1">
        <f>IF(AND(E743=0,COUNTIFS($A$2:A743,A743,$E$2:E743,0)=1),L743,0)</f>
        <v>0</v>
      </c>
    </row>
    <row r="744" spans="1:13" ht="15" customHeight="1">
      <c r="A744" s="1">
        <v>7102</v>
      </c>
      <c r="B744" s="1" t="s">
        <v>69</v>
      </c>
      <c r="C744" s="2" t="s">
        <v>886</v>
      </c>
      <c r="D744" s="2" t="s">
        <v>891</v>
      </c>
      <c r="E744" s="1">
        <v>1</v>
      </c>
      <c r="F744" s="2" t="s">
        <v>894</v>
      </c>
      <c r="G744" s="1">
        <v>3</v>
      </c>
      <c r="H744" s="1" t="str">
        <f t="shared" si="11"/>
        <v>k7102_3</v>
      </c>
      <c r="K744" s="1">
        <f>IF(E744=0,SUMPRODUCT(($A$2:$A$4734=A744)*($B$2:$B$4734=B744)*($D$2:$D$4734=D744)*($E$2:$E$4734=0)),0)</f>
        <v>0</v>
      </c>
      <c r="L744" s="1" t="str">
        <f>IF(E744=0,SUMPRODUCT(MIN($K$2:$K$4734+((($A$2:$A$4734&lt;&gt;A744)+($E$2:$E$4734&lt;&gt;0))&gt;0)*1000000)),"")</f>
        <v/>
      </c>
      <c r="M744" s="1">
        <f>IF(AND(E744=0,COUNTIFS($A$2:A744,A744,$E$2:E744,0)=1),L744,0)</f>
        <v>0</v>
      </c>
    </row>
    <row r="745" spans="1:13" ht="15" customHeight="1">
      <c r="A745" s="1">
        <v>7102</v>
      </c>
      <c r="B745" s="1" t="s">
        <v>69</v>
      </c>
      <c r="C745" s="2" t="s">
        <v>886</v>
      </c>
      <c r="D745" s="2" t="s">
        <v>891</v>
      </c>
      <c r="E745" s="1">
        <v>1</v>
      </c>
      <c r="F745" s="2" t="s">
        <v>895</v>
      </c>
      <c r="G745" s="1">
        <v>4</v>
      </c>
      <c r="H745" s="1" t="str">
        <f t="shared" si="11"/>
        <v>k7102_4</v>
      </c>
      <c r="K745" s="1">
        <f>IF(E745=0,SUMPRODUCT(($A$2:$A$4734=A745)*($B$2:$B$4734=B745)*($D$2:$D$4734=D745)*($E$2:$E$4734=0)),0)</f>
        <v>0</v>
      </c>
      <c r="L745" s="1" t="str">
        <f>IF(E745=0,SUMPRODUCT(MIN($K$2:$K$4734+((($A$2:$A$4734&lt;&gt;A745)+($E$2:$E$4734&lt;&gt;0))&gt;0)*1000000)),"")</f>
        <v/>
      </c>
      <c r="M745" s="1">
        <f>IF(AND(E745=0,COUNTIFS($A$2:A745,A745,$E$2:E745,0)=1),L745,0)</f>
        <v>0</v>
      </c>
    </row>
    <row r="746" spans="1:13" ht="15" customHeight="1">
      <c r="A746" s="1">
        <v>7104</v>
      </c>
      <c r="B746" s="1" t="s">
        <v>9</v>
      </c>
      <c r="C746" s="2" t="s">
        <v>896</v>
      </c>
      <c r="D746" s="2" t="s">
        <v>897</v>
      </c>
      <c r="E746" s="1">
        <v>0</v>
      </c>
      <c r="F746" s="2" t="s">
        <v>898</v>
      </c>
      <c r="H746" s="1" t="str">
        <f t="shared" si="11"/>
        <v/>
      </c>
      <c r="K746" s="1">
        <f>IF(E746=0,SUMPRODUCT(($A$2:$A$4734=A746)*($B$2:$B$4734=B746)*($D$2:$D$4734=D746)*($E$2:$E$4734=0)),0)</f>
        <v>3</v>
      </c>
      <c r="L746" s="1">
        <f>IF(E746=0,SUMPRODUCT(MIN($K$2:$K$4734+((($A$2:$A$4734&lt;&gt;A746)+($E$2:$E$4734&lt;&gt;0))&gt;0)*1000000)),"")</f>
        <v>3</v>
      </c>
      <c r="M746" s="1">
        <f>IF(AND(E746=0,COUNTIFS($A$2:A746,A746,$E$2:E746,0)=1),L746,0)</f>
        <v>3</v>
      </c>
    </row>
    <row r="747" spans="1:13" ht="15" customHeight="1">
      <c r="A747" s="1">
        <v>7104</v>
      </c>
      <c r="B747" s="1" t="s">
        <v>9</v>
      </c>
      <c r="C747" s="2" t="s">
        <v>896</v>
      </c>
      <c r="D747" s="2" t="s">
        <v>897</v>
      </c>
      <c r="E747" s="1">
        <v>0</v>
      </c>
      <c r="F747" s="2" t="s">
        <v>899</v>
      </c>
      <c r="H747" s="1" t="str">
        <f t="shared" si="11"/>
        <v/>
      </c>
      <c r="K747" s="1">
        <f>IF(E747=0,SUMPRODUCT(($A$2:$A$4734=A747)*($B$2:$B$4734=B747)*($D$2:$D$4734=D747)*($E$2:$E$4734=0)),0)</f>
        <v>3</v>
      </c>
      <c r="L747" s="1">
        <f>IF(E747=0,SUMPRODUCT(MIN($K$2:$K$4734+((($A$2:$A$4734&lt;&gt;A747)+($E$2:$E$4734&lt;&gt;0))&gt;0)*1000000)),"")</f>
        <v>3</v>
      </c>
      <c r="M747" s="1">
        <f>IF(AND(E747=0,COUNTIFS($A$2:A747,A747,$E$2:E747,0)=1),L747,0)</f>
        <v>0</v>
      </c>
    </row>
    <row r="748" spans="1:13" ht="15" customHeight="1">
      <c r="A748" s="1">
        <v>7104</v>
      </c>
      <c r="B748" s="1" t="s">
        <v>9</v>
      </c>
      <c r="C748" s="2" t="s">
        <v>896</v>
      </c>
      <c r="D748" s="2" t="s">
        <v>897</v>
      </c>
      <c r="E748" s="1">
        <v>0</v>
      </c>
      <c r="F748" s="2" t="s">
        <v>900</v>
      </c>
      <c r="H748" s="1" t="str">
        <f t="shared" si="11"/>
        <v/>
      </c>
      <c r="K748" s="1">
        <f>IF(E748=0,SUMPRODUCT(($A$2:$A$4734=A748)*($B$2:$B$4734=B748)*($D$2:$D$4734=D748)*($E$2:$E$4734=0)),0)</f>
        <v>3</v>
      </c>
      <c r="L748" s="1">
        <f>IF(E748=0,SUMPRODUCT(MIN($K$2:$K$4734+((($A$2:$A$4734&lt;&gt;A748)+($E$2:$E$4734&lt;&gt;0))&gt;0)*1000000)),"")</f>
        <v>3</v>
      </c>
      <c r="M748" s="1">
        <f>IF(AND(E748=0,COUNTIFS($A$2:A748,A748,$E$2:E748,0)=1),L748,0)</f>
        <v>0</v>
      </c>
    </row>
    <row r="749" spans="1:13" ht="15" customHeight="1">
      <c r="A749" s="1">
        <v>7105</v>
      </c>
      <c r="B749" s="1" t="s">
        <v>9</v>
      </c>
      <c r="C749" s="2" t="s">
        <v>901</v>
      </c>
      <c r="D749" s="2" t="s">
        <v>902</v>
      </c>
      <c r="E749" s="1">
        <v>0</v>
      </c>
      <c r="F749" s="2" t="s">
        <v>903</v>
      </c>
      <c r="H749" s="1" t="str">
        <f t="shared" si="11"/>
        <v/>
      </c>
      <c r="K749" s="1">
        <f>IF(E749=0,SUMPRODUCT(($A$2:$A$4734=A749)*($B$2:$B$4734=B749)*($D$2:$D$4734=D749)*($E$2:$E$4734=0)),0)</f>
        <v>5</v>
      </c>
      <c r="L749" s="1">
        <f>IF(E749=0,SUMPRODUCT(MIN($K$2:$K$4734+((($A$2:$A$4734&lt;&gt;A749)+($E$2:$E$4734&lt;&gt;0))&gt;0)*1000000)),"")</f>
        <v>4</v>
      </c>
      <c r="M749" s="1">
        <f>IF(AND(E749=0,COUNTIFS($A$2:A749,A749,$E$2:E749,0)=1),L749,0)</f>
        <v>4</v>
      </c>
    </row>
    <row r="750" spans="1:13" ht="15" customHeight="1">
      <c r="A750" s="1">
        <v>7105</v>
      </c>
      <c r="B750" s="1" t="s">
        <v>9</v>
      </c>
      <c r="C750" s="2" t="s">
        <v>901</v>
      </c>
      <c r="D750" s="2" t="s">
        <v>902</v>
      </c>
      <c r="E750" s="1">
        <v>0</v>
      </c>
      <c r="F750" s="2" t="s">
        <v>904</v>
      </c>
      <c r="H750" s="1" t="str">
        <f t="shared" si="11"/>
        <v/>
      </c>
      <c r="K750" s="1">
        <f>IF(E750=0,SUMPRODUCT(($A$2:$A$4734=A750)*($B$2:$B$4734=B750)*($D$2:$D$4734=D750)*($E$2:$E$4734=0)),0)</f>
        <v>5</v>
      </c>
      <c r="L750" s="1">
        <f>IF(E750=0,SUMPRODUCT(MIN($K$2:$K$4734+((($A$2:$A$4734&lt;&gt;A750)+($E$2:$E$4734&lt;&gt;0))&gt;0)*1000000)),"")</f>
        <v>4</v>
      </c>
      <c r="M750" s="1">
        <f>IF(AND(E750=0,COUNTIFS($A$2:A750,A750,$E$2:E750,0)=1),L750,0)</f>
        <v>0</v>
      </c>
    </row>
    <row r="751" spans="1:13" ht="15" customHeight="1">
      <c r="A751" s="1">
        <v>7105</v>
      </c>
      <c r="B751" s="1" t="s">
        <v>9</v>
      </c>
      <c r="C751" s="2" t="s">
        <v>901</v>
      </c>
      <c r="D751" s="2" t="s">
        <v>902</v>
      </c>
      <c r="E751" s="1">
        <v>0</v>
      </c>
      <c r="F751" s="2" t="s">
        <v>337</v>
      </c>
      <c r="H751" s="1" t="str">
        <f t="shared" si="11"/>
        <v/>
      </c>
      <c r="K751" s="1">
        <f>IF(E751=0,SUMPRODUCT(($A$2:$A$4734=A751)*($B$2:$B$4734=B751)*($D$2:$D$4734=D751)*($E$2:$E$4734=0)),0)</f>
        <v>5</v>
      </c>
      <c r="L751" s="1">
        <f>IF(E751=0,SUMPRODUCT(MIN($K$2:$K$4734+((($A$2:$A$4734&lt;&gt;A751)+($E$2:$E$4734&lt;&gt;0))&gt;0)*1000000)),"")</f>
        <v>4</v>
      </c>
      <c r="M751" s="1">
        <f>IF(AND(E751=0,COUNTIFS($A$2:A751,A751,$E$2:E751,0)=1),L751,0)</f>
        <v>0</v>
      </c>
    </row>
    <row r="752" spans="1:13" ht="15" customHeight="1">
      <c r="A752" s="1">
        <v>7105</v>
      </c>
      <c r="B752" s="1" t="s">
        <v>9</v>
      </c>
      <c r="C752" s="2" t="s">
        <v>901</v>
      </c>
      <c r="D752" s="2" t="s">
        <v>902</v>
      </c>
      <c r="E752" s="1">
        <v>0</v>
      </c>
      <c r="F752" s="2" t="s">
        <v>905</v>
      </c>
      <c r="H752" s="1" t="str">
        <f t="shared" si="11"/>
        <v/>
      </c>
      <c r="K752" s="1">
        <f>IF(E752=0,SUMPRODUCT(($A$2:$A$4734=A752)*($B$2:$B$4734=B752)*($D$2:$D$4734=D752)*($E$2:$E$4734=0)),0)</f>
        <v>5</v>
      </c>
      <c r="L752" s="1">
        <f>IF(E752=0,SUMPRODUCT(MIN($K$2:$K$4734+((($A$2:$A$4734&lt;&gt;A752)+($E$2:$E$4734&lt;&gt;0))&gt;0)*1000000)),"")</f>
        <v>4</v>
      </c>
      <c r="M752" s="1">
        <f>IF(AND(E752=0,COUNTIFS($A$2:A752,A752,$E$2:E752,0)=1),L752,0)</f>
        <v>0</v>
      </c>
    </row>
    <row r="753" spans="1:13" ht="15" customHeight="1">
      <c r="A753" s="1">
        <v>7105</v>
      </c>
      <c r="B753" s="1" t="s">
        <v>9</v>
      </c>
      <c r="C753" s="2" t="s">
        <v>901</v>
      </c>
      <c r="D753" s="2" t="s">
        <v>902</v>
      </c>
      <c r="E753" s="1">
        <v>0</v>
      </c>
      <c r="F753" s="2" t="s">
        <v>906</v>
      </c>
      <c r="H753" s="1" t="str">
        <f t="shared" si="11"/>
        <v/>
      </c>
      <c r="K753" s="1">
        <f>IF(E753=0,SUMPRODUCT(($A$2:$A$4734=A753)*($B$2:$B$4734=B753)*($D$2:$D$4734=D753)*($E$2:$E$4734=0)),0)</f>
        <v>5</v>
      </c>
      <c r="L753" s="1">
        <f>IF(E753=0,SUMPRODUCT(MIN($K$2:$K$4734+((($A$2:$A$4734&lt;&gt;A753)+($E$2:$E$4734&lt;&gt;0))&gt;0)*1000000)),"")</f>
        <v>4</v>
      </c>
      <c r="M753" s="1">
        <f>IF(AND(E753=0,COUNTIFS($A$2:A753,A753,$E$2:E753,0)=1),L753,0)</f>
        <v>0</v>
      </c>
    </row>
    <row r="754" spans="1:13" ht="15" customHeight="1">
      <c r="A754" s="1">
        <v>7105</v>
      </c>
      <c r="B754" s="1" t="s">
        <v>16</v>
      </c>
      <c r="C754" s="2" t="s">
        <v>901</v>
      </c>
      <c r="D754" s="2" t="s">
        <v>907</v>
      </c>
      <c r="E754" s="1">
        <v>0</v>
      </c>
      <c r="F754" s="2" t="s">
        <v>908</v>
      </c>
      <c r="H754" s="1" t="str">
        <f t="shared" si="11"/>
        <v/>
      </c>
      <c r="K754" s="1">
        <f>IF(E754=0,SUMPRODUCT(($A$2:$A$4734=A754)*($B$2:$B$4734=B754)*($D$2:$D$4734=D754)*($E$2:$E$4734=0)),0)</f>
        <v>6</v>
      </c>
      <c r="L754" s="1">
        <f>IF(E754=0,SUMPRODUCT(MIN($K$2:$K$4734+((($A$2:$A$4734&lt;&gt;A754)+($E$2:$E$4734&lt;&gt;0))&gt;0)*1000000)),"")</f>
        <v>4</v>
      </c>
      <c r="M754" s="1">
        <f>IF(AND(E754=0,COUNTIFS($A$2:A754,A754,$E$2:E754,0)=1),L754,0)</f>
        <v>0</v>
      </c>
    </row>
    <row r="755" spans="1:13" ht="15" customHeight="1">
      <c r="A755" s="1">
        <v>7105</v>
      </c>
      <c r="B755" s="1" t="s">
        <v>16</v>
      </c>
      <c r="C755" s="2" t="s">
        <v>901</v>
      </c>
      <c r="D755" s="2" t="s">
        <v>907</v>
      </c>
      <c r="E755" s="1">
        <v>0</v>
      </c>
      <c r="F755" s="2" t="s">
        <v>909</v>
      </c>
      <c r="H755" s="1" t="str">
        <f t="shared" ref="H755:H817" si="12">IF(OR(E755&lt;&gt;1,G755=""),"","k"&amp;A755&amp;"_"&amp;G755)</f>
        <v/>
      </c>
      <c r="K755" s="1">
        <f>IF(E755=0,SUMPRODUCT(($A$2:$A$4734=A755)*($B$2:$B$4734=B755)*($D$2:$D$4734=D755)*($E$2:$E$4734=0)),0)</f>
        <v>6</v>
      </c>
      <c r="L755" s="1">
        <f>IF(E755=0,SUMPRODUCT(MIN($K$2:$K$4734+((($A$2:$A$4734&lt;&gt;A755)+($E$2:$E$4734&lt;&gt;0))&gt;0)*1000000)),"")</f>
        <v>4</v>
      </c>
      <c r="M755" s="1">
        <f>IF(AND(E755=0,COUNTIFS($A$2:A755,A755,$E$2:E755,0)=1),L755,0)</f>
        <v>0</v>
      </c>
    </row>
    <row r="756" spans="1:13" ht="15" customHeight="1">
      <c r="A756" s="1">
        <v>7105</v>
      </c>
      <c r="B756" s="1" t="s">
        <v>16</v>
      </c>
      <c r="C756" s="2" t="s">
        <v>901</v>
      </c>
      <c r="D756" s="2" t="s">
        <v>907</v>
      </c>
      <c r="E756" s="1">
        <v>0</v>
      </c>
      <c r="F756" s="2" t="s">
        <v>910</v>
      </c>
      <c r="H756" s="1" t="str">
        <f t="shared" si="12"/>
        <v/>
      </c>
      <c r="K756" s="1">
        <f>IF(E756=0,SUMPRODUCT(($A$2:$A$4734=A756)*($B$2:$B$4734=B756)*($D$2:$D$4734=D756)*($E$2:$E$4734=0)),0)</f>
        <v>6</v>
      </c>
      <c r="L756" s="1">
        <f>IF(E756=0,SUMPRODUCT(MIN($K$2:$K$4734+((($A$2:$A$4734&lt;&gt;A756)+($E$2:$E$4734&lt;&gt;0))&gt;0)*1000000)),"")</f>
        <v>4</v>
      </c>
      <c r="M756" s="1">
        <f>IF(AND(E756=0,COUNTIFS($A$2:A756,A756,$E$2:E756,0)=1),L756,0)</f>
        <v>0</v>
      </c>
    </row>
    <row r="757" spans="1:13" ht="15" customHeight="1">
      <c r="A757" s="1">
        <v>7105</v>
      </c>
      <c r="B757" s="1" t="s">
        <v>16</v>
      </c>
      <c r="C757" s="2" t="s">
        <v>901</v>
      </c>
      <c r="D757" s="2" t="s">
        <v>907</v>
      </c>
      <c r="E757" s="1">
        <v>0</v>
      </c>
      <c r="F757" s="2" t="s">
        <v>911</v>
      </c>
      <c r="H757" s="1" t="str">
        <f t="shared" si="12"/>
        <v/>
      </c>
      <c r="K757" s="1">
        <f>IF(E757=0,SUMPRODUCT(($A$2:$A$4734=A757)*($B$2:$B$4734=B757)*($D$2:$D$4734=D757)*($E$2:$E$4734=0)),0)</f>
        <v>6</v>
      </c>
      <c r="L757" s="1">
        <f>IF(E757=0,SUMPRODUCT(MIN($K$2:$K$4734+((($A$2:$A$4734&lt;&gt;A757)+($E$2:$E$4734&lt;&gt;0))&gt;0)*1000000)),"")</f>
        <v>4</v>
      </c>
      <c r="M757" s="1">
        <f>IF(AND(E757=0,COUNTIFS($A$2:A757,A757,$E$2:E757,0)=1),L757,0)</f>
        <v>0</v>
      </c>
    </row>
    <row r="758" spans="1:13" ht="15" customHeight="1">
      <c r="A758" s="1">
        <v>7105</v>
      </c>
      <c r="B758" s="1" t="s">
        <v>16</v>
      </c>
      <c r="C758" s="2" t="s">
        <v>901</v>
      </c>
      <c r="D758" s="2" t="s">
        <v>907</v>
      </c>
      <c r="E758" s="1">
        <v>0</v>
      </c>
      <c r="F758" s="2" t="s">
        <v>912</v>
      </c>
      <c r="H758" s="1" t="str">
        <f t="shared" si="12"/>
        <v/>
      </c>
      <c r="K758" s="1">
        <f>IF(E758=0,SUMPRODUCT(($A$2:$A$4734=A758)*($B$2:$B$4734=B758)*($D$2:$D$4734=D758)*($E$2:$E$4734=0)),0)</f>
        <v>6</v>
      </c>
      <c r="L758" s="1">
        <f>IF(E758=0,SUMPRODUCT(MIN($K$2:$K$4734+((($A$2:$A$4734&lt;&gt;A758)+($E$2:$E$4734&lt;&gt;0))&gt;0)*1000000)),"")</f>
        <v>4</v>
      </c>
      <c r="M758" s="1">
        <f>IF(AND(E758=0,COUNTIFS($A$2:A758,A758,$E$2:E758,0)=1),L758,0)</f>
        <v>0</v>
      </c>
    </row>
    <row r="759" spans="1:13" ht="15" customHeight="1">
      <c r="A759" s="1">
        <v>7105</v>
      </c>
      <c r="B759" s="1" t="s">
        <v>16</v>
      </c>
      <c r="C759" s="2" t="s">
        <v>901</v>
      </c>
      <c r="D759" s="2" t="s">
        <v>907</v>
      </c>
      <c r="E759" s="1">
        <v>0</v>
      </c>
      <c r="F759" s="2" t="s">
        <v>913</v>
      </c>
      <c r="H759" s="1" t="str">
        <f t="shared" si="12"/>
        <v/>
      </c>
      <c r="K759" s="1">
        <f>IF(E759=0,SUMPRODUCT(($A$2:$A$4734=A759)*($B$2:$B$4734=B759)*($D$2:$D$4734=D759)*($E$2:$E$4734=0)),0)</f>
        <v>6</v>
      </c>
      <c r="L759" s="1">
        <f>IF(E759=0,SUMPRODUCT(MIN($K$2:$K$4734+((($A$2:$A$4734&lt;&gt;A759)+($E$2:$E$4734&lt;&gt;0))&gt;0)*1000000)),"")</f>
        <v>4</v>
      </c>
      <c r="M759" s="1">
        <f>IF(AND(E759=0,COUNTIFS($A$2:A759,A759,$E$2:E759,0)=1),L759,0)</f>
        <v>0</v>
      </c>
    </row>
    <row r="760" spans="1:13" ht="15" customHeight="1">
      <c r="A760" s="1">
        <v>7105</v>
      </c>
      <c r="B760" s="1" t="s">
        <v>9</v>
      </c>
      <c r="C760" s="2" t="s">
        <v>901</v>
      </c>
      <c r="D760" s="2" t="s">
        <v>914</v>
      </c>
      <c r="E760" s="1">
        <v>0</v>
      </c>
      <c r="F760" s="2" t="s">
        <v>915</v>
      </c>
      <c r="H760" s="1" t="str">
        <f t="shared" si="12"/>
        <v/>
      </c>
      <c r="K760" s="1">
        <f>IF(E760=0,SUMPRODUCT(($A$2:$A$4734=A760)*($B$2:$B$4734=B760)*($D$2:$D$4734=D760)*($E$2:$E$4734=0)),0)</f>
        <v>4</v>
      </c>
      <c r="L760" s="1">
        <f>IF(E760=0,SUMPRODUCT(MIN($K$2:$K$4734+((($A$2:$A$4734&lt;&gt;A760)+($E$2:$E$4734&lt;&gt;0))&gt;0)*1000000)),"")</f>
        <v>4</v>
      </c>
      <c r="M760" s="1">
        <f>IF(AND(E760=0,COUNTIFS($A$2:A760,A760,$E$2:E760,0)=1),L760,0)</f>
        <v>0</v>
      </c>
    </row>
    <row r="761" spans="1:13" ht="15" customHeight="1">
      <c r="A761" s="1">
        <v>7105</v>
      </c>
      <c r="B761" s="1" t="s">
        <v>9</v>
      </c>
      <c r="C761" s="2" t="s">
        <v>901</v>
      </c>
      <c r="D761" s="2" t="s">
        <v>914</v>
      </c>
      <c r="E761" s="1">
        <v>0</v>
      </c>
      <c r="F761" s="2" t="s">
        <v>916</v>
      </c>
      <c r="H761" s="1" t="str">
        <f t="shared" si="12"/>
        <v/>
      </c>
      <c r="K761" s="1">
        <f>IF(E761=0,SUMPRODUCT(($A$2:$A$4734=A761)*($B$2:$B$4734=B761)*($D$2:$D$4734=D761)*($E$2:$E$4734=0)),0)</f>
        <v>4</v>
      </c>
      <c r="L761" s="1">
        <f>IF(E761=0,SUMPRODUCT(MIN($K$2:$K$4734+((($A$2:$A$4734&lt;&gt;A761)+($E$2:$E$4734&lt;&gt;0))&gt;0)*1000000)),"")</f>
        <v>4</v>
      </c>
      <c r="M761" s="1">
        <f>IF(AND(E761=0,COUNTIFS($A$2:A761,A761,$E$2:E761,0)=1),L761,0)</f>
        <v>0</v>
      </c>
    </row>
    <row r="762" spans="1:13" ht="15" customHeight="1">
      <c r="A762" s="1">
        <v>7105</v>
      </c>
      <c r="B762" s="1" t="s">
        <v>9</v>
      </c>
      <c r="C762" s="2" t="s">
        <v>901</v>
      </c>
      <c r="D762" s="2" t="s">
        <v>914</v>
      </c>
      <c r="E762" s="1">
        <v>0</v>
      </c>
      <c r="F762" s="2" t="s">
        <v>917</v>
      </c>
      <c r="H762" s="1" t="str">
        <f t="shared" si="12"/>
        <v/>
      </c>
      <c r="K762" s="1">
        <f>IF(E762=0,SUMPRODUCT(($A$2:$A$4734=A762)*($B$2:$B$4734=B762)*($D$2:$D$4734=D762)*($E$2:$E$4734=0)),0)</f>
        <v>4</v>
      </c>
      <c r="L762" s="1">
        <f>IF(E762=0,SUMPRODUCT(MIN($K$2:$K$4734+((($A$2:$A$4734&lt;&gt;A762)+($E$2:$E$4734&lt;&gt;0))&gt;0)*1000000)),"")</f>
        <v>4</v>
      </c>
      <c r="M762" s="1">
        <f>IF(AND(E762=0,COUNTIFS($A$2:A762,A762,$E$2:E762,0)=1),L762,0)</f>
        <v>0</v>
      </c>
    </row>
    <row r="763" spans="1:13" ht="15" customHeight="1">
      <c r="A763" s="1">
        <v>7105</v>
      </c>
      <c r="B763" s="1" t="s">
        <v>9</v>
      </c>
      <c r="C763" s="2" t="s">
        <v>901</v>
      </c>
      <c r="D763" s="2" t="s">
        <v>914</v>
      </c>
      <c r="E763" s="1">
        <v>0</v>
      </c>
      <c r="F763" s="2" t="s">
        <v>918</v>
      </c>
      <c r="H763" s="1" t="str">
        <f t="shared" si="12"/>
        <v/>
      </c>
      <c r="K763" s="1">
        <f>IF(E763=0,SUMPRODUCT(($A$2:$A$4734=A763)*($B$2:$B$4734=B763)*($D$2:$D$4734=D763)*($E$2:$E$4734=0)),0)</f>
        <v>4</v>
      </c>
      <c r="L763" s="1">
        <f>IF(E763=0,SUMPRODUCT(MIN($K$2:$K$4734+((($A$2:$A$4734&lt;&gt;A763)+($E$2:$E$4734&lt;&gt;0))&gt;0)*1000000)),"")</f>
        <v>4</v>
      </c>
      <c r="M763" s="1">
        <f>IF(AND(E763=0,COUNTIFS($A$2:A763,A763,$E$2:E763,0)=1),L763,0)</f>
        <v>0</v>
      </c>
    </row>
    <row r="764" spans="1:13" ht="15" customHeight="1">
      <c r="A764" s="1">
        <v>7105</v>
      </c>
      <c r="B764" s="1" t="s">
        <v>16</v>
      </c>
      <c r="C764" s="2" t="s">
        <v>901</v>
      </c>
      <c r="D764" s="2" t="s">
        <v>919</v>
      </c>
      <c r="E764" s="1">
        <v>0</v>
      </c>
      <c r="F764" s="2" t="s">
        <v>920</v>
      </c>
      <c r="H764" s="1" t="str">
        <f t="shared" si="12"/>
        <v/>
      </c>
      <c r="K764" s="1">
        <f>IF(E764=0,SUMPRODUCT(($A$2:$A$4734=A764)*($B$2:$B$4734=B764)*($D$2:$D$4734=D764)*($E$2:$E$4734=0)),0)</f>
        <v>6</v>
      </c>
      <c r="L764" s="1">
        <f>IF(E764=0,SUMPRODUCT(MIN($K$2:$K$4734+((($A$2:$A$4734&lt;&gt;A764)+($E$2:$E$4734&lt;&gt;0))&gt;0)*1000000)),"")</f>
        <v>4</v>
      </c>
      <c r="M764" s="1">
        <f>IF(AND(E764=0,COUNTIFS($A$2:A764,A764,$E$2:E764,0)=1),L764,0)</f>
        <v>0</v>
      </c>
    </row>
    <row r="765" spans="1:13" ht="15" customHeight="1">
      <c r="A765" s="1">
        <v>7105</v>
      </c>
      <c r="B765" s="1" t="s">
        <v>16</v>
      </c>
      <c r="C765" s="2" t="s">
        <v>901</v>
      </c>
      <c r="D765" s="2" t="s">
        <v>919</v>
      </c>
      <c r="E765" s="1">
        <v>0</v>
      </c>
      <c r="F765" s="2" t="s">
        <v>921</v>
      </c>
      <c r="H765" s="1" t="str">
        <f t="shared" si="12"/>
        <v/>
      </c>
      <c r="K765" s="1">
        <f>IF(E765=0,SUMPRODUCT(($A$2:$A$4734=A765)*($B$2:$B$4734=B765)*($D$2:$D$4734=D765)*($E$2:$E$4734=0)),0)</f>
        <v>6</v>
      </c>
      <c r="L765" s="1">
        <f>IF(E765=0,SUMPRODUCT(MIN($K$2:$K$4734+((($A$2:$A$4734&lt;&gt;A765)+($E$2:$E$4734&lt;&gt;0))&gt;0)*1000000)),"")</f>
        <v>4</v>
      </c>
      <c r="M765" s="1">
        <f>IF(AND(E765=0,COUNTIFS($A$2:A765,A765,$E$2:E765,0)=1),L765,0)</f>
        <v>0</v>
      </c>
    </row>
    <row r="766" spans="1:13" ht="15" customHeight="1">
      <c r="A766" s="1">
        <v>7105</v>
      </c>
      <c r="B766" s="1" t="s">
        <v>16</v>
      </c>
      <c r="C766" s="2" t="s">
        <v>901</v>
      </c>
      <c r="D766" s="2" t="s">
        <v>919</v>
      </c>
      <c r="E766" s="1">
        <v>0</v>
      </c>
      <c r="F766" s="2" t="s">
        <v>922</v>
      </c>
      <c r="H766" s="1" t="str">
        <f t="shared" si="12"/>
        <v/>
      </c>
      <c r="K766" s="1">
        <f>IF(E766=0,SUMPRODUCT(($A$2:$A$4734=A766)*($B$2:$B$4734=B766)*($D$2:$D$4734=D766)*($E$2:$E$4734=0)),0)</f>
        <v>6</v>
      </c>
      <c r="L766" s="1">
        <f>IF(E766=0,SUMPRODUCT(MIN($K$2:$K$4734+((($A$2:$A$4734&lt;&gt;A766)+($E$2:$E$4734&lt;&gt;0))&gt;0)*1000000)),"")</f>
        <v>4</v>
      </c>
      <c r="M766" s="1">
        <f>IF(AND(E766=0,COUNTIFS($A$2:A766,A766,$E$2:E766,0)=1),L766,0)</f>
        <v>0</v>
      </c>
    </row>
    <row r="767" spans="1:13" ht="15" customHeight="1">
      <c r="A767" s="1">
        <v>7105</v>
      </c>
      <c r="B767" s="1" t="s">
        <v>16</v>
      </c>
      <c r="C767" s="2" t="s">
        <v>901</v>
      </c>
      <c r="D767" s="2" t="s">
        <v>919</v>
      </c>
      <c r="E767" s="1">
        <v>0</v>
      </c>
      <c r="F767" s="2" t="s">
        <v>923</v>
      </c>
      <c r="H767" s="1" t="str">
        <f t="shared" si="12"/>
        <v/>
      </c>
      <c r="K767" s="1">
        <f>IF(E767=0,SUMPRODUCT(($A$2:$A$4734=A767)*($B$2:$B$4734=B767)*($D$2:$D$4734=D767)*($E$2:$E$4734=0)),0)</f>
        <v>6</v>
      </c>
      <c r="L767" s="1">
        <f>IF(E767=0,SUMPRODUCT(MIN($K$2:$K$4734+((($A$2:$A$4734&lt;&gt;A767)+($E$2:$E$4734&lt;&gt;0))&gt;0)*1000000)),"")</f>
        <v>4</v>
      </c>
      <c r="M767" s="1">
        <f>IF(AND(E767=0,COUNTIFS($A$2:A767,A767,$E$2:E767,0)=1),L767,0)</f>
        <v>0</v>
      </c>
    </row>
    <row r="768" spans="1:13" ht="15" customHeight="1">
      <c r="A768" s="1">
        <v>7105</v>
      </c>
      <c r="B768" s="1" t="s">
        <v>16</v>
      </c>
      <c r="C768" s="2" t="s">
        <v>901</v>
      </c>
      <c r="D768" s="2" t="s">
        <v>919</v>
      </c>
      <c r="E768" s="1">
        <v>0</v>
      </c>
      <c r="F768" s="2" t="s">
        <v>924</v>
      </c>
      <c r="H768" s="1" t="str">
        <f t="shared" si="12"/>
        <v/>
      </c>
      <c r="K768" s="1">
        <f>IF(E768=0,SUMPRODUCT(($A$2:$A$4734=A768)*($B$2:$B$4734=B768)*($D$2:$D$4734=D768)*($E$2:$E$4734=0)),0)</f>
        <v>6</v>
      </c>
      <c r="L768" s="1">
        <f>IF(E768=0,SUMPRODUCT(MIN($K$2:$K$4734+((($A$2:$A$4734&lt;&gt;A768)+($E$2:$E$4734&lt;&gt;0))&gt;0)*1000000)),"")</f>
        <v>4</v>
      </c>
      <c r="M768" s="1">
        <f>IF(AND(E768=0,COUNTIFS($A$2:A768,A768,$E$2:E768,0)=1),L768,0)</f>
        <v>0</v>
      </c>
    </row>
    <row r="769" spans="1:13" ht="15" customHeight="1">
      <c r="A769" s="1">
        <v>7105</v>
      </c>
      <c r="B769" s="1" t="s">
        <v>16</v>
      </c>
      <c r="C769" s="2" t="s">
        <v>901</v>
      </c>
      <c r="D769" s="2" t="s">
        <v>919</v>
      </c>
      <c r="E769" s="1">
        <v>0</v>
      </c>
      <c r="F769" s="2" t="s">
        <v>925</v>
      </c>
      <c r="H769" s="1" t="str">
        <f t="shared" si="12"/>
        <v/>
      </c>
      <c r="K769" s="1">
        <f>IF(E769=0,SUMPRODUCT(($A$2:$A$4734=A769)*($B$2:$B$4734=B769)*($D$2:$D$4734=D769)*($E$2:$E$4734=0)),0)</f>
        <v>6</v>
      </c>
      <c r="L769" s="1">
        <f>IF(E769=0,SUMPRODUCT(MIN($K$2:$K$4734+((($A$2:$A$4734&lt;&gt;A769)+($E$2:$E$4734&lt;&gt;0))&gt;0)*1000000)),"")</f>
        <v>4</v>
      </c>
      <c r="M769" s="1">
        <f>IF(AND(E769=0,COUNTIFS($A$2:A769,A769,$E$2:E769,0)=1),L769,0)</f>
        <v>0</v>
      </c>
    </row>
    <row r="770" spans="1:13" ht="15" customHeight="1">
      <c r="A770" s="1">
        <v>7106</v>
      </c>
      <c r="B770" s="1" t="s">
        <v>9</v>
      </c>
      <c r="C770" s="2" t="s">
        <v>926</v>
      </c>
      <c r="D770" s="2" t="s">
        <v>927</v>
      </c>
      <c r="E770" s="1">
        <v>0</v>
      </c>
      <c r="F770" s="2" t="s">
        <v>928</v>
      </c>
      <c r="H770" s="1" t="str">
        <f t="shared" si="12"/>
        <v/>
      </c>
      <c r="K770" s="1">
        <f>IF(E770=0,SUMPRODUCT(($A$2:$A$4734=A770)*($B$2:$B$4734=B770)*($D$2:$D$4734=D770)*($E$2:$E$4734=0)),0)</f>
        <v>4</v>
      </c>
      <c r="L770" s="1">
        <f>IF(E770=0,SUMPRODUCT(MIN($K$2:$K$4734+((($A$2:$A$4734&lt;&gt;A770)+($E$2:$E$4734&lt;&gt;0))&gt;0)*1000000)),"")</f>
        <v>4</v>
      </c>
      <c r="M770" s="1">
        <f>IF(AND(E770=0,COUNTIFS($A$2:A770,A770,$E$2:E770,0)=1),L770,0)</f>
        <v>4</v>
      </c>
    </row>
    <row r="771" spans="1:13" ht="15" customHeight="1">
      <c r="A771" s="1">
        <v>7106</v>
      </c>
      <c r="B771" s="1" t="s">
        <v>9</v>
      </c>
      <c r="C771" s="2" t="s">
        <v>926</v>
      </c>
      <c r="D771" s="2" t="s">
        <v>927</v>
      </c>
      <c r="E771" s="1">
        <v>0</v>
      </c>
      <c r="F771" s="2" t="s">
        <v>929</v>
      </c>
      <c r="H771" s="1" t="str">
        <f t="shared" si="12"/>
        <v/>
      </c>
      <c r="K771" s="1">
        <f>IF(E771=0,SUMPRODUCT(($A$2:$A$4734=A771)*($B$2:$B$4734=B771)*($D$2:$D$4734=D771)*($E$2:$E$4734=0)),0)</f>
        <v>4</v>
      </c>
      <c r="L771" s="1">
        <f>IF(E771=0,SUMPRODUCT(MIN($K$2:$K$4734+((($A$2:$A$4734&lt;&gt;A771)+($E$2:$E$4734&lt;&gt;0))&gt;0)*1000000)),"")</f>
        <v>4</v>
      </c>
      <c r="M771" s="1">
        <f>IF(AND(E771=0,COUNTIFS($A$2:A771,A771,$E$2:E771,0)=1),L771,0)</f>
        <v>0</v>
      </c>
    </row>
    <row r="772" spans="1:13" ht="15" customHeight="1">
      <c r="A772" s="1">
        <v>7106</v>
      </c>
      <c r="B772" s="1" t="s">
        <v>9</v>
      </c>
      <c r="C772" s="2" t="s">
        <v>926</v>
      </c>
      <c r="D772" s="2" t="s">
        <v>927</v>
      </c>
      <c r="E772" s="1">
        <v>0</v>
      </c>
      <c r="F772" s="2" t="s">
        <v>336</v>
      </c>
      <c r="H772" s="1" t="str">
        <f t="shared" si="12"/>
        <v/>
      </c>
      <c r="K772" s="1">
        <f>IF(E772=0,SUMPRODUCT(($A$2:$A$4734=A772)*($B$2:$B$4734=B772)*($D$2:$D$4734=D772)*($E$2:$E$4734=0)),0)</f>
        <v>4</v>
      </c>
      <c r="L772" s="1">
        <f>IF(E772=0,SUMPRODUCT(MIN($K$2:$K$4734+((($A$2:$A$4734&lt;&gt;A772)+($E$2:$E$4734&lt;&gt;0))&gt;0)*1000000)),"")</f>
        <v>4</v>
      </c>
      <c r="M772" s="1">
        <f>IF(AND(E772=0,COUNTIFS($A$2:A772,A772,$E$2:E772,0)=1),L772,0)</f>
        <v>0</v>
      </c>
    </row>
    <row r="773" spans="1:13" ht="15" customHeight="1">
      <c r="A773" s="1">
        <v>7106</v>
      </c>
      <c r="B773" s="1" t="s">
        <v>9</v>
      </c>
      <c r="C773" s="2" t="s">
        <v>926</v>
      </c>
      <c r="D773" s="2" t="s">
        <v>927</v>
      </c>
      <c r="E773" s="1">
        <v>0</v>
      </c>
      <c r="F773" s="2" t="s">
        <v>930</v>
      </c>
      <c r="H773" s="1" t="str">
        <f t="shared" si="12"/>
        <v/>
      </c>
      <c r="K773" s="1">
        <f>IF(E773=0,SUMPRODUCT(($A$2:$A$4734=A773)*($B$2:$B$4734=B773)*($D$2:$D$4734=D773)*($E$2:$E$4734=0)),0)</f>
        <v>4</v>
      </c>
      <c r="L773" s="1">
        <f>IF(E773=0,SUMPRODUCT(MIN($K$2:$K$4734+((($A$2:$A$4734&lt;&gt;A773)+($E$2:$E$4734&lt;&gt;0))&gt;0)*1000000)),"")</f>
        <v>4</v>
      </c>
      <c r="M773" s="1">
        <f>IF(AND(E773=0,COUNTIFS($A$2:A773,A773,$E$2:E773,0)=1),L773,0)</f>
        <v>0</v>
      </c>
    </row>
    <row r="774" spans="1:13" ht="15" customHeight="1">
      <c r="A774" s="1">
        <v>7106</v>
      </c>
      <c r="B774" s="1" t="s">
        <v>9</v>
      </c>
      <c r="C774" s="2" t="s">
        <v>926</v>
      </c>
      <c r="D774" s="2" t="s">
        <v>696</v>
      </c>
      <c r="E774" s="1">
        <v>0</v>
      </c>
      <c r="F774" s="2" t="s">
        <v>931</v>
      </c>
      <c r="H774" s="1" t="str">
        <f t="shared" si="12"/>
        <v/>
      </c>
      <c r="K774" s="1">
        <f>IF(E774=0,SUMPRODUCT(($A$2:$A$4734=A774)*($B$2:$B$4734=B774)*($D$2:$D$4734=D774)*($E$2:$E$4734=0)),0)</f>
        <v>4</v>
      </c>
      <c r="L774" s="1">
        <f>IF(E774=0,SUMPRODUCT(MIN($K$2:$K$4734+((($A$2:$A$4734&lt;&gt;A774)+($E$2:$E$4734&lt;&gt;0))&gt;0)*1000000)),"")</f>
        <v>4</v>
      </c>
      <c r="M774" s="1">
        <f>IF(AND(E774=0,COUNTIFS($A$2:A774,A774,$E$2:E774,0)=1),L774,0)</f>
        <v>0</v>
      </c>
    </row>
    <row r="775" spans="1:13" ht="15" customHeight="1">
      <c r="A775" s="1">
        <v>7106</v>
      </c>
      <c r="B775" s="1" t="s">
        <v>9</v>
      </c>
      <c r="C775" s="2" t="s">
        <v>926</v>
      </c>
      <c r="D775" s="2" t="s">
        <v>696</v>
      </c>
      <c r="E775" s="1">
        <v>0</v>
      </c>
      <c r="F775" s="2" t="s">
        <v>932</v>
      </c>
      <c r="H775" s="1" t="str">
        <f t="shared" si="12"/>
        <v/>
      </c>
      <c r="K775" s="1">
        <f>IF(E775=0,SUMPRODUCT(($A$2:$A$4734=A775)*($B$2:$B$4734=B775)*($D$2:$D$4734=D775)*($E$2:$E$4734=0)),0)</f>
        <v>4</v>
      </c>
      <c r="L775" s="1">
        <f>IF(E775=0,SUMPRODUCT(MIN($K$2:$K$4734+((($A$2:$A$4734&lt;&gt;A775)+($E$2:$E$4734&lt;&gt;0))&gt;0)*1000000)),"")</f>
        <v>4</v>
      </c>
      <c r="M775" s="1">
        <f>IF(AND(E775=0,COUNTIFS($A$2:A775,A775,$E$2:E775,0)=1),L775,0)</f>
        <v>0</v>
      </c>
    </row>
    <row r="776" spans="1:13" ht="15" customHeight="1">
      <c r="A776" s="1">
        <v>7106</v>
      </c>
      <c r="B776" s="1" t="s">
        <v>9</v>
      </c>
      <c r="C776" s="2" t="s">
        <v>926</v>
      </c>
      <c r="D776" s="2" t="s">
        <v>696</v>
      </c>
      <c r="E776" s="1">
        <v>0</v>
      </c>
      <c r="F776" s="2" t="s">
        <v>699</v>
      </c>
      <c r="H776" s="1" t="str">
        <f t="shared" si="12"/>
        <v/>
      </c>
      <c r="K776" s="1">
        <f>IF(E776=0,SUMPRODUCT(($A$2:$A$4734=A776)*($B$2:$B$4734=B776)*($D$2:$D$4734=D776)*($E$2:$E$4734=0)),0)</f>
        <v>4</v>
      </c>
      <c r="L776" s="1">
        <f>IF(E776=0,SUMPRODUCT(MIN($K$2:$K$4734+((($A$2:$A$4734&lt;&gt;A776)+($E$2:$E$4734&lt;&gt;0))&gt;0)*1000000)),"")</f>
        <v>4</v>
      </c>
      <c r="M776" s="1">
        <f>IF(AND(E776=0,COUNTIFS($A$2:A776,A776,$E$2:E776,0)=1),L776,0)</f>
        <v>0</v>
      </c>
    </row>
    <row r="777" spans="1:13" ht="15" customHeight="1">
      <c r="A777" s="1">
        <v>7106</v>
      </c>
      <c r="B777" s="1" t="s">
        <v>9</v>
      </c>
      <c r="C777" s="2" t="s">
        <v>926</v>
      </c>
      <c r="D777" s="2" t="s">
        <v>696</v>
      </c>
      <c r="E777" s="1">
        <v>0</v>
      </c>
      <c r="F777" s="2" t="s">
        <v>933</v>
      </c>
      <c r="H777" s="1" t="str">
        <f t="shared" si="12"/>
        <v/>
      </c>
      <c r="K777" s="1">
        <f>IF(E777=0,SUMPRODUCT(($A$2:$A$4734=A777)*($B$2:$B$4734=B777)*($D$2:$D$4734=D777)*($E$2:$E$4734=0)),0)</f>
        <v>4</v>
      </c>
      <c r="L777" s="1">
        <f>IF(E777=0,SUMPRODUCT(MIN($K$2:$K$4734+((($A$2:$A$4734&lt;&gt;A777)+($E$2:$E$4734&lt;&gt;0))&gt;0)*1000000)),"")</f>
        <v>4</v>
      </c>
      <c r="M777" s="1">
        <f>IF(AND(E777=0,COUNTIFS($A$2:A777,A777,$E$2:E777,0)=1),L777,0)</f>
        <v>0</v>
      </c>
    </row>
    <row r="778" spans="1:13" ht="15" customHeight="1">
      <c r="A778" s="1">
        <v>7107</v>
      </c>
      <c r="B778" s="1" t="s">
        <v>9</v>
      </c>
      <c r="C778" s="2" t="s">
        <v>934</v>
      </c>
      <c r="D778" s="2" t="s">
        <v>935</v>
      </c>
      <c r="E778" s="1">
        <v>1</v>
      </c>
      <c r="F778" s="2" t="s">
        <v>936</v>
      </c>
      <c r="G778" s="1">
        <v>1</v>
      </c>
      <c r="H778" s="1" t="str">
        <f t="shared" si="12"/>
        <v>k7107_1</v>
      </c>
      <c r="K778" s="1">
        <f>IF(E778=0,SUMPRODUCT(($A$2:$A$4734=A778)*($B$2:$B$4734=B778)*($D$2:$D$4734=D778)*($E$2:$E$4734=0)),0)</f>
        <v>0</v>
      </c>
      <c r="L778" s="1" t="str">
        <f>IF(E778=0,SUMPRODUCT(MIN($K$2:$K$4734+((($A$2:$A$4734&lt;&gt;A778)+($E$2:$E$4734&lt;&gt;0))&gt;0)*1000000)),"")</f>
        <v/>
      </c>
      <c r="M778" s="1">
        <f>IF(AND(E778=0,COUNTIFS($A$2:A778,A778,$E$2:E778,0)=1),L778,0)</f>
        <v>0</v>
      </c>
    </row>
    <row r="779" spans="1:13" ht="15" customHeight="1">
      <c r="A779" s="1">
        <v>7107</v>
      </c>
      <c r="B779" s="1" t="s">
        <v>9</v>
      </c>
      <c r="C779" s="2" t="s">
        <v>934</v>
      </c>
      <c r="D779" s="2" t="s">
        <v>935</v>
      </c>
      <c r="E779" s="1">
        <v>1</v>
      </c>
      <c r="F779" s="2" t="s">
        <v>937</v>
      </c>
      <c r="G779" s="1">
        <v>2</v>
      </c>
      <c r="H779" s="1" t="str">
        <f t="shared" si="12"/>
        <v>k7107_2</v>
      </c>
      <c r="K779" s="1">
        <f>IF(E779=0,SUMPRODUCT(($A$2:$A$4734=A779)*($B$2:$B$4734=B779)*($D$2:$D$4734=D779)*($E$2:$E$4734=0)),0)</f>
        <v>0</v>
      </c>
      <c r="L779" s="1" t="str">
        <f>IF(E779=0,SUMPRODUCT(MIN($K$2:$K$4734+((($A$2:$A$4734&lt;&gt;A779)+($E$2:$E$4734&lt;&gt;0))&gt;0)*1000000)),"")</f>
        <v/>
      </c>
      <c r="M779" s="1">
        <f>IF(AND(E779=0,COUNTIFS($A$2:A779,A779,$E$2:E779,0)=1),L779,0)</f>
        <v>0</v>
      </c>
    </row>
    <row r="780" spans="1:13" ht="15" customHeight="1">
      <c r="A780" s="1">
        <v>7107</v>
      </c>
      <c r="B780" s="1" t="s">
        <v>9</v>
      </c>
      <c r="C780" s="2" t="s">
        <v>934</v>
      </c>
      <c r="D780" s="2" t="s">
        <v>935</v>
      </c>
      <c r="E780" s="1">
        <v>1</v>
      </c>
      <c r="F780" s="2" t="s">
        <v>938</v>
      </c>
      <c r="G780" s="1">
        <v>3</v>
      </c>
      <c r="H780" s="1" t="str">
        <f t="shared" si="12"/>
        <v>k7107_3</v>
      </c>
      <c r="K780" s="1">
        <f>IF(E780=0,SUMPRODUCT(($A$2:$A$4734=A780)*($B$2:$B$4734=B780)*($D$2:$D$4734=D780)*($E$2:$E$4734=0)),0)</f>
        <v>0</v>
      </c>
      <c r="L780" s="1" t="str">
        <f>IF(E780=0,SUMPRODUCT(MIN($K$2:$K$4734+((($A$2:$A$4734&lt;&gt;A780)+($E$2:$E$4734&lt;&gt;0))&gt;0)*1000000)),"")</f>
        <v/>
      </c>
      <c r="M780" s="1">
        <f>IF(AND(E780=0,COUNTIFS($A$2:A780,A780,$E$2:E780,0)=1),L780,0)</f>
        <v>0</v>
      </c>
    </row>
    <row r="781" spans="1:13" ht="15" customHeight="1">
      <c r="A781" s="1">
        <v>7107</v>
      </c>
      <c r="B781" s="1" t="s">
        <v>9</v>
      </c>
      <c r="C781" s="2" t="s">
        <v>934</v>
      </c>
      <c r="D781" s="2" t="s">
        <v>935</v>
      </c>
      <c r="E781" s="1">
        <v>1</v>
      </c>
      <c r="F781" s="2" t="s">
        <v>939</v>
      </c>
      <c r="G781" s="1">
        <v>4</v>
      </c>
      <c r="H781" s="1" t="str">
        <f t="shared" si="12"/>
        <v>k7107_4</v>
      </c>
      <c r="K781" s="1">
        <f>IF(E781=0,SUMPRODUCT(($A$2:$A$4734=A781)*($B$2:$B$4734=B781)*($D$2:$D$4734=D781)*($E$2:$E$4734=0)),0)</f>
        <v>0</v>
      </c>
      <c r="L781" s="1" t="str">
        <f>IF(E781=0,SUMPRODUCT(MIN($K$2:$K$4734+((($A$2:$A$4734&lt;&gt;A781)+($E$2:$E$4734&lt;&gt;0))&gt;0)*1000000)),"")</f>
        <v/>
      </c>
      <c r="M781" s="1">
        <f>IF(AND(E781=0,COUNTIFS($A$2:A781,A781,$E$2:E781,0)=1),L781,0)</f>
        <v>0</v>
      </c>
    </row>
    <row r="782" spans="1:13" ht="15" customHeight="1">
      <c r="A782" s="1">
        <v>7107</v>
      </c>
      <c r="B782" s="1" t="s">
        <v>9</v>
      </c>
      <c r="C782" s="2" t="s">
        <v>934</v>
      </c>
      <c r="D782" s="2" t="s">
        <v>935</v>
      </c>
      <c r="E782" s="1">
        <v>1</v>
      </c>
      <c r="F782" s="2" t="s">
        <v>940</v>
      </c>
      <c r="G782" s="1">
        <v>5</v>
      </c>
      <c r="H782" s="1" t="str">
        <f t="shared" si="12"/>
        <v>k7107_5</v>
      </c>
      <c r="K782" s="1">
        <f>IF(E782=0,SUMPRODUCT(($A$2:$A$4734=A782)*($B$2:$B$4734=B782)*($D$2:$D$4734=D782)*($E$2:$E$4734=0)),0)</f>
        <v>0</v>
      </c>
      <c r="L782" s="1" t="str">
        <f>IF(E782=0,SUMPRODUCT(MIN($K$2:$K$4734+((($A$2:$A$4734&lt;&gt;A782)+($E$2:$E$4734&lt;&gt;0))&gt;0)*1000000)),"")</f>
        <v/>
      </c>
      <c r="M782" s="1">
        <f>IF(AND(E782=0,COUNTIFS($A$2:A782,A782,$E$2:E782,0)=1),L782,0)</f>
        <v>0</v>
      </c>
    </row>
    <row r="783" spans="1:13" ht="15" customHeight="1">
      <c r="A783" s="1">
        <v>7107</v>
      </c>
      <c r="B783" s="1" t="s">
        <v>95</v>
      </c>
      <c r="C783" s="2" t="s">
        <v>934</v>
      </c>
      <c r="D783" s="2" t="s">
        <v>941</v>
      </c>
      <c r="E783" s="1">
        <v>1</v>
      </c>
      <c r="F783" s="2" t="s">
        <v>942</v>
      </c>
      <c r="G783" s="1">
        <v>1</v>
      </c>
      <c r="H783" s="1" t="str">
        <f t="shared" si="12"/>
        <v>k7107_1</v>
      </c>
      <c r="K783" s="1">
        <f>IF(E783=0,SUMPRODUCT(($A$2:$A$4734=A783)*($B$2:$B$4734=B783)*($D$2:$D$4734=D783)*($E$2:$E$4734=0)),0)</f>
        <v>0</v>
      </c>
      <c r="L783" s="1" t="str">
        <f>IF(E783=0,SUMPRODUCT(MIN($K$2:$K$4734+((($A$2:$A$4734&lt;&gt;A783)+($E$2:$E$4734&lt;&gt;0))&gt;0)*1000000)),"")</f>
        <v/>
      </c>
      <c r="M783" s="1">
        <f>IF(AND(E783=0,COUNTIFS($A$2:A783,A783,$E$2:E783,0)=1),L783,0)</f>
        <v>0</v>
      </c>
    </row>
    <row r="784" spans="1:13" ht="15" customHeight="1">
      <c r="A784" s="1">
        <v>7107</v>
      </c>
      <c r="B784" s="1" t="s">
        <v>95</v>
      </c>
      <c r="C784" s="2" t="s">
        <v>934</v>
      </c>
      <c r="D784" s="2" t="s">
        <v>941</v>
      </c>
      <c r="E784" s="1">
        <v>1</v>
      </c>
      <c r="F784" s="2" t="s">
        <v>943</v>
      </c>
      <c r="G784" s="1">
        <v>2</v>
      </c>
      <c r="H784" s="1" t="str">
        <f t="shared" si="12"/>
        <v>k7107_2</v>
      </c>
      <c r="K784" s="1">
        <f>IF(E784=0,SUMPRODUCT(($A$2:$A$4734=A784)*($B$2:$B$4734=B784)*($D$2:$D$4734=D784)*($E$2:$E$4734=0)),0)</f>
        <v>0</v>
      </c>
      <c r="L784" s="1" t="str">
        <f>IF(E784=0,SUMPRODUCT(MIN($K$2:$K$4734+((($A$2:$A$4734&lt;&gt;A784)+($E$2:$E$4734&lt;&gt;0))&gt;0)*1000000)),"")</f>
        <v/>
      </c>
      <c r="M784" s="1">
        <f>IF(AND(E784=0,COUNTIFS($A$2:A784,A784,$E$2:E784,0)=1),L784,0)</f>
        <v>0</v>
      </c>
    </row>
    <row r="785" spans="1:13" ht="15" customHeight="1">
      <c r="A785" s="1">
        <v>7107</v>
      </c>
      <c r="B785" s="1" t="s">
        <v>95</v>
      </c>
      <c r="C785" s="2" t="s">
        <v>934</v>
      </c>
      <c r="D785" s="2" t="s">
        <v>941</v>
      </c>
      <c r="E785" s="1">
        <v>1</v>
      </c>
      <c r="F785" s="2" t="s">
        <v>944</v>
      </c>
      <c r="G785" s="1">
        <v>3</v>
      </c>
      <c r="H785" s="1" t="str">
        <f t="shared" si="12"/>
        <v>k7107_3</v>
      </c>
      <c r="K785" s="1">
        <f>IF(E785=0,SUMPRODUCT(($A$2:$A$4734=A785)*($B$2:$B$4734=B785)*($D$2:$D$4734=D785)*($E$2:$E$4734=0)),0)</f>
        <v>0</v>
      </c>
      <c r="L785" s="1" t="str">
        <f>IF(E785=0,SUMPRODUCT(MIN($K$2:$K$4734+((($A$2:$A$4734&lt;&gt;A785)+($E$2:$E$4734&lt;&gt;0))&gt;0)*1000000)),"")</f>
        <v/>
      </c>
      <c r="M785" s="1">
        <f>IF(AND(E785=0,COUNTIFS($A$2:A785,A785,$E$2:E785,0)=1),L785,0)</f>
        <v>0</v>
      </c>
    </row>
    <row r="786" spans="1:13" ht="15" customHeight="1">
      <c r="A786" s="1">
        <v>7107</v>
      </c>
      <c r="B786" s="1" t="s">
        <v>95</v>
      </c>
      <c r="C786" s="2" t="s">
        <v>934</v>
      </c>
      <c r="D786" s="2" t="s">
        <v>941</v>
      </c>
      <c r="E786" s="1">
        <v>1</v>
      </c>
      <c r="F786" s="2" t="s">
        <v>945</v>
      </c>
      <c r="G786" s="1">
        <v>4</v>
      </c>
      <c r="H786" s="1" t="str">
        <f t="shared" si="12"/>
        <v>k7107_4</v>
      </c>
      <c r="K786" s="1">
        <f>IF(E786=0,SUMPRODUCT(($A$2:$A$4734=A786)*($B$2:$B$4734=B786)*($D$2:$D$4734=D786)*($E$2:$E$4734=0)),0)</f>
        <v>0</v>
      </c>
      <c r="L786" s="1" t="str">
        <f>IF(E786=0,SUMPRODUCT(MIN($K$2:$K$4734+((($A$2:$A$4734&lt;&gt;A786)+($E$2:$E$4734&lt;&gt;0))&gt;0)*1000000)),"")</f>
        <v/>
      </c>
      <c r="M786" s="1">
        <f>IF(AND(E786=0,COUNTIFS($A$2:A786,A786,$E$2:E786,0)=1),L786,0)</f>
        <v>0</v>
      </c>
    </row>
    <row r="787" spans="1:13" ht="15" customHeight="1">
      <c r="A787" s="1">
        <v>7107</v>
      </c>
      <c r="B787" s="1" t="s">
        <v>95</v>
      </c>
      <c r="C787" s="2" t="s">
        <v>934</v>
      </c>
      <c r="D787" s="2" t="s">
        <v>941</v>
      </c>
      <c r="E787" s="1">
        <v>1</v>
      </c>
      <c r="F787" s="2" t="s">
        <v>946</v>
      </c>
      <c r="G787" s="1">
        <v>5</v>
      </c>
      <c r="H787" s="1" t="str">
        <f t="shared" si="12"/>
        <v>k7107_5</v>
      </c>
      <c r="K787" s="1">
        <f>IF(E787=0,SUMPRODUCT(($A$2:$A$4734=A787)*($B$2:$B$4734=B787)*($D$2:$D$4734=D787)*($E$2:$E$4734=0)),0)</f>
        <v>0</v>
      </c>
      <c r="L787" s="1" t="str">
        <f>IF(E787=0,SUMPRODUCT(MIN($K$2:$K$4734+((($A$2:$A$4734&lt;&gt;A787)+($E$2:$E$4734&lt;&gt;0))&gt;0)*1000000)),"")</f>
        <v/>
      </c>
      <c r="M787" s="1">
        <f>IF(AND(E787=0,COUNTIFS($A$2:A787,A787,$E$2:E787,0)=1),L787,0)</f>
        <v>0</v>
      </c>
    </row>
    <row r="788" spans="1:13" ht="15" customHeight="1">
      <c r="A788" s="1">
        <v>7107</v>
      </c>
      <c r="B788" s="1" t="s">
        <v>144</v>
      </c>
      <c r="C788" s="2" t="s">
        <v>934</v>
      </c>
      <c r="D788" s="2" t="s">
        <v>941</v>
      </c>
      <c r="E788" s="1">
        <v>1</v>
      </c>
      <c r="F788" s="2" t="s">
        <v>947</v>
      </c>
      <c r="G788" s="1">
        <v>1</v>
      </c>
      <c r="H788" s="1" t="str">
        <f t="shared" si="12"/>
        <v>k7107_1</v>
      </c>
      <c r="K788" s="1">
        <f>IF(E788=0,SUMPRODUCT(($A$2:$A$4734=A788)*($B$2:$B$4734=B788)*($D$2:$D$4734=D788)*($E$2:$E$4734=0)),0)</f>
        <v>0</v>
      </c>
      <c r="L788" s="1" t="str">
        <f>IF(E788=0,SUMPRODUCT(MIN($K$2:$K$4734+((($A$2:$A$4734&lt;&gt;A788)+($E$2:$E$4734&lt;&gt;0))&gt;0)*1000000)),"")</f>
        <v/>
      </c>
      <c r="M788" s="1">
        <f>IF(AND(E788=0,COUNTIFS($A$2:A788,A788,$E$2:E788,0)=1),L788,0)</f>
        <v>0</v>
      </c>
    </row>
    <row r="789" spans="1:13" ht="15" customHeight="1">
      <c r="A789" s="1">
        <v>7107</v>
      </c>
      <c r="B789" s="1" t="s">
        <v>144</v>
      </c>
      <c r="C789" s="2" t="s">
        <v>934</v>
      </c>
      <c r="D789" s="2" t="s">
        <v>941</v>
      </c>
      <c r="E789" s="1">
        <v>1</v>
      </c>
      <c r="F789" s="2" t="s">
        <v>948</v>
      </c>
      <c r="G789" s="1">
        <v>2</v>
      </c>
      <c r="H789" s="1" t="str">
        <f t="shared" si="12"/>
        <v>k7107_2</v>
      </c>
      <c r="K789" s="1">
        <f>IF(E789=0,SUMPRODUCT(($A$2:$A$4734=A789)*($B$2:$B$4734=B789)*($D$2:$D$4734=D789)*($E$2:$E$4734=0)),0)</f>
        <v>0</v>
      </c>
      <c r="L789" s="1" t="str">
        <f>IF(E789=0,SUMPRODUCT(MIN($K$2:$K$4734+((($A$2:$A$4734&lt;&gt;A789)+($E$2:$E$4734&lt;&gt;0))&gt;0)*1000000)),"")</f>
        <v/>
      </c>
      <c r="M789" s="1">
        <f>IF(AND(E789=0,COUNTIFS($A$2:A789,A789,$E$2:E789,0)=1),L789,0)</f>
        <v>0</v>
      </c>
    </row>
    <row r="790" spans="1:13" ht="15" customHeight="1">
      <c r="A790" s="1">
        <v>7107</v>
      </c>
      <c r="B790" s="1" t="s">
        <v>144</v>
      </c>
      <c r="C790" s="2" t="s">
        <v>934</v>
      </c>
      <c r="D790" s="2" t="s">
        <v>941</v>
      </c>
      <c r="E790" s="1">
        <v>1</v>
      </c>
      <c r="F790" s="2" t="s">
        <v>949</v>
      </c>
      <c r="G790" s="1">
        <v>3</v>
      </c>
      <c r="H790" s="1" t="str">
        <f t="shared" si="12"/>
        <v>k7107_3</v>
      </c>
      <c r="K790" s="1">
        <f>IF(E790=0,SUMPRODUCT(($A$2:$A$4734=A790)*($B$2:$B$4734=B790)*($D$2:$D$4734=D790)*($E$2:$E$4734=0)),0)</f>
        <v>0</v>
      </c>
      <c r="L790" s="1" t="str">
        <f>IF(E790=0,SUMPRODUCT(MIN($K$2:$K$4734+((($A$2:$A$4734&lt;&gt;A790)+($E$2:$E$4734&lt;&gt;0))&gt;0)*1000000)),"")</f>
        <v/>
      </c>
      <c r="M790" s="1">
        <f>IF(AND(E790=0,COUNTIFS($A$2:A790,A790,$E$2:E790,0)=1),L790,0)</f>
        <v>0</v>
      </c>
    </row>
    <row r="791" spans="1:13" ht="15" customHeight="1">
      <c r="A791" s="1">
        <v>7107</v>
      </c>
      <c r="B791" s="1" t="s">
        <v>144</v>
      </c>
      <c r="C791" s="2" t="s">
        <v>934</v>
      </c>
      <c r="D791" s="2" t="s">
        <v>941</v>
      </c>
      <c r="E791" s="1">
        <v>1</v>
      </c>
      <c r="F791" s="2" t="s">
        <v>950</v>
      </c>
      <c r="G791" s="1">
        <v>4</v>
      </c>
      <c r="H791" s="1" t="str">
        <f t="shared" si="12"/>
        <v>k7107_4</v>
      </c>
      <c r="K791" s="1">
        <f>IF(E791=0,SUMPRODUCT(($A$2:$A$4734=A791)*($B$2:$B$4734=B791)*($D$2:$D$4734=D791)*($E$2:$E$4734=0)),0)</f>
        <v>0</v>
      </c>
      <c r="L791" s="1" t="str">
        <f>IF(E791=0,SUMPRODUCT(MIN($K$2:$K$4734+((($A$2:$A$4734&lt;&gt;A791)+($E$2:$E$4734&lt;&gt;0))&gt;0)*1000000)),"")</f>
        <v/>
      </c>
      <c r="M791" s="1">
        <f>IF(AND(E791=0,COUNTIFS($A$2:A791,A791,$E$2:E791,0)=1),L791,0)</f>
        <v>0</v>
      </c>
    </row>
    <row r="792" spans="1:13" ht="15" customHeight="1">
      <c r="A792" s="1">
        <v>7107</v>
      </c>
      <c r="B792" s="1" t="s">
        <v>144</v>
      </c>
      <c r="C792" s="2" t="s">
        <v>934</v>
      </c>
      <c r="D792" s="2" t="s">
        <v>941</v>
      </c>
      <c r="E792" s="1">
        <v>1</v>
      </c>
      <c r="F792" s="2" t="s">
        <v>950</v>
      </c>
      <c r="G792" s="1">
        <v>5</v>
      </c>
      <c r="H792" s="1" t="str">
        <f t="shared" si="12"/>
        <v>k7107_5</v>
      </c>
      <c r="K792" s="1">
        <f>IF(E792=0,SUMPRODUCT(($A$2:$A$4734=A792)*($B$2:$B$4734=B792)*($D$2:$D$4734=D792)*($E$2:$E$4734=0)),0)</f>
        <v>0</v>
      </c>
      <c r="L792" s="1" t="str">
        <f>IF(E792=0,SUMPRODUCT(MIN($K$2:$K$4734+((($A$2:$A$4734&lt;&gt;A792)+($E$2:$E$4734&lt;&gt;0))&gt;0)*1000000)),"")</f>
        <v/>
      </c>
      <c r="M792" s="1">
        <f>IF(AND(E792=0,COUNTIFS($A$2:A792,A792,$E$2:E792,0)=1),L792,0)</f>
        <v>0</v>
      </c>
    </row>
    <row r="793" spans="1:13" ht="15" customHeight="1">
      <c r="A793" s="1">
        <v>7107</v>
      </c>
      <c r="B793" s="1" t="s">
        <v>9</v>
      </c>
      <c r="C793" s="2" t="s">
        <v>934</v>
      </c>
      <c r="D793" s="2" t="s">
        <v>951</v>
      </c>
      <c r="E793" s="1">
        <v>1</v>
      </c>
      <c r="F793" s="2" t="s">
        <v>952</v>
      </c>
      <c r="G793" s="1">
        <v>1</v>
      </c>
      <c r="H793" s="1" t="str">
        <f t="shared" si="12"/>
        <v>k7107_1</v>
      </c>
      <c r="K793" s="1">
        <f>IF(E793=0,SUMPRODUCT(($A$2:$A$4734=A793)*($B$2:$B$4734=B793)*($D$2:$D$4734=D793)*($E$2:$E$4734=0)),0)</f>
        <v>0</v>
      </c>
      <c r="L793" s="1" t="str">
        <f>IF(E793=0,SUMPRODUCT(MIN($K$2:$K$4734+((($A$2:$A$4734&lt;&gt;A793)+($E$2:$E$4734&lt;&gt;0))&gt;0)*1000000)),"")</f>
        <v/>
      </c>
      <c r="M793" s="1">
        <f>IF(AND(E793=0,COUNTIFS($A$2:A793,A793,$E$2:E793,0)=1),L793,0)</f>
        <v>0</v>
      </c>
    </row>
    <row r="794" spans="1:13" ht="15" customHeight="1">
      <c r="A794" s="1">
        <v>7107</v>
      </c>
      <c r="B794" s="1" t="s">
        <v>9</v>
      </c>
      <c r="C794" s="2" t="s">
        <v>934</v>
      </c>
      <c r="D794" s="2" t="s">
        <v>951</v>
      </c>
      <c r="E794" s="1">
        <v>1</v>
      </c>
      <c r="F794" s="2" t="s">
        <v>953</v>
      </c>
      <c r="G794" s="1">
        <v>2</v>
      </c>
      <c r="H794" s="1" t="str">
        <f t="shared" si="12"/>
        <v>k7107_2</v>
      </c>
      <c r="K794" s="1">
        <f>IF(E794=0,SUMPRODUCT(($A$2:$A$4734=A794)*($B$2:$B$4734=B794)*($D$2:$D$4734=D794)*($E$2:$E$4734=0)),0)</f>
        <v>0</v>
      </c>
      <c r="L794" s="1" t="str">
        <f>IF(E794=0,SUMPRODUCT(MIN($K$2:$K$4734+((($A$2:$A$4734&lt;&gt;A794)+($E$2:$E$4734&lt;&gt;0))&gt;0)*1000000)),"")</f>
        <v/>
      </c>
      <c r="M794" s="1">
        <f>IF(AND(E794=0,COUNTIFS($A$2:A794,A794,$E$2:E794,0)=1),L794,0)</f>
        <v>0</v>
      </c>
    </row>
    <row r="795" spans="1:13" ht="15" customHeight="1">
      <c r="A795" s="1">
        <v>7107</v>
      </c>
      <c r="B795" s="1" t="s">
        <v>9</v>
      </c>
      <c r="C795" s="2" t="s">
        <v>934</v>
      </c>
      <c r="D795" s="2" t="s">
        <v>951</v>
      </c>
      <c r="E795" s="1">
        <v>1</v>
      </c>
      <c r="F795" s="2" t="s">
        <v>954</v>
      </c>
      <c r="G795" s="1">
        <v>3</v>
      </c>
      <c r="H795" s="1" t="str">
        <f t="shared" si="12"/>
        <v>k7107_3</v>
      </c>
      <c r="K795" s="1">
        <f>IF(E795=0,SUMPRODUCT(($A$2:$A$4734=A795)*($B$2:$B$4734=B795)*($D$2:$D$4734=D795)*($E$2:$E$4734=0)),0)</f>
        <v>0</v>
      </c>
      <c r="L795" s="1" t="str">
        <f>IF(E795=0,SUMPRODUCT(MIN($K$2:$K$4734+((($A$2:$A$4734&lt;&gt;A795)+($E$2:$E$4734&lt;&gt;0))&gt;0)*1000000)),"")</f>
        <v/>
      </c>
      <c r="M795" s="1">
        <f>IF(AND(E795=0,COUNTIFS($A$2:A795,A795,$E$2:E795,0)=1),L795,0)</f>
        <v>0</v>
      </c>
    </row>
    <row r="796" spans="1:13" ht="15" customHeight="1">
      <c r="A796" s="1">
        <v>7107</v>
      </c>
      <c r="B796" s="1" t="s">
        <v>9</v>
      </c>
      <c r="C796" s="2" t="s">
        <v>934</v>
      </c>
      <c r="D796" s="2" t="s">
        <v>951</v>
      </c>
      <c r="E796" s="1">
        <v>1</v>
      </c>
      <c r="F796" s="2" t="s">
        <v>955</v>
      </c>
      <c r="G796" s="1">
        <v>4</v>
      </c>
      <c r="H796" s="1" t="str">
        <f t="shared" si="12"/>
        <v>k7107_4</v>
      </c>
      <c r="K796" s="1">
        <f>IF(E796=0,SUMPRODUCT(($A$2:$A$4734=A796)*($B$2:$B$4734=B796)*($D$2:$D$4734=D796)*($E$2:$E$4734=0)),0)</f>
        <v>0</v>
      </c>
      <c r="L796" s="1" t="str">
        <f>IF(E796=0,SUMPRODUCT(MIN($K$2:$K$4734+((($A$2:$A$4734&lt;&gt;A796)+($E$2:$E$4734&lt;&gt;0))&gt;0)*1000000)),"")</f>
        <v/>
      </c>
      <c r="M796" s="1">
        <f>IF(AND(E796=0,COUNTIFS($A$2:A796,A796,$E$2:E796,0)=1),L796,0)</f>
        <v>0</v>
      </c>
    </row>
    <row r="797" spans="1:13" ht="15" customHeight="1">
      <c r="A797" s="1">
        <v>7107</v>
      </c>
      <c r="B797" s="1" t="s">
        <v>9</v>
      </c>
      <c r="C797" s="2" t="s">
        <v>934</v>
      </c>
      <c r="D797" s="2" t="s">
        <v>951</v>
      </c>
      <c r="E797" s="1">
        <v>1</v>
      </c>
      <c r="F797" s="2" t="s">
        <v>956</v>
      </c>
      <c r="G797" s="1">
        <v>5</v>
      </c>
      <c r="H797" s="1" t="str">
        <f t="shared" si="12"/>
        <v>k7107_5</v>
      </c>
      <c r="K797" s="1">
        <f>IF(E797=0,SUMPRODUCT(($A$2:$A$4734=A797)*($B$2:$B$4734=B797)*($D$2:$D$4734=D797)*($E$2:$E$4734=0)),0)</f>
        <v>0</v>
      </c>
      <c r="L797" s="1" t="str">
        <f>IF(E797=0,SUMPRODUCT(MIN($K$2:$K$4734+((($A$2:$A$4734&lt;&gt;A797)+($E$2:$E$4734&lt;&gt;0))&gt;0)*1000000)),"")</f>
        <v/>
      </c>
      <c r="M797" s="1">
        <f>IF(AND(E797=0,COUNTIFS($A$2:A797,A797,$E$2:E797,0)=1),L797,0)</f>
        <v>0</v>
      </c>
    </row>
    <row r="798" spans="1:13" ht="15" customHeight="1">
      <c r="A798" s="1">
        <v>7107</v>
      </c>
      <c r="B798" s="1" t="s">
        <v>9</v>
      </c>
      <c r="C798" s="2" t="s">
        <v>934</v>
      </c>
      <c r="D798" s="2" t="s">
        <v>951</v>
      </c>
      <c r="E798" s="1">
        <v>1</v>
      </c>
      <c r="F798" s="2" t="s">
        <v>957</v>
      </c>
      <c r="G798" s="1">
        <v>1</v>
      </c>
      <c r="H798" s="1" t="str">
        <f t="shared" si="12"/>
        <v>k7107_1</v>
      </c>
      <c r="K798" s="1">
        <f>IF(E798=0,SUMPRODUCT(($A$2:$A$4734=A798)*($B$2:$B$4734=B798)*($D$2:$D$4734=D798)*($E$2:$E$4734=0)),0)</f>
        <v>0</v>
      </c>
      <c r="L798" s="1" t="str">
        <f>IF(E798=0,SUMPRODUCT(MIN($K$2:$K$4734+((($A$2:$A$4734&lt;&gt;A798)+($E$2:$E$4734&lt;&gt;0))&gt;0)*1000000)),"")</f>
        <v/>
      </c>
      <c r="M798" s="1">
        <f>IF(AND(E798=0,COUNTIFS($A$2:A798,A798,$E$2:E798,0)=1),L798,0)</f>
        <v>0</v>
      </c>
    </row>
    <row r="799" spans="1:13" ht="15" customHeight="1">
      <c r="A799" s="1">
        <v>7107</v>
      </c>
      <c r="B799" s="1" t="s">
        <v>16</v>
      </c>
      <c r="C799" s="2" t="s">
        <v>934</v>
      </c>
      <c r="D799" s="2" t="s">
        <v>951</v>
      </c>
      <c r="E799" s="1">
        <v>1</v>
      </c>
      <c r="F799" s="2" t="s">
        <v>958</v>
      </c>
      <c r="G799" s="1">
        <v>2</v>
      </c>
      <c r="H799" s="1" t="str">
        <f t="shared" si="12"/>
        <v>k7107_2</v>
      </c>
      <c r="K799" s="1">
        <f>IF(E799=0,SUMPRODUCT(($A$2:$A$4734=A799)*($B$2:$B$4734=B799)*($D$2:$D$4734=D799)*($E$2:$E$4734=0)),0)</f>
        <v>0</v>
      </c>
      <c r="L799" s="1" t="str">
        <f>IF(E799=0,SUMPRODUCT(MIN($K$2:$K$4734+((($A$2:$A$4734&lt;&gt;A799)+($E$2:$E$4734&lt;&gt;0))&gt;0)*1000000)),"")</f>
        <v/>
      </c>
      <c r="M799" s="1">
        <f>IF(AND(E799=0,COUNTIFS($A$2:A799,A799,$E$2:E799,0)=1),L799,0)</f>
        <v>0</v>
      </c>
    </row>
    <row r="800" spans="1:13" ht="15" customHeight="1">
      <c r="A800" s="1">
        <v>7107</v>
      </c>
      <c r="B800" s="1" t="s">
        <v>16</v>
      </c>
      <c r="C800" s="2" t="s">
        <v>934</v>
      </c>
      <c r="D800" s="2" t="s">
        <v>951</v>
      </c>
      <c r="E800" s="1">
        <v>1</v>
      </c>
      <c r="F800" s="2" t="s">
        <v>959</v>
      </c>
      <c r="G800" s="1">
        <v>3</v>
      </c>
      <c r="H800" s="1" t="str">
        <f t="shared" si="12"/>
        <v>k7107_3</v>
      </c>
      <c r="K800" s="1">
        <f>IF(E800=0,SUMPRODUCT(($A$2:$A$4734=A800)*($B$2:$B$4734=B800)*($D$2:$D$4734=D800)*($E$2:$E$4734=0)),0)</f>
        <v>0</v>
      </c>
      <c r="L800" s="1" t="str">
        <f>IF(E800=0,SUMPRODUCT(MIN($K$2:$K$4734+((($A$2:$A$4734&lt;&gt;A800)+($E$2:$E$4734&lt;&gt;0))&gt;0)*1000000)),"")</f>
        <v/>
      </c>
      <c r="M800" s="1">
        <f>IF(AND(E800=0,COUNTIFS($A$2:A800,A800,$E$2:E800,0)=1),L800,0)</f>
        <v>0</v>
      </c>
    </row>
    <row r="801" spans="1:13" ht="15" customHeight="1">
      <c r="A801" s="1">
        <v>7107</v>
      </c>
      <c r="B801" s="1" t="s">
        <v>16</v>
      </c>
      <c r="C801" s="2" t="s">
        <v>934</v>
      </c>
      <c r="D801" s="2" t="s">
        <v>951</v>
      </c>
      <c r="E801" s="1">
        <v>1</v>
      </c>
      <c r="F801" s="2" t="s">
        <v>960</v>
      </c>
      <c r="G801" s="1">
        <v>4</v>
      </c>
      <c r="H801" s="1" t="str">
        <f t="shared" si="12"/>
        <v>k7107_4</v>
      </c>
      <c r="K801" s="1">
        <f>IF(E801=0,SUMPRODUCT(($A$2:$A$4734=A801)*($B$2:$B$4734=B801)*($D$2:$D$4734=D801)*($E$2:$E$4734=0)),0)</f>
        <v>0</v>
      </c>
      <c r="L801" s="1" t="str">
        <f>IF(E801=0,SUMPRODUCT(MIN($K$2:$K$4734+((($A$2:$A$4734&lt;&gt;A801)+($E$2:$E$4734&lt;&gt;0))&gt;0)*1000000)),"")</f>
        <v/>
      </c>
      <c r="M801" s="1">
        <f>IF(AND(E801=0,COUNTIFS($A$2:A801,A801,$E$2:E801,0)=1),L801,0)</f>
        <v>0</v>
      </c>
    </row>
    <row r="802" spans="1:13" ht="15" customHeight="1">
      <c r="A802" s="1">
        <v>7107</v>
      </c>
      <c r="B802" s="1" t="s">
        <v>16</v>
      </c>
      <c r="C802" s="2" t="s">
        <v>934</v>
      </c>
      <c r="D802" s="2" t="s">
        <v>951</v>
      </c>
      <c r="E802" s="1">
        <v>1</v>
      </c>
      <c r="F802" s="2" t="s">
        <v>961</v>
      </c>
      <c r="G802" s="1">
        <v>5</v>
      </c>
      <c r="H802" s="1" t="str">
        <f t="shared" si="12"/>
        <v>k7107_5</v>
      </c>
      <c r="K802" s="1">
        <f>IF(E802=0,SUMPRODUCT(($A$2:$A$4734=A802)*($B$2:$B$4734=B802)*($D$2:$D$4734=D802)*($E$2:$E$4734=0)),0)</f>
        <v>0</v>
      </c>
      <c r="L802" s="1" t="str">
        <f>IF(E802=0,SUMPRODUCT(MIN($K$2:$K$4734+((($A$2:$A$4734&lt;&gt;A802)+($E$2:$E$4734&lt;&gt;0))&gt;0)*1000000)),"")</f>
        <v/>
      </c>
      <c r="M802" s="1">
        <f>IF(AND(E802=0,COUNTIFS($A$2:A802,A802,$E$2:E802,0)=1),L802,0)</f>
        <v>0</v>
      </c>
    </row>
    <row r="803" spans="1:13" ht="15" customHeight="1">
      <c r="A803" s="1">
        <v>7107</v>
      </c>
      <c r="B803" s="1" t="s">
        <v>872</v>
      </c>
      <c r="C803" s="2" t="s">
        <v>934</v>
      </c>
      <c r="D803" s="2" t="s">
        <v>962</v>
      </c>
      <c r="E803" s="1">
        <v>1</v>
      </c>
      <c r="F803" s="2" t="s">
        <v>963</v>
      </c>
      <c r="G803" s="1">
        <v>1</v>
      </c>
      <c r="H803" s="1" t="str">
        <f t="shared" si="12"/>
        <v>k7107_1</v>
      </c>
      <c r="K803" s="1">
        <f>IF(E803=0,SUMPRODUCT(($A$2:$A$4734=A803)*($B$2:$B$4734=B803)*($D$2:$D$4734=D803)*($E$2:$E$4734=0)),0)</f>
        <v>0</v>
      </c>
      <c r="L803" s="1" t="str">
        <f>IF(E803=0,SUMPRODUCT(MIN($K$2:$K$4734+((($A$2:$A$4734&lt;&gt;A803)+($E$2:$E$4734&lt;&gt;0))&gt;0)*1000000)),"")</f>
        <v/>
      </c>
      <c r="M803" s="1">
        <f>IF(AND(E803=0,COUNTIFS($A$2:A803,A803,$E$2:E803,0)=1),L803,0)</f>
        <v>0</v>
      </c>
    </row>
    <row r="804" spans="1:13" ht="15" customHeight="1">
      <c r="A804" s="1">
        <v>7107</v>
      </c>
      <c r="B804" s="1" t="s">
        <v>872</v>
      </c>
      <c r="C804" s="2" t="s">
        <v>934</v>
      </c>
      <c r="D804" s="2" t="s">
        <v>962</v>
      </c>
      <c r="E804" s="1">
        <v>1</v>
      </c>
      <c r="F804" s="2" t="s">
        <v>964</v>
      </c>
      <c r="G804" s="1">
        <v>2</v>
      </c>
      <c r="H804" s="1" t="str">
        <f t="shared" si="12"/>
        <v>k7107_2</v>
      </c>
      <c r="K804" s="1">
        <f>IF(E804=0,SUMPRODUCT(($A$2:$A$4734=A804)*($B$2:$B$4734=B804)*($D$2:$D$4734=D804)*($E$2:$E$4734=0)),0)</f>
        <v>0</v>
      </c>
      <c r="L804" s="1" t="str">
        <f>IF(E804=0,SUMPRODUCT(MIN($K$2:$K$4734+((($A$2:$A$4734&lt;&gt;A804)+($E$2:$E$4734&lt;&gt;0))&gt;0)*1000000)),"")</f>
        <v/>
      </c>
      <c r="M804" s="1">
        <f>IF(AND(E804=0,COUNTIFS($A$2:A804,A804,$E$2:E804,0)=1),L804,0)</f>
        <v>0</v>
      </c>
    </row>
    <row r="805" spans="1:13" ht="15" customHeight="1">
      <c r="A805" s="1">
        <v>7107</v>
      </c>
      <c r="B805" s="1" t="s">
        <v>872</v>
      </c>
      <c r="C805" s="2" t="s">
        <v>934</v>
      </c>
      <c r="D805" s="2" t="s">
        <v>962</v>
      </c>
      <c r="E805" s="1">
        <v>1</v>
      </c>
      <c r="F805" s="2" t="s">
        <v>965</v>
      </c>
      <c r="G805" s="1">
        <v>3</v>
      </c>
      <c r="H805" s="1" t="str">
        <f t="shared" si="12"/>
        <v>k7107_3</v>
      </c>
      <c r="K805" s="1">
        <f>IF(E805=0,SUMPRODUCT(($A$2:$A$4734=A805)*($B$2:$B$4734=B805)*($D$2:$D$4734=D805)*($E$2:$E$4734=0)),0)</f>
        <v>0</v>
      </c>
      <c r="L805" s="1" t="str">
        <f>IF(E805=0,SUMPRODUCT(MIN($K$2:$K$4734+((($A$2:$A$4734&lt;&gt;A805)+($E$2:$E$4734&lt;&gt;0))&gt;0)*1000000)),"")</f>
        <v/>
      </c>
      <c r="M805" s="1">
        <f>IF(AND(E805=0,COUNTIFS($A$2:A805,A805,$E$2:E805,0)=1),L805,0)</f>
        <v>0</v>
      </c>
    </row>
    <row r="806" spans="1:13" ht="15" customHeight="1">
      <c r="A806" s="1">
        <v>7107</v>
      </c>
      <c r="B806" s="1" t="s">
        <v>872</v>
      </c>
      <c r="C806" s="2" t="s">
        <v>934</v>
      </c>
      <c r="D806" s="2" t="s">
        <v>962</v>
      </c>
      <c r="E806" s="1">
        <v>1</v>
      </c>
      <c r="F806" s="2" t="s">
        <v>966</v>
      </c>
      <c r="G806" s="1">
        <v>4</v>
      </c>
      <c r="H806" s="1" t="str">
        <f t="shared" si="12"/>
        <v>k7107_4</v>
      </c>
      <c r="K806" s="1">
        <f>IF(E806=0,SUMPRODUCT(($A$2:$A$4734=A806)*($B$2:$B$4734=B806)*($D$2:$D$4734=D806)*($E$2:$E$4734=0)),0)</f>
        <v>0</v>
      </c>
      <c r="L806" s="1" t="str">
        <f>IF(E806=0,SUMPRODUCT(MIN($K$2:$K$4734+((($A$2:$A$4734&lt;&gt;A806)+($E$2:$E$4734&lt;&gt;0))&gt;0)*1000000)),"")</f>
        <v/>
      </c>
      <c r="M806" s="1">
        <f>IF(AND(E806=0,COUNTIFS($A$2:A806,A806,$E$2:E806,0)=1),L806,0)</f>
        <v>0</v>
      </c>
    </row>
    <row r="807" spans="1:13" ht="15" customHeight="1">
      <c r="A807" s="1">
        <v>7107</v>
      </c>
      <c r="B807" s="1" t="s">
        <v>872</v>
      </c>
      <c r="C807" s="2" t="s">
        <v>934</v>
      </c>
      <c r="D807" s="2" t="s">
        <v>962</v>
      </c>
      <c r="E807" s="1">
        <v>1</v>
      </c>
      <c r="F807" s="2" t="s">
        <v>967</v>
      </c>
      <c r="G807" s="1">
        <v>5</v>
      </c>
      <c r="H807" s="1" t="str">
        <f t="shared" si="12"/>
        <v>k7107_5</v>
      </c>
      <c r="K807" s="1">
        <f>IF(E807=0,SUMPRODUCT(($A$2:$A$4734=A807)*($B$2:$B$4734=B807)*($D$2:$D$4734=D807)*($E$2:$E$4734=0)),0)</f>
        <v>0</v>
      </c>
      <c r="L807" s="1" t="str">
        <f>IF(E807=0,SUMPRODUCT(MIN($K$2:$K$4734+((($A$2:$A$4734&lt;&gt;A807)+($E$2:$E$4734&lt;&gt;0))&gt;0)*1000000)),"")</f>
        <v/>
      </c>
      <c r="M807" s="1">
        <f>IF(AND(E807=0,COUNTIFS($A$2:A807,A807,$E$2:E807,0)=1),L807,0)</f>
        <v>0</v>
      </c>
    </row>
    <row r="808" spans="1:13" ht="15" customHeight="1">
      <c r="A808" s="1">
        <v>7108</v>
      </c>
      <c r="B808" s="1" t="s">
        <v>9</v>
      </c>
      <c r="C808" s="2" t="s">
        <v>968</v>
      </c>
      <c r="D808" s="2" t="s">
        <v>969</v>
      </c>
      <c r="E808" s="1">
        <v>0</v>
      </c>
      <c r="F808" s="2" t="s">
        <v>243</v>
      </c>
      <c r="H808" s="1" t="str">
        <f t="shared" si="12"/>
        <v/>
      </c>
      <c r="K808" s="1">
        <f>IF(E808=0,SUMPRODUCT(($A$2:$A$4734=A808)*($B$2:$B$4734=B808)*($D$2:$D$4734=D808)*($E$2:$E$4734=0)),0)</f>
        <v>4</v>
      </c>
      <c r="L808" s="1">
        <f>IF(E808=0,SUMPRODUCT(MIN($K$2:$K$4734+((($A$2:$A$4734&lt;&gt;A808)+($E$2:$E$4734&lt;&gt;0))&gt;0)*1000000)),"")</f>
        <v>3</v>
      </c>
      <c r="M808" s="1">
        <f>IF(AND(E808=0,COUNTIFS($A$2:A808,A808,$E$2:E808,0)=1),L808,0)</f>
        <v>3</v>
      </c>
    </row>
    <row r="809" spans="1:13" ht="15" customHeight="1">
      <c r="A809" s="1">
        <v>7108</v>
      </c>
      <c r="B809" s="1" t="s">
        <v>9</v>
      </c>
      <c r="C809" s="2" t="s">
        <v>968</v>
      </c>
      <c r="D809" s="2" t="s">
        <v>969</v>
      </c>
      <c r="E809" s="1">
        <v>0</v>
      </c>
      <c r="F809" s="2" t="s">
        <v>970</v>
      </c>
      <c r="H809" s="1" t="str">
        <f t="shared" si="12"/>
        <v/>
      </c>
      <c r="K809" s="1">
        <f>IF(E809=0,SUMPRODUCT(($A$2:$A$4734=A809)*($B$2:$B$4734=B809)*($D$2:$D$4734=D809)*($E$2:$E$4734=0)),0)</f>
        <v>4</v>
      </c>
      <c r="L809" s="1">
        <f>IF(E809=0,SUMPRODUCT(MIN($K$2:$K$4734+((($A$2:$A$4734&lt;&gt;A809)+($E$2:$E$4734&lt;&gt;0))&gt;0)*1000000)),"")</f>
        <v>3</v>
      </c>
      <c r="M809" s="1">
        <f>IF(AND(E809=0,COUNTIFS($A$2:A809,A809,$E$2:E809,0)=1),L809,0)</f>
        <v>0</v>
      </c>
    </row>
    <row r="810" spans="1:13" ht="15" customHeight="1">
      <c r="A810" s="1">
        <v>7108</v>
      </c>
      <c r="B810" s="1" t="s">
        <v>9</v>
      </c>
      <c r="C810" s="2" t="s">
        <v>968</v>
      </c>
      <c r="D810" s="2" t="s">
        <v>969</v>
      </c>
      <c r="E810" s="1">
        <v>0</v>
      </c>
      <c r="F810" s="2" t="s">
        <v>543</v>
      </c>
      <c r="H810" s="1" t="str">
        <f t="shared" si="12"/>
        <v/>
      </c>
      <c r="K810" s="1">
        <f>IF(E810=0,SUMPRODUCT(($A$2:$A$4734=A810)*($B$2:$B$4734=B810)*($D$2:$D$4734=D810)*($E$2:$E$4734=0)),0)</f>
        <v>4</v>
      </c>
      <c r="L810" s="1">
        <f>IF(E810=0,SUMPRODUCT(MIN($K$2:$K$4734+((($A$2:$A$4734&lt;&gt;A810)+($E$2:$E$4734&lt;&gt;0))&gt;0)*1000000)),"")</f>
        <v>3</v>
      </c>
      <c r="M810" s="1">
        <f>IF(AND(E810=0,COUNTIFS($A$2:A810,A810,$E$2:E810,0)=1),L810,0)</f>
        <v>0</v>
      </c>
    </row>
    <row r="811" spans="1:13" ht="15" customHeight="1">
      <c r="A811" s="1">
        <v>7108</v>
      </c>
      <c r="B811" s="1" t="s">
        <v>9</v>
      </c>
      <c r="C811" s="2" t="s">
        <v>968</v>
      </c>
      <c r="D811" s="2" t="s">
        <v>969</v>
      </c>
      <c r="E811" s="1">
        <v>0</v>
      </c>
      <c r="F811" s="2" t="s">
        <v>971</v>
      </c>
      <c r="H811" s="1" t="str">
        <f t="shared" si="12"/>
        <v/>
      </c>
      <c r="K811" s="1">
        <f>IF(E811=0,SUMPRODUCT(($A$2:$A$4734=A811)*($B$2:$B$4734=B811)*($D$2:$D$4734=D811)*($E$2:$E$4734=0)),0)</f>
        <v>4</v>
      </c>
      <c r="L811" s="1">
        <f>IF(E811=0,SUMPRODUCT(MIN($K$2:$K$4734+((($A$2:$A$4734&lt;&gt;A811)+($E$2:$E$4734&lt;&gt;0))&gt;0)*1000000)),"")</f>
        <v>3</v>
      </c>
      <c r="M811" s="1">
        <f>IF(AND(E811=0,COUNTIFS($A$2:A811,A811,$E$2:E811,0)=1),L811,0)</f>
        <v>0</v>
      </c>
    </row>
    <row r="812" spans="1:13" ht="15" customHeight="1">
      <c r="A812" s="1">
        <v>7108</v>
      </c>
      <c r="B812" s="1" t="s">
        <v>9</v>
      </c>
      <c r="C812" s="2" t="s">
        <v>968</v>
      </c>
      <c r="D812" s="2" t="s">
        <v>972</v>
      </c>
      <c r="E812" s="1">
        <v>0</v>
      </c>
      <c r="F812" s="2" t="s">
        <v>973</v>
      </c>
      <c r="H812" s="1" t="str">
        <f t="shared" si="12"/>
        <v/>
      </c>
      <c r="K812" s="1">
        <f>IF(E812=0,SUMPRODUCT(($A$2:$A$4734=A812)*($B$2:$B$4734=B812)*($D$2:$D$4734=D812)*($E$2:$E$4734=0)),0)</f>
        <v>3</v>
      </c>
      <c r="L812" s="1">
        <f>IF(E812=0,SUMPRODUCT(MIN($K$2:$K$4734+((($A$2:$A$4734&lt;&gt;A812)+($E$2:$E$4734&lt;&gt;0))&gt;0)*1000000)),"")</f>
        <v>3</v>
      </c>
      <c r="M812" s="1">
        <f>IF(AND(E812=0,COUNTIFS($A$2:A812,A812,$E$2:E812,0)=1),L812,0)</f>
        <v>0</v>
      </c>
    </row>
    <row r="813" spans="1:13" ht="15" customHeight="1">
      <c r="A813" s="1">
        <v>7108</v>
      </c>
      <c r="B813" s="1" t="s">
        <v>9</v>
      </c>
      <c r="C813" s="2" t="s">
        <v>968</v>
      </c>
      <c r="D813" s="2" t="s">
        <v>972</v>
      </c>
      <c r="E813" s="1">
        <v>0</v>
      </c>
      <c r="F813" s="2" t="s">
        <v>974</v>
      </c>
      <c r="H813" s="1" t="str">
        <f t="shared" si="12"/>
        <v/>
      </c>
      <c r="K813" s="1">
        <f>IF(E813=0,SUMPRODUCT(($A$2:$A$4734=A813)*($B$2:$B$4734=B813)*($D$2:$D$4734=D813)*($E$2:$E$4734=0)),0)</f>
        <v>3</v>
      </c>
      <c r="L813" s="1">
        <f>IF(E813=0,SUMPRODUCT(MIN($K$2:$K$4734+((($A$2:$A$4734&lt;&gt;A813)+($E$2:$E$4734&lt;&gt;0))&gt;0)*1000000)),"")</f>
        <v>3</v>
      </c>
      <c r="M813" s="1">
        <f>IF(AND(E813=0,COUNTIFS($A$2:A813,A813,$E$2:E813,0)=1),L813,0)</f>
        <v>0</v>
      </c>
    </row>
    <row r="814" spans="1:13" ht="15" customHeight="1">
      <c r="A814" s="1">
        <v>7108</v>
      </c>
      <c r="B814" s="1" t="s">
        <v>9</v>
      </c>
      <c r="C814" s="2" t="s">
        <v>968</v>
      </c>
      <c r="D814" s="2" t="s">
        <v>972</v>
      </c>
      <c r="E814" s="1">
        <v>0</v>
      </c>
      <c r="F814" s="2" t="s">
        <v>975</v>
      </c>
      <c r="H814" s="1" t="str">
        <f t="shared" si="12"/>
        <v/>
      </c>
      <c r="K814" s="1">
        <f>IF(E814=0,SUMPRODUCT(($A$2:$A$4734=A814)*($B$2:$B$4734=B814)*($D$2:$D$4734=D814)*($E$2:$E$4734=0)),0)</f>
        <v>3</v>
      </c>
      <c r="L814" s="1">
        <f>IF(E814=0,SUMPRODUCT(MIN($K$2:$K$4734+((($A$2:$A$4734&lt;&gt;A814)+($E$2:$E$4734&lt;&gt;0))&gt;0)*1000000)),"")</f>
        <v>3</v>
      </c>
      <c r="M814" s="1">
        <f>IF(AND(E814=0,COUNTIFS($A$2:A814,A814,$E$2:E814,0)=1),L814,0)</f>
        <v>0</v>
      </c>
    </row>
    <row r="815" spans="1:13" ht="15" customHeight="1">
      <c r="A815" s="1">
        <v>7108</v>
      </c>
      <c r="B815" s="1" t="s">
        <v>9</v>
      </c>
      <c r="C815" s="2" t="s">
        <v>968</v>
      </c>
      <c r="D815" s="2" t="s">
        <v>976</v>
      </c>
      <c r="E815" s="1">
        <v>0</v>
      </c>
      <c r="F815" s="2" t="s">
        <v>977</v>
      </c>
      <c r="H815" s="1" t="str">
        <f t="shared" si="12"/>
        <v/>
      </c>
      <c r="K815" s="1">
        <f>IF(E815=0,SUMPRODUCT(($A$2:$A$4734=A815)*($B$2:$B$4734=B815)*($D$2:$D$4734=D815)*($E$2:$E$4734=0)),0)</f>
        <v>5</v>
      </c>
      <c r="L815" s="1">
        <f>IF(E815=0,SUMPRODUCT(MIN($K$2:$K$4734+((($A$2:$A$4734&lt;&gt;A815)+($E$2:$E$4734&lt;&gt;0))&gt;0)*1000000)),"")</f>
        <v>3</v>
      </c>
      <c r="M815" s="1">
        <f>IF(AND(E815=0,COUNTIFS($A$2:A815,A815,$E$2:E815,0)=1),L815,0)</f>
        <v>0</v>
      </c>
    </row>
    <row r="816" spans="1:13" ht="15" customHeight="1">
      <c r="A816" s="1">
        <v>7108</v>
      </c>
      <c r="B816" s="1" t="s">
        <v>9</v>
      </c>
      <c r="C816" s="2" t="s">
        <v>968</v>
      </c>
      <c r="D816" s="2" t="s">
        <v>976</v>
      </c>
      <c r="E816" s="1">
        <v>0</v>
      </c>
      <c r="F816" s="2" t="s">
        <v>977</v>
      </c>
      <c r="H816" s="1" t="str">
        <f t="shared" si="12"/>
        <v/>
      </c>
      <c r="K816" s="1">
        <f>IF(E816=0,SUMPRODUCT(($A$2:$A$4734=A816)*($B$2:$B$4734=B816)*($D$2:$D$4734=D816)*($E$2:$E$4734=0)),0)</f>
        <v>5</v>
      </c>
      <c r="L816" s="1">
        <f>IF(E816=0,SUMPRODUCT(MIN($K$2:$K$4734+((($A$2:$A$4734&lt;&gt;A816)+($E$2:$E$4734&lt;&gt;0))&gt;0)*1000000)),"")</f>
        <v>3</v>
      </c>
      <c r="M816" s="1">
        <f>IF(AND(E816=0,COUNTIFS($A$2:A816,A816,$E$2:E816,0)=1),L816,0)</f>
        <v>0</v>
      </c>
    </row>
    <row r="817" spans="1:13" ht="15" customHeight="1">
      <c r="A817" s="1">
        <v>7108</v>
      </c>
      <c r="B817" s="1" t="s">
        <v>9</v>
      </c>
      <c r="C817" s="2" t="s">
        <v>968</v>
      </c>
      <c r="D817" s="2" t="s">
        <v>976</v>
      </c>
      <c r="E817" s="1">
        <v>0</v>
      </c>
      <c r="F817" s="2" t="s">
        <v>977</v>
      </c>
      <c r="H817" s="1" t="str">
        <f t="shared" si="12"/>
        <v/>
      </c>
      <c r="K817" s="1">
        <f>IF(E817=0,SUMPRODUCT(($A$2:$A$4734=A817)*($B$2:$B$4734=B817)*($D$2:$D$4734=D817)*($E$2:$E$4734=0)),0)</f>
        <v>5</v>
      </c>
      <c r="L817" s="1">
        <f>IF(E817=0,SUMPRODUCT(MIN($K$2:$K$4734+((($A$2:$A$4734&lt;&gt;A817)+($E$2:$E$4734&lt;&gt;0))&gt;0)*1000000)),"")</f>
        <v>3</v>
      </c>
      <c r="M817" s="1">
        <f>IF(AND(E817=0,COUNTIFS($A$2:A817,A817,$E$2:E817,0)=1),L817,0)</f>
        <v>0</v>
      </c>
    </row>
    <row r="818" spans="1:13" ht="15" customHeight="1">
      <c r="A818" s="1">
        <v>7108</v>
      </c>
      <c r="B818" s="1" t="s">
        <v>9</v>
      </c>
      <c r="C818" s="2" t="s">
        <v>968</v>
      </c>
      <c r="D818" s="2" t="s">
        <v>976</v>
      </c>
      <c r="E818" s="1">
        <v>0</v>
      </c>
      <c r="F818" s="2" t="s">
        <v>977</v>
      </c>
      <c r="H818" s="1" t="str">
        <f t="shared" ref="H818:H877" si="13">IF(OR(E818&lt;&gt;1,G818=""),"","k"&amp;A818&amp;"_"&amp;G818)</f>
        <v/>
      </c>
      <c r="K818" s="1">
        <f>IF(E818=0,SUMPRODUCT(($A$2:$A$4734=A818)*($B$2:$B$4734=B818)*($D$2:$D$4734=D818)*($E$2:$E$4734=0)),0)</f>
        <v>5</v>
      </c>
      <c r="L818" s="1">
        <f>IF(E818=0,SUMPRODUCT(MIN($K$2:$K$4734+((($A$2:$A$4734&lt;&gt;A818)+($E$2:$E$4734&lt;&gt;0))&gt;0)*1000000)),"")</f>
        <v>3</v>
      </c>
      <c r="M818" s="1">
        <f>IF(AND(E818=0,COUNTIFS($A$2:A818,A818,$E$2:E818,0)=1),L818,0)</f>
        <v>0</v>
      </c>
    </row>
    <row r="819" spans="1:13" ht="15" customHeight="1">
      <c r="A819" s="1">
        <v>7108</v>
      </c>
      <c r="B819" s="1" t="s">
        <v>9</v>
      </c>
      <c r="C819" s="2" t="s">
        <v>968</v>
      </c>
      <c r="D819" s="2" t="s">
        <v>976</v>
      </c>
      <c r="E819" s="1">
        <v>0</v>
      </c>
      <c r="F819" s="2" t="s">
        <v>977</v>
      </c>
      <c r="H819" s="1" t="str">
        <f t="shared" si="13"/>
        <v/>
      </c>
      <c r="K819" s="1">
        <f>IF(E819=0,SUMPRODUCT(($A$2:$A$4734=A819)*($B$2:$B$4734=B819)*($D$2:$D$4734=D819)*($E$2:$E$4734=0)),0)</f>
        <v>5</v>
      </c>
      <c r="L819" s="1">
        <f>IF(E819=0,SUMPRODUCT(MIN($K$2:$K$4734+((($A$2:$A$4734&lt;&gt;A819)+($E$2:$E$4734&lt;&gt;0))&gt;0)*1000000)),"")</f>
        <v>3</v>
      </c>
      <c r="M819" s="1">
        <f>IF(AND(E819=0,COUNTIFS($A$2:A819,A819,$E$2:E819,0)=1),L819,0)</f>
        <v>0</v>
      </c>
    </row>
    <row r="820" spans="1:13" ht="15" customHeight="1">
      <c r="A820" s="1">
        <v>7108</v>
      </c>
      <c r="B820" s="1" t="s">
        <v>9</v>
      </c>
      <c r="C820" s="2" t="s">
        <v>968</v>
      </c>
      <c r="D820" s="2" t="s">
        <v>978</v>
      </c>
      <c r="E820" s="1">
        <v>0</v>
      </c>
      <c r="F820" s="2" t="s">
        <v>553</v>
      </c>
      <c r="H820" s="1" t="str">
        <f t="shared" si="13"/>
        <v/>
      </c>
      <c r="K820" s="1">
        <f>IF(E820=0,SUMPRODUCT(($A$2:$A$4734=A820)*($B$2:$B$4734=B820)*($D$2:$D$4734=D820)*($E$2:$E$4734=0)),0)</f>
        <v>4</v>
      </c>
      <c r="L820" s="1">
        <f>IF(E820=0,SUMPRODUCT(MIN($K$2:$K$4734+((($A$2:$A$4734&lt;&gt;A820)+($E$2:$E$4734&lt;&gt;0))&gt;0)*1000000)),"")</f>
        <v>3</v>
      </c>
      <c r="M820" s="1">
        <f>IF(AND(E820=0,COUNTIFS($A$2:A820,A820,$E$2:E820,0)=1),L820,0)</f>
        <v>0</v>
      </c>
    </row>
    <row r="821" spans="1:13" ht="15" customHeight="1">
      <c r="A821" s="1">
        <v>7108</v>
      </c>
      <c r="B821" s="1" t="s">
        <v>9</v>
      </c>
      <c r="C821" s="2" t="s">
        <v>968</v>
      </c>
      <c r="D821" s="2" t="s">
        <v>978</v>
      </c>
      <c r="E821" s="1">
        <v>0</v>
      </c>
      <c r="F821" s="2" t="s">
        <v>979</v>
      </c>
      <c r="H821" s="1" t="str">
        <f t="shared" si="13"/>
        <v/>
      </c>
      <c r="K821" s="1">
        <f>IF(E821=0,SUMPRODUCT(($A$2:$A$4734=A821)*($B$2:$B$4734=B821)*($D$2:$D$4734=D821)*($E$2:$E$4734=0)),0)</f>
        <v>4</v>
      </c>
      <c r="L821" s="1">
        <f>IF(E821=0,SUMPRODUCT(MIN($K$2:$K$4734+((($A$2:$A$4734&lt;&gt;A821)+($E$2:$E$4734&lt;&gt;0))&gt;0)*1000000)),"")</f>
        <v>3</v>
      </c>
      <c r="M821" s="1">
        <f>IF(AND(E821=0,COUNTIFS($A$2:A821,A821,$E$2:E821,0)=1),L821,0)</f>
        <v>0</v>
      </c>
    </row>
    <row r="822" spans="1:13" ht="15" customHeight="1">
      <c r="A822" s="1">
        <v>7108</v>
      </c>
      <c r="B822" s="1" t="s">
        <v>9</v>
      </c>
      <c r="C822" s="2" t="s">
        <v>968</v>
      </c>
      <c r="D822" s="2" t="s">
        <v>978</v>
      </c>
      <c r="E822" s="1">
        <v>0</v>
      </c>
      <c r="F822" s="2" t="s">
        <v>980</v>
      </c>
      <c r="H822" s="1" t="str">
        <f t="shared" si="13"/>
        <v/>
      </c>
      <c r="K822" s="1">
        <f>IF(E822=0,SUMPRODUCT(($A$2:$A$4734=A822)*($B$2:$B$4734=B822)*($D$2:$D$4734=D822)*($E$2:$E$4734=0)),0)</f>
        <v>4</v>
      </c>
      <c r="L822" s="1">
        <f>IF(E822=0,SUMPRODUCT(MIN($K$2:$K$4734+((($A$2:$A$4734&lt;&gt;A822)+($E$2:$E$4734&lt;&gt;0))&gt;0)*1000000)),"")</f>
        <v>3</v>
      </c>
      <c r="M822" s="1">
        <f>IF(AND(E822=0,COUNTIFS($A$2:A822,A822,$E$2:E822,0)=1),L822,0)</f>
        <v>0</v>
      </c>
    </row>
    <row r="823" spans="1:13" ht="15" customHeight="1">
      <c r="A823" s="1">
        <v>7108</v>
      </c>
      <c r="B823" s="1" t="s">
        <v>9</v>
      </c>
      <c r="C823" s="2" t="s">
        <v>968</v>
      </c>
      <c r="D823" s="2" t="s">
        <v>978</v>
      </c>
      <c r="E823" s="1">
        <v>0</v>
      </c>
      <c r="F823" s="2" t="s">
        <v>981</v>
      </c>
      <c r="H823" s="1" t="str">
        <f t="shared" si="13"/>
        <v/>
      </c>
      <c r="K823" s="1">
        <f>IF(E823=0,SUMPRODUCT(($A$2:$A$4734=A823)*($B$2:$B$4734=B823)*($D$2:$D$4734=D823)*($E$2:$E$4734=0)),0)</f>
        <v>4</v>
      </c>
      <c r="L823" s="1">
        <f>IF(E823=0,SUMPRODUCT(MIN($K$2:$K$4734+((($A$2:$A$4734&lt;&gt;A823)+($E$2:$E$4734&lt;&gt;0))&gt;0)*1000000)),"")</f>
        <v>3</v>
      </c>
      <c r="M823" s="1">
        <f>IF(AND(E823=0,COUNTIFS($A$2:A823,A823,$E$2:E823,0)=1),L823,0)</f>
        <v>0</v>
      </c>
    </row>
    <row r="824" spans="1:13" ht="15" customHeight="1">
      <c r="A824" s="1">
        <v>7108</v>
      </c>
      <c r="B824" s="1" t="s">
        <v>9</v>
      </c>
      <c r="C824" s="2" t="s">
        <v>968</v>
      </c>
      <c r="D824" s="2" t="s">
        <v>982</v>
      </c>
      <c r="E824" s="1">
        <v>0</v>
      </c>
      <c r="F824" s="2" t="s">
        <v>983</v>
      </c>
      <c r="H824" s="1" t="str">
        <f t="shared" si="13"/>
        <v/>
      </c>
      <c r="K824" s="1">
        <f>IF(E824=0,SUMPRODUCT(($A$2:$A$4734=A824)*($B$2:$B$4734=B824)*($D$2:$D$4734=D824)*($E$2:$E$4734=0)),0)</f>
        <v>6</v>
      </c>
      <c r="L824" s="1">
        <f>IF(E824=0,SUMPRODUCT(MIN($K$2:$K$4734+((($A$2:$A$4734&lt;&gt;A824)+($E$2:$E$4734&lt;&gt;0))&gt;0)*1000000)),"")</f>
        <v>3</v>
      </c>
      <c r="M824" s="1">
        <f>IF(AND(E824=0,COUNTIFS($A$2:A824,A824,$E$2:E824,0)=1),L824,0)</f>
        <v>0</v>
      </c>
    </row>
    <row r="825" spans="1:13" ht="15" customHeight="1">
      <c r="A825" s="1">
        <v>7108</v>
      </c>
      <c r="B825" s="1" t="s">
        <v>9</v>
      </c>
      <c r="C825" s="2" t="s">
        <v>968</v>
      </c>
      <c r="D825" s="2" t="s">
        <v>982</v>
      </c>
      <c r="E825" s="1">
        <v>0</v>
      </c>
      <c r="F825" s="2" t="s">
        <v>984</v>
      </c>
      <c r="H825" s="1" t="str">
        <f t="shared" si="13"/>
        <v/>
      </c>
      <c r="K825" s="1">
        <f>IF(E825=0,SUMPRODUCT(($A$2:$A$4734=A825)*($B$2:$B$4734=B825)*($D$2:$D$4734=D825)*($E$2:$E$4734=0)),0)</f>
        <v>6</v>
      </c>
      <c r="L825" s="1">
        <f>IF(E825=0,SUMPRODUCT(MIN($K$2:$K$4734+((($A$2:$A$4734&lt;&gt;A825)+($E$2:$E$4734&lt;&gt;0))&gt;0)*1000000)),"")</f>
        <v>3</v>
      </c>
      <c r="M825" s="1">
        <f>IF(AND(E825=0,COUNTIFS($A$2:A825,A825,$E$2:E825,0)=1),L825,0)</f>
        <v>0</v>
      </c>
    </row>
    <row r="826" spans="1:13" ht="15" customHeight="1">
      <c r="A826" s="1">
        <v>7108</v>
      </c>
      <c r="B826" s="1" t="s">
        <v>9</v>
      </c>
      <c r="C826" s="2" t="s">
        <v>968</v>
      </c>
      <c r="D826" s="2" t="s">
        <v>982</v>
      </c>
      <c r="E826" s="1">
        <v>0</v>
      </c>
      <c r="F826" s="2" t="s">
        <v>985</v>
      </c>
      <c r="H826" s="1" t="str">
        <f t="shared" si="13"/>
        <v/>
      </c>
      <c r="K826" s="1">
        <f>IF(E826=0,SUMPRODUCT(($A$2:$A$4734=A826)*($B$2:$B$4734=B826)*($D$2:$D$4734=D826)*($E$2:$E$4734=0)),0)</f>
        <v>6</v>
      </c>
      <c r="L826" s="1">
        <f>IF(E826=0,SUMPRODUCT(MIN($K$2:$K$4734+((($A$2:$A$4734&lt;&gt;A826)+($E$2:$E$4734&lt;&gt;0))&gt;0)*1000000)),"")</f>
        <v>3</v>
      </c>
      <c r="M826" s="1">
        <f>IF(AND(E826=0,COUNTIFS($A$2:A826,A826,$E$2:E826,0)=1),L826,0)</f>
        <v>0</v>
      </c>
    </row>
    <row r="827" spans="1:13" ht="15" customHeight="1">
      <c r="A827" s="1">
        <v>7108</v>
      </c>
      <c r="B827" s="1" t="s">
        <v>9</v>
      </c>
      <c r="C827" s="2" t="s">
        <v>968</v>
      </c>
      <c r="D827" s="2" t="s">
        <v>982</v>
      </c>
      <c r="E827" s="1">
        <v>0</v>
      </c>
      <c r="F827" s="2" t="s">
        <v>986</v>
      </c>
      <c r="H827" s="1" t="str">
        <f t="shared" si="13"/>
        <v/>
      </c>
      <c r="K827" s="1">
        <f>IF(E827=0,SUMPRODUCT(($A$2:$A$4734=A827)*($B$2:$B$4734=B827)*($D$2:$D$4734=D827)*($E$2:$E$4734=0)),0)</f>
        <v>6</v>
      </c>
      <c r="L827" s="1">
        <f>IF(E827=0,SUMPRODUCT(MIN($K$2:$K$4734+((($A$2:$A$4734&lt;&gt;A827)+($E$2:$E$4734&lt;&gt;0))&gt;0)*1000000)),"")</f>
        <v>3</v>
      </c>
      <c r="M827" s="1">
        <f>IF(AND(E827=0,COUNTIFS($A$2:A827,A827,$E$2:E827,0)=1),L827,0)</f>
        <v>0</v>
      </c>
    </row>
    <row r="828" spans="1:13" ht="15" customHeight="1">
      <c r="A828" s="1">
        <v>7108</v>
      </c>
      <c r="B828" s="1" t="s">
        <v>9</v>
      </c>
      <c r="C828" s="2" t="s">
        <v>968</v>
      </c>
      <c r="D828" s="2" t="s">
        <v>982</v>
      </c>
      <c r="E828" s="1">
        <v>0</v>
      </c>
      <c r="F828" s="2" t="s">
        <v>987</v>
      </c>
      <c r="H828" s="1" t="str">
        <f t="shared" si="13"/>
        <v/>
      </c>
      <c r="K828" s="1">
        <f>IF(E828=0,SUMPRODUCT(($A$2:$A$4734=A828)*($B$2:$B$4734=B828)*($D$2:$D$4734=D828)*($E$2:$E$4734=0)),0)</f>
        <v>6</v>
      </c>
      <c r="L828" s="1">
        <f>IF(E828=0,SUMPRODUCT(MIN($K$2:$K$4734+((($A$2:$A$4734&lt;&gt;A828)+($E$2:$E$4734&lt;&gt;0))&gt;0)*1000000)),"")</f>
        <v>3</v>
      </c>
      <c r="M828" s="1">
        <f>IF(AND(E828=0,COUNTIFS($A$2:A828,A828,$E$2:E828,0)=1),L828,0)</f>
        <v>0</v>
      </c>
    </row>
    <row r="829" spans="1:13" ht="15" customHeight="1">
      <c r="A829" s="1">
        <v>7108</v>
      </c>
      <c r="B829" s="1" t="s">
        <v>9</v>
      </c>
      <c r="C829" s="2" t="s">
        <v>968</v>
      </c>
      <c r="D829" s="2" t="s">
        <v>982</v>
      </c>
      <c r="E829" s="1">
        <v>0</v>
      </c>
      <c r="F829" s="2" t="s">
        <v>988</v>
      </c>
      <c r="H829" s="1" t="str">
        <f t="shared" si="13"/>
        <v/>
      </c>
      <c r="K829" s="1">
        <f>IF(E829=0,SUMPRODUCT(($A$2:$A$4734=A829)*($B$2:$B$4734=B829)*($D$2:$D$4734=D829)*($E$2:$E$4734=0)),0)</f>
        <v>6</v>
      </c>
      <c r="L829" s="1">
        <f>IF(E829=0,SUMPRODUCT(MIN($K$2:$K$4734+((($A$2:$A$4734&lt;&gt;A829)+($E$2:$E$4734&lt;&gt;0))&gt;0)*1000000)),"")</f>
        <v>3</v>
      </c>
      <c r="M829" s="1">
        <f>IF(AND(E829=0,COUNTIFS($A$2:A829,A829,$E$2:E829,0)=1),L829,0)</f>
        <v>0</v>
      </c>
    </row>
    <row r="830" spans="1:13" ht="15" customHeight="1">
      <c r="A830" s="1">
        <v>7109</v>
      </c>
      <c r="B830" s="1" t="s">
        <v>9</v>
      </c>
      <c r="C830" s="2" t="s">
        <v>989</v>
      </c>
      <c r="D830" s="2" t="s">
        <v>990</v>
      </c>
      <c r="E830" s="1">
        <v>0</v>
      </c>
      <c r="F830" s="2" t="s">
        <v>991</v>
      </c>
      <c r="H830" s="1" t="str">
        <f t="shared" si="13"/>
        <v/>
      </c>
      <c r="K830" s="1">
        <f>IF(E830=0,SUMPRODUCT(($A$2:$A$4734=A830)*($B$2:$B$4734=B830)*($D$2:$D$4734=D830)*($E$2:$E$4734=0)),0)</f>
        <v>2</v>
      </c>
      <c r="L830" s="1">
        <f>IF(E830=0,SUMPRODUCT(MIN($K$2:$K$4734+((($A$2:$A$4734&lt;&gt;A830)+($E$2:$E$4734&lt;&gt;0))&gt;0)*1000000)),"")</f>
        <v>2</v>
      </c>
      <c r="M830" s="1">
        <f>IF(AND(E830=0,COUNTIFS($A$2:A830,A830,$E$2:E830,0)=1),L830,0)</f>
        <v>2</v>
      </c>
    </row>
    <row r="831" spans="1:13" ht="15" customHeight="1">
      <c r="A831" s="1">
        <v>7109</v>
      </c>
      <c r="B831" s="1" t="s">
        <v>9</v>
      </c>
      <c r="C831" s="2" t="s">
        <v>989</v>
      </c>
      <c r="D831" s="2" t="s">
        <v>990</v>
      </c>
      <c r="E831" s="1">
        <v>0</v>
      </c>
      <c r="F831" s="2" t="s">
        <v>992</v>
      </c>
      <c r="H831" s="1" t="str">
        <f t="shared" si="13"/>
        <v/>
      </c>
      <c r="K831" s="1">
        <f>IF(E831=0,SUMPRODUCT(($A$2:$A$4734=A831)*($B$2:$B$4734=B831)*($D$2:$D$4734=D831)*($E$2:$E$4734=0)),0)</f>
        <v>2</v>
      </c>
      <c r="L831" s="1">
        <f>IF(E831=0,SUMPRODUCT(MIN($K$2:$K$4734+((($A$2:$A$4734&lt;&gt;A831)+($E$2:$E$4734&lt;&gt;0))&gt;0)*1000000)),"")</f>
        <v>2</v>
      </c>
      <c r="M831" s="1">
        <f>IF(AND(E831=0,COUNTIFS($A$2:A831,A831,$E$2:E831,0)=1),L831,0)</f>
        <v>0</v>
      </c>
    </row>
    <row r="832" spans="1:13" ht="15" customHeight="1">
      <c r="A832" s="1">
        <v>7109</v>
      </c>
      <c r="B832" s="1" t="s">
        <v>9</v>
      </c>
      <c r="C832" s="2" t="s">
        <v>989</v>
      </c>
      <c r="D832" s="2" t="s">
        <v>993</v>
      </c>
      <c r="E832" s="1">
        <v>0</v>
      </c>
      <c r="F832" s="2" t="s">
        <v>994</v>
      </c>
      <c r="H832" s="1" t="str">
        <f t="shared" si="13"/>
        <v/>
      </c>
      <c r="K832" s="1">
        <f>IF(E832=0,SUMPRODUCT(($A$2:$A$4734=A832)*($B$2:$B$4734=B832)*($D$2:$D$4734=D832)*($E$2:$E$4734=0)),0)</f>
        <v>6</v>
      </c>
      <c r="L832" s="1">
        <f>IF(E832=0,SUMPRODUCT(MIN($K$2:$K$4734+((($A$2:$A$4734&lt;&gt;A832)+($E$2:$E$4734&lt;&gt;0))&gt;0)*1000000)),"")</f>
        <v>2</v>
      </c>
      <c r="M832" s="1">
        <f>IF(AND(E832=0,COUNTIFS($A$2:A832,A832,$E$2:E832,0)=1),L832,0)</f>
        <v>0</v>
      </c>
    </row>
    <row r="833" spans="1:13" ht="15" customHeight="1">
      <c r="A833" s="1">
        <v>7109</v>
      </c>
      <c r="B833" s="1" t="s">
        <v>9</v>
      </c>
      <c r="C833" s="2" t="s">
        <v>989</v>
      </c>
      <c r="D833" s="2" t="s">
        <v>993</v>
      </c>
      <c r="E833" s="1">
        <v>0</v>
      </c>
      <c r="F833" s="2" t="s">
        <v>698</v>
      </c>
      <c r="H833" s="1" t="str">
        <f t="shared" si="13"/>
        <v/>
      </c>
      <c r="K833" s="1">
        <f>IF(E833=0,SUMPRODUCT(($A$2:$A$4734=A833)*($B$2:$B$4734=B833)*($D$2:$D$4734=D833)*($E$2:$E$4734=0)),0)</f>
        <v>6</v>
      </c>
      <c r="L833" s="1">
        <f>IF(E833=0,SUMPRODUCT(MIN($K$2:$K$4734+((($A$2:$A$4734&lt;&gt;A833)+($E$2:$E$4734&lt;&gt;0))&gt;0)*1000000)),"")</f>
        <v>2</v>
      </c>
      <c r="M833" s="1">
        <f>IF(AND(E833=0,COUNTIFS($A$2:A833,A833,$E$2:E833,0)=1),L833,0)</f>
        <v>0</v>
      </c>
    </row>
    <row r="834" spans="1:13" ht="15" customHeight="1">
      <c r="A834" s="1">
        <v>7109</v>
      </c>
      <c r="B834" s="1" t="s">
        <v>9</v>
      </c>
      <c r="C834" s="2" t="s">
        <v>989</v>
      </c>
      <c r="D834" s="2" t="s">
        <v>993</v>
      </c>
      <c r="E834" s="1">
        <v>0</v>
      </c>
      <c r="F834" s="2" t="s">
        <v>995</v>
      </c>
      <c r="H834" s="1" t="str">
        <f t="shared" si="13"/>
        <v/>
      </c>
      <c r="K834" s="1">
        <f>IF(E834=0,SUMPRODUCT(($A$2:$A$4734=A834)*($B$2:$B$4734=B834)*($D$2:$D$4734=D834)*($E$2:$E$4734=0)),0)</f>
        <v>6</v>
      </c>
      <c r="L834" s="1">
        <f>IF(E834=0,SUMPRODUCT(MIN($K$2:$K$4734+((($A$2:$A$4734&lt;&gt;A834)+($E$2:$E$4734&lt;&gt;0))&gt;0)*1000000)),"")</f>
        <v>2</v>
      </c>
      <c r="M834" s="1">
        <f>IF(AND(E834=0,COUNTIFS($A$2:A834,A834,$E$2:E834,0)=1),L834,0)</f>
        <v>0</v>
      </c>
    </row>
    <row r="835" spans="1:13" ht="15" customHeight="1">
      <c r="A835" s="1">
        <v>7109</v>
      </c>
      <c r="B835" s="1" t="s">
        <v>9</v>
      </c>
      <c r="C835" s="2" t="s">
        <v>989</v>
      </c>
      <c r="D835" s="2" t="s">
        <v>993</v>
      </c>
      <c r="E835" s="1">
        <v>0</v>
      </c>
      <c r="F835" s="2" t="s">
        <v>996</v>
      </c>
      <c r="H835" s="1" t="str">
        <f t="shared" si="13"/>
        <v/>
      </c>
      <c r="K835" s="1">
        <f>IF(E835=0,SUMPRODUCT(($A$2:$A$4734=A835)*($B$2:$B$4734=B835)*($D$2:$D$4734=D835)*($E$2:$E$4734=0)),0)</f>
        <v>6</v>
      </c>
      <c r="L835" s="1">
        <f>IF(E835=0,SUMPRODUCT(MIN($K$2:$K$4734+((($A$2:$A$4734&lt;&gt;A835)+($E$2:$E$4734&lt;&gt;0))&gt;0)*1000000)),"")</f>
        <v>2</v>
      </c>
      <c r="M835" s="1">
        <f>IF(AND(E835=0,COUNTIFS($A$2:A835,A835,$E$2:E835,0)=1),L835,0)</f>
        <v>0</v>
      </c>
    </row>
    <row r="836" spans="1:13" ht="15" customHeight="1">
      <c r="A836" s="1">
        <v>7109</v>
      </c>
      <c r="B836" s="1" t="s">
        <v>9</v>
      </c>
      <c r="C836" s="2" t="s">
        <v>989</v>
      </c>
      <c r="D836" s="2" t="s">
        <v>993</v>
      </c>
      <c r="E836" s="1">
        <v>0</v>
      </c>
      <c r="F836" s="2" t="s">
        <v>997</v>
      </c>
      <c r="H836" s="1" t="str">
        <f t="shared" si="13"/>
        <v/>
      </c>
      <c r="K836" s="1">
        <f>IF(E836=0,SUMPRODUCT(($A$2:$A$4734=A836)*($B$2:$B$4734=B836)*($D$2:$D$4734=D836)*($E$2:$E$4734=0)),0)</f>
        <v>6</v>
      </c>
      <c r="L836" s="1">
        <f>IF(E836=0,SUMPRODUCT(MIN($K$2:$K$4734+((($A$2:$A$4734&lt;&gt;A836)+($E$2:$E$4734&lt;&gt;0))&gt;0)*1000000)),"")</f>
        <v>2</v>
      </c>
      <c r="M836" s="1">
        <f>IF(AND(E836=0,COUNTIFS($A$2:A836,A836,$E$2:E836,0)=1),L836,0)</f>
        <v>0</v>
      </c>
    </row>
    <row r="837" spans="1:13" ht="15" customHeight="1">
      <c r="A837" s="1">
        <v>7109</v>
      </c>
      <c r="B837" s="1" t="s">
        <v>9</v>
      </c>
      <c r="C837" s="2" t="s">
        <v>989</v>
      </c>
      <c r="D837" s="2" t="s">
        <v>993</v>
      </c>
      <c r="E837" s="1">
        <v>0</v>
      </c>
      <c r="F837" s="2" t="s">
        <v>998</v>
      </c>
      <c r="H837" s="1" t="str">
        <f t="shared" si="13"/>
        <v/>
      </c>
      <c r="K837" s="1">
        <f>IF(E837=0,SUMPRODUCT(($A$2:$A$4734=A837)*($B$2:$B$4734=B837)*($D$2:$D$4734=D837)*($E$2:$E$4734=0)),0)</f>
        <v>6</v>
      </c>
      <c r="L837" s="1">
        <f>IF(E837=0,SUMPRODUCT(MIN($K$2:$K$4734+((($A$2:$A$4734&lt;&gt;A837)+($E$2:$E$4734&lt;&gt;0))&gt;0)*1000000)),"")</f>
        <v>2</v>
      </c>
      <c r="M837" s="1">
        <f>IF(AND(E837=0,COUNTIFS($A$2:A837,A837,$E$2:E837,0)=1),L837,0)</f>
        <v>0</v>
      </c>
    </row>
    <row r="838" spans="1:13" ht="15" customHeight="1">
      <c r="A838" s="1">
        <v>7109</v>
      </c>
      <c r="B838" s="1" t="s">
        <v>16</v>
      </c>
      <c r="C838" s="2" t="s">
        <v>989</v>
      </c>
      <c r="D838" s="2" t="s">
        <v>999</v>
      </c>
      <c r="E838" s="1">
        <v>0</v>
      </c>
      <c r="F838" s="2" t="s">
        <v>1000</v>
      </c>
      <c r="H838" s="1" t="str">
        <f t="shared" si="13"/>
        <v/>
      </c>
      <c r="K838" s="1">
        <f>IF(E838=0,SUMPRODUCT(($A$2:$A$4734=A838)*($B$2:$B$4734=B838)*($D$2:$D$4734=D838)*($E$2:$E$4734=0)),0)</f>
        <v>6</v>
      </c>
      <c r="L838" s="1">
        <f>IF(E838=0,SUMPRODUCT(MIN($K$2:$K$4734+((($A$2:$A$4734&lt;&gt;A838)+($E$2:$E$4734&lt;&gt;0))&gt;0)*1000000)),"")</f>
        <v>2</v>
      </c>
      <c r="M838" s="1">
        <f>IF(AND(E838=0,COUNTIFS($A$2:A838,A838,$E$2:E838,0)=1),L838,0)</f>
        <v>0</v>
      </c>
    </row>
    <row r="839" spans="1:13" ht="15" customHeight="1">
      <c r="A839" s="1">
        <v>7109</v>
      </c>
      <c r="B839" s="1" t="s">
        <v>16</v>
      </c>
      <c r="C839" s="2" t="s">
        <v>989</v>
      </c>
      <c r="D839" s="2" t="s">
        <v>999</v>
      </c>
      <c r="E839" s="1">
        <v>0</v>
      </c>
      <c r="F839" s="2" t="s">
        <v>1001</v>
      </c>
      <c r="H839" s="1" t="str">
        <f t="shared" si="13"/>
        <v/>
      </c>
      <c r="K839" s="1">
        <f>IF(E839=0,SUMPRODUCT(($A$2:$A$4734=A839)*($B$2:$B$4734=B839)*($D$2:$D$4734=D839)*($E$2:$E$4734=0)),0)</f>
        <v>6</v>
      </c>
      <c r="L839" s="1">
        <f>IF(E839=0,SUMPRODUCT(MIN($K$2:$K$4734+((($A$2:$A$4734&lt;&gt;A839)+($E$2:$E$4734&lt;&gt;0))&gt;0)*1000000)),"")</f>
        <v>2</v>
      </c>
      <c r="M839" s="1">
        <f>IF(AND(E839=0,COUNTIFS($A$2:A839,A839,$E$2:E839,0)=1),L839,0)</f>
        <v>0</v>
      </c>
    </row>
    <row r="840" spans="1:13" ht="15" customHeight="1">
      <c r="A840" s="1">
        <v>7109</v>
      </c>
      <c r="B840" s="1" t="s">
        <v>16</v>
      </c>
      <c r="C840" s="2" t="s">
        <v>989</v>
      </c>
      <c r="D840" s="2" t="s">
        <v>999</v>
      </c>
      <c r="E840" s="1">
        <v>0</v>
      </c>
      <c r="F840" s="2" t="s">
        <v>1002</v>
      </c>
      <c r="H840" s="1" t="str">
        <f t="shared" si="13"/>
        <v/>
      </c>
      <c r="K840" s="1">
        <f>IF(E840=0,SUMPRODUCT(($A$2:$A$4734=A840)*($B$2:$B$4734=B840)*($D$2:$D$4734=D840)*($E$2:$E$4734=0)),0)</f>
        <v>6</v>
      </c>
      <c r="L840" s="1">
        <f>IF(E840=0,SUMPRODUCT(MIN($K$2:$K$4734+((($A$2:$A$4734&lt;&gt;A840)+($E$2:$E$4734&lt;&gt;0))&gt;0)*1000000)),"")</f>
        <v>2</v>
      </c>
      <c r="M840" s="1">
        <f>IF(AND(E840=0,COUNTIFS($A$2:A840,A840,$E$2:E840,0)=1),L840,0)</f>
        <v>0</v>
      </c>
    </row>
    <row r="841" spans="1:13" ht="15" customHeight="1">
      <c r="A841" s="1">
        <v>7109</v>
      </c>
      <c r="B841" s="1" t="s">
        <v>16</v>
      </c>
      <c r="C841" s="2" t="s">
        <v>989</v>
      </c>
      <c r="D841" s="2" t="s">
        <v>999</v>
      </c>
      <c r="E841" s="1">
        <v>0</v>
      </c>
      <c r="F841" s="2" t="s">
        <v>1003</v>
      </c>
      <c r="H841" s="1" t="str">
        <f t="shared" si="13"/>
        <v/>
      </c>
      <c r="K841" s="1">
        <f>IF(E841=0,SUMPRODUCT(($A$2:$A$4734=A841)*($B$2:$B$4734=B841)*($D$2:$D$4734=D841)*($E$2:$E$4734=0)),0)</f>
        <v>6</v>
      </c>
      <c r="L841" s="1">
        <f>IF(E841=0,SUMPRODUCT(MIN($K$2:$K$4734+((($A$2:$A$4734&lt;&gt;A841)+($E$2:$E$4734&lt;&gt;0))&gt;0)*1000000)),"")</f>
        <v>2</v>
      </c>
      <c r="M841" s="1">
        <f>IF(AND(E841=0,COUNTIFS($A$2:A841,A841,$E$2:E841,0)=1),L841,0)</f>
        <v>0</v>
      </c>
    </row>
    <row r="842" spans="1:13" ht="15" customHeight="1">
      <c r="A842" s="1">
        <v>7109</v>
      </c>
      <c r="B842" s="1" t="s">
        <v>16</v>
      </c>
      <c r="C842" s="2" t="s">
        <v>989</v>
      </c>
      <c r="D842" s="2" t="s">
        <v>999</v>
      </c>
      <c r="E842" s="1">
        <v>0</v>
      </c>
      <c r="F842" s="2" t="s">
        <v>1004</v>
      </c>
      <c r="H842" s="1" t="str">
        <f t="shared" si="13"/>
        <v/>
      </c>
      <c r="K842" s="1">
        <f>IF(E842=0,SUMPRODUCT(($A$2:$A$4734=A842)*($B$2:$B$4734=B842)*($D$2:$D$4734=D842)*($E$2:$E$4734=0)),0)</f>
        <v>6</v>
      </c>
      <c r="L842" s="1">
        <f>IF(E842=0,SUMPRODUCT(MIN($K$2:$K$4734+((($A$2:$A$4734&lt;&gt;A842)+($E$2:$E$4734&lt;&gt;0))&gt;0)*1000000)),"")</f>
        <v>2</v>
      </c>
      <c r="M842" s="1">
        <f>IF(AND(E842=0,COUNTIFS($A$2:A842,A842,$E$2:E842,0)=1),L842,0)</f>
        <v>0</v>
      </c>
    </row>
    <row r="843" spans="1:13" ht="15" customHeight="1">
      <c r="A843" s="1">
        <v>7109</v>
      </c>
      <c r="B843" s="1" t="s">
        <v>16</v>
      </c>
      <c r="C843" s="2" t="s">
        <v>989</v>
      </c>
      <c r="D843" s="2" t="s">
        <v>999</v>
      </c>
      <c r="E843" s="1">
        <v>0</v>
      </c>
      <c r="F843" s="2" t="s">
        <v>1005</v>
      </c>
      <c r="H843" s="1" t="str">
        <f t="shared" si="13"/>
        <v/>
      </c>
      <c r="K843" s="1">
        <f>IF(E843=0,SUMPRODUCT(($A$2:$A$4734=A843)*($B$2:$B$4734=B843)*($D$2:$D$4734=D843)*($E$2:$E$4734=0)),0)</f>
        <v>6</v>
      </c>
      <c r="L843" s="1">
        <f>IF(E843=0,SUMPRODUCT(MIN($K$2:$K$4734+((($A$2:$A$4734&lt;&gt;A843)+($E$2:$E$4734&lt;&gt;0))&gt;0)*1000000)),"")</f>
        <v>2</v>
      </c>
      <c r="M843" s="1">
        <f>IF(AND(E843=0,COUNTIFS($A$2:A843,A843,$E$2:E843,0)=1),L843,0)</f>
        <v>0</v>
      </c>
    </row>
    <row r="844" spans="1:13" ht="15" customHeight="1">
      <c r="A844" s="1">
        <v>7110</v>
      </c>
      <c r="B844" s="1" t="s">
        <v>95</v>
      </c>
      <c r="C844" s="2" t="s">
        <v>1006</v>
      </c>
      <c r="D844" s="2" t="s">
        <v>1007</v>
      </c>
      <c r="E844" s="1">
        <v>1</v>
      </c>
      <c r="F844" s="2" t="s">
        <v>1008</v>
      </c>
      <c r="G844" s="1">
        <v>1</v>
      </c>
      <c r="H844" s="1" t="str">
        <f t="shared" si="13"/>
        <v>k7110_1</v>
      </c>
      <c r="K844" s="1">
        <f>IF(E844=0,SUMPRODUCT(($A$2:$A$4734=A844)*($B$2:$B$4734=B844)*($D$2:$D$4734=D844)*($E$2:$E$4734=0)),0)</f>
        <v>0</v>
      </c>
      <c r="L844" s="1" t="str">
        <f>IF(E844=0,SUMPRODUCT(MIN($K$2:$K$4734+((($A$2:$A$4734&lt;&gt;A844)+($E$2:$E$4734&lt;&gt;0))&gt;0)*1000000)),"")</f>
        <v/>
      </c>
      <c r="M844" s="1">
        <f>IF(AND(E844=0,COUNTIFS($A$2:A844,A844,$E$2:E844,0)=1),L844,0)</f>
        <v>0</v>
      </c>
    </row>
    <row r="845" spans="1:13" ht="15" customHeight="1">
      <c r="A845" s="1">
        <v>7110</v>
      </c>
      <c r="B845" s="1" t="s">
        <v>95</v>
      </c>
      <c r="C845" s="2" t="s">
        <v>1006</v>
      </c>
      <c r="D845" s="2" t="s">
        <v>1007</v>
      </c>
      <c r="E845" s="1">
        <v>1</v>
      </c>
      <c r="F845" s="2" t="s">
        <v>1009</v>
      </c>
      <c r="G845" s="1">
        <v>2</v>
      </c>
      <c r="H845" s="1" t="str">
        <f t="shared" si="13"/>
        <v>k7110_2</v>
      </c>
      <c r="K845" s="1">
        <f>IF(E845=0,SUMPRODUCT(($A$2:$A$4734=A845)*($B$2:$B$4734=B845)*($D$2:$D$4734=D845)*($E$2:$E$4734=0)),0)</f>
        <v>0</v>
      </c>
      <c r="L845" s="1" t="str">
        <f>IF(E845=0,SUMPRODUCT(MIN($K$2:$K$4734+((($A$2:$A$4734&lt;&gt;A845)+($E$2:$E$4734&lt;&gt;0))&gt;0)*1000000)),"")</f>
        <v/>
      </c>
      <c r="M845" s="1">
        <f>IF(AND(E845=0,COUNTIFS($A$2:A845,A845,$E$2:E845,0)=1),L845,0)</f>
        <v>0</v>
      </c>
    </row>
    <row r="846" spans="1:13" ht="15" customHeight="1">
      <c r="A846" s="1">
        <v>7110</v>
      </c>
      <c r="B846" s="1" t="s">
        <v>95</v>
      </c>
      <c r="C846" s="2" t="s">
        <v>1006</v>
      </c>
      <c r="D846" s="2" t="s">
        <v>1007</v>
      </c>
      <c r="E846" s="1">
        <v>1</v>
      </c>
      <c r="F846" s="2" t="s">
        <v>1010</v>
      </c>
      <c r="G846" s="1">
        <v>3</v>
      </c>
      <c r="H846" s="1" t="str">
        <f t="shared" si="13"/>
        <v>k7110_3</v>
      </c>
      <c r="K846" s="1">
        <f>IF(E846=0,SUMPRODUCT(($A$2:$A$4734=A846)*($B$2:$B$4734=B846)*($D$2:$D$4734=D846)*($E$2:$E$4734=0)),0)</f>
        <v>0</v>
      </c>
      <c r="L846" s="1" t="str">
        <f>IF(E846=0,SUMPRODUCT(MIN($K$2:$K$4734+((($A$2:$A$4734&lt;&gt;A846)+($E$2:$E$4734&lt;&gt;0))&gt;0)*1000000)),"")</f>
        <v/>
      </c>
      <c r="M846" s="1">
        <f>IF(AND(E846=0,COUNTIFS($A$2:A846,A846,$E$2:E846,0)=1),L846,0)</f>
        <v>0</v>
      </c>
    </row>
    <row r="847" spans="1:13" ht="15" customHeight="1">
      <c r="A847" s="1">
        <v>7110</v>
      </c>
      <c r="B847" s="1" t="s">
        <v>95</v>
      </c>
      <c r="C847" s="2" t="s">
        <v>1006</v>
      </c>
      <c r="D847" s="2" t="s">
        <v>1007</v>
      </c>
      <c r="E847" s="1">
        <v>1</v>
      </c>
      <c r="F847" s="2" t="s">
        <v>1011</v>
      </c>
      <c r="G847" s="1">
        <v>4</v>
      </c>
      <c r="H847" s="1" t="str">
        <f t="shared" si="13"/>
        <v>k7110_4</v>
      </c>
      <c r="K847" s="1">
        <f>IF(E847=0,SUMPRODUCT(($A$2:$A$4734=A847)*($B$2:$B$4734=B847)*($D$2:$D$4734=D847)*($E$2:$E$4734=0)),0)</f>
        <v>0</v>
      </c>
      <c r="L847" s="1" t="str">
        <f>IF(E847=0,SUMPRODUCT(MIN($K$2:$K$4734+((($A$2:$A$4734&lt;&gt;A847)+($E$2:$E$4734&lt;&gt;0))&gt;0)*1000000)),"")</f>
        <v/>
      </c>
      <c r="M847" s="1">
        <f>IF(AND(E847=0,COUNTIFS($A$2:A847,A847,$E$2:E847,0)=1),L847,0)</f>
        <v>0</v>
      </c>
    </row>
    <row r="848" spans="1:13" ht="15" customHeight="1">
      <c r="A848" s="1">
        <v>7110</v>
      </c>
      <c r="B848" s="1" t="s">
        <v>95</v>
      </c>
      <c r="C848" s="2" t="s">
        <v>1006</v>
      </c>
      <c r="D848" s="2" t="s">
        <v>1007</v>
      </c>
      <c r="E848" s="1">
        <v>1</v>
      </c>
      <c r="F848" s="2" t="s">
        <v>1012</v>
      </c>
      <c r="G848" s="1">
        <v>5</v>
      </c>
      <c r="H848" s="1" t="str">
        <f t="shared" si="13"/>
        <v>k7110_5</v>
      </c>
      <c r="K848" s="1">
        <f>IF(E848=0,SUMPRODUCT(($A$2:$A$4734=A848)*($B$2:$B$4734=B848)*($D$2:$D$4734=D848)*($E$2:$E$4734=0)),0)</f>
        <v>0</v>
      </c>
      <c r="L848" s="1" t="str">
        <f>IF(E848=0,SUMPRODUCT(MIN($K$2:$K$4734+((($A$2:$A$4734&lt;&gt;A848)+($E$2:$E$4734&lt;&gt;0))&gt;0)*1000000)),"")</f>
        <v/>
      </c>
      <c r="M848" s="1">
        <f>IF(AND(E848=0,COUNTIFS($A$2:A848,A848,$E$2:E848,0)=1),L848,0)</f>
        <v>0</v>
      </c>
    </row>
    <row r="849" spans="1:13" ht="15" customHeight="1">
      <c r="A849" s="1">
        <v>7110</v>
      </c>
      <c r="B849" s="1" t="s">
        <v>9</v>
      </c>
      <c r="C849" s="2" t="s">
        <v>1006</v>
      </c>
      <c r="D849" s="2" t="s">
        <v>1007</v>
      </c>
      <c r="E849" s="1">
        <v>1</v>
      </c>
      <c r="F849" s="2" t="s">
        <v>1013</v>
      </c>
      <c r="G849" s="1">
        <v>1</v>
      </c>
      <c r="H849" s="1" t="str">
        <f t="shared" si="13"/>
        <v>k7110_1</v>
      </c>
      <c r="K849" s="1">
        <f>IF(E849=0,SUMPRODUCT(($A$2:$A$4734=A849)*($B$2:$B$4734=B849)*($D$2:$D$4734=D849)*($E$2:$E$4734=0)),0)</f>
        <v>0</v>
      </c>
      <c r="L849" s="1" t="str">
        <f>IF(E849=0,SUMPRODUCT(MIN($K$2:$K$4734+((($A$2:$A$4734&lt;&gt;A849)+($E$2:$E$4734&lt;&gt;0))&gt;0)*1000000)),"")</f>
        <v/>
      </c>
      <c r="M849" s="1">
        <f>IF(AND(E849=0,COUNTIFS($A$2:A849,A849,$E$2:E849,0)=1),L849,0)</f>
        <v>0</v>
      </c>
    </row>
    <row r="850" spans="1:13" ht="15" customHeight="1">
      <c r="A850" s="1">
        <v>7110</v>
      </c>
      <c r="B850" s="1" t="s">
        <v>9</v>
      </c>
      <c r="C850" s="2" t="s">
        <v>1006</v>
      </c>
      <c r="D850" s="2" t="s">
        <v>1007</v>
      </c>
      <c r="E850" s="1">
        <v>1</v>
      </c>
      <c r="F850" s="2" t="s">
        <v>1013</v>
      </c>
      <c r="G850" s="1">
        <v>2</v>
      </c>
      <c r="H850" s="1" t="str">
        <f t="shared" si="13"/>
        <v>k7110_2</v>
      </c>
      <c r="K850" s="1">
        <f>IF(E850=0,SUMPRODUCT(($A$2:$A$4734=A850)*($B$2:$B$4734=B850)*($D$2:$D$4734=D850)*($E$2:$E$4734=0)),0)</f>
        <v>0</v>
      </c>
      <c r="L850" s="1" t="str">
        <f>IF(E850=0,SUMPRODUCT(MIN($K$2:$K$4734+((($A$2:$A$4734&lt;&gt;A850)+($E$2:$E$4734&lt;&gt;0))&gt;0)*1000000)),"")</f>
        <v/>
      </c>
      <c r="M850" s="1">
        <f>IF(AND(E850=0,COUNTIFS($A$2:A850,A850,$E$2:E850,0)=1),L850,0)</f>
        <v>0</v>
      </c>
    </row>
    <row r="851" spans="1:13" ht="15" customHeight="1">
      <c r="A851" s="1">
        <v>7110</v>
      </c>
      <c r="B851" s="1" t="s">
        <v>9</v>
      </c>
      <c r="C851" s="2" t="s">
        <v>1006</v>
      </c>
      <c r="D851" s="2" t="s">
        <v>1007</v>
      </c>
      <c r="E851" s="1">
        <v>1</v>
      </c>
      <c r="F851" s="2" t="s">
        <v>1014</v>
      </c>
      <c r="G851" s="1">
        <v>3</v>
      </c>
      <c r="H851" s="1" t="str">
        <f t="shared" si="13"/>
        <v>k7110_3</v>
      </c>
      <c r="K851" s="1">
        <f>IF(E851=0,SUMPRODUCT(($A$2:$A$4734=A851)*($B$2:$B$4734=B851)*($D$2:$D$4734=D851)*($E$2:$E$4734=0)),0)</f>
        <v>0</v>
      </c>
      <c r="L851" s="1" t="str">
        <f>IF(E851=0,SUMPRODUCT(MIN($K$2:$K$4734+((($A$2:$A$4734&lt;&gt;A851)+($E$2:$E$4734&lt;&gt;0))&gt;0)*1000000)),"")</f>
        <v/>
      </c>
      <c r="M851" s="1">
        <f>IF(AND(E851=0,COUNTIFS($A$2:A851,A851,$E$2:E851,0)=1),L851,0)</f>
        <v>0</v>
      </c>
    </row>
    <row r="852" spans="1:13" ht="15" customHeight="1">
      <c r="A852" s="1">
        <v>7110</v>
      </c>
      <c r="B852" s="1" t="s">
        <v>9</v>
      </c>
      <c r="C852" s="2" t="s">
        <v>1006</v>
      </c>
      <c r="D852" s="2" t="s">
        <v>1007</v>
      </c>
      <c r="E852" s="1">
        <v>1</v>
      </c>
      <c r="F852" s="2" t="s">
        <v>1015</v>
      </c>
      <c r="G852" s="1">
        <v>4</v>
      </c>
      <c r="H852" s="1" t="str">
        <f t="shared" si="13"/>
        <v>k7110_4</v>
      </c>
      <c r="K852" s="1">
        <f>IF(E852=0,SUMPRODUCT(($A$2:$A$4734=A852)*($B$2:$B$4734=B852)*($D$2:$D$4734=D852)*($E$2:$E$4734=0)),0)</f>
        <v>0</v>
      </c>
      <c r="L852" s="1" t="str">
        <f>IF(E852=0,SUMPRODUCT(MIN($K$2:$K$4734+((($A$2:$A$4734&lt;&gt;A852)+($E$2:$E$4734&lt;&gt;0))&gt;0)*1000000)),"")</f>
        <v/>
      </c>
      <c r="M852" s="1">
        <f>IF(AND(E852=0,COUNTIFS($A$2:A852,A852,$E$2:E852,0)=1),L852,0)</f>
        <v>0</v>
      </c>
    </row>
    <row r="853" spans="1:13" ht="15" customHeight="1">
      <c r="A853" s="1">
        <v>7110</v>
      </c>
      <c r="B853" s="1" t="s">
        <v>9</v>
      </c>
      <c r="C853" s="2" t="s">
        <v>1006</v>
      </c>
      <c r="D853" s="2" t="s">
        <v>1007</v>
      </c>
      <c r="E853" s="1">
        <v>1</v>
      </c>
      <c r="F853" s="2" t="s">
        <v>1016</v>
      </c>
      <c r="G853" s="1">
        <v>5</v>
      </c>
      <c r="H853" s="1" t="str">
        <f t="shared" si="13"/>
        <v>k7110_5</v>
      </c>
      <c r="K853" s="1">
        <f>IF(E853=0,SUMPRODUCT(($A$2:$A$4734=A853)*($B$2:$B$4734=B853)*($D$2:$D$4734=D853)*($E$2:$E$4734=0)),0)</f>
        <v>0</v>
      </c>
      <c r="L853" s="1" t="str">
        <f>IF(E853=0,SUMPRODUCT(MIN($K$2:$K$4734+((($A$2:$A$4734&lt;&gt;A853)+($E$2:$E$4734&lt;&gt;0))&gt;0)*1000000)),"")</f>
        <v/>
      </c>
      <c r="M853" s="1">
        <f>IF(AND(E853=0,COUNTIFS($A$2:A853,A853,$E$2:E853,0)=1),L853,0)</f>
        <v>0</v>
      </c>
    </row>
    <row r="854" spans="1:13" ht="15" customHeight="1">
      <c r="A854" s="1">
        <v>7110</v>
      </c>
      <c r="B854" s="1" t="s">
        <v>144</v>
      </c>
      <c r="C854" s="2" t="s">
        <v>1006</v>
      </c>
      <c r="D854" s="2" t="s">
        <v>1006</v>
      </c>
      <c r="E854" s="1">
        <v>1</v>
      </c>
      <c r="F854" s="2" t="s">
        <v>1017</v>
      </c>
      <c r="G854" s="1">
        <v>1</v>
      </c>
      <c r="H854" s="1" t="str">
        <f t="shared" si="13"/>
        <v>k7110_1</v>
      </c>
      <c r="K854" s="1">
        <f>IF(E854=0,SUMPRODUCT(($A$2:$A$4734=A854)*($B$2:$B$4734=B854)*($D$2:$D$4734=D854)*($E$2:$E$4734=0)),0)</f>
        <v>0</v>
      </c>
      <c r="L854" s="1" t="str">
        <f>IF(E854=0,SUMPRODUCT(MIN($K$2:$K$4734+((($A$2:$A$4734&lt;&gt;A854)+($E$2:$E$4734&lt;&gt;0))&gt;0)*1000000)),"")</f>
        <v/>
      </c>
      <c r="M854" s="1">
        <f>IF(AND(E854=0,COUNTIFS($A$2:A854,A854,$E$2:E854,0)=1),L854,0)</f>
        <v>0</v>
      </c>
    </row>
    <row r="855" spans="1:13" ht="15" customHeight="1">
      <c r="A855" s="1">
        <v>7110</v>
      </c>
      <c r="B855" s="1" t="s">
        <v>144</v>
      </c>
      <c r="C855" s="2" t="s">
        <v>1006</v>
      </c>
      <c r="D855" s="2" t="s">
        <v>1006</v>
      </c>
      <c r="E855" s="1">
        <v>1</v>
      </c>
      <c r="F855" s="2" t="s">
        <v>1018</v>
      </c>
      <c r="G855" s="1">
        <v>2</v>
      </c>
      <c r="H855" s="1" t="str">
        <f t="shared" si="13"/>
        <v>k7110_2</v>
      </c>
      <c r="K855" s="1">
        <f>IF(E855=0,SUMPRODUCT(($A$2:$A$4734=A855)*($B$2:$B$4734=B855)*($D$2:$D$4734=D855)*($E$2:$E$4734=0)),0)</f>
        <v>0</v>
      </c>
      <c r="L855" s="1" t="str">
        <f>IF(E855=0,SUMPRODUCT(MIN($K$2:$K$4734+((($A$2:$A$4734&lt;&gt;A855)+($E$2:$E$4734&lt;&gt;0))&gt;0)*1000000)),"")</f>
        <v/>
      </c>
      <c r="M855" s="1">
        <f>IF(AND(E855=0,COUNTIFS($A$2:A855,A855,$E$2:E855,0)=1),L855,0)</f>
        <v>0</v>
      </c>
    </row>
    <row r="856" spans="1:13" ht="15" customHeight="1">
      <c r="A856" s="1">
        <v>7110</v>
      </c>
      <c r="B856" s="1" t="s">
        <v>144</v>
      </c>
      <c r="C856" s="2" t="s">
        <v>1006</v>
      </c>
      <c r="D856" s="2" t="s">
        <v>1006</v>
      </c>
      <c r="E856" s="1">
        <v>1</v>
      </c>
      <c r="F856" s="2" t="s">
        <v>1019</v>
      </c>
      <c r="G856" s="1">
        <v>3</v>
      </c>
      <c r="H856" s="1" t="str">
        <f t="shared" si="13"/>
        <v>k7110_3</v>
      </c>
      <c r="K856" s="1">
        <f>IF(E856=0,SUMPRODUCT(($A$2:$A$4734=A856)*($B$2:$B$4734=B856)*($D$2:$D$4734=D856)*($E$2:$E$4734=0)),0)</f>
        <v>0</v>
      </c>
      <c r="L856" s="1" t="str">
        <f>IF(E856=0,SUMPRODUCT(MIN($K$2:$K$4734+((($A$2:$A$4734&lt;&gt;A856)+($E$2:$E$4734&lt;&gt;0))&gt;0)*1000000)),"")</f>
        <v/>
      </c>
      <c r="M856" s="1">
        <f>IF(AND(E856=0,COUNTIFS($A$2:A856,A856,$E$2:E856,0)=1),L856,0)</f>
        <v>0</v>
      </c>
    </row>
    <row r="857" spans="1:13" ht="15" customHeight="1">
      <c r="A857" s="1">
        <v>7110</v>
      </c>
      <c r="B857" s="1" t="s">
        <v>144</v>
      </c>
      <c r="C857" s="2" t="s">
        <v>1006</v>
      </c>
      <c r="D857" s="2" t="s">
        <v>1006</v>
      </c>
      <c r="E857" s="1">
        <v>1</v>
      </c>
      <c r="F857" s="2" t="s">
        <v>1020</v>
      </c>
      <c r="G857" s="1">
        <v>4</v>
      </c>
      <c r="H857" s="1" t="str">
        <f t="shared" si="13"/>
        <v>k7110_4</v>
      </c>
      <c r="K857" s="1">
        <f>IF(E857=0,SUMPRODUCT(($A$2:$A$4734=A857)*($B$2:$B$4734=B857)*($D$2:$D$4734=D857)*($E$2:$E$4734=0)),0)</f>
        <v>0</v>
      </c>
      <c r="L857" s="1" t="str">
        <f>IF(E857=0,SUMPRODUCT(MIN($K$2:$K$4734+((($A$2:$A$4734&lt;&gt;A857)+($E$2:$E$4734&lt;&gt;0))&gt;0)*1000000)),"")</f>
        <v/>
      </c>
      <c r="M857" s="1">
        <f>IF(AND(E857=0,COUNTIFS($A$2:A857,A857,$E$2:E857,0)=1),L857,0)</f>
        <v>0</v>
      </c>
    </row>
    <row r="858" spans="1:13" ht="15" customHeight="1">
      <c r="A858" s="1">
        <v>7110</v>
      </c>
      <c r="B858" s="1" t="s">
        <v>144</v>
      </c>
      <c r="C858" s="2" t="s">
        <v>1006</v>
      </c>
      <c r="D858" s="2" t="s">
        <v>1006</v>
      </c>
      <c r="E858" s="1">
        <v>1</v>
      </c>
      <c r="F858" s="2" t="s">
        <v>1020</v>
      </c>
      <c r="G858" s="1">
        <v>5</v>
      </c>
      <c r="H858" s="1" t="str">
        <f t="shared" si="13"/>
        <v>k7110_5</v>
      </c>
      <c r="K858" s="1">
        <f>IF(E858=0,SUMPRODUCT(($A$2:$A$4734=A858)*($B$2:$B$4734=B858)*($D$2:$D$4734=D858)*($E$2:$E$4734=0)),0)</f>
        <v>0</v>
      </c>
      <c r="L858" s="1" t="str">
        <f>IF(E858=0,SUMPRODUCT(MIN($K$2:$K$4734+((($A$2:$A$4734&lt;&gt;A858)+($E$2:$E$4734&lt;&gt;0))&gt;0)*1000000)),"")</f>
        <v/>
      </c>
      <c r="M858" s="1">
        <f>IF(AND(E858=0,COUNTIFS($A$2:A858,A858,$E$2:E858,0)=1),L858,0)</f>
        <v>0</v>
      </c>
    </row>
    <row r="859" spans="1:13" ht="15" customHeight="1">
      <c r="A859" s="1">
        <v>7110</v>
      </c>
      <c r="B859" s="1" t="s">
        <v>9</v>
      </c>
      <c r="C859" s="2" t="s">
        <v>1006</v>
      </c>
      <c r="D859" s="2" t="s">
        <v>1021</v>
      </c>
      <c r="E859" s="1">
        <v>1</v>
      </c>
      <c r="F859" s="2" t="s">
        <v>1022</v>
      </c>
      <c r="G859" s="1">
        <v>1</v>
      </c>
      <c r="H859" s="1" t="str">
        <f t="shared" si="13"/>
        <v>k7110_1</v>
      </c>
      <c r="K859" s="1">
        <f>IF(E859=0,SUMPRODUCT(($A$2:$A$4734=A859)*($B$2:$B$4734=B859)*($D$2:$D$4734=D859)*($E$2:$E$4734=0)),0)</f>
        <v>0</v>
      </c>
      <c r="L859" s="1" t="str">
        <f>IF(E859=0,SUMPRODUCT(MIN($K$2:$K$4734+((($A$2:$A$4734&lt;&gt;A859)+($E$2:$E$4734&lt;&gt;0))&gt;0)*1000000)),"")</f>
        <v/>
      </c>
      <c r="M859" s="1">
        <f>IF(AND(E859=0,COUNTIFS($A$2:A859,A859,$E$2:E859,0)=1),L859,0)</f>
        <v>0</v>
      </c>
    </row>
    <row r="860" spans="1:13" ht="15" customHeight="1">
      <c r="A860" s="1">
        <v>7110</v>
      </c>
      <c r="B860" s="1" t="s">
        <v>9</v>
      </c>
      <c r="C860" s="2" t="s">
        <v>1006</v>
      </c>
      <c r="D860" s="2" t="s">
        <v>1021</v>
      </c>
      <c r="E860" s="1">
        <v>1</v>
      </c>
      <c r="F860" s="2" t="s">
        <v>1023</v>
      </c>
      <c r="G860" s="1">
        <v>2</v>
      </c>
      <c r="H860" s="1" t="str">
        <f t="shared" si="13"/>
        <v>k7110_2</v>
      </c>
      <c r="K860" s="1">
        <f>IF(E860=0,SUMPRODUCT(($A$2:$A$4734=A860)*($B$2:$B$4734=B860)*($D$2:$D$4734=D860)*($E$2:$E$4734=0)),0)</f>
        <v>0</v>
      </c>
      <c r="L860" s="1" t="str">
        <f>IF(E860=0,SUMPRODUCT(MIN($K$2:$K$4734+((($A$2:$A$4734&lt;&gt;A860)+($E$2:$E$4734&lt;&gt;0))&gt;0)*1000000)),"")</f>
        <v/>
      </c>
      <c r="M860" s="1">
        <f>IF(AND(E860=0,COUNTIFS($A$2:A860,A860,$E$2:E860,0)=1),L860,0)</f>
        <v>0</v>
      </c>
    </row>
    <row r="861" spans="1:13" ht="15" customHeight="1">
      <c r="A861" s="1">
        <v>7110</v>
      </c>
      <c r="B861" s="1" t="s">
        <v>9</v>
      </c>
      <c r="C861" s="2" t="s">
        <v>1006</v>
      </c>
      <c r="D861" s="2" t="s">
        <v>1021</v>
      </c>
      <c r="E861" s="1">
        <v>1</v>
      </c>
      <c r="F861" s="2" t="s">
        <v>1024</v>
      </c>
      <c r="G861" s="1">
        <v>3</v>
      </c>
      <c r="H861" s="1" t="str">
        <f t="shared" si="13"/>
        <v>k7110_3</v>
      </c>
      <c r="K861" s="1">
        <f>IF(E861=0,SUMPRODUCT(($A$2:$A$4734=A861)*($B$2:$B$4734=B861)*($D$2:$D$4734=D861)*($E$2:$E$4734=0)),0)</f>
        <v>0</v>
      </c>
      <c r="L861" s="1" t="str">
        <f>IF(E861=0,SUMPRODUCT(MIN($K$2:$K$4734+((($A$2:$A$4734&lt;&gt;A861)+($E$2:$E$4734&lt;&gt;0))&gt;0)*1000000)),"")</f>
        <v/>
      </c>
      <c r="M861" s="1">
        <f>IF(AND(E861=0,COUNTIFS($A$2:A861,A861,$E$2:E861,0)=1),L861,0)</f>
        <v>0</v>
      </c>
    </row>
    <row r="862" spans="1:13" ht="15" customHeight="1">
      <c r="A862" s="1">
        <v>7110</v>
      </c>
      <c r="B862" s="1" t="s">
        <v>9</v>
      </c>
      <c r="C862" s="2" t="s">
        <v>1006</v>
      </c>
      <c r="D862" s="2" t="s">
        <v>1021</v>
      </c>
      <c r="E862" s="1">
        <v>1</v>
      </c>
      <c r="F862" s="2" t="s">
        <v>1025</v>
      </c>
      <c r="G862" s="1">
        <v>4</v>
      </c>
      <c r="H862" s="1" t="str">
        <f t="shared" si="13"/>
        <v>k7110_4</v>
      </c>
      <c r="K862" s="1">
        <f>IF(E862=0,SUMPRODUCT(($A$2:$A$4734=A862)*($B$2:$B$4734=B862)*($D$2:$D$4734=D862)*($E$2:$E$4734=0)),0)</f>
        <v>0</v>
      </c>
      <c r="L862" s="1" t="str">
        <f>IF(E862=0,SUMPRODUCT(MIN($K$2:$K$4734+((($A$2:$A$4734&lt;&gt;A862)+($E$2:$E$4734&lt;&gt;0))&gt;0)*1000000)),"")</f>
        <v/>
      </c>
      <c r="M862" s="1">
        <f>IF(AND(E862=0,COUNTIFS($A$2:A862,A862,$E$2:E862,0)=1),L862,0)</f>
        <v>0</v>
      </c>
    </row>
    <row r="863" spans="1:13" ht="15" customHeight="1">
      <c r="A863" s="1">
        <v>7110</v>
      </c>
      <c r="B863" s="1" t="s">
        <v>9</v>
      </c>
      <c r="C863" s="2" t="s">
        <v>1006</v>
      </c>
      <c r="D863" s="2" t="s">
        <v>1021</v>
      </c>
      <c r="E863" s="1">
        <v>1</v>
      </c>
      <c r="F863" s="2" t="s">
        <v>1026</v>
      </c>
      <c r="G863" s="1">
        <v>5</v>
      </c>
      <c r="H863" s="1" t="str">
        <f t="shared" si="13"/>
        <v>k7110_5</v>
      </c>
      <c r="K863" s="1">
        <f>IF(E863=0,SUMPRODUCT(($A$2:$A$4734=A863)*($B$2:$B$4734=B863)*($D$2:$D$4734=D863)*($E$2:$E$4734=0)),0)</f>
        <v>0</v>
      </c>
      <c r="L863" s="1" t="str">
        <f>IF(E863=0,SUMPRODUCT(MIN($K$2:$K$4734+((($A$2:$A$4734&lt;&gt;A863)+($E$2:$E$4734&lt;&gt;0))&gt;0)*1000000)),"")</f>
        <v/>
      </c>
      <c r="M863" s="1">
        <f>IF(AND(E863=0,COUNTIFS($A$2:A863,A863,$E$2:E863,0)=1),L863,0)</f>
        <v>0</v>
      </c>
    </row>
    <row r="864" spans="1:13" ht="15" customHeight="1">
      <c r="A864" s="1">
        <v>7111</v>
      </c>
      <c r="B864" s="1" t="s">
        <v>9</v>
      </c>
      <c r="C864" s="2" t="s">
        <v>1027</v>
      </c>
      <c r="D864" s="2" t="s">
        <v>1028</v>
      </c>
      <c r="E864" s="1">
        <v>0</v>
      </c>
      <c r="F864" s="2" t="s">
        <v>1029</v>
      </c>
      <c r="H864" s="1" t="str">
        <f t="shared" si="13"/>
        <v/>
      </c>
      <c r="K864" s="1">
        <f>IF(E864=0,SUMPRODUCT(($A$2:$A$4734=A864)*($B$2:$B$4734=B864)*($D$2:$D$4734=D864)*($E$2:$E$4734=0)),0)</f>
        <v>4</v>
      </c>
      <c r="L864" s="1">
        <f>IF(E864=0,SUMPRODUCT(MIN($K$2:$K$4734+((($A$2:$A$4734&lt;&gt;A864)+($E$2:$E$4734&lt;&gt;0))&gt;0)*1000000)),"")</f>
        <v>4</v>
      </c>
      <c r="M864" s="1">
        <f>IF(AND(E864=0,COUNTIFS($A$2:A864,A864,$E$2:E864,0)=1),L864,0)</f>
        <v>4</v>
      </c>
    </row>
    <row r="865" spans="1:13" ht="15" customHeight="1">
      <c r="A865" s="1">
        <v>7111</v>
      </c>
      <c r="B865" s="1" t="s">
        <v>9</v>
      </c>
      <c r="C865" s="2" t="s">
        <v>1027</v>
      </c>
      <c r="D865" s="2" t="s">
        <v>1028</v>
      </c>
      <c r="E865" s="1">
        <v>0</v>
      </c>
      <c r="F865" s="2" t="s">
        <v>1030</v>
      </c>
      <c r="H865" s="1" t="str">
        <f t="shared" si="13"/>
        <v/>
      </c>
      <c r="K865" s="1">
        <f>IF(E865=0,SUMPRODUCT(($A$2:$A$4734=A865)*($B$2:$B$4734=B865)*($D$2:$D$4734=D865)*($E$2:$E$4734=0)),0)</f>
        <v>4</v>
      </c>
      <c r="L865" s="1">
        <f>IF(E865=0,SUMPRODUCT(MIN($K$2:$K$4734+((($A$2:$A$4734&lt;&gt;A865)+($E$2:$E$4734&lt;&gt;0))&gt;0)*1000000)),"")</f>
        <v>4</v>
      </c>
      <c r="M865" s="1">
        <f>IF(AND(E865=0,COUNTIFS($A$2:A865,A865,$E$2:E865,0)=1),L865,0)</f>
        <v>0</v>
      </c>
    </row>
    <row r="866" spans="1:13" ht="15" customHeight="1">
      <c r="A866" s="1">
        <v>7111</v>
      </c>
      <c r="B866" s="1" t="s">
        <v>9</v>
      </c>
      <c r="C866" s="2" t="s">
        <v>1027</v>
      </c>
      <c r="D866" s="2" t="s">
        <v>1028</v>
      </c>
      <c r="E866" s="1">
        <v>0</v>
      </c>
      <c r="F866" s="2" t="s">
        <v>1031</v>
      </c>
      <c r="H866" s="1" t="str">
        <f t="shared" si="13"/>
        <v/>
      </c>
      <c r="K866" s="1">
        <f>IF(E866=0,SUMPRODUCT(($A$2:$A$4734=A866)*($B$2:$B$4734=B866)*($D$2:$D$4734=D866)*($E$2:$E$4734=0)),0)</f>
        <v>4</v>
      </c>
      <c r="L866" s="1">
        <f>IF(E866=0,SUMPRODUCT(MIN($K$2:$K$4734+((($A$2:$A$4734&lt;&gt;A866)+($E$2:$E$4734&lt;&gt;0))&gt;0)*1000000)),"")</f>
        <v>4</v>
      </c>
      <c r="M866" s="1">
        <f>IF(AND(E866=0,COUNTIFS($A$2:A866,A866,$E$2:E866,0)=1),L866,0)</f>
        <v>0</v>
      </c>
    </row>
    <row r="867" spans="1:13" ht="15" customHeight="1">
      <c r="A867" s="1">
        <v>7111</v>
      </c>
      <c r="B867" s="1" t="s">
        <v>9</v>
      </c>
      <c r="C867" s="2" t="s">
        <v>1027</v>
      </c>
      <c r="D867" s="2" t="s">
        <v>1028</v>
      </c>
      <c r="E867" s="1">
        <v>0</v>
      </c>
      <c r="F867" s="2" t="s">
        <v>1032</v>
      </c>
      <c r="H867" s="1" t="str">
        <f t="shared" si="13"/>
        <v/>
      </c>
      <c r="K867" s="1">
        <f>IF(E867=0,SUMPRODUCT(($A$2:$A$4734=A867)*($B$2:$B$4734=B867)*($D$2:$D$4734=D867)*($E$2:$E$4734=0)),0)</f>
        <v>4</v>
      </c>
      <c r="L867" s="1">
        <f>IF(E867=0,SUMPRODUCT(MIN($K$2:$K$4734+((($A$2:$A$4734&lt;&gt;A867)+($E$2:$E$4734&lt;&gt;0))&gt;0)*1000000)),"")</f>
        <v>4</v>
      </c>
      <c r="M867" s="1">
        <f>IF(AND(E867=0,COUNTIFS($A$2:A867,A867,$E$2:E867,0)=1),L867,0)</f>
        <v>0</v>
      </c>
    </row>
    <row r="868" spans="1:13" ht="15" customHeight="1">
      <c r="A868" s="1">
        <v>7111</v>
      </c>
      <c r="B868" s="1" t="s">
        <v>16</v>
      </c>
      <c r="C868" s="2" t="s">
        <v>1027</v>
      </c>
      <c r="D868" s="2" t="s">
        <v>1028</v>
      </c>
      <c r="E868" s="1">
        <v>0</v>
      </c>
      <c r="F868" s="2" t="s">
        <v>1033</v>
      </c>
      <c r="H868" s="1" t="str">
        <f t="shared" si="13"/>
        <v/>
      </c>
      <c r="K868" s="1">
        <f>IF(E868=0,SUMPRODUCT(($A$2:$A$4734=A868)*($B$2:$B$4734=B868)*($D$2:$D$4734=D868)*($E$2:$E$4734=0)),0)</f>
        <v>6</v>
      </c>
      <c r="L868" s="1">
        <f>IF(E868=0,SUMPRODUCT(MIN($K$2:$K$4734+((($A$2:$A$4734&lt;&gt;A868)+($E$2:$E$4734&lt;&gt;0))&gt;0)*1000000)),"")</f>
        <v>4</v>
      </c>
      <c r="M868" s="1">
        <f>IF(AND(E868=0,COUNTIFS($A$2:A868,A868,$E$2:E868,0)=1),L868,0)</f>
        <v>0</v>
      </c>
    </row>
    <row r="869" spans="1:13" ht="15" customHeight="1">
      <c r="A869" s="1">
        <v>7111</v>
      </c>
      <c r="B869" s="1" t="s">
        <v>16</v>
      </c>
      <c r="C869" s="2" t="s">
        <v>1027</v>
      </c>
      <c r="D869" s="2" t="s">
        <v>1028</v>
      </c>
      <c r="E869" s="1">
        <v>0</v>
      </c>
      <c r="F869" s="2" t="s">
        <v>1034</v>
      </c>
      <c r="H869" s="1" t="str">
        <f t="shared" si="13"/>
        <v/>
      </c>
      <c r="K869" s="1">
        <f>IF(E869=0,SUMPRODUCT(($A$2:$A$4734=A869)*($B$2:$B$4734=B869)*($D$2:$D$4734=D869)*($E$2:$E$4734=0)),0)</f>
        <v>6</v>
      </c>
      <c r="L869" s="1">
        <f>IF(E869=0,SUMPRODUCT(MIN($K$2:$K$4734+((($A$2:$A$4734&lt;&gt;A869)+($E$2:$E$4734&lt;&gt;0))&gt;0)*1000000)),"")</f>
        <v>4</v>
      </c>
      <c r="M869" s="1">
        <f>IF(AND(E869=0,COUNTIFS($A$2:A869,A869,$E$2:E869,0)=1),L869,0)</f>
        <v>0</v>
      </c>
    </row>
    <row r="870" spans="1:13" ht="15" customHeight="1">
      <c r="A870" s="1">
        <v>7111</v>
      </c>
      <c r="B870" s="1" t="s">
        <v>16</v>
      </c>
      <c r="C870" s="2" t="s">
        <v>1027</v>
      </c>
      <c r="D870" s="2" t="s">
        <v>1028</v>
      </c>
      <c r="E870" s="1">
        <v>0</v>
      </c>
      <c r="F870" s="2" t="s">
        <v>1035</v>
      </c>
      <c r="H870" s="1" t="str">
        <f t="shared" si="13"/>
        <v/>
      </c>
      <c r="K870" s="1">
        <f>IF(E870=0,SUMPRODUCT(($A$2:$A$4734=A870)*($B$2:$B$4734=B870)*($D$2:$D$4734=D870)*($E$2:$E$4734=0)),0)</f>
        <v>6</v>
      </c>
      <c r="L870" s="1">
        <f>IF(E870=0,SUMPRODUCT(MIN($K$2:$K$4734+((($A$2:$A$4734&lt;&gt;A870)+($E$2:$E$4734&lt;&gt;0))&gt;0)*1000000)),"")</f>
        <v>4</v>
      </c>
      <c r="M870" s="1">
        <f>IF(AND(E870=0,COUNTIFS($A$2:A870,A870,$E$2:E870,0)=1),L870,0)</f>
        <v>0</v>
      </c>
    </row>
    <row r="871" spans="1:13" ht="15" customHeight="1">
      <c r="A871" s="1">
        <v>7111</v>
      </c>
      <c r="B871" s="1" t="s">
        <v>16</v>
      </c>
      <c r="C871" s="2" t="s">
        <v>1027</v>
      </c>
      <c r="D871" s="2" t="s">
        <v>1028</v>
      </c>
      <c r="E871" s="1">
        <v>0</v>
      </c>
      <c r="F871" s="2" t="s">
        <v>1036</v>
      </c>
      <c r="H871" s="1" t="str">
        <f t="shared" si="13"/>
        <v/>
      </c>
      <c r="K871" s="1">
        <f>IF(E871=0,SUMPRODUCT(($A$2:$A$4734=A871)*($B$2:$B$4734=B871)*($D$2:$D$4734=D871)*($E$2:$E$4734=0)),0)</f>
        <v>6</v>
      </c>
      <c r="L871" s="1">
        <f>IF(E871=0,SUMPRODUCT(MIN($K$2:$K$4734+((($A$2:$A$4734&lt;&gt;A871)+($E$2:$E$4734&lt;&gt;0))&gt;0)*1000000)),"")</f>
        <v>4</v>
      </c>
      <c r="M871" s="1">
        <f>IF(AND(E871=0,COUNTIFS($A$2:A871,A871,$E$2:E871,0)=1),L871,0)</f>
        <v>0</v>
      </c>
    </row>
    <row r="872" spans="1:13" ht="15" customHeight="1">
      <c r="A872" s="1">
        <v>7111</v>
      </c>
      <c r="B872" s="1" t="s">
        <v>16</v>
      </c>
      <c r="C872" s="2" t="s">
        <v>1027</v>
      </c>
      <c r="D872" s="2" t="s">
        <v>1028</v>
      </c>
      <c r="E872" s="1">
        <v>0</v>
      </c>
      <c r="F872" s="2" t="s">
        <v>1037</v>
      </c>
      <c r="H872" s="1" t="str">
        <f t="shared" si="13"/>
        <v/>
      </c>
      <c r="K872" s="1">
        <f>IF(E872=0,SUMPRODUCT(($A$2:$A$4734=A872)*($B$2:$B$4734=B872)*($D$2:$D$4734=D872)*($E$2:$E$4734=0)),0)</f>
        <v>6</v>
      </c>
      <c r="L872" s="1">
        <f>IF(E872=0,SUMPRODUCT(MIN($K$2:$K$4734+((($A$2:$A$4734&lt;&gt;A872)+($E$2:$E$4734&lt;&gt;0))&gt;0)*1000000)),"")</f>
        <v>4</v>
      </c>
      <c r="M872" s="1">
        <f>IF(AND(E872=0,COUNTIFS($A$2:A872,A872,$E$2:E872,0)=1),L872,0)</f>
        <v>0</v>
      </c>
    </row>
    <row r="873" spans="1:13" ht="15" customHeight="1">
      <c r="A873" s="1">
        <v>7111</v>
      </c>
      <c r="B873" s="1" t="s">
        <v>16</v>
      </c>
      <c r="C873" s="2" t="s">
        <v>1027</v>
      </c>
      <c r="D873" s="2" t="s">
        <v>1028</v>
      </c>
      <c r="E873" s="1">
        <v>0</v>
      </c>
      <c r="F873" s="2" t="s">
        <v>1038</v>
      </c>
      <c r="H873" s="1" t="str">
        <f t="shared" si="13"/>
        <v/>
      </c>
      <c r="K873" s="1">
        <f>IF(E873=0,SUMPRODUCT(($A$2:$A$4734=A873)*($B$2:$B$4734=B873)*($D$2:$D$4734=D873)*($E$2:$E$4734=0)),0)</f>
        <v>6</v>
      </c>
      <c r="L873" s="1">
        <f>IF(E873=0,SUMPRODUCT(MIN($K$2:$K$4734+((($A$2:$A$4734&lt;&gt;A873)+($E$2:$E$4734&lt;&gt;0))&gt;0)*1000000)),"")</f>
        <v>4</v>
      </c>
      <c r="M873" s="1">
        <f>IF(AND(E873=0,COUNTIFS($A$2:A873,A873,$E$2:E873,0)=1),L873,0)</f>
        <v>0</v>
      </c>
    </row>
    <row r="874" spans="1:13" ht="15" customHeight="1">
      <c r="A874" s="1">
        <v>7112</v>
      </c>
      <c r="B874" s="1" t="s">
        <v>16</v>
      </c>
      <c r="C874" s="1" t="s">
        <v>1039</v>
      </c>
      <c r="D874" s="2" t="s">
        <v>1040</v>
      </c>
      <c r="E874" s="1">
        <v>1</v>
      </c>
      <c r="F874" s="2" t="s">
        <v>1041</v>
      </c>
      <c r="G874" s="1">
        <v>1</v>
      </c>
      <c r="H874" s="1" t="str">
        <f t="shared" si="13"/>
        <v>k7112_1</v>
      </c>
      <c r="K874" s="1">
        <f>IF(E874=0,SUMPRODUCT(($A$2:$A$4734=A874)*($B$2:$B$4734=B874)*($D$2:$D$4734=D874)*($E$2:$E$4734=0)),0)</f>
        <v>0</v>
      </c>
      <c r="L874" s="1" t="str">
        <f>IF(E874=0,SUMPRODUCT(MIN($K$2:$K$4734+((($A$2:$A$4734&lt;&gt;A874)+($E$2:$E$4734&lt;&gt;0))&gt;0)*1000000)),"")</f>
        <v/>
      </c>
      <c r="M874" s="1">
        <f>IF(AND(E874=0,COUNTIFS($A$2:A874,A874,$E$2:E874,0)=1),L874,0)</f>
        <v>0</v>
      </c>
    </row>
    <row r="875" spans="1:13" ht="15" customHeight="1">
      <c r="A875" s="1">
        <v>7112</v>
      </c>
      <c r="B875" s="1" t="s">
        <v>16</v>
      </c>
      <c r="C875" s="1" t="s">
        <v>1039</v>
      </c>
      <c r="D875" s="2" t="s">
        <v>1040</v>
      </c>
      <c r="E875" s="1">
        <v>1</v>
      </c>
      <c r="F875" s="2" t="s">
        <v>1042</v>
      </c>
      <c r="G875" s="1">
        <v>2</v>
      </c>
      <c r="H875" s="1" t="str">
        <f t="shared" si="13"/>
        <v>k7112_2</v>
      </c>
      <c r="K875" s="1">
        <f>IF(E875=0,SUMPRODUCT(($A$2:$A$4734=A875)*($B$2:$B$4734=B875)*($D$2:$D$4734=D875)*($E$2:$E$4734=0)),0)</f>
        <v>0</v>
      </c>
      <c r="L875" s="1" t="str">
        <f>IF(E875=0,SUMPRODUCT(MIN($K$2:$K$4734+((($A$2:$A$4734&lt;&gt;A875)+($E$2:$E$4734&lt;&gt;0))&gt;0)*1000000)),"")</f>
        <v/>
      </c>
      <c r="M875" s="1">
        <f>IF(AND(E875=0,COUNTIFS($A$2:A875,A875,$E$2:E875,0)=1),L875,0)</f>
        <v>0</v>
      </c>
    </row>
    <row r="876" spans="1:13" ht="15" customHeight="1">
      <c r="A876" s="1">
        <v>7112</v>
      </c>
      <c r="B876" s="1" t="s">
        <v>16</v>
      </c>
      <c r="C876" s="1" t="s">
        <v>1039</v>
      </c>
      <c r="D876" s="2" t="s">
        <v>1040</v>
      </c>
      <c r="E876" s="1">
        <v>1</v>
      </c>
      <c r="F876" s="2" t="s">
        <v>1043</v>
      </c>
      <c r="G876" s="1">
        <v>3</v>
      </c>
      <c r="H876" s="1" t="str">
        <f t="shared" si="13"/>
        <v>k7112_3</v>
      </c>
      <c r="K876" s="1">
        <f>IF(E876=0,SUMPRODUCT(($A$2:$A$4734=A876)*($B$2:$B$4734=B876)*($D$2:$D$4734=D876)*($E$2:$E$4734=0)),0)</f>
        <v>0</v>
      </c>
      <c r="L876" s="1" t="str">
        <f>IF(E876=0,SUMPRODUCT(MIN($K$2:$K$4734+((($A$2:$A$4734&lt;&gt;A876)+($E$2:$E$4734&lt;&gt;0))&gt;0)*1000000)),"")</f>
        <v/>
      </c>
      <c r="M876" s="1">
        <f>IF(AND(E876=0,COUNTIFS($A$2:A876,A876,$E$2:E876,0)=1),L876,0)</f>
        <v>0</v>
      </c>
    </row>
    <row r="877" spans="1:13" ht="15" customHeight="1">
      <c r="A877" s="1">
        <v>7112</v>
      </c>
      <c r="B877" s="1" t="s">
        <v>16</v>
      </c>
      <c r="C877" s="1" t="s">
        <v>1039</v>
      </c>
      <c r="D877" s="2" t="s">
        <v>1040</v>
      </c>
      <c r="E877" s="1">
        <v>1</v>
      </c>
      <c r="F877" s="2" t="s">
        <v>1044</v>
      </c>
      <c r="G877" s="1">
        <v>4</v>
      </c>
      <c r="H877" s="1" t="str">
        <f t="shared" si="13"/>
        <v>k7112_4</v>
      </c>
      <c r="K877" s="1">
        <f>IF(E877=0,SUMPRODUCT(($A$2:$A$4734=A877)*($B$2:$B$4734=B877)*($D$2:$D$4734=D877)*($E$2:$E$4734=0)),0)</f>
        <v>0</v>
      </c>
      <c r="L877" s="1" t="str">
        <f>IF(E877=0,SUMPRODUCT(MIN($K$2:$K$4734+((($A$2:$A$4734&lt;&gt;A877)+($E$2:$E$4734&lt;&gt;0))&gt;0)*1000000)),"")</f>
        <v/>
      </c>
      <c r="M877" s="1">
        <f>IF(AND(E877=0,COUNTIFS($A$2:A877,A877,$E$2:E877,0)=1),L877,0)</f>
        <v>0</v>
      </c>
    </row>
    <row r="878" spans="1:13" ht="15" customHeight="1">
      <c r="A878" s="1">
        <v>7112</v>
      </c>
      <c r="B878" s="1" t="s">
        <v>393</v>
      </c>
      <c r="C878" s="1" t="s">
        <v>1039</v>
      </c>
      <c r="D878" s="2" t="s">
        <v>1045</v>
      </c>
      <c r="E878" s="1">
        <v>1</v>
      </c>
      <c r="F878" s="2" t="s">
        <v>1046</v>
      </c>
      <c r="G878" s="1">
        <v>1</v>
      </c>
      <c r="H878" s="1" t="str">
        <f t="shared" ref="H878:H938" si="14">IF(OR(E878&lt;&gt;1,G878=""),"","k"&amp;A878&amp;"_"&amp;G878)</f>
        <v>k7112_1</v>
      </c>
      <c r="K878" s="1">
        <f>IF(E878=0,SUMPRODUCT(($A$2:$A$4734=A878)*($B$2:$B$4734=B878)*($D$2:$D$4734=D878)*($E$2:$E$4734=0)),0)</f>
        <v>0</v>
      </c>
      <c r="L878" s="1" t="str">
        <f>IF(E878=0,SUMPRODUCT(MIN($K$2:$K$4734+((($A$2:$A$4734&lt;&gt;A878)+($E$2:$E$4734&lt;&gt;0))&gt;0)*1000000)),"")</f>
        <v/>
      </c>
      <c r="M878" s="1">
        <f>IF(AND(E878=0,COUNTIFS($A$2:A878,A878,$E$2:E878,0)=1),L878,0)</f>
        <v>0</v>
      </c>
    </row>
    <row r="879" spans="1:13" ht="15" customHeight="1">
      <c r="A879" s="1">
        <v>7112</v>
      </c>
      <c r="B879" s="1" t="s">
        <v>393</v>
      </c>
      <c r="C879" s="1" t="s">
        <v>1039</v>
      </c>
      <c r="D879" s="2" t="s">
        <v>1045</v>
      </c>
      <c r="E879" s="1">
        <v>1</v>
      </c>
      <c r="F879" s="2" t="s">
        <v>1047</v>
      </c>
      <c r="G879" s="1">
        <v>2</v>
      </c>
      <c r="H879" s="1" t="str">
        <f t="shared" si="14"/>
        <v>k7112_2</v>
      </c>
      <c r="K879" s="1">
        <f>IF(E879=0,SUMPRODUCT(($A$2:$A$4734=A879)*($B$2:$B$4734=B879)*($D$2:$D$4734=D879)*($E$2:$E$4734=0)),0)</f>
        <v>0</v>
      </c>
      <c r="L879" s="1" t="str">
        <f>IF(E879=0,SUMPRODUCT(MIN($K$2:$K$4734+((($A$2:$A$4734&lt;&gt;A879)+($E$2:$E$4734&lt;&gt;0))&gt;0)*1000000)),"")</f>
        <v/>
      </c>
      <c r="M879" s="1">
        <f>IF(AND(E879=0,COUNTIFS($A$2:A879,A879,$E$2:E879,0)=1),L879,0)</f>
        <v>0</v>
      </c>
    </row>
    <row r="880" spans="1:13" ht="15" customHeight="1">
      <c r="A880" s="1">
        <v>7112</v>
      </c>
      <c r="B880" s="1" t="s">
        <v>393</v>
      </c>
      <c r="C880" s="1" t="s">
        <v>1039</v>
      </c>
      <c r="D880" s="2" t="s">
        <v>1045</v>
      </c>
      <c r="E880" s="1">
        <v>1</v>
      </c>
      <c r="F880" s="2" t="s">
        <v>1048</v>
      </c>
      <c r="G880" s="1">
        <v>3</v>
      </c>
      <c r="H880" s="1" t="str">
        <f t="shared" si="14"/>
        <v>k7112_3</v>
      </c>
      <c r="K880" s="1">
        <f>IF(E880=0,SUMPRODUCT(($A$2:$A$4734=A880)*($B$2:$B$4734=B880)*($D$2:$D$4734=D880)*($E$2:$E$4734=0)),0)</f>
        <v>0</v>
      </c>
      <c r="L880" s="1" t="str">
        <f>IF(E880=0,SUMPRODUCT(MIN($K$2:$K$4734+((($A$2:$A$4734&lt;&gt;A880)+($E$2:$E$4734&lt;&gt;0))&gt;0)*1000000)),"")</f>
        <v/>
      </c>
      <c r="M880" s="1">
        <f>IF(AND(E880=0,COUNTIFS($A$2:A880,A880,$E$2:E880,0)=1),L880,0)</f>
        <v>0</v>
      </c>
    </row>
    <row r="881" spans="1:13" ht="15" customHeight="1">
      <c r="A881" s="1">
        <v>7112</v>
      </c>
      <c r="B881" s="1" t="s">
        <v>393</v>
      </c>
      <c r="C881" s="1" t="s">
        <v>1039</v>
      </c>
      <c r="D881" s="2" t="s">
        <v>1045</v>
      </c>
      <c r="E881" s="1">
        <v>1</v>
      </c>
      <c r="F881" s="2" t="s">
        <v>1049</v>
      </c>
      <c r="G881" s="1">
        <v>4</v>
      </c>
      <c r="H881" s="1" t="str">
        <f t="shared" si="14"/>
        <v>k7112_4</v>
      </c>
      <c r="K881" s="1">
        <f>IF(E881=0,SUMPRODUCT(($A$2:$A$4734=A881)*($B$2:$B$4734=B881)*($D$2:$D$4734=D881)*($E$2:$E$4734=0)),0)</f>
        <v>0</v>
      </c>
      <c r="L881" s="1" t="str">
        <f>IF(E881=0,SUMPRODUCT(MIN($K$2:$K$4734+((($A$2:$A$4734&lt;&gt;A881)+($E$2:$E$4734&lt;&gt;0))&gt;0)*1000000)),"")</f>
        <v/>
      </c>
      <c r="M881" s="1">
        <f>IF(AND(E881=0,COUNTIFS($A$2:A881,A881,$E$2:E881,0)=1),L881,0)</f>
        <v>0</v>
      </c>
    </row>
    <row r="882" spans="1:13" ht="15" customHeight="1">
      <c r="A882" s="1">
        <v>7112</v>
      </c>
      <c r="B882" s="1" t="s">
        <v>9</v>
      </c>
      <c r="C882" s="1" t="s">
        <v>1039</v>
      </c>
      <c r="D882" s="2" t="s">
        <v>1050</v>
      </c>
      <c r="E882" s="1">
        <v>1</v>
      </c>
      <c r="F882" s="2" t="s">
        <v>1051</v>
      </c>
      <c r="G882" s="1">
        <v>1</v>
      </c>
      <c r="H882" s="1" t="str">
        <f t="shared" si="14"/>
        <v>k7112_1</v>
      </c>
      <c r="K882" s="1">
        <f>IF(E882=0,SUMPRODUCT(($A$2:$A$4734=A882)*($B$2:$B$4734=B882)*($D$2:$D$4734=D882)*($E$2:$E$4734=0)),0)</f>
        <v>0</v>
      </c>
      <c r="L882" s="1" t="str">
        <f>IF(E882=0,SUMPRODUCT(MIN($K$2:$K$4734+((($A$2:$A$4734&lt;&gt;A882)+($E$2:$E$4734&lt;&gt;0))&gt;0)*1000000)),"")</f>
        <v/>
      </c>
      <c r="M882" s="1">
        <f>IF(AND(E882=0,COUNTIFS($A$2:A882,A882,$E$2:E882,0)=1),L882,0)</f>
        <v>0</v>
      </c>
    </row>
    <row r="883" spans="1:13" ht="15" customHeight="1">
      <c r="A883" s="1">
        <v>7112</v>
      </c>
      <c r="B883" s="1" t="s">
        <v>9</v>
      </c>
      <c r="C883" s="1" t="s">
        <v>1039</v>
      </c>
      <c r="D883" s="2" t="s">
        <v>1050</v>
      </c>
      <c r="E883" s="1">
        <v>1</v>
      </c>
      <c r="F883" s="2" t="s">
        <v>1052</v>
      </c>
      <c r="G883" s="1">
        <v>2</v>
      </c>
      <c r="H883" s="1" t="str">
        <f t="shared" si="14"/>
        <v>k7112_2</v>
      </c>
      <c r="K883" s="1">
        <f>IF(E883=0,SUMPRODUCT(($A$2:$A$4734=A883)*($B$2:$B$4734=B883)*($D$2:$D$4734=D883)*($E$2:$E$4734=0)),0)</f>
        <v>0</v>
      </c>
      <c r="L883" s="1" t="str">
        <f>IF(E883=0,SUMPRODUCT(MIN($K$2:$K$4734+((($A$2:$A$4734&lt;&gt;A883)+($E$2:$E$4734&lt;&gt;0))&gt;0)*1000000)),"")</f>
        <v/>
      </c>
      <c r="M883" s="1">
        <f>IF(AND(E883=0,COUNTIFS($A$2:A883,A883,$E$2:E883,0)=1),L883,0)</f>
        <v>0</v>
      </c>
    </row>
    <row r="884" spans="1:13" ht="15" customHeight="1">
      <c r="A884" s="1">
        <v>7112</v>
      </c>
      <c r="B884" s="1" t="s">
        <v>9</v>
      </c>
      <c r="C884" s="1" t="s">
        <v>1039</v>
      </c>
      <c r="D884" s="2" t="s">
        <v>1050</v>
      </c>
      <c r="E884" s="1">
        <v>1</v>
      </c>
      <c r="F884" s="2" t="s">
        <v>1053</v>
      </c>
      <c r="G884" s="1">
        <v>3</v>
      </c>
      <c r="H884" s="1" t="str">
        <f t="shared" si="14"/>
        <v>k7112_3</v>
      </c>
      <c r="K884" s="1">
        <f>IF(E884=0,SUMPRODUCT(($A$2:$A$4734=A884)*($B$2:$B$4734=B884)*($D$2:$D$4734=D884)*($E$2:$E$4734=0)),0)</f>
        <v>0</v>
      </c>
      <c r="L884" s="1" t="str">
        <f>IF(E884=0,SUMPRODUCT(MIN($K$2:$K$4734+((($A$2:$A$4734&lt;&gt;A884)+($E$2:$E$4734&lt;&gt;0))&gt;0)*1000000)),"")</f>
        <v/>
      </c>
      <c r="M884" s="1">
        <f>IF(AND(E884=0,COUNTIFS($A$2:A884,A884,$E$2:E884,0)=1),L884,0)</f>
        <v>0</v>
      </c>
    </row>
    <row r="885" spans="1:13" ht="15" customHeight="1">
      <c r="A885" s="1">
        <v>7112</v>
      </c>
      <c r="B885" s="1" t="s">
        <v>9</v>
      </c>
      <c r="C885" s="1" t="s">
        <v>1039</v>
      </c>
      <c r="D885" s="2" t="s">
        <v>1050</v>
      </c>
      <c r="E885" s="1">
        <v>1</v>
      </c>
      <c r="F885" s="2" t="s">
        <v>1054</v>
      </c>
      <c r="G885" s="1">
        <v>4</v>
      </c>
      <c r="H885" s="1" t="str">
        <f t="shared" si="14"/>
        <v>k7112_4</v>
      </c>
      <c r="K885" s="1">
        <f>IF(E885=0,SUMPRODUCT(($A$2:$A$4734=A885)*($B$2:$B$4734=B885)*($D$2:$D$4734=D885)*($E$2:$E$4734=0)),0)</f>
        <v>0</v>
      </c>
      <c r="L885" s="1" t="str">
        <f>IF(E885=0,SUMPRODUCT(MIN($K$2:$K$4734+((($A$2:$A$4734&lt;&gt;A885)+($E$2:$E$4734&lt;&gt;0))&gt;0)*1000000)),"")</f>
        <v/>
      </c>
      <c r="M885" s="1">
        <f>IF(AND(E885=0,COUNTIFS($A$2:A885,A885,$E$2:E885,0)=1),L885,0)</f>
        <v>0</v>
      </c>
    </row>
    <row r="886" spans="1:13" ht="15" customHeight="1">
      <c r="A886" s="1">
        <v>7113</v>
      </c>
      <c r="B886" s="1" t="s">
        <v>9</v>
      </c>
      <c r="C886" s="2" t="s">
        <v>1055</v>
      </c>
      <c r="D886" s="2" t="s">
        <v>1056</v>
      </c>
      <c r="E886" s="1">
        <v>0</v>
      </c>
      <c r="F886" s="2" t="s">
        <v>1057</v>
      </c>
      <c r="H886" s="1" t="str">
        <f t="shared" si="14"/>
        <v/>
      </c>
      <c r="K886" s="1">
        <f>IF(E886=0,SUMPRODUCT(($A$2:$A$4734=A886)*($B$2:$B$4734=B886)*($D$2:$D$4734=D886)*($E$2:$E$4734=0)),0)</f>
        <v>3</v>
      </c>
      <c r="L886" s="1">
        <f>IF(E886=0,SUMPRODUCT(MIN($K$2:$K$4734+((($A$2:$A$4734&lt;&gt;A886)+($E$2:$E$4734&lt;&gt;0))&gt;0)*1000000)),"")</f>
        <v>3</v>
      </c>
      <c r="M886" s="1">
        <f>IF(AND(E886=0,COUNTIFS($A$2:A886,A886,$E$2:E886,0)=1),L886,0)</f>
        <v>3</v>
      </c>
    </row>
    <row r="887" spans="1:13" ht="15" customHeight="1">
      <c r="A887" s="1">
        <v>7113</v>
      </c>
      <c r="B887" s="1" t="s">
        <v>9</v>
      </c>
      <c r="C887" s="2" t="s">
        <v>1055</v>
      </c>
      <c r="D887" s="2" t="s">
        <v>1056</v>
      </c>
      <c r="E887" s="1">
        <v>0</v>
      </c>
      <c r="F887" s="2" t="s">
        <v>1058</v>
      </c>
      <c r="H887" s="1" t="str">
        <f t="shared" si="14"/>
        <v/>
      </c>
      <c r="K887" s="1">
        <f>IF(E887=0,SUMPRODUCT(($A$2:$A$4734=A887)*($B$2:$B$4734=B887)*($D$2:$D$4734=D887)*($E$2:$E$4734=0)),0)</f>
        <v>3</v>
      </c>
      <c r="L887" s="1">
        <f>IF(E887=0,SUMPRODUCT(MIN($K$2:$K$4734+((($A$2:$A$4734&lt;&gt;A887)+($E$2:$E$4734&lt;&gt;0))&gt;0)*1000000)),"")</f>
        <v>3</v>
      </c>
      <c r="M887" s="1">
        <f>IF(AND(E887=0,COUNTIFS($A$2:A887,A887,$E$2:E887,0)=1),L887,0)</f>
        <v>0</v>
      </c>
    </row>
    <row r="888" spans="1:13" ht="15" customHeight="1">
      <c r="A888" s="1">
        <v>7113</v>
      </c>
      <c r="B888" s="1" t="s">
        <v>9</v>
      </c>
      <c r="C888" s="2" t="s">
        <v>1055</v>
      </c>
      <c r="D888" s="2" t="s">
        <v>1056</v>
      </c>
      <c r="E888" s="1">
        <v>0</v>
      </c>
      <c r="F888" s="2" t="s">
        <v>1060</v>
      </c>
      <c r="H888" s="1" t="str">
        <f t="shared" si="14"/>
        <v/>
      </c>
      <c r="K888" s="1">
        <f>IF(E888=0,SUMPRODUCT(($A$2:$A$4734=A888)*($B$2:$B$4734=B888)*($D$2:$D$4734=D888)*($E$2:$E$4734=0)),0)</f>
        <v>3</v>
      </c>
      <c r="L888" s="1">
        <f>IF(E888=0,SUMPRODUCT(MIN($K$2:$K$4734+((($A$2:$A$4734&lt;&gt;A888)+($E$2:$E$4734&lt;&gt;0))&gt;0)*1000000)),"")</f>
        <v>3</v>
      </c>
      <c r="M888" s="1">
        <f>IF(AND(E888=0,COUNTIFS($A$2:A888,A888,$E$2:E888,0)=1),L888,0)</f>
        <v>0</v>
      </c>
    </row>
    <row r="889" spans="1:13" ht="15" customHeight="1">
      <c r="A889" s="1">
        <v>7113</v>
      </c>
      <c r="B889" s="1" t="s">
        <v>16</v>
      </c>
      <c r="C889" s="2" t="s">
        <v>1055</v>
      </c>
      <c r="D889" s="2" t="s">
        <v>1061</v>
      </c>
      <c r="E889" s="1">
        <v>0</v>
      </c>
      <c r="F889" s="2" t="s">
        <v>1062</v>
      </c>
      <c r="H889" s="1" t="str">
        <f t="shared" si="14"/>
        <v/>
      </c>
      <c r="K889" s="1">
        <f>IF(E889=0,SUMPRODUCT(($A$2:$A$4734=A889)*($B$2:$B$4734=B889)*($D$2:$D$4734=D889)*($E$2:$E$4734=0)),0)</f>
        <v>6</v>
      </c>
      <c r="L889" s="1">
        <f>IF(E889=0,SUMPRODUCT(MIN($K$2:$K$4734+((($A$2:$A$4734&lt;&gt;A889)+($E$2:$E$4734&lt;&gt;0))&gt;0)*1000000)),"")</f>
        <v>3</v>
      </c>
      <c r="M889" s="1">
        <f>IF(AND(E889=0,COUNTIFS($A$2:A889,A889,$E$2:E889,0)=1),L889,0)</f>
        <v>0</v>
      </c>
    </row>
    <row r="890" spans="1:13" ht="15" customHeight="1">
      <c r="A890" s="1">
        <v>7113</v>
      </c>
      <c r="B890" s="1" t="s">
        <v>16</v>
      </c>
      <c r="C890" s="2" t="s">
        <v>1055</v>
      </c>
      <c r="D890" s="2" t="s">
        <v>1061</v>
      </c>
      <c r="E890" s="1">
        <v>0</v>
      </c>
      <c r="F890" s="2" t="s">
        <v>1063</v>
      </c>
      <c r="H890" s="1" t="str">
        <f t="shared" si="14"/>
        <v/>
      </c>
      <c r="K890" s="1">
        <f>IF(E890=0,SUMPRODUCT(($A$2:$A$4734=A890)*($B$2:$B$4734=B890)*($D$2:$D$4734=D890)*($E$2:$E$4734=0)),0)</f>
        <v>6</v>
      </c>
      <c r="L890" s="1">
        <f>IF(E890=0,SUMPRODUCT(MIN($K$2:$K$4734+((($A$2:$A$4734&lt;&gt;A890)+($E$2:$E$4734&lt;&gt;0))&gt;0)*1000000)),"")</f>
        <v>3</v>
      </c>
      <c r="M890" s="1">
        <f>IF(AND(E890=0,COUNTIFS($A$2:A890,A890,$E$2:E890,0)=1),L890,0)</f>
        <v>0</v>
      </c>
    </row>
    <row r="891" spans="1:13" ht="15" customHeight="1">
      <c r="A891" s="1">
        <v>7113</v>
      </c>
      <c r="B891" s="1" t="s">
        <v>16</v>
      </c>
      <c r="C891" s="2" t="s">
        <v>1055</v>
      </c>
      <c r="D891" s="2" t="s">
        <v>1061</v>
      </c>
      <c r="E891" s="1">
        <v>0</v>
      </c>
      <c r="F891" s="2" t="s">
        <v>1064</v>
      </c>
      <c r="H891" s="1" t="str">
        <f t="shared" si="14"/>
        <v/>
      </c>
      <c r="K891" s="1">
        <f>IF(E891=0,SUMPRODUCT(($A$2:$A$4734=A891)*($B$2:$B$4734=B891)*($D$2:$D$4734=D891)*($E$2:$E$4734=0)),0)</f>
        <v>6</v>
      </c>
      <c r="L891" s="1">
        <f>IF(E891=0,SUMPRODUCT(MIN($K$2:$K$4734+((($A$2:$A$4734&lt;&gt;A891)+($E$2:$E$4734&lt;&gt;0))&gt;0)*1000000)),"")</f>
        <v>3</v>
      </c>
      <c r="M891" s="1">
        <f>IF(AND(E891=0,COUNTIFS($A$2:A891,A891,$E$2:E891,0)=1),L891,0)</f>
        <v>0</v>
      </c>
    </row>
    <row r="892" spans="1:13" ht="15" customHeight="1">
      <c r="A892" s="1">
        <v>7113</v>
      </c>
      <c r="B892" s="1" t="s">
        <v>16</v>
      </c>
      <c r="C892" s="2" t="s">
        <v>1055</v>
      </c>
      <c r="D892" s="2" t="s">
        <v>1061</v>
      </c>
      <c r="E892" s="1">
        <v>0</v>
      </c>
      <c r="F892" s="2" t="s">
        <v>1065</v>
      </c>
      <c r="H892" s="1" t="str">
        <f t="shared" si="14"/>
        <v/>
      </c>
      <c r="K892" s="1">
        <f>IF(E892=0,SUMPRODUCT(($A$2:$A$4734=A892)*($B$2:$B$4734=B892)*($D$2:$D$4734=D892)*($E$2:$E$4734=0)),0)</f>
        <v>6</v>
      </c>
      <c r="L892" s="1">
        <f>IF(E892=0,SUMPRODUCT(MIN($K$2:$K$4734+((($A$2:$A$4734&lt;&gt;A892)+($E$2:$E$4734&lt;&gt;0))&gt;0)*1000000)),"")</f>
        <v>3</v>
      </c>
      <c r="M892" s="1">
        <f>IF(AND(E892=0,COUNTIFS($A$2:A892,A892,$E$2:E892,0)=1),L892,0)</f>
        <v>0</v>
      </c>
    </row>
    <row r="893" spans="1:13" ht="15" customHeight="1">
      <c r="A893" s="1">
        <v>7113</v>
      </c>
      <c r="B893" s="1" t="s">
        <v>16</v>
      </c>
      <c r="C893" s="2" t="s">
        <v>1055</v>
      </c>
      <c r="D893" s="2" t="s">
        <v>1061</v>
      </c>
      <c r="E893" s="1">
        <v>0</v>
      </c>
      <c r="F893" s="2" t="s">
        <v>1066</v>
      </c>
      <c r="H893" s="1" t="str">
        <f t="shared" si="14"/>
        <v/>
      </c>
      <c r="K893" s="1">
        <f>IF(E893=0,SUMPRODUCT(($A$2:$A$4734=A893)*($B$2:$B$4734=B893)*($D$2:$D$4734=D893)*($E$2:$E$4734=0)),0)</f>
        <v>6</v>
      </c>
      <c r="L893" s="1">
        <f>IF(E893=0,SUMPRODUCT(MIN($K$2:$K$4734+((($A$2:$A$4734&lt;&gt;A893)+($E$2:$E$4734&lt;&gt;0))&gt;0)*1000000)),"")</f>
        <v>3</v>
      </c>
      <c r="M893" s="1">
        <f>IF(AND(E893=0,COUNTIFS($A$2:A893,A893,$E$2:E893,0)=1),L893,0)</f>
        <v>0</v>
      </c>
    </row>
    <row r="894" spans="1:13" ht="15" customHeight="1">
      <c r="A894" s="1">
        <v>7113</v>
      </c>
      <c r="B894" s="1" t="s">
        <v>16</v>
      </c>
      <c r="C894" s="2" t="s">
        <v>1055</v>
      </c>
      <c r="D894" s="2" t="s">
        <v>1061</v>
      </c>
      <c r="E894" s="1">
        <v>0</v>
      </c>
      <c r="F894" s="2" t="s">
        <v>1067</v>
      </c>
      <c r="H894" s="1" t="str">
        <f t="shared" si="14"/>
        <v/>
      </c>
      <c r="K894" s="1">
        <f>IF(E894=0,SUMPRODUCT(($A$2:$A$4734=A894)*($B$2:$B$4734=B894)*($D$2:$D$4734=D894)*($E$2:$E$4734=0)),0)</f>
        <v>6</v>
      </c>
      <c r="L894" s="1">
        <f>IF(E894=0,SUMPRODUCT(MIN($K$2:$K$4734+((($A$2:$A$4734&lt;&gt;A894)+($E$2:$E$4734&lt;&gt;0))&gt;0)*1000000)),"")</f>
        <v>3</v>
      </c>
      <c r="M894" s="1">
        <f>IF(AND(E894=0,COUNTIFS($A$2:A894,A894,$E$2:E894,0)=1),L894,0)</f>
        <v>0</v>
      </c>
    </row>
    <row r="895" spans="1:13" ht="15" customHeight="1">
      <c r="A895" s="1">
        <v>7114</v>
      </c>
      <c r="B895" s="1" t="s">
        <v>9</v>
      </c>
      <c r="C895" s="2" t="s">
        <v>1068</v>
      </c>
      <c r="D895" s="2" t="s">
        <v>1069</v>
      </c>
      <c r="E895" s="1">
        <v>0</v>
      </c>
      <c r="F895" s="2" t="s">
        <v>1070</v>
      </c>
      <c r="H895" s="1" t="str">
        <f t="shared" si="14"/>
        <v/>
      </c>
      <c r="K895" s="1">
        <f>IF(E895=0,SUMPRODUCT(($A$2:$A$4734=A895)*($B$2:$B$4734=B895)*($D$2:$D$4734=D895)*($E$2:$E$4734=0)),0)</f>
        <v>3</v>
      </c>
      <c r="L895" s="1">
        <f>IF(E895=0,SUMPRODUCT(MIN($K$2:$K$4734+((($A$2:$A$4734&lt;&gt;A895)+($E$2:$E$4734&lt;&gt;0))&gt;0)*1000000)),"")</f>
        <v>3</v>
      </c>
      <c r="M895" s="1">
        <f>IF(AND(E895=0,COUNTIFS($A$2:A895,A895,$E$2:E895,0)=1),L895,0)</f>
        <v>3</v>
      </c>
    </row>
    <row r="896" spans="1:13" ht="15" customHeight="1">
      <c r="A896" s="1">
        <v>7114</v>
      </c>
      <c r="B896" s="1" t="s">
        <v>9</v>
      </c>
      <c r="C896" s="2" t="s">
        <v>1068</v>
      </c>
      <c r="D896" s="2" t="s">
        <v>1069</v>
      </c>
      <c r="E896" s="1">
        <v>0</v>
      </c>
      <c r="F896" s="2" t="s">
        <v>1071</v>
      </c>
      <c r="H896" s="1" t="str">
        <f t="shared" si="14"/>
        <v/>
      </c>
      <c r="K896" s="1">
        <f>IF(E896=0,SUMPRODUCT(($A$2:$A$4734=A896)*($B$2:$B$4734=B896)*($D$2:$D$4734=D896)*($E$2:$E$4734=0)),0)</f>
        <v>3</v>
      </c>
      <c r="L896" s="1">
        <f>IF(E896=0,SUMPRODUCT(MIN($K$2:$K$4734+((($A$2:$A$4734&lt;&gt;A896)+($E$2:$E$4734&lt;&gt;0))&gt;0)*1000000)),"")</f>
        <v>3</v>
      </c>
      <c r="M896" s="1">
        <f>IF(AND(E896=0,COUNTIFS($A$2:A896,A896,$E$2:E896,0)=1),L896,0)</f>
        <v>0</v>
      </c>
    </row>
    <row r="897" spans="1:13" ht="15" customHeight="1">
      <c r="A897" s="1">
        <v>7114</v>
      </c>
      <c r="B897" s="1" t="s">
        <v>9</v>
      </c>
      <c r="C897" s="2" t="s">
        <v>1068</v>
      </c>
      <c r="D897" s="2" t="s">
        <v>1069</v>
      </c>
      <c r="E897" s="1">
        <v>0</v>
      </c>
      <c r="F897" s="2" t="s">
        <v>1072</v>
      </c>
      <c r="H897" s="1" t="str">
        <f t="shared" si="14"/>
        <v/>
      </c>
      <c r="K897" s="1">
        <f>IF(E897=0,SUMPRODUCT(($A$2:$A$4734=A897)*($B$2:$B$4734=B897)*($D$2:$D$4734=D897)*($E$2:$E$4734=0)),0)</f>
        <v>3</v>
      </c>
      <c r="L897" s="1">
        <f>IF(E897=0,SUMPRODUCT(MIN($K$2:$K$4734+((($A$2:$A$4734&lt;&gt;A897)+($E$2:$E$4734&lt;&gt;0))&gt;0)*1000000)),"")</f>
        <v>3</v>
      </c>
      <c r="M897" s="1">
        <f>IF(AND(E897=0,COUNTIFS($A$2:A897,A897,$E$2:E897,0)=1),L897,0)</f>
        <v>0</v>
      </c>
    </row>
    <row r="898" spans="1:13" ht="15" customHeight="1">
      <c r="A898" s="1">
        <v>7114</v>
      </c>
      <c r="B898" s="1" t="s">
        <v>16</v>
      </c>
      <c r="C898" s="2" t="s">
        <v>1068</v>
      </c>
      <c r="D898" s="2" t="s">
        <v>1069</v>
      </c>
      <c r="E898" s="1">
        <v>0</v>
      </c>
      <c r="F898" s="2" t="s">
        <v>1073</v>
      </c>
      <c r="H898" s="1" t="str">
        <f t="shared" si="14"/>
        <v/>
      </c>
      <c r="K898" s="1">
        <f>IF(E898=0,SUMPRODUCT(($A$2:$A$4734=A898)*($B$2:$B$4734=B898)*($D$2:$D$4734=D898)*($E$2:$E$4734=0)),0)</f>
        <v>6</v>
      </c>
      <c r="L898" s="1">
        <f>IF(E898=0,SUMPRODUCT(MIN($K$2:$K$4734+((($A$2:$A$4734&lt;&gt;A898)+($E$2:$E$4734&lt;&gt;0))&gt;0)*1000000)),"")</f>
        <v>3</v>
      </c>
      <c r="M898" s="1">
        <f>IF(AND(E898=0,COUNTIFS($A$2:A898,A898,$E$2:E898,0)=1),L898,0)</f>
        <v>0</v>
      </c>
    </row>
    <row r="899" spans="1:13" ht="15" customHeight="1">
      <c r="A899" s="1">
        <v>7114</v>
      </c>
      <c r="B899" s="1" t="s">
        <v>16</v>
      </c>
      <c r="C899" s="2" t="s">
        <v>1068</v>
      </c>
      <c r="D899" s="2" t="s">
        <v>1069</v>
      </c>
      <c r="E899" s="1">
        <v>0</v>
      </c>
      <c r="F899" s="2" t="s">
        <v>1074</v>
      </c>
      <c r="H899" s="1" t="str">
        <f t="shared" si="14"/>
        <v/>
      </c>
      <c r="K899" s="1">
        <f>IF(E899=0,SUMPRODUCT(($A$2:$A$4734=A899)*($B$2:$B$4734=B899)*($D$2:$D$4734=D899)*($E$2:$E$4734=0)),0)</f>
        <v>6</v>
      </c>
      <c r="L899" s="1">
        <f>IF(E899=0,SUMPRODUCT(MIN($K$2:$K$4734+((($A$2:$A$4734&lt;&gt;A899)+($E$2:$E$4734&lt;&gt;0))&gt;0)*1000000)),"")</f>
        <v>3</v>
      </c>
      <c r="M899" s="1">
        <f>IF(AND(E899=0,COUNTIFS($A$2:A899,A899,$E$2:E899,0)=1),L899,0)</f>
        <v>0</v>
      </c>
    </row>
    <row r="900" spans="1:13" ht="15" customHeight="1">
      <c r="A900" s="1">
        <v>7114</v>
      </c>
      <c r="B900" s="1" t="s">
        <v>16</v>
      </c>
      <c r="C900" s="2" t="s">
        <v>1068</v>
      </c>
      <c r="D900" s="2" t="s">
        <v>1069</v>
      </c>
      <c r="E900" s="1">
        <v>0</v>
      </c>
      <c r="F900" s="2" t="s">
        <v>1075</v>
      </c>
      <c r="H900" s="1" t="str">
        <f t="shared" si="14"/>
        <v/>
      </c>
      <c r="K900" s="1">
        <f>IF(E900=0,SUMPRODUCT(($A$2:$A$4734=A900)*($B$2:$B$4734=B900)*($D$2:$D$4734=D900)*($E$2:$E$4734=0)),0)</f>
        <v>6</v>
      </c>
      <c r="L900" s="1">
        <f>IF(E900=0,SUMPRODUCT(MIN($K$2:$K$4734+((($A$2:$A$4734&lt;&gt;A900)+($E$2:$E$4734&lt;&gt;0))&gt;0)*1000000)),"")</f>
        <v>3</v>
      </c>
      <c r="M900" s="1">
        <f>IF(AND(E900=0,COUNTIFS($A$2:A900,A900,$E$2:E900,0)=1),L900,0)</f>
        <v>0</v>
      </c>
    </row>
    <row r="901" spans="1:13" ht="15" customHeight="1">
      <c r="A901" s="1">
        <v>7114</v>
      </c>
      <c r="B901" s="1" t="s">
        <v>16</v>
      </c>
      <c r="C901" s="2" t="s">
        <v>1068</v>
      </c>
      <c r="D901" s="2" t="s">
        <v>1069</v>
      </c>
      <c r="E901" s="1">
        <v>0</v>
      </c>
      <c r="F901" s="2" t="s">
        <v>1076</v>
      </c>
      <c r="H901" s="1" t="str">
        <f t="shared" si="14"/>
        <v/>
      </c>
      <c r="K901" s="1">
        <f>IF(E901=0,SUMPRODUCT(($A$2:$A$4734=A901)*($B$2:$B$4734=B901)*($D$2:$D$4734=D901)*($E$2:$E$4734=0)),0)</f>
        <v>6</v>
      </c>
      <c r="L901" s="1">
        <f>IF(E901=0,SUMPRODUCT(MIN($K$2:$K$4734+((($A$2:$A$4734&lt;&gt;A901)+($E$2:$E$4734&lt;&gt;0))&gt;0)*1000000)),"")</f>
        <v>3</v>
      </c>
      <c r="M901" s="1">
        <f>IF(AND(E901=0,COUNTIFS($A$2:A901,A901,$E$2:E901,0)=1),L901,0)</f>
        <v>0</v>
      </c>
    </row>
    <row r="902" spans="1:13" ht="15" customHeight="1">
      <c r="A902" s="1">
        <v>7114</v>
      </c>
      <c r="B902" s="1" t="s">
        <v>16</v>
      </c>
      <c r="C902" s="2" t="s">
        <v>1068</v>
      </c>
      <c r="D902" s="2" t="s">
        <v>1069</v>
      </c>
      <c r="E902" s="1">
        <v>0</v>
      </c>
      <c r="F902" s="2" t="s">
        <v>1077</v>
      </c>
      <c r="H902" s="1" t="str">
        <f t="shared" si="14"/>
        <v/>
      </c>
      <c r="K902" s="1">
        <f>IF(E902=0,SUMPRODUCT(($A$2:$A$4734=A902)*($B$2:$B$4734=B902)*($D$2:$D$4734=D902)*($E$2:$E$4734=0)),0)</f>
        <v>6</v>
      </c>
      <c r="L902" s="1">
        <f>IF(E902=0,SUMPRODUCT(MIN($K$2:$K$4734+((($A$2:$A$4734&lt;&gt;A902)+($E$2:$E$4734&lt;&gt;0))&gt;0)*1000000)),"")</f>
        <v>3</v>
      </c>
      <c r="M902" s="1">
        <f>IF(AND(E902=0,COUNTIFS($A$2:A902,A902,$E$2:E902,0)=1),L902,0)</f>
        <v>0</v>
      </c>
    </row>
    <row r="903" spans="1:13" ht="15" customHeight="1">
      <c r="A903" s="1">
        <v>7114</v>
      </c>
      <c r="B903" s="1" t="s">
        <v>16</v>
      </c>
      <c r="C903" s="2" t="s">
        <v>1068</v>
      </c>
      <c r="D903" s="2" t="s">
        <v>1069</v>
      </c>
      <c r="E903" s="1">
        <v>0</v>
      </c>
      <c r="F903" s="2" t="s">
        <v>1078</v>
      </c>
      <c r="H903" s="1" t="str">
        <f t="shared" si="14"/>
        <v/>
      </c>
      <c r="K903" s="1">
        <f>IF(E903=0,SUMPRODUCT(($A$2:$A$4734=A903)*($B$2:$B$4734=B903)*($D$2:$D$4734=D903)*($E$2:$E$4734=0)),0)</f>
        <v>6</v>
      </c>
      <c r="L903" s="1">
        <f>IF(E903=0,SUMPRODUCT(MIN($K$2:$K$4734+((($A$2:$A$4734&lt;&gt;A903)+($E$2:$E$4734&lt;&gt;0))&gt;0)*1000000)),"")</f>
        <v>3</v>
      </c>
      <c r="M903" s="1">
        <f>IF(AND(E903=0,COUNTIFS($A$2:A903,A903,$E$2:E903,0)=1),L903,0)</f>
        <v>0</v>
      </c>
    </row>
    <row r="904" spans="1:13" ht="15" customHeight="1">
      <c r="A904" s="1">
        <v>7114</v>
      </c>
      <c r="B904" s="1" t="s">
        <v>16</v>
      </c>
      <c r="C904" s="2" t="s">
        <v>1068</v>
      </c>
      <c r="D904" s="2" t="s">
        <v>1079</v>
      </c>
      <c r="E904" s="1">
        <v>0</v>
      </c>
      <c r="F904" s="2" t="s">
        <v>1080</v>
      </c>
      <c r="H904" s="1" t="str">
        <f t="shared" si="14"/>
        <v/>
      </c>
      <c r="K904" s="1">
        <f>IF(E904=0,SUMPRODUCT(($A$2:$A$4734=A904)*($B$2:$B$4734=B904)*($D$2:$D$4734=D904)*($E$2:$E$4734=0)),0)</f>
        <v>4</v>
      </c>
      <c r="L904" s="1">
        <f>IF(E904=0,SUMPRODUCT(MIN($K$2:$K$4734+((($A$2:$A$4734&lt;&gt;A904)+($E$2:$E$4734&lt;&gt;0))&gt;0)*1000000)),"")</f>
        <v>3</v>
      </c>
      <c r="M904" s="1">
        <f>IF(AND(E904=0,COUNTIFS($A$2:A904,A904,$E$2:E904,0)=1),L904,0)</f>
        <v>0</v>
      </c>
    </row>
    <row r="905" spans="1:13" ht="15" customHeight="1">
      <c r="A905" s="1">
        <v>7114</v>
      </c>
      <c r="B905" s="1" t="s">
        <v>16</v>
      </c>
      <c r="C905" s="2" t="s">
        <v>1068</v>
      </c>
      <c r="D905" s="2" t="s">
        <v>1079</v>
      </c>
      <c r="E905" s="1">
        <v>0</v>
      </c>
      <c r="F905" s="2" t="s">
        <v>1081</v>
      </c>
      <c r="H905" s="1" t="str">
        <f t="shared" si="14"/>
        <v/>
      </c>
      <c r="K905" s="1">
        <f>IF(E905=0,SUMPRODUCT(($A$2:$A$4734=A905)*($B$2:$B$4734=B905)*($D$2:$D$4734=D905)*($E$2:$E$4734=0)),0)</f>
        <v>4</v>
      </c>
      <c r="L905" s="1">
        <f>IF(E905=0,SUMPRODUCT(MIN($K$2:$K$4734+((($A$2:$A$4734&lt;&gt;A905)+($E$2:$E$4734&lt;&gt;0))&gt;0)*1000000)),"")</f>
        <v>3</v>
      </c>
      <c r="M905" s="1">
        <f>IF(AND(E905=0,COUNTIFS($A$2:A905,A905,$E$2:E905,0)=1),L905,0)</f>
        <v>0</v>
      </c>
    </row>
    <row r="906" spans="1:13" ht="15" customHeight="1">
      <c r="A906" s="1">
        <v>7114</v>
      </c>
      <c r="B906" s="1" t="s">
        <v>16</v>
      </c>
      <c r="C906" s="2" t="s">
        <v>1068</v>
      </c>
      <c r="D906" s="2" t="s">
        <v>1079</v>
      </c>
      <c r="E906" s="1">
        <v>0</v>
      </c>
      <c r="F906" s="2" t="s">
        <v>1082</v>
      </c>
      <c r="H906" s="1" t="str">
        <f t="shared" si="14"/>
        <v/>
      </c>
      <c r="K906" s="1">
        <f>IF(E906=0,SUMPRODUCT(($A$2:$A$4734=A906)*($B$2:$B$4734=B906)*($D$2:$D$4734=D906)*($E$2:$E$4734=0)),0)</f>
        <v>4</v>
      </c>
      <c r="L906" s="1">
        <f>IF(E906=0,SUMPRODUCT(MIN($K$2:$K$4734+((($A$2:$A$4734&lt;&gt;A906)+($E$2:$E$4734&lt;&gt;0))&gt;0)*1000000)),"")</f>
        <v>3</v>
      </c>
      <c r="M906" s="1">
        <f>IF(AND(E906=0,COUNTIFS($A$2:A906,A906,$E$2:E906,0)=1),L906,0)</f>
        <v>0</v>
      </c>
    </row>
    <row r="907" spans="1:13" ht="15" customHeight="1">
      <c r="A907" s="1">
        <v>7114</v>
      </c>
      <c r="B907" s="1" t="s">
        <v>16</v>
      </c>
      <c r="C907" s="2" t="s">
        <v>1068</v>
      </c>
      <c r="D907" s="2" t="s">
        <v>1079</v>
      </c>
      <c r="E907" s="1">
        <v>0</v>
      </c>
      <c r="F907" s="2" t="s">
        <v>1083</v>
      </c>
      <c r="H907" s="1" t="str">
        <f t="shared" si="14"/>
        <v/>
      </c>
      <c r="K907" s="1">
        <f>IF(E907=0,SUMPRODUCT(($A$2:$A$4734=A907)*($B$2:$B$4734=B907)*($D$2:$D$4734=D907)*($E$2:$E$4734=0)),0)</f>
        <v>4</v>
      </c>
      <c r="L907" s="1">
        <f>IF(E907=0,SUMPRODUCT(MIN($K$2:$K$4734+((($A$2:$A$4734&lt;&gt;A907)+($E$2:$E$4734&lt;&gt;0))&gt;0)*1000000)),"")</f>
        <v>3</v>
      </c>
      <c r="M907" s="1">
        <f>IF(AND(E907=0,COUNTIFS($A$2:A907,A907,$E$2:E907,0)=1),L907,0)</f>
        <v>0</v>
      </c>
    </row>
    <row r="908" spans="1:13" ht="15" customHeight="1">
      <c r="A908" s="1">
        <v>7114</v>
      </c>
      <c r="B908" s="1" t="s">
        <v>16</v>
      </c>
      <c r="C908" s="2" t="s">
        <v>1068</v>
      </c>
      <c r="D908" s="2" t="s">
        <v>1084</v>
      </c>
      <c r="E908" s="1">
        <v>0</v>
      </c>
      <c r="F908" s="2" t="s">
        <v>1085</v>
      </c>
      <c r="H908" s="1" t="str">
        <f t="shared" si="14"/>
        <v/>
      </c>
      <c r="K908" s="1">
        <f>IF(E908=0,SUMPRODUCT(($A$2:$A$4734=A908)*($B$2:$B$4734=B908)*($D$2:$D$4734=D908)*($E$2:$E$4734=0)),0)</f>
        <v>5</v>
      </c>
      <c r="L908" s="1">
        <f>IF(E908=0,SUMPRODUCT(MIN($K$2:$K$4734+((($A$2:$A$4734&lt;&gt;A908)+($E$2:$E$4734&lt;&gt;0))&gt;0)*1000000)),"")</f>
        <v>3</v>
      </c>
      <c r="M908" s="1">
        <f>IF(AND(E908=0,COUNTIFS($A$2:A908,A908,$E$2:E908,0)=1),L908,0)</f>
        <v>0</v>
      </c>
    </row>
    <row r="909" spans="1:13" ht="15" customHeight="1">
      <c r="A909" s="1">
        <v>7114</v>
      </c>
      <c r="B909" s="1" t="s">
        <v>16</v>
      </c>
      <c r="C909" s="2" t="s">
        <v>1068</v>
      </c>
      <c r="D909" s="2" t="s">
        <v>1084</v>
      </c>
      <c r="E909" s="1">
        <v>0</v>
      </c>
      <c r="F909" s="2" t="s">
        <v>1086</v>
      </c>
      <c r="H909" s="1" t="str">
        <f t="shared" si="14"/>
        <v/>
      </c>
      <c r="K909" s="1">
        <f>IF(E909=0,SUMPRODUCT(($A$2:$A$4734=A909)*($B$2:$B$4734=B909)*($D$2:$D$4734=D909)*($E$2:$E$4734=0)),0)</f>
        <v>5</v>
      </c>
      <c r="L909" s="1">
        <f>IF(E909=0,SUMPRODUCT(MIN($K$2:$K$4734+((($A$2:$A$4734&lt;&gt;A909)+($E$2:$E$4734&lt;&gt;0))&gt;0)*1000000)),"")</f>
        <v>3</v>
      </c>
      <c r="M909" s="1">
        <f>IF(AND(E909=0,COUNTIFS($A$2:A909,A909,$E$2:E909,0)=1),L909,0)</f>
        <v>0</v>
      </c>
    </row>
    <row r="910" spans="1:13" ht="15" customHeight="1">
      <c r="A910" s="1">
        <v>7114</v>
      </c>
      <c r="B910" s="1" t="s">
        <v>16</v>
      </c>
      <c r="C910" s="2" t="s">
        <v>1068</v>
      </c>
      <c r="D910" s="2" t="s">
        <v>1084</v>
      </c>
      <c r="E910" s="1">
        <v>0</v>
      </c>
      <c r="F910" s="2" t="s">
        <v>1087</v>
      </c>
      <c r="H910" s="1" t="str">
        <f t="shared" si="14"/>
        <v/>
      </c>
      <c r="K910" s="1">
        <f>IF(E910=0,SUMPRODUCT(($A$2:$A$4734=A910)*($B$2:$B$4734=B910)*($D$2:$D$4734=D910)*($E$2:$E$4734=0)),0)</f>
        <v>5</v>
      </c>
      <c r="L910" s="1">
        <f>IF(E910=0,SUMPRODUCT(MIN($K$2:$K$4734+((($A$2:$A$4734&lt;&gt;A910)+($E$2:$E$4734&lt;&gt;0))&gt;0)*1000000)),"")</f>
        <v>3</v>
      </c>
      <c r="M910" s="1">
        <f>IF(AND(E910=0,COUNTIFS($A$2:A910,A910,$E$2:E910,0)=1),L910,0)</f>
        <v>0</v>
      </c>
    </row>
    <row r="911" spans="1:13" ht="15" customHeight="1">
      <c r="A911" s="1">
        <v>7114</v>
      </c>
      <c r="B911" s="1" t="s">
        <v>16</v>
      </c>
      <c r="C911" s="2" t="s">
        <v>1068</v>
      </c>
      <c r="D911" s="2" t="s">
        <v>1084</v>
      </c>
      <c r="E911" s="1">
        <v>0</v>
      </c>
      <c r="F911" s="2" t="s">
        <v>1088</v>
      </c>
      <c r="H911" s="1" t="str">
        <f t="shared" si="14"/>
        <v/>
      </c>
      <c r="K911" s="1">
        <f>IF(E911=0,SUMPRODUCT(($A$2:$A$4734=A911)*($B$2:$B$4734=B911)*($D$2:$D$4734=D911)*($E$2:$E$4734=0)),0)</f>
        <v>5</v>
      </c>
      <c r="L911" s="1">
        <f>IF(E911=0,SUMPRODUCT(MIN($K$2:$K$4734+((($A$2:$A$4734&lt;&gt;A911)+($E$2:$E$4734&lt;&gt;0))&gt;0)*1000000)),"")</f>
        <v>3</v>
      </c>
      <c r="M911" s="1">
        <f>IF(AND(E911=0,COUNTIFS($A$2:A911,A911,$E$2:E911,0)=1),L911,0)</f>
        <v>0</v>
      </c>
    </row>
    <row r="912" spans="1:13" ht="15" customHeight="1">
      <c r="A912" s="1">
        <v>7114</v>
      </c>
      <c r="B912" s="1" t="s">
        <v>16</v>
      </c>
      <c r="C912" s="2" t="s">
        <v>1068</v>
      </c>
      <c r="D912" s="2" t="s">
        <v>1084</v>
      </c>
      <c r="E912" s="1">
        <v>0</v>
      </c>
      <c r="F912" s="2" t="s">
        <v>1089</v>
      </c>
      <c r="H912" s="1" t="str">
        <f t="shared" si="14"/>
        <v/>
      </c>
      <c r="K912" s="1">
        <f>IF(E912=0,SUMPRODUCT(($A$2:$A$4734=A912)*($B$2:$B$4734=B912)*($D$2:$D$4734=D912)*($E$2:$E$4734=0)),0)</f>
        <v>5</v>
      </c>
      <c r="L912" s="1">
        <f>IF(E912=0,SUMPRODUCT(MIN($K$2:$K$4734+((($A$2:$A$4734&lt;&gt;A912)+($E$2:$E$4734&lt;&gt;0))&gt;0)*1000000)),"")</f>
        <v>3</v>
      </c>
      <c r="M912" s="1">
        <f>IF(AND(E912=0,COUNTIFS($A$2:A912,A912,$E$2:E912,0)=1),L912,0)</f>
        <v>0</v>
      </c>
    </row>
    <row r="913" spans="1:13" ht="15" customHeight="1">
      <c r="A913" s="1">
        <v>7114</v>
      </c>
      <c r="B913" s="1" t="s">
        <v>9</v>
      </c>
      <c r="C913" s="2" t="s">
        <v>1068</v>
      </c>
      <c r="D913" s="2" t="s">
        <v>1090</v>
      </c>
      <c r="E913" s="1">
        <v>0</v>
      </c>
      <c r="F913" s="2" t="s">
        <v>1091</v>
      </c>
      <c r="H913" s="1" t="str">
        <f t="shared" si="14"/>
        <v/>
      </c>
      <c r="K913" s="1">
        <f>IF(E913=0,SUMPRODUCT(($A$2:$A$4734=A913)*($B$2:$B$4734=B913)*($D$2:$D$4734=D913)*($E$2:$E$4734=0)),0)</f>
        <v>6</v>
      </c>
      <c r="L913" s="1">
        <f>IF(E913=0,SUMPRODUCT(MIN($K$2:$K$4734+((($A$2:$A$4734&lt;&gt;A913)+($E$2:$E$4734&lt;&gt;0))&gt;0)*1000000)),"")</f>
        <v>3</v>
      </c>
      <c r="M913" s="1">
        <f>IF(AND(E913=0,COUNTIFS($A$2:A913,A913,$E$2:E913,0)=1),L913,0)</f>
        <v>0</v>
      </c>
    </row>
    <row r="914" spans="1:13" ht="15" customHeight="1">
      <c r="A914" s="1">
        <v>7114</v>
      </c>
      <c r="B914" s="1" t="s">
        <v>9</v>
      </c>
      <c r="C914" s="2" t="s">
        <v>1068</v>
      </c>
      <c r="D914" s="2" t="s">
        <v>1090</v>
      </c>
      <c r="E914" s="1">
        <v>0</v>
      </c>
      <c r="F914" s="2" t="s">
        <v>1092</v>
      </c>
      <c r="H914" s="1" t="str">
        <f t="shared" si="14"/>
        <v/>
      </c>
      <c r="K914" s="1">
        <f>IF(E914=0,SUMPRODUCT(($A$2:$A$4734=A914)*($B$2:$B$4734=B914)*($D$2:$D$4734=D914)*($E$2:$E$4734=0)),0)</f>
        <v>6</v>
      </c>
      <c r="L914" s="1">
        <f>IF(E914=0,SUMPRODUCT(MIN($K$2:$K$4734+((($A$2:$A$4734&lt;&gt;A914)+($E$2:$E$4734&lt;&gt;0))&gt;0)*1000000)),"")</f>
        <v>3</v>
      </c>
      <c r="M914" s="1">
        <f>IF(AND(E914=0,COUNTIFS($A$2:A914,A914,$E$2:E914,0)=1),L914,0)</f>
        <v>0</v>
      </c>
    </row>
    <row r="915" spans="1:13" ht="15" customHeight="1">
      <c r="A915" s="1">
        <v>7114</v>
      </c>
      <c r="B915" s="1" t="s">
        <v>9</v>
      </c>
      <c r="C915" s="2" t="s">
        <v>1068</v>
      </c>
      <c r="D915" s="2" t="s">
        <v>1090</v>
      </c>
      <c r="E915" s="1">
        <v>0</v>
      </c>
      <c r="F915" s="2" t="s">
        <v>1093</v>
      </c>
      <c r="H915" s="1" t="str">
        <f t="shared" si="14"/>
        <v/>
      </c>
      <c r="K915" s="1">
        <f>IF(E915=0,SUMPRODUCT(($A$2:$A$4734=A915)*($B$2:$B$4734=B915)*($D$2:$D$4734=D915)*($E$2:$E$4734=0)),0)</f>
        <v>6</v>
      </c>
      <c r="L915" s="1">
        <f>IF(E915=0,SUMPRODUCT(MIN($K$2:$K$4734+((($A$2:$A$4734&lt;&gt;A915)+($E$2:$E$4734&lt;&gt;0))&gt;0)*1000000)),"")</f>
        <v>3</v>
      </c>
      <c r="M915" s="1">
        <f>IF(AND(E915=0,COUNTIFS($A$2:A915,A915,$E$2:E915,0)=1),L915,0)</f>
        <v>0</v>
      </c>
    </row>
    <row r="916" spans="1:13" ht="15" customHeight="1">
      <c r="A916" s="1">
        <v>7114</v>
      </c>
      <c r="B916" s="1" t="s">
        <v>9</v>
      </c>
      <c r="C916" s="2" t="s">
        <v>1068</v>
      </c>
      <c r="D916" s="2" t="s">
        <v>1090</v>
      </c>
      <c r="E916" s="1">
        <v>0</v>
      </c>
      <c r="F916" s="2" t="s">
        <v>1094</v>
      </c>
      <c r="H916" s="1" t="str">
        <f t="shared" si="14"/>
        <v/>
      </c>
      <c r="K916" s="1">
        <f>IF(E916=0,SUMPRODUCT(($A$2:$A$4734=A916)*($B$2:$B$4734=B916)*($D$2:$D$4734=D916)*($E$2:$E$4734=0)),0)</f>
        <v>6</v>
      </c>
      <c r="L916" s="1">
        <f>IF(E916=0,SUMPRODUCT(MIN($K$2:$K$4734+((($A$2:$A$4734&lt;&gt;A916)+($E$2:$E$4734&lt;&gt;0))&gt;0)*1000000)),"")</f>
        <v>3</v>
      </c>
      <c r="M916" s="1">
        <f>IF(AND(E916=0,COUNTIFS($A$2:A916,A916,$E$2:E916,0)=1),L916,0)</f>
        <v>0</v>
      </c>
    </row>
    <row r="917" spans="1:13" ht="15" customHeight="1">
      <c r="A917" s="1">
        <v>7114</v>
      </c>
      <c r="B917" s="1" t="s">
        <v>9</v>
      </c>
      <c r="C917" s="2" t="s">
        <v>1068</v>
      </c>
      <c r="D917" s="2" t="s">
        <v>1090</v>
      </c>
      <c r="E917" s="1">
        <v>0</v>
      </c>
      <c r="F917" s="2" t="s">
        <v>1095</v>
      </c>
      <c r="H917" s="1" t="str">
        <f t="shared" si="14"/>
        <v/>
      </c>
      <c r="K917" s="1">
        <f>IF(E917=0,SUMPRODUCT(($A$2:$A$4734=A917)*($B$2:$B$4734=B917)*($D$2:$D$4734=D917)*($E$2:$E$4734=0)),0)</f>
        <v>6</v>
      </c>
      <c r="L917" s="1">
        <f>IF(E917=0,SUMPRODUCT(MIN($K$2:$K$4734+((($A$2:$A$4734&lt;&gt;A917)+($E$2:$E$4734&lt;&gt;0))&gt;0)*1000000)),"")</f>
        <v>3</v>
      </c>
      <c r="M917" s="1">
        <f>IF(AND(E917=0,COUNTIFS($A$2:A917,A917,$E$2:E917,0)=1),L917,0)</f>
        <v>0</v>
      </c>
    </row>
    <row r="918" spans="1:13" ht="15" customHeight="1">
      <c r="A918" s="1">
        <v>7114</v>
      </c>
      <c r="B918" s="1" t="s">
        <v>9</v>
      </c>
      <c r="C918" s="2" t="s">
        <v>1068</v>
      </c>
      <c r="D918" s="2" t="s">
        <v>1090</v>
      </c>
      <c r="E918" s="1">
        <v>0</v>
      </c>
      <c r="F918" s="2" t="s">
        <v>1096</v>
      </c>
      <c r="H918" s="1" t="str">
        <f t="shared" si="14"/>
        <v/>
      </c>
      <c r="K918" s="1">
        <f>IF(E918=0,SUMPRODUCT(($A$2:$A$4734=A918)*($B$2:$B$4734=B918)*($D$2:$D$4734=D918)*($E$2:$E$4734=0)),0)</f>
        <v>6</v>
      </c>
      <c r="L918" s="1">
        <f>IF(E918=0,SUMPRODUCT(MIN($K$2:$K$4734+((($A$2:$A$4734&lt;&gt;A918)+($E$2:$E$4734&lt;&gt;0))&gt;0)*1000000)),"")</f>
        <v>3</v>
      </c>
      <c r="M918" s="1">
        <f>IF(AND(E918=0,COUNTIFS($A$2:A918,A918,$E$2:E918,0)=1),L918,0)</f>
        <v>0</v>
      </c>
    </row>
    <row r="919" spans="1:13" ht="15" customHeight="1">
      <c r="A919" s="1">
        <v>7116</v>
      </c>
      <c r="B919" s="1" t="s">
        <v>69</v>
      </c>
      <c r="C919" s="2" t="s">
        <v>1097</v>
      </c>
      <c r="D919" s="2" t="s">
        <v>1097</v>
      </c>
      <c r="E919" s="1">
        <v>1</v>
      </c>
      <c r="F919" s="2" t="s">
        <v>1098</v>
      </c>
      <c r="G919" s="1">
        <v>1</v>
      </c>
      <c r="H919" s="1" t="str">
        <f t="shared" si="14"/>
        <v>k7116_1</v>
      </c>
      <c r="K919" s="1">
        <f>IF(E919=0,SUMPRODUCT(($A$2:$A$4734=A919)*($B$2:$B$4734=B919)*($D$2:$D$4734=D919)*($E$2:$E$4734=0)),0)</f>
        <v>0</v>
      </c>
      <c r="L919" s="1" t="str">
        <f>IF(E919=0,SUMPRODUCT(MIN($K$2:$K$4734+((($A$2:$A$4734&lt;&gt;A919)+($E$2:$E$4734&lt;&gt;0))&gt;0)*1000000)),"")</f>
        <v/>
      </c>
      <c r="M919" s="1">
        <f>IF(AND(E919=0,COUNTIFS($A$2:A919,A919,$E$2:E919,0)=1),L919,0)</f>
        <v>0</v>
      </c>
    </row>
    <row r="920" spans="1:13" ht="15" customHeight="1">
      <c r="A920" s="1">
        <v>7116</v>
      </c>
      <c r="B920" s="1" t="s">
        <v>69</v>
      </c>
      <c r="C920" s="2" t="s">
        <v>1097</v>
      </c>
      <c r="D920" s="2" t="s">
        <v>1097</v>
      </c>
      <c r="E920" s="1">
        <v>1</v>
      </c>
      <c r="F920" s="2" t="s">
        <v>1099</v>
      </c>
      <c r="G920" s="1">
        <v>2</v>
      </c>
      <c r="H920" s="1" t="str">
        <f t="shared" si="14"/>
        <v>k7116_2</v>
      </c>
      <c r="K920" s="1">
        <f>IF(E920=0,SUMPRODUCT(($A$2:$A$4734=A920)*($B$2:$B$4734=B920)*($D$2:$D$4734=D920)*($E$2:$E$4734=0)),0)</f>
        <v>0</v>
      </c>
      <c r="L920" s="1" t="str">
        <f>IF(E920=0,SUMPRODUCT(MIN($K$2:$K$4734+((($A$2:$A$4734&lt;&gt;A920)+($E$2:$E$4734&lt;&gt;0))&gt;0)*1000000)),"")</f>
        <v/>
      </c>
      <c r="M920" s="1">
        <f>IF(AND(E920=0,COUNTIFS($A$2:A920,A920,$E$2:E920,0)=1),L920,0)</f>
        <v>0</v>
      </c>
    </row>
    <row r="921" spans="1:13" ht="15" customHeight="1">
      <c r="A921" s="1">
        <v>7116</v>
      </c>
      <c r="B921" s="1" t="s">
        <v>69</v>
      </c>
      <c r="C921" s="2" t="s">
        <v>1097</v>
      </c>
      <c r="D921" s="2" t="s">
        <v>1097</v>
      </c>
      <c r="E921" s="1">
        <v>1</v>
      </c>
      <c r="F921" s="2" t="s">
        <v>1100</v>
      </c>
      <c r="G921" s="1">
        <v>3</v>
      </c>
      <c r="H921" s="1" t="str">
        <f t="shared" si="14"/>
        <v>k7116_3</v>
      </c>
      <c r="K921" s="1">
        <f>IF(E921=0,SUMPRODUCT(($A$2:$A$4734=A921)*($B$2:$B$4734=B921)*($D$2:$D$4734=D921)*($E$2:$E$4734=0)),0)</f>
        <v>0</v>
      </c>
      <c r="L921" s="1" t="str">
        <f>IF(E921=0,SUMPRODUCT(MIN($K$2:$K$4734+((($A$2:$A$4734&lt;&gt;A921)+($E$2:$E$4734&lt;&gt;0))&gt;0)*1000000)),"")</f>
        <v/>
      </c>
      <c r="M921" s="1">
        <f>IF(AND(E921=0,COUNTIFS($A$2:A921,A921,$E$2:E921,0)=1),L921,0)</f>
        <v>0</v>
      </c>
    </row>
    <row r="922" spans="1:13" ht="15" customHeight="1">
      <c r="A922" s="1">
        <v>7116</v>
      </c>
      <c r="B922" s="1" t="s">
        <v>69</v>
      </c>
      <c r="C922" s="2" t="s">
        <v>1097</v>
      </c>
      <c r="D922" s="2" t="s">
        <v>1097</v>
      </c>
      <c r="E922" s="1">
        <v>1</v>
      </c>
      <c r="F922" s="2" t="s">
        <v>1101</v>
      </c>
      <c r="G922" s="1">
        <v>4</v>
      </c>
      <c r="H922" s="1" t="str">
        <f t="shared" si="14"/>
        <v>k7116_4</v>
      </c>
      <c r="K922" s="1">
        <f>IF(E922=0,SUMPRODUCT(($A$2:$A$4734=A922)*($B$2:$B$4734=B922)*($D$2:$D$4734=D922)*($E$2:$E$4734=0)),0)</f>
        <v>0</v>
      </c>
      <c r="L922" s="1" t="str">
        <f>IF(E922=0,SUMPRODUCT(MIN($K$2:$K$4734+((($A$2:$A$4734&lt;&gt;A922)+($E$2:$E$4734&lt;&gt;0))&gt;0)*1000000)),"")</f>
        <v/>
      </c>
      <c r="M922" s="1">
        <f>IF(AND(E922=0,COUNTIFS($A$2:A922,A922,$E$2:E922,0)=1),L922,0)</f>
        <v>0</v>
      </c>
    </row>
    <row r="923" spans="1:13" ht="15" customHeight="1">
      <c r="A923" s="1">
        <v>7116</v>
      </c>
      <c r="B923" s="1" t="s">
        <v>69</v>
      </c>
      <c r="C923" s="2" t="s">
        <v>1097</v>
      </c>
      <c r="D923" s="2" t="s">
        <v>1097</v>
      </c>
      <c r="E923" s="1">
        <v>1</v>
      </c>
      <c r="F923" s="2" t="s">
        <v>1102</v>
      </c>
      <c r="G923" s="1">
        <v>5</v>
      </c>
      <c r="H923" s="1" t="str">
        <f t="shared" si="14"/>
        <v>k7116_5</v>
      </c>
      <c r="K923" s="1">
        <f>IF(E923=0,SUMPRODUCT(($A$2:$A$4734=A923)*($B$2:$B$4734=B923)*($D$2:$D$4734=D923)*($E$2:$E$4734=0)),0)</f>
        <v>0</v>
      </c>
      <c r="L923" s="1" t="str">
        <f>IF(E923=0,SUMPRODUCT(MIN($K$2:$K$4734+((($A$2:$A$4734&lt;&gt;A923)+($E$2:$E$4734&lt;&gt;0))&gt;0)*1000000)),"")</f>
        <v/>
      </c>
      <c r="M923" s="1">
        <f>IF(AND(E923=0,COUNTIFS($A$2:A923,A923,$E$2:E923,0)=1),L923,0)</f>
        <v>0</v>
      </c>
    </row>
    <row r="924" spans="1:13" ht="15" customHeight="1">
      <c r="A924" s="1">
        <v>7116</v>
      </c>
      <c r="B924" s="1" t="s">
        <v>173</v>
      </c>
      <c r="C924" s="2" t="s">
        <v>1097</v>
      </c>
      <c r="D924" s="2" t="s">
        <v>1097</v>
      </c>
      <c r="E924" s="1">
        <v>1</v>
      </c>
      <c r="F924" s="2" t="s">
        <v>1103</v>
      </c>
      <c r="G924" s="1">
        <v>1</v>
      </c>
      <c r="H924" s="1" t="str">
        <f t="shared" si="14"/>
        <v>k7116_1</v>
      </c>
      <c r="K924" s="1">
        <f>IF(E924=0,SUMPRODUCT(($A$2:$A$4734=A924)*($B$2:$B$4734=B924)*($D$2:$D$4734=D924)*($E$2:$E$4734=0)),0)</f>
        <v>0</v>
      </c>
      <c r="L924" s="1" t="str">
        <f>IF(E924=0,SUMPRODUCT(MIN($K$2:$K$4734+((($A$2:$A$4734&lt;&gt;A924)+($E$2:$E$4734&lt;&gt;0))&gt;0)*1000000)),"")</f>
        <v/>
      </c>
      <c r="M924" s="1">
        <f>IF(AND(E924=0,COUNTIFS($A$2:A924,A924,$E$2:E924,0)=1),L924,0)</f>
        <v>0</v>
      </c>
    </row>
    <row r="925" spans="1:13" ht="15" customHeight="1">
      <c r="A925" s="1">
        <v>7116</v>
      </c>
      <c r="B925" s="1" t="s">
        <v>173</v>
      </c>
      <c r="C925" s="2" t="s">
        <v>1097</v>
      </c>
      <c r="D925" s="2" t="s">
        <v>1097</v>
      </c>
      <c r="E925" s="1">
        <v>1</v>
      </c>
      <c r="F925" s="2" t="s">
        <v>1104</v>
      </c>
      <c r="G925" s="1">
        <v>2</v>
      </c>
      <c r="H925" s="1" t="str">
        <f t="shared" si="14"/>
        <v>k7116_2</v>
      </c>
      <c r="K925" s="1">
        <f>IF(E925=0,SUMPRODUCT(($A$2:$A$4734=A925)*($B$2:$B$4734=B925)*($D$2:$D$4734=D925)*($E$2:$E$4734=0)),0)</f>
        <v>0</v>
      </c>
      <c r="L925" s="1" t="str">
        <f>IF(E925=0,SUMPRODUCT(MIN($K$2:$K$4734+((($A$2:$A$4734&lt;&gt;A925)+($E$2:$E$4734&lt;&gt;0))&gt;0)*1000000)),"")</f>
        <v/>
      </c>
      <c r="M925" s="1">
        <f>IF(AND(E925=0,COUNTIFS($A$2:A925,A925,$E$2:E925,0)=1),L925,0)</f>
        <v>0</v>
      </c>
    </row>
    <row r="926" spans="1:13" ht="15" customHeight="1">
      <c r="A926" s="1">
        <v>7116</v>
      </c>
      <c r="B926" s="1" t="s">
        <v>173</v>
      </c>
      <c r="C926" s="2" t="s">
        <v>1097</v>
      </c>
      <c r="D926" s="2" t="s">
        <v>1097</v>
      </c>
      <c r="E926" s="1">
        <v>1</v>
      </c>
      <c r="F926" s="2" t="s">
        <v>1105</v>
      </c>
      <c r="G926" s="1">
        <v>3</v>
      </c>
      <c r="H926" s="1" t="str">
        <f t="shared" si="14"/>
        <v>k7116_3</v>
      </c>
      <c r="K926" s="1">
        <f>IF(E926=0,SUMPRODUCT(($A$2:$A$4734=A926)*($B$2:$B$4734=B926)*($D$2:$D$4734=D926)*($E$2:$E$4734=0)),0)</f>
        <v>0</v>
      </c>
      <c r="L926" s="1" t="str">
        <f>IF(E926=0,SUMPRODUCT(MIN($K$2:$K$4734+((($A$2:$A$4734&lt;&gt;A926)+($E$2:$E$4734&lt;&gt;0))&gt;0)*1000000)),"")</f>
        <v/>
      </c>
      <c r="M926" s="1">
        <f>IF(AND(E926=0,COUNTIFS($A$2:A926,A926,$E$2:E926,0)=1),L926,0)</f>
        <v>0</v>
      </c>
    </row>
    <row r="927" spans="1:13" ht="15" customHeight="1">
      <c r="A927" s="1">
        <v>7116</v>
      </c>
      <c r="B927" s="1" t="s">
        <v>173</v>
      </c>
      <c r="C927" s="2" t="s">
        <v>1097</v>
      </c>
      <c r="D927" s="2" t="s">
        <v>1097</v>
      </c>
      <c r="E927" s="1">
        <v>1</v>
      </c>
      <c r="F927" s="2" t="s">
        <v>1106</v>
      </c>
      <c r="G927" s="1">
        <v>4</v>
      </c>
      <c r="H927" s="1" t="str">
        <f t="shared" si="14"/>
        <v>k7116_4</v>
      </c>
      <c r="K927" s="1">
        <f>IF(E927=0,SUMPRODUCT(($A$2:$A$4734=A927)*($B$2:$B$4734=B927)*($D$2:$D$4734=D927)*($E$2:$E$4734=0)),0)</f>
        <v>0</v>
      </c>
      <c r="L927" s="1" t="str">
        <f>IF(E927=0,SUMPRODUCT(MIN($K$2:$K$4734+((($A$2:$A$4734&lt;&gt;A927)+($E$2:$E$4734&lt;&gt;0))&gt;0)*1000000)),"")</f>
        <v/>
      </c>
      <c r="M927" s="1">
        <f>IF(AND(E927=0,COUNTIFS($A$2:A927,A927,$E$2:E927,0)=1),L927,0)</f>
        <v>0</v>
      </c>
    </row>
    <row r="928" spans="1:13" ht="15" customHeight="1">
      <c r="A928" s="1">
        <v>7116</v>
      </c>
      <c r="B928" s="1" t="s">
        <v>173</v>
      </c>
      <c r="C928" s="2" t="s">
        <v>1097</v>
      </c>
      <c r="D928" s="2" t="s">
        <v>1097</v>
      </c>
      <c r="E928" s="1">
        <v>1</v>
      </c>
      <c r="F928" s="2" t="s">
        <v>1107</v>
      </c>
      <c r="G928" s="1">
        <v>5</v>
      </c>
      <c r="H928" s="1" t="str">
        <f t="shared" si="14"/>
        <v>k7116_5</v>
      </c>
      <c r="K928" s="1">
        <f>IF(E928=0,SUMPRODUCT(($A$2:$A$4734=A928)*($B$2:$B$4734=B928)*($D$2:$D$4734=D928)*($E$2:$E$4734=0)),0)</f>
        <v>0</v>
      </c>
      <c r="L928" s="1" t="str">
        <f>IF(E928=0,SUMPRODUCT(MIN($K$2:$K$4734+((($A$2:$A$4734&lt;&gt;A928)+($E$2:$E$4734&lt;&gt;0))&gt;0)*1000000)),"")</f>
        <v/>
      </c>
      <c r="M928" s="1">
        <f>IF(AND(E928=0,COUNTIFS($A$2:A928,A928,$E$2:E928,0)=1),L928,0)</f>
        <v>0</v>
      </c>
    </row>
    <row r="929" spans="1:13" ht="15" customHeight="1">
      <c r="A929" s="1">
        <v>7116</v>
      </c>
      <c r="B929" s="1" t="s">
        <v>9</v>
      </c>
      <c r="C929" s="2" t="s">
        <v>1097</v>
      </c>
      <c r="D929" s="2" t="s">
        <v>1108</v>
      </c>
      <c r="E929" s="1">
        <v>1</v>
      </c>
      <c r="F929" s="2" t="s">
        <v>1109</v>
      </c>
      <c r="G929" s="1">
        <v>1</v>
      </c>
      <c r="H929" s="1" t="str">
        <f t="shared" si="14"/>
        <v>k7116_1</v>
      </c>
      <c r="K929" s="1">
        <f>IF(E929=0,SUMPRODUCT(($A$2:$A$4734=A929)*($B$2:$B$4734=B929)*($D$2:$D$4734=D929)*($E$2:$E$4734=0)),0)</f>
        <v>0</v>
      </c>
      <c r="L929" s="1" t="str">
        <f>IF(E929=0,SUMPRODUCT(MIN($K$2:$K$4734+((($A$2:$A$4734&lt;&gt;A929)+($E$2:$E$4734&lt;&gt;0))&gt;0)*1000000)),"")</f>
        <v/>
      </c>
      <c r="M929" s="1">
        <f>IF(AND(E929=0,COUNTIFS($A$2:A929,A929,$E$2:E929,0)=1),L929,0)</f>
        <v>0</v>
      </c>
    </row>
    <row r="930" spans="1:13" ht="15" customHeight="1">
      <c r="A930" s="1">
        <v>7116</v>
      </c>
      <c r="B930" s="1" t="s">
        <v>9</v>
      </c>
      <c r="C930" s="2" t="s">
        <v>1097</v>
      </c>
      <c r="D930" s="2" t="s">
        <v>1108</v>
      </c>
      <c r="E930" s="1">
        <v>1</v>
      </c>
      <c r="F930" s="2" t="s">
        <v>1110</v>
      </c>
      <c r="G930" s="1">
        <v>2</v>
      </c>
      <c r="H930" s="1" t="str">
        <f t="shared" si="14"/>
        <v>k7116_2</v>
      </c>
      <c r="K930" s="1">
        <f>IF(E930=0,SUMPRODUCT(($A$2:$A$4734=A930)*($B$2:$B$4734=B930)*($D$2:$D$4734=D930)*($E$2:$E$4734=0)),0)</f>
        <v>0</v>
      </c>
      <c r="L930" s="1" t="str">
        <f>IF(E930=0,SUMPRODUCT(MIN($K$2:$K$4734+((($A$2:$A$4734&lt;&gt;A930)+($E$2:$E$4734&lt;&gt;0))&gt;0)*1000000)),"")</f>
        <v/>
      </c>
      <c r="M930" s="1">
        <f>IF(AND(E930=0,COUNTIFS($A$2:A930,A930,$E$2:E930,0)=1),L930,0)</f>
        <v>0</v>
      </c>
    </row>
    <row r="931" spans="1:13" ht="15" customHeight="1">
      <c r="A931" s="1">
        <v>7116</v>
      </c>
      <c r="B931" s="1" t="s">
        <v>9</v>
      </c>
      <c r="C931" s="2" t="s">
        <v>1097</v>
      </c>
      <c r="D931" s="2" t="s">
        <v>1108</v>
      </c>
      <c r="E931" s="1">
        <v>1</v>
      </c>
      <c r="F931" s="2" t="s">
        <v>1111</v>
      </c>
      <c r="G931" s="1">
        <v>3</v>
      </c>
      <c r="H931" s="1" t="str">
        <f t="shared" si="14"/>
        <v>k7116_3</v>
      </c>
      <c r="K931" s="1">
        <f>IF(E931=0,SUMPRODUCT(($A$2:$A$4734=A931)*($B$2:$B$4734=B931)*($D$2:$D$4734=D931)*($E$2:$E$4734=0)),0)</f>
        <v>0</v>
      </c>
      <c r="L931" s="1" t="str">
        <f>IF(E931=0,SUMPRODUCT(MIN($K$2:$K$4734+((($A$2:$A$4734&lt;&gt;A931)+($E$2:$E$4734&lt;&gt;0))&gt;0)*1000000)),"")</f>
        <v/>
      </c>
      <c r="M931" s="1">
        <f>IF(AND(E931=0,COUNTIFS($A$2:A931,A931,$E$2:E931,0)=1),L931,0)</f>
        <v>0</v>
      </c>
    </row>
    <row r="932" spans="1:13" ht="15" customHeight="1">
      <c r="A932" s="1">
        <v>7116</v>
      </c>
      <c r="B932" s="1" t="s">
        <v>9</v>
      </c>
      <c r="C932" s="2" t="s">
        <v>1097</v>
      </c>
      <c r="D932" s="2" t="s">
        <v>1108</v>
      </c>
      <c r="E932" s="1">
        <v>1</v>
      </c>
      <c r="F932" s="2" t="s">
        <v>1112</v>
      </c>
      <c r="G932" s="1">
        <v>4</v>
      </c>
      <c r="H932" s="1" t="str">
        <f t="shared" si="14"/>
        <v>k7116_4</v>
      </c>
      <c r="K932" s="1">
        <f>IF(E932=0,SUMPRODUCT(($A$2:$A$4734=A932)*($B$2:$B$4734=B932)*($D$2:$D$4734=D932)*($E$2:$E$4734=0)),0)</f>
        <v>0</v>
      </c>
      <c r="L932" s="1" t="str">
        <f>IF(E932=0,SUMPRODUCT(MIN($K$2:$K$4734+((($A$2:$A$4734&lt;&gt;A932)+($E$2:$E$4734&lt;&gt;0))&gt;0)*1000000)),"")</f>
        <v/>
      </c>
      <c r="M932" s="1">
        <f>IF(AND(E932=0,COUNTIFS($A$2:A932,A932,$E$2:E932,0)=1),L932,0)</f>
        <v>0</v>
      </c>
    </row>
    <row r="933" spans="1:13" ht="15" customHeight="1">
      <c r="A933" s="1">
        <v>7116</v>
      </c>
      <c r="B933" s="1" t="s">
        <v>9</v>
      </c>
      <c r="C933" s="2" t="s">
        <v>1097</v>
      </c>
      <c r="D933" s="2" t="s">
        <v>1108</v>
      </c>
      <c r="E933" s="1">
        <v>1</v>
      </c>
      <c r="F933" s="2" t="s">
        <v>1113</v>
      </c>
      <c r="G933" s="1">
        <v>5</v>
      </c>
      <c r="H933" s="1" t="str">
        <f t="shared" si="14"/>
        <v>k7116_5</v>
      </c>
      <c r="K933" s="1">
        <f>IF(E933=0,SUMPRODUCT(($A$2:$A$4734=A933)*($B$2:$B$4734=B933)*($D$2:$D$4734=D933)*($E$2:$E$4734=0)),0)</f>
        <v>0</v>
      </c>
      <c r="L933" s="1" t="str">
        <f>IF(E933=0,SUMPRODUCT(MIN($K$2:$K$4734+((($A$2:$A$4734&lt;&gt;A933)+($E$2:$E$4734&lt;&gt;0))&gt;0)*1000000)),"")</f>
        <v/>
      </c>
      <c r="M933" s="1">
        <f>IF(AND(E933=0,COUNTIFS($A$2:A933,A933,$E$2:E933,0)=1),L933,0)</f>
        <v>0</v>
      </c>
    </row>
    <row r="934" spans="1:13" ht="15" customHeight="1">
      <c r="A934" s="1">
        <v>7117</v>
      </c>
      <c r="B934" s="1" t="s">
        <v>69</v>
      </c>
      <c r="C934" s="2" t="s">
        <v>1114</v>
      </c>
      <c r="D934" s="2" t="s">
        <v>1115</v>
      </c>
      <c r="E934" s="1">
        <v>1</v>
      </c>
      <c r="F934" s="2" t="s">
        <v>1116</v>
      </c>
      <c r="G934" s="1">
        <v>1</v>
      </c>
      <c r="H934" s="1" t="str">
        <f t="shared" si="14"/>
        <v>k7117_1</v>
      </c>
      <c r="K934" s="1">
        <f>IF(E934=0,SUMPRODUCT(($A$2:$A$4734=A934)*($B$2:$B$4734=B934)*($D$2:$D$4734=D934)*($E$2:$E$4734=0)),0)</f>
        <v>0</v>
      </c>
      <c r="L934" s="1" t="str">
        <f>IF(E934=0,SUMPRODUCT(MIN($K$2:$K$4734+((($A$2:$A$4734&lt;&gt;A934)+($E$2:$E$4734&lt;&gt;0))&gt;0)*1000000)),"")</f>
        <v/>
      </c>
      <c r="M934" s="1">
        <f>IF(AND(E934=0,COUNTIFS($A$2:A934,A934,$E$2:E934,0)=1),L934,0)</f>
        <v>0</v>
      </c>
    </row>
    <row r="935" spans="1:13" ht="15" customHeight="1">
      <c r="A935" s="1">
        <v>7117</v>
      </c>
      <c r="B935" s="1" t="s">
        <v>69</v>
      </c>
      <c r="C935" s="2" t="s">
        <v>1114</v>
      </c>
      <c r="D935" s="2" t="s">
        <v>1115</v>
      </c>
      <c r="E935" s="1">
        <v>1</v>
      </c>
      <c r="F935" s="2" t="s">
        <v>1117</v>
      </c>
      <c r="G935" s="1">
        <v>2</v>
      </c>
      <c r="H935" s="1" t="str">
        <f t="shared" si="14"/>
        <v>k7117_2</v>
      </c>
      <c r="K935" s="1">
        <f>IF(E935=0,SUMPRODUCT(($A$2:$A$4734=A935)*($B$2:$B$4734=B935)*($D$2:$D$4734=D935)*($E$2:$E$4734=0)),0)</f>
        <v>0</v>
      </c>
      <c r="L935" s="1" t="str">
        <f>IF(E935=0,SUMPRODUCT(MIN($K$2:$K$4734+((($A$2:$A$4734&lt;&gt;A935)+($E$2:$E$4734&lt;&gt;0))&gt;0)*1000000)),"")</f>
        <v/>
      </c>
      <c r="M935" s="1">
        <f>IF(AND(E935=0,COUNTIFS($A$2:A935,A935,$E$2:E935,0)=1),L935,0)</f>
        <v>0</v>
      </c>
    </row>
    <row r="936" spans="1:13" ht="15" customHeight="1">
      <c r="A936" s="1">
        <v>7117</v>
      </c>
      <c r="B936" s="1" t="s">
        <v>69</v>
      </c>
      <c r="C936" s="2" t="s">
        <v>1114</v>
      </c>
      <c r="D936" s="2" t="s">
        <v>1115</v>
      </c>
      <c r="E936" s="1">
        <v>1</v>
      </c>
      <c r="F936" s="2" t="s">
        <v>1118</v>
      </c>
      <c r="G936" s="1">
        <v>3</v>
      </c>
      <c r="H936" s="1" t="str">
        <f t="shared" si="14"/>
        <v>k7117_3</v>
      </c>
      <c r="K936" s="1">
        <f>IF(E936=0,SUMPRODUCT(($A$2:$A$4734=A936)*($B$2:$B$4734=B936)*($D$2:$D$4734=D936)*($E$2:$E$4734=0)),0)</f>
        <v>0</v>
      </c>
      <c r="L936" s="1" t="str">
        <f>IF(E936=0,SUMPRODUCT(MIN($K$2:$K$4734+((($A$2:$A$4734&lt;&gt;A936)+($E$2:$E$4734&lt;&gt;0))&gt;0)*1000000)),"")</f>
        <v/>
      </c>
      <c r="M936" s="1">
        <f>IF(AND(E936=0,COUNTIFS($A$2:A936,A936,$E$2:E936,0)=1),L936,0)</f>
        <v>0</v>
      </c>
    </row>
    <row r="937" spans="1:13" ht="15" customHeight="1">
      <c r="A937" s="1">
        <v>7117</v>
      </c>
      <c r="B937" s="1" t="s">
        <v>69</v>
      </c>
      <c r="C937" s="2" t="s">
        <v>1114</v>
      </c>
      <c r="D937" s="2" t="s">
        <v>1115</v>
      </c>
      <c r="E937" s="1">
        <v>1</v>
      </c>
      <c r="F937" s="2" t="s">
        <v>1119</v>
      </c>
      <c r="G937" s="1">
        <v>4</v>
      </c>
      <c r="H937" s="1" t="str">
        <f t="shared" si="14"/>
        <v>k7117_4</v>
      </c>
      <c r="K937" s="1">
        <f>IF(E937=0,SUMPRODUCT(($A$2:$A$4734=A937)*($B$2:$B$4734=B937)*($D$2:$D$4734=D937)*($E$2:$E$4734=0)),0)</f>
        <v>0</v>
      </c>
      <c r="L937" s="1" t="str">
        <f>IF(E937=0,SUMPRODUCT(MIN($K$2:$K$4734+((($A$2:$A$4734&lt;&gt;A937)+($E$2:$E$4734&lt;&gt;0))&gt;0)*1000000)),"")</f>
        <v/>
      </c>
      <c r="M937" s="1">
        <f>IF(AND(E937=0,COUNTIFS($A$2:A937,A937,$E$2:E937,0)=1),L937,0)</f>
        <v>0</v>
      </c>
    </row>
    <row r="938" spans="1:13" ht="15" customHeight="1">
      <c r="A938" s="1">
        <v>7117</v>
      </c>
      <c r="B938" s="1" t="s">
        <v>69</v>
      </c>
      <c r="C938" s="2" t="s">
        <v>1114</v>
      </c>
      <c r="D938" s="2" t="s">
        <v>1115</v>
      </c>
      <c r="E938" s="1">
        <v>1</v>
      </c>
      <c r="F938" s="2" t="s">
        <v>1120</v>
      </c>
      <c r="G938" s="1">
        <v>5</v>
      </c>
      <c r="H938" s="1" t="str">
        <f t="shared" si="14"/>
        <v>k7117_5</v>
      </c>
      <c r="K938" s="1">
        <f>IF(E938=0,SUMPRODUCT(($A$2:$A$4734=A938)*($B$2:$B$4734=B938)*($D$2:$D$4734=D938)*($E$2:$E$4734=0)),0)</f>
        <v>0</v>
      </c>
      <c r="L938" s="1" t="str">
        <f>IF(E938=0,SUMPRODUCT(MIN($K$2:$K$4734+((($A$2:$A$4734&lt;&gt;A938)+($E$2:$E$4734&lt;&gt;0))&gt;0)*1000000)),"")</f>
        <v/>
      </c>
      <c r="M938" s="1">
        <f>IF(AND(E938=0,COUNTIFS($A$2:A938,A938,$E$2:E938,0)=1),L938,0)</f>
        <v>0</v>
      </c>
    </row>
    <row r="939" spans="1:13" ht="15" customHeight="1">
      <c r="A939" s="1">
        <v>7117</v>
      </c>
      <c r="B939" s="1" t="s">
        <v>9</v>
      </c>
      <c r="C939" s="2" t="s">
        <v>1114</v>
      </c>
      <c r="D939" s="2" t="s">
        <v>1121</v>
      </c>
      <c r="E939" s="1">
        <v>1</v>
      </c>
      <c r="F939" s="2" t="s">
        <v>1122</v>
      </c>
      <c r="G939" s="1">
        <v>1</v>
      </c>
      <c r="H939" s="1" t="str">
        <f t="shared" ref="H939:H1001" si="15">IF(OR(E939&lt;&gt;1,G939=""),"","k"&amp;A939&amp;"_"&amp;G939)</f>
        <v>k7117_1</v>
      </c>
      <c r="K939" s="1">
        <f>IF(E939=0,SUMPRODUCT(($A$2:$A$4734=A939)*($B$2:$B$4734=B939)*($D$2:$D$4734=D939)*($E$2:$E$4734=0)),0)</f>
        <v>0</v>
      </c>
      <c r="L939" s="1" t="str">
        <f>IF(E939=0,SUMPRODUCT(MIN($K$2:$K$4734+((($A$2:$A$4734&lt;&gt;A939)+($E$2:$E$4734&lt;&gt;0))&gt;0)*1000000)),"")</f>
        <v/>
      </c>
      <c r="M939" s="1">
        <f>IF(AND(E939=0,COUNTIFS($A$2:A939,A939,$E$2:E939,0)=1),L939,0)</f>
        <v>0</v>
      </c>
    </row>
    <row r="940" spans="1:13" ht="15" customHeight="1">
      <c r="A940" s="1">
        <v>7117</v>
      </c>
      <c r="B940" s="1" t="s">
        <v>9</v>
      </c>
      <c r="C940" s="2" t="s">
        <v>1114</v>
      </c>
      <c r="D940" s="2" t="s">
        <v>1121</v>
      </c>
      <c r="E940" s="1">
        <v>1</v>
      </c>
      <c r="F940" s="2" t="s">
        <v>1123</v>
      </c>
      <c r="G940" s="1">
        <v>2</v>
      </c>
      <c r="H940" s="1" t="str">
        <f t="shared" si="15"/>
        <v>k7117_2</v>
      </c>
      <c r="K940" s="1">
        <f>IF(E940=0,SUMPRODUCT(($A$2:$A$4734=A940)*($B$2:$B$4734=B940)*($D$2:$D$4734=D940)*($E$2:$E$4734=0)),0)</f>
        <v>0</v>
      </c>
      <c r="L940" s="1" t="str">
        <f>IF(E940=0,SUMPRODUCT(MIN($K$2:$K$4734+((($A$2:$A$4734&lt;&gt;A940)+($E$2:$E$4734&lt;&gt;0))&gt;0)*1000000)),"")</f>
        <v/>
      </c>
      <c r="M940" s="1">
        <f>IF(AND(E940=0,COUNTIFS($A$2:A940,A940,$E$2:E940,0)=1),L940,0)</f>
        <v>0</v>
      </c>
    </row>
    <row r="941" spans="1:13" ht="15" customHeight="1">
      <c r="A941" s="1">
        <v>7117</v>
      </c>
      <c r="B941" s="1" t="s">
        <v>9</v>
      </c>
      <c r="C941" s="2" t="s">
        <v>1114</v>
      </c>
      <c r="D941" s="2" t="s">
        <v>1121</v>
      </c>
      <c r="E941" s="1">
        <v>1</v>
      </c>
      <c r="F941" s="2" t="s">
        <v>1124</v>
      </c>
      <c r="G941" s="1">
        <v>3</v>
      </c>
      <c r="H941" s="1" t="str">
        <f t="shared" si="15"/>
        <v>k7117_3</v>
      </c>
      <c r="K941" s="1">
        <f>IF(E941=0,SUMPRODUCT(($A$2:$A$4734=A941)*($B$2:$B$4734=B941)*($D$2:$D$4734=D941)*($E$2:$E$4734=0)),0)</f>
        <v>0</v>
      </c>
      <c r="L941" s="1" t="str">
        <f>IF(E941=0,SUMPRODUCT(MIN($K$2:$K$4734+((($A$2:$A$4734&lt;&gt;A941)+($E$2:$E$4734&lt;&gt;0))&gt;0)*1000000)),"")</f>
        <v/>
      </c>
      <c r="M941" s="1">
        <f>IF(AND(E941=0,COUNTIFS($A$2:A941,A941,$E$2:E941,0)=1),L941,0)</f>
        <v>0</v>
      </c>
    </row>
    <row r="942" spans="1:13" ht="15" customHeight="1">
      <c r="A942" s="1">
        <v>7117</v>
      </c>
      <c r="B942" s="1" t="s">
        <v>9</v>
      </c>
      <c r="C942" s="2" t="s">
        <v>1114</v>
      </c>
      <c r="D942" s="2" t="s">
        <v>1121</v>
      </c>
      <c r="E942" s="1">
        <v>1</v>
      </c>
      <c r="F942" s="2" t="s">
        <v>1125</v>
      </c>
      <c r="G942" s="1">
        <v>4</v>
      </c>
      <c r="H942" s="1" t="str">
        <f t="shared" si="15"/>
        <v>k7117_4</v>
      </c>
      <c r="K942" s="1">
        <f>IF(E942=0,SUMPRODUCT(($A$2:$A$4734=A942)*($B$2:$B$4734=B942)*($D$2:$D$4734=D942)*($E$2:$E$4734=0)),0)</f>
        <v>0</v>
      </c>
      <c r="L942" s="1" t="str">
        <f>IF(E942=0,SUMPRODUCT(MIN($K$2:$K$4734+((($A$2:$A$4734&lt;&gt;A942)+($E$2:$E$4734&lt;&gt;0))&gt;0)*1000000)),"")</f>
        <v/>
      </c>
      <c r="M942" s="1">
        <f>IF(AND(E942=0,COUNTIFS($A$2:A942,A942,$E$2:E942,0)=1),L942,0)</f>
        <v>0</v>
      </c>
    </row>
    <row r="943" spans="1:13" ht="15" customHeight="1">
      <c r="A943" s="1">
        <v>7117</v>
      </c>
      <c r="B943" s="1" t="s">
        <v>9</v>
      </c>
      <c r="C943" s="2" t="s">
        <v>1114</v>
      </c>
      <c r="D943" s="2" t="s">
        <v>1121</v>
      </c>
      <c r="E943" s="1">
        <v>1</v>
      </c>
      <c r="F943" s="2" t="s">
        <v>1125</v>
      </c>
      <c r="G943" s="1">
        <v>5</v>
      </c>
      <c r="H943" s="1" t="str">
        <f t="shared" si="15"/>
        <v>k7117_5</v>
      </c>
      <c r="K943" s="1">
        <f>IF(E943=0,SUMPRODUCT(($A$2:$A$4734=A943)*($B$2:$B$4734=B943)*($D$2:$D$4734=D943)*($E$2:$E$4734=0)),0)</f>
        <v>0</v>
      </c>
      <c r="L943" s="1" t="str">
        <f>IF(E943=0,SUMPRODUCT(MIN($K$2:$K$4734+((($A$2:$A$4734&lt;&gt;A943)+($E$2:$E$4734&lt;&gt;0))&gt;0)*1000000)),"")</f>
        <v/>
      </c>
      <c r="M943" s="1">
        <f>IF(AND(E943=0,COUNTIFS($A$2:A943,A943,$E$2:E943,0)=1),L943,0)</f>
        <v>0</v>
      </c>
    </row>
    <row r="944" spans="1:13" ht="15" customHeight="1">
      <c r="A944" s="1">
        <v>7117</v>
      </c>
      <c r="B944" s="1" t="s">
        <v>9</v>
      </c>
      <c r="C944" s="2" t="s">
        <v>1114</v>
      </c>
      <c r="D944" s="2" t="s">
        <v>1126</v>
      </c>
      <c r="E944" s="1">
        <v>1</v>
      </c>
      <c r="F944" s="2" t="s">
        <v>1127</v>
      </c>
      <c r="G944" s="1">
        <v>1</v>
      </c>
      <c r="H944" s="1" t="str">
        <f t="shared" si="15"/>
        <v>k7117_1</v>
      </c>
      <c r="K944" s="1">
        <f>IF(E944=0,SUMPRODUCT(($A$2:$A$4734=A944)*($B$2:$B$4734=B944)*($D$2:$D$4734=D944)*($E$2:$E$4734=0)),0)</f>
        <v>0</v>
      </c>
      <c r="L944" s="1" t="str">
        <f>IF(E944=0,SUMPRODUCT(MIN($K$2:$K$4734+((($A$2:$A$4734&lt;&gt;A944)+($E$2:$E$4734&lt;&gt;0))&gt;0)*1000000)),"")</f>
        <v/>
      </c>
      <c r="M944" s="1">
        <f>IF(AND(E944=0,COUNTIFS($A$2:A944,A944,$E$2:E944,0)=1),L944,0)</f>
        <v>0</v>
      </c>
    </row>
    <row r="945" spans="1:13" ht="15" customHeight="1">
      <c r="A945" s="1">
        <v>7117</v>
      </c>
      <c r="B945" s="1" t="s">
        <v>9</v>
      </c>
      <c r="C945" s="2" t="s">
        <v>1114</v>
      </c>
      <c r="D945" s="2" t="s">
        <v>1126</v>
      </c>
      <c r="E945" s="1">
        <v>1</v>
      </c>
      <c r="F945" s="2" t="s">
        <v>1128</v>
      </c>
      <c r="G945" s="1">
        <v>2</v>
      </c>
      <c r="H945" s="1" t="str">
        <f t="shared" si="15"/>
        <v>k7117_2</v>
      </c>
      <c r="K945" s="1">
        <f>IF(E945=0,SUMPRODUCT(($A$2:$A$4734=A945)*($B$2:$B$4734=B945)*($D$2:$D$4734=D945)*($E$2:$E$4734=0)),0)</f>
        <v>0</v>
      </c>
      <c r="L945" s="1" t="str">
        <f>IF(E945=0,SUMPRODUCT(MIN($K$2:$K$4734+((($A$2:$A$4734&lt;&gt;A945)+($E$2:$E$4734&lt;&gt;0))&gt;0)*1000000)),"")</f>
        <v/>
      </c>
      <c r="M945" s="1">
        <f>IF(AND(E945=0,COUNTIFS($A$2:A945,A945,$E$2:E945,0)=1),L945,0)</f>
        <v>0</v>
      </c>
    </row>
    <row r="946" spans="1:13" ht="15" customHeight="1">
      <c r="A946" s="1">
        <v>7117</v>
      </c>
      <c r="B946" s="1" t="s">
        <v>9</v>
      </c>
      <c r="C946" s="2" t="s">
        <v>1114</v>
      </c>
      <c r="D946" s="2" t="s">
        <v>1126</v>
      </c>
      <c r="E946" s="1">
        <v>1</v>
      </c>
      <c r="F946" s="2" t="s">
        <v>1129</v>
      </c>
      <c r="G946" s="1">
        <v>3</v>
      </c>
      <c r="H946" s="1" t="str">
        <f t="shared" si="15"/>
        <v>k7117_3</v>
      </c>
      <c r="K946" s="1">
        <f>IF(E946=0,SUMPRODUCT(($A$2:$A$4734=A946)*($B$2:$B$4734=B946)*($D$2:$D$4734=D946)*($E$2:$E$4734=0)),0)</f>
        <v>0</v>
      </c>
      <c r="L946" s="1" t="str">
        <f>IF(E946=0,SUMPRODUCT(MIN($K$2:$K$4734+((($A$2:$A$4734&lt;&gt;A946)+($E$2:$E$4734&lt;&gt;0))&gt;0)*1000000)),"")</f>
        <v/>
      </c>
      <c r="M946" s="1">
        <f>IF(AND(E946=0,COUNTIFS($A$2:A946,A946,$E$2:E946,0)=1),L946,0)</f>
        <v>0</v>
      </c>
    </row>
    <row r="947" spans="1:13" ht="15" customHeight="1">
      <c r="A947" s="1">
        <v>7117</v>
      </c>
      <c r="B947" s="1" t="s">
        <v>9</v>
      </c>
      <c r="C947" s="2" t="s">
        <v>1114</v>
      </c>
      <c r="D947" s="2" t="s">
        <v>1126</v>
      </c>
      <c r="E947" s="1">
        <v>1</v>
      </c>
      <c r="F947" s="2" t="s">
        <v>1130</v>
      </c>
      <c r="G947" s="1">
        <v>4</v>
      </c>
      <c r="H947" s="1" t="str">
        <f t="shared" si="15"/>
        <v>k7117_4</v>
      </c>
      <c r="K947" s="1">
        <f>IF(E947=0,SUMPRODUCT(($A$2:$A$4734=A947)*($B$2:$B$4734=B947)*($D$2:$D$4734=D947)*($E$2:$E$4734=0)),0)</f>
        <v>0</v>
      </c>
      <c r="L947" s="1" t="str">
        <f>IF(E947=0,SUMPRODUCT(MIN($K$2:$K$4734+((($A$2:$A$4734&lt;&gt;A947)+($E$2:$E$4734&lt;&gt;0))&gt;0)*1000000)),"")</f>
        <v/>
      </c>
      <c r="M947" s="1">
        <f>IF(AND(E947=0,COUNTIFS($A$2:A947,A947,$E$2:E947,0)=1),L947,0)</f>
        <v>0</v>
      </c>
    </row>
    <row r="948" spans="1:13" ht="15" customHeight="1">
      <c r="A948" s="1">
        <v>7117</v>
      </c>
      <c r="B948" s="1" t="s">
        <v>9</v>
      </c>
      <c r="C948" s="2" t="s">
        <v>1114</v>
      </c>
      <c r="D948" s="2" t="s">
        <v>1126</v>
      </c>
      <c r="E948" s="1">
        <v>1</v>
      </c>
      <c r="F948" s="2" t="s">
        <v>1131</v>
      </c>
      <c r="G948" s="1">
        <v>5</v>
      </c>
      <c r="H948" s="1" t="str">
        <f t="shared" si="15"/>
        <v>k7117_5</v>
      </c>
      <c r="K948" s="1">
        <f>IF(E948=0,SUMPRODUCT(($A$2:$A$4734=A948)*($B$2:$B$4734=B948)*($D$2:$D$4734=D948)*($E$2:$E$4734=0)),0)</f>
        <v>0</v>
      </c>
      <c r="L948" s="1" t="str">
        <f>IF(E948=0,SUMPRODUCT(MIN($K$2:$K$4734+((($A$2:$A$4734&lt;&gt;A948)+($E$2:$E$4734&lt;&gt;0))&gt;0)*1000000)),"")</f>
        <v/>
      </c>
      <c r="M948" s="1">
        <f>IF(AND(E948=0,COUNTIFS($A$2:A948,A948,$E$2:E948,0)=1),L948,0)</f>
        <v>0</v>
      </c>
    </row>
    <row r="949" spans="1:13" ht="15" customHeight="1">
      <c r="A949" s="1">
        <v>7117</v>
      </c>
      <c r="B949" s="1" t="s">
        <v>635</v>
      </c>
      <c r="C949" s="2" t="s">
        <v>1114</v>
      </c>
      <c r="D949" s="2" t="s">
        <v>1132</v>
      </c>
      <c r="E949" s="1">
        <v>1</v>
      </c>
      <c r="F949" s="2" t="s">
        <v>1133</v>
      </c>
      <c r="G949" s="1">
        <v>1</v>
      </c>
      <c r="H949" s="1" t="str">
        <f t="shared" si="15"/>
        <v>k7117_1</v>
      </c>
      <c r="K949" s="1">
        <f>IF(E949=0,SUMPRODUCT(($A$2:$A$4734=A949)*($B$2:$B$4734=B949)*($D$2:$D$4734=D949)*($E$2:$E$4734=0)),0)</f>
        <v>0</v>
      </c>
      <c r="L949" s="1" t="str">
        <f>IF(E949=0,SUMPRODUCT(MIN($K$2:$K$4734+((($A$2:$A$4734&lt;&gt;A949)+($E$2:$E$4734&lt;&gt;0))&gt;0)*1000000)),"")</f>
        <v/>
      </c>
      <c r="M949" s="1">
        <f>IF(AND(E949=0,COUNTIFS($A$2:A949,A949,$E$2:E949,0)=1),L949,0)</f>
        <v>0</v>
      </c>
    </row>
    <row r="950" spans="1:13" ht="15" customHeight="1">
      <c r="A950" s="1">
        <v>7117</v>
      </c>
      <c r="B950" s="1" t="s">
        <v>635</v>
      </c>
      <c r="C950" s="2" t="s">
        <v>1114</v>
      </c>
      <c r="D950" s="2" t="s">
        <v>1132</v>
      </c>
      <c r="E950" s="1">
        <v>1</v>
      </c>
      <c r="F950" s="2" t="s">
        <v>1134</v>
      </c>
      <c r="G950" s="1">
        <v>2</v>
      </c>
      <c r="H950" s="1" t="str">
        <f t="shared" si="15"/>
        <v>k7117_2</v>
      </c>
      <c r="K950" s="1">
        <f>IF(E950=0,SUMPRODUCT(($A$2:$A$4734=A950)*($B$2:$B$4734=B950)*($D$2:$D$4734=D950)*($E$2:$E$4734=0)),0)</f>
        <v>0</v>
      </c>
      <c r="L950" s="1" t="str">
        <f>IF(E950=0,SUMPRODUCT(MIN($K$2:$K$4734+((($A$2:$A$4734&lt;&gt;A950)+($E$2:$E$4734&lt;&gt;0))&gt;0)*1000000)),"")</f>
        <v/>
      </c>
      <c r="M950" s="1">
        <f>IF(AND(E950=0,COUNTIFS($A$2:A950,A950,$E$2:E950,0)=1),L950,0)</f>
        <v>0</v>
      </c>
    </row>
    <row r="951" spans="1:13" ht="15" customHeight="1">
      <c r="A951" s="1">
        <v>7117</v>
      </c>
      <c r="B951" s="1" t="s">
        <v>635</v>
      </c>
      <c r="C951" s="2" t="s">
        <v>1114</v>
      </c>
      <c r="D951" s="2" t="s">
        <v>1132</v>
      </c>
      <c r="E951" s="1">
        <v>1</v>
      </c>
      <c r="F951" s="2" t="s">
        <v>1135</v>
      </c>
      <c r="G951" s="1">
        <v>3</v>
      </c>
      <c r="H951" s="1" t="str">
        <f t="shared" si="15"/>
        <v>k7117_3</v>
      </c>
      <c r="K951" s="1">
        <f>IF(E951=0,SUMPRODUCT(($A$2:$A$4734=A951)*($B$2:$B$4734=B951)*($D$2:$D$4734=D951)*($E$2:$E$4734=0)),0)</f>
        <v>0</v>
      </c>
      <c r="L951" s="1" t="str">
        <f>IF(E951=0,SUMPRODUCT(MIN($K$2:$K$4734+((($A$2:$A$4734&lt;&gt;A951)+($E$2:$E$4734&lt;&gt;0))&gt;0)*1000000)),"")</f>
        <v/>
      </c>
      <c r="M951" s="1">
        <f>IF(AND(E951=0,COUNTIFS($A$2:A951,A951,$E$2:E951,0)=1),L951,0)</f>
        <v>0</v>
      </c>
    </row>
    <row r="952" spans="1:13" ht="15" customHeight="1">
      <c r="A952" s="1">
        <v>7117</v>
      </c>
      <c r="B952" s="1" t="s">
        <v>635</v>
      </c>
      <c r="C952" s="2" t="s">
        <v>1114</v>
      </c>
      <c r="D952" s="2" t="s">
        <v>1132</v>
      </c>
      <c r="E952" s="1">
        <v>1</v>
      </c>
      <c r="F952" s="2" t="s">
        <v>1136</v>
      </c>
      <c r="G952" s="1">
        <v>4</v>
      </c>
      <c r="H952" s="1" t="str">
        <f t="shared" si="15"/>
        <v>k7117_4</v>
      </c>
      <c r="K952" s="1">
        <f>IF(E952=0,SUMPRODUCT(($A$2:$A$4734=A952)*($B$2:$B$4734=B952)*($D$2:$D$4734=D952)*($E$2:$E$4734=0)),0)</f>
        <v>0</v>
      </c>
      <c r="L952" s="1" t="str">
        <f>IF(E952=0,SUMPRODUCT(MIN($K$2:$K$4734+((($A$2:$A$4734&lt;&gt;A952)+($E$2:$E$4734&lt;&gt;0))&gt;0)*1000000)),"")</f>
        <v/>
      </c>
      <c r="M952" s="1">
        <f>IF(AND(E952=0,COUNTIFS($A$2:A952,A952,$E$2:E952,0)=1),L952,0)</f>
        <v>0</v>
      </c>
    </row>
    <row r="953" spans="1:13" ht="15" customHeight="1">
      <c r="A953" s="1">
        <v>7117</v>
      </c>
      <c r="B953" s="1" t="s">
        <v>635</v>
      </c>
      <c r="C953" s="2" t="s">
        <v>1114</v>
      </c>
      <c r="D953" s="2" t="s">
        <v>1132</v>
      </c>
      <c r="E953" s="1">
        <v>1</v>
      </c>
      <c r="F953" s="2" t="s">
        <v>1136</v>
      </c>
      <c r="G953" s="1">
        <v>5</v>
      </c>
      <c r="H953" s="1" t="str">
        <f t="shared" si="15"/>
        <v>k7117_5</v>
      </c>
      <c r="K953" s="1">
        <f>IF(E953=0,SUMPRODUCT(($A$2:$A$4734=A953)*($B$2:$B$4734=B953)*($D$2:$D$4734=D953)*($E$2:$E$4734=0)),0)</f>
        <v>0</v>
      </c>
      <c r="L953" s="1" t="str">
        <f>IF(E953=0,SUMPRODUCT(MIN($K$2:$K$4734+((($A$2:$A$4734&lt;&gt;A953)+($E$2:$E$4734&lt;&gt;0))&gt;0)*1000000)),"")</f>
        <v/>
      </c>
      <c r="M953" s="1">
        <f>IF(AND(E953=0,COUNTIFS($A$2:A953,A953,$E$2:E953,0)=1),L953,0)</f>
        <v>0</v>
      </c>
    </row>
    <row r="954" spans="1:13" ht="15" customHeight="1">
      <c r="A954" s="1">
        <v>7117</v>
      </c>
      <c r="B954" s="1" t="s">
        <v>9</v>
      </c>
      <c r="C954" s="2" t="s">
        <v>1114</v>
      </c>
      <c r="D954" s="2" t="s">
        <v>1137</v>
      </c>
      <c r="E954" s="1">
        <v>1</v>
      </c>
      <c r="F954" s="2" t="s">
        <v>1138</v>
      </c>
      <c r="G954" s="1">
        <v>1</v>
      </c>
      <c r="H954" s="1" t="str">
        <f t="shared" si="15"/>
        <v>k7117_1</v>
      </c>
      <c r="K954" s="1">
        <f>IF(E954=0,SUMPRODUCT(($A$2:$A$4734=A954)*($B$2:$B$4734=B954)*($D$2:$D$4734=D954)*($E$2:$E$4734=0)),0)</f>
        <v>0</v>
      </c>
      <c r="L954" s="1" t="str">
        <f>IF(E954=0,SUMPRODUCT(MIN($K$2:$K$4734+((($A$2:$A$4734&lt;&gt;A954)+($E$2:$E$4734&lt;&gt;0))&gt;0)*1000000)),"")</f>
        <v/>
      </c>
      <c r="M954" s="1">
        <f>IF(AND(E954=0,COUNTIFS($A$2:A954,A954,$E$2:E954,0)=1),L954,0)</f>
        <v>0</v>
      </c>
    </row>
    <row r="955" spans="1:13" ht="15" customHeight="1">
      <c r="A955" s="1">
        <v>7117</v>
      </c>
      <c r="B955" s="1" t="s">
        <v>9</v>
      </c>
      <c r="C955" s="2" t="s">
        <v>1114</v>
      </c>
      <c r="D955" s="2" t="s">
        <v>1137</v>
      </c>
      <c r="E955" s="1">
        <v>1</v>
      </c>
      <c r="F955" s="2" t="s">
        <v>1139</v>
      </c>
      <c r="G955" s="1">
        <v>2</v>
      </c>
      <c r="H955" s="1" t="str">
        <f t="shared" si="15"/>
        <v>k7117_2</v>
      </c>
      <c r="K955" s="1">
        <f>IF(E955=0,SUMPRODUCT(($A$2:$A$4734=A955)*($B$2:$B$4734=B955)*($D$2:$D$4734=D955)*($E$2:$E$4734=0)),0)</f>
        <v>0</v>
      </c>
      <c r="L955" s="1" t="str">
        <f>IF(E955=0,SUMPRODUCT(MIN($K$2:$K$4734+((($A$2:$A$4734&lt;&gt;A955)+($E$2:$E$4734&lt;&gt;0))&gt;0)*1000000)),"")</f>
        <v/>
      </c>
      <c r="M955" s="1">
        <f>IF(AND(E955=0,COUNTIFS($A$2:A955,A955,$E$2:E955,0)=1),L955,0)</f>
        <v>0</v>
      </c>
    </row>
    <row r="956" spans="1:13" ht="15" customHeight="1">
      <c r="A956" s="1">
        <v>7117</v>
      </c>
      <c r="B956" s="1" t="s">
        <v>9</v>
      </c>
      <c r="C956" s="2" t="s">
        <v>1114</v>
      </c>
      <c r="D956" s="2" t="s">
        <v>1137</v>
      </c>
      <c r="E956" s="1">
        <v>1</v>
      </c>
      <c r="F956" s="2" t="s">
        <v>1140</v>
      </c>
      <c r="G956" s="1">
        <v>3</v>
      </c>
      <c r="H956" s="1" t="str">
        <f t="shared" si="15"/>
        <v>k7117_3</v>
      </c>
      <c r="K956" s="1">
        <f>IF(E956=0,SUMPRODUCT(($A$2:$A$4734=A956)*($B$2:$B$4734=B956)*($D$2:$D$4734=D956)*($E$2:$E$4734=0)),0)</f>
        <v>0</v>
      </c>
      <c r="L956" s="1" t="str">
        <f>IF(E956=0,SUMPRODUCT(MIN($K$2:$K$4734+((($A$2:$A$4734&lt;&gt;A956)+($E$2:$E$4734&lt;&gt;0))&gt;0)*1000000)),"")</f>
        <v/>
      </c>
      <c r="M956" s="1">
        <f>IF(AND(E956=0,COUNTIFS($A$2:A956,A956,$E$2:E956,0)=1),L956,0)</f>
        <v>0</v>
      </c>
    </row>
    <row r="957" spans="1:13" ht="15" customHeight="1">
      <c r="A957" s="1">
        <v>7117</v>
      </c>
      <c r="B957" s="1" t="s">
        <v>9</v>
      </c>
      <c r="C957" s="2" t="s">
        <v>1114</v>
      </c>
      <c r="D957" s="2" t="s">
        <v>1137</v>
      </c>
      <c r="E957" s="1">
        <v>1</v>
      </c>
      <c r="F957" s="2" t="s">
        <v>1141</v>
      </c>
      <c r="G957" s="1">
        <v>4</v>
      </c>
      <c r="H957" s="1" t="str">
        <f t="shared" si="15"/>
        <v>k7117_4</v>
      </c>
      <c r="K957" s="1">
        <f>IF(E957=0,SUMPRODUCT(($A$2:$A$4734=A957)*($B$2:$B$4734=B957)*($D$2:$D$4734=D957)*($E$2:$E$4734=0)),0)</f>
        <v>0</v>
      </c>
      <c r="L957" s="1" t="str">
        <f>IF(E957=0,SUMPRODUCT(MIN($K$2:$K$4734+((($A$2:$A$4734&lt;&gt;A957)+($E$2:$E$4734&lt;&gt;0))&gt;0)*1000000)),"")</f>
        <v/>
      </c>
      <c r="M957" s="1">
        <f>IF(AND(E957=0,COUNTIFS($A$2:A957,A957,$E$2:E957,0)=1),L957,0)</f>
        <v>0</v>
      </c>
    </row>
    <row r="958" spans="1:13" ht="15" customHeight="1">
      <c r="A958" s="1">
        <v>7117</v>
      </c>
      <c r="B958" s="1" t="s">
        <v>9</v>
      </c>
      <c r="C958" s="2" t="s">
        <v>1114</v>
      </c>
      <c r="D958" s="2" t="s">
        <v>1137</v>
      </c>
      <c r="E958" s="1">
        <v>1</v>
      </c>
      <c r="F958" s="2" t="s">
        <v>1142</v>
      </c>
      <c r="G958" s="1">
        <v>5</v>
      </c>
      <c r="H958" s="1" t="str">
        <f t="shared" si="15"/>
        <v>k7117_5</v>
      </c>
      <c r="K958" s="1">
        <f>IF(E958=0,SUMPRODUCT(($A$2:$A$4734=A958)*($B$2:$B$4734=B958)*($D$2:$D$4734=D958)*($E$2:$E$4734=0)),0)</f>
        <v>0</v>
      </c>
      <c r="L958" s="1" t="str">
        <f>IF(E958=0,SUMPRODUCT(MIN($K$2:$K$4734+((($A$2:$A$4734&lt;&gt;A958)+($E$2:$E$4734&lt;&gt;0))&gt;0)*1000000)),"")</f>
        <v/>
      </c>
      <c r="M958" s="1">
        <f>IF(AND(E958=0,COUNTIFS($A$2:A958,A958,$E$2:E958,0)=1),L958,0)</f>
        <v>0</v>
      </c>
    </row>
    <row r="959" spans="1:13" ht="15" customHeight="1">
      <c r="A959" s="1">
        <v>7117</v>
      </c>
      <c r="B959" s="1" t="s">
        <v>95</v>
      </c>
      <c r="C959" s="2" t="s">
        <v>1114</v>
      </c>
      <c r="D959" s="2" t="s">
        <v>1143</v>
      </c>
      <c r="E959" s="1">
        <v>1</v>
      </c>
      <c r="F959" s="2" t="s">
        <v>1144</v>
      </c>
      <c r="G959" s="1">
        <v>1</v>
      </c>
      <c r="H959" s="1" t="str">
        <f t="shared" si="15"/>
        <v>k7117_1</v>
      </c>
      <c r="K959" s="1">
        <f>IF(E959=0,SUMPRODUCT(($A$2:$A$4734=A959)*($B$2:$B$4734=B959)*($D$2:$D$4734=D959)*($E$2:$E$4734=0)),0)</f>
        <v>0</v>
      </c>
      <c r="L959" s="1" t="str">
        <f>IF(E959=0,SUMPRODUCT(MIN($K$2:$K$4734+((($A$2:$A$4734&lt;&gt;A959)+($E$2:$E$4734&lt;&gt;0))&gt;0)*1000000)),"")</f>
        <v/>
      </c>
      <c r="M959" s="1">
        <f>IF(AND(E959=0,COUNTIFS($A$2:A959,A959,$E$2:E959,0)=1),L959,0)</f>
        <v>0</v>
      </c>
    </row>
    <row r="960" spans="1:13" ht="15" customHeight="1">
      <c r="A960" s="1">
        <v>7117</v>
      </c>
      <c r="B960" s="1" t="s">
        <v>95</v>
      </c>
      <c r="C960" s="2" t="s">
        <v>1114</v>
      </c>
      <c r="D960" s="2" t="s">
        <v>1143</v>
      </c>
      <c r="E960" s="1">
        <v>1</v>
      </c>
      <c r="F960" s="2" t="s">
        <v>1145</v>
      </c>
      <c r="G960" s="1">
        <v>2</v>
      </c>
      <c r="H960" s="1" t="str">
        <f t="shared" si="15"/>
        <v>k7117_2</v>
      </c>
      <c r="K960" s="1">
        <f>IF(E960=0,SUMPRODUCT(($A$2:$A$4734=A960)*($B$2:$B$4734=B960)*($D$2:$D$4734=D960)*($E$2:$E$4734=0)),0)</f>
        <v>0</v>
      </c>
      <c r="L960" s="1" t="str">
        <f>IF(E960=0,SUMPRODUCT(MIN($K$2:$K$4734+((($A$2:$A$4734&lt;&gt;A960)+($E$2:$E$4734&lt;&gt;0))&gt;0)*1000000)),"")</f>
        <v/>
      </c>
      <c r="M960" s="1">
        <f>IF(AND(E960=0,COUNTIFS($A$2:A960,A960,$E$2:E960,0)=1),L960,0)</f>
        <v>0</v>
      </c>
    </row>
    <row r="961" spans="1:13" ht="15" customHeight="1">
      <c r="A961" s="1">
        <v>7117</v>
      </c>
      <c r="B961" s="1" t="s">
        <v>95</v>
      </c>
      <c r="C961" s="2" t="s">
        <v>1114</v>
      </c>
      <c r="D961" s="2" t="s">
        <v>1143</v>
      </c>
      <c r="E961" s="1">
        <v>1</v>
      </c>
      <c r="F961" s="2" t="s">
        <v>1146</v>
      </c>
      <c r="G961" s="1">
        <v>3</v>
      </c>
      <c r="H961" s="1" t="str">
        <f t="shared" si="15"/>
        <v>k7117_3</v>
      </c>
      <c r="K961" s="1">
        <f>IF(E961=0,SUMPRODUCT(($A$2:$A$4734=A961)*($B$2:$B$4734=B961)*($D$2:$D$4734=D961)*($E$2:$E$4734=0)),0)</f>
        <v>0</v>
      </c>
      <c r="L961" s="1" t="str">
        <f>IF(E961=0,SUMPRODUCT(MIN($K$2:$K$4734+((($A$2:$A$4734&lt;&gt;A961)+($E$2:$E$4734&lt;&gt;0))&gt;0)*1000000)),"")</f>
        <v/>
      </c>
      <c r="M961" s="1">
        <f>IF(AND(E961=0,COUNTIFS($A$2:A961,A961,$E$2:E961,0)=1),L961,0)</f>
        <v>0</v>
      </c>
    </row>
    <row r="962" spans="1:13" ht="15" customHeight="1">
      <c r="A962" s="1">
        <v>7117</v>
      </c>
      <c r="B962" s="1" t="s">
        <v>95</v>
      </c>
      <c r="C962" s="2" t="s">
        <v>1114</v>
      </c>
      <c r="D962" s="2" t="s">
        <v>1143</v>
      </c>
      <c r="E962" s="1">
        <v>1</v>
      </c>
      <c r="F962" s="2" t="s">
        <v>1147</v>
      </c>
      <c r="G962" s="1">
        <v>4</v>
      </c>
      <c r="H962" s="1" t="str">
        <f t="shared" si="15"/>
        <v>k7117_4</v>
      </c>
      <c r="K962" s="1">
        <f>IF(E962=0,SUMPRODUCT(($A$2:$A$4734=A962)*($B$2:$B$4734=B962)*($D$2:$D$4734=D962)*($E$2:$E$4734=0)),0)</f>
        <v>0</v>
      </c>
      <c r="L962" s="1" t="str">
        <f>IF(E962=0,SUMPRODUCT(MIN($K$2:$K$4734+((($A$2:$A$4734&lt;&gt;A962)+($E$2:$E$4734&lt;&gt;0))&gt;0)*1000000)),"")</f>
        <v/>
      </c>
      <c r="M962" s="1">
        <f>IF(AND(E962=0,COUNTIFS($A$2:A962,A962,$E$2:E962,0)=1),L962,0)</f>
        <v>0</v>
      </c>
    </row>
    <row r="963" spans="1:13" ht="15" customHeight="1">
      <c r="A963" s="1">
        <v>7117</v>
      </c>
      <c r="B963" s="1" t="s">
        <v>95</v>
      </c>
      <c r="C963" s="2" t="s">
        <v>1114</v>
      </c>
      <c r="D963" s="2" t="s">
        <v>1143</v>
      </c>
      <c r="E963" s="1">
        <v>1</v>
      </c>
      <c r="F963" s="2" t="s">
        <v>1147</v>
      </c>
      <c r="G963" s="1">
        <v>5</v>
      </c>
      <c r="H963" s="1" t="str">
        <f t="shared" si="15"/>
        <v>k7117_5</v>
      </c>
      <c r="K963" s="1">
        <f>IF(E963=0,SUMPRODUCT(($A$2:$A$4734=A963)*($B$2:$B$4734=B963)*($D$2:$D$4734=D963)*($E$2:$E$4734=0)),0)</f>
        <v>0</v>
      </c>
      <c r="L963" s="1" t="str">
        <f>IF(E963=0,SUMPRODUCT(MIN($K$2:$K$4734+((($A$2:$A$4734&lt;&gt;A963)+($E$2:$E$4734&lt;&gt;0))&gt;0)*1000000)),"")</f>
        <v/>
      </c>
      <c r="M963" s="1">
        <f>IF(AND(E963=0,COUNTIFS($A$2:A963,A963,$E$2:E963,0)=1),L963,0)</f>
        <v>0</v>
      </c>
    </row>
    <row r="964" spans="1:13" ht="15" customHeight="1">
      <c r="A964" s="1">
        <v>7117</v>
      </c>
      <c r="B964" s="1" t="s">
        <v>95</v>
      </c>
      <c r="C964" s="2" t="s">
        <v>1114</v>
      </c>
      <c r="D964" s="2" t="s">
        <v>1126</v>
      </c>
      <c r="E964" s="1">
        <v>1</v>
      </c>
      <c r="F964" s="2" t="s">
        <v>1148</v>
      </c>
      <c r="G964" s="1">
        <v>1</v>
      </c>
      <c r="H964" s="1" t="str">
        <f t="shared" si="15"/>
        <v>k7117_1</v>
      </c>
      <c r="K964" s="1">
        <f>IF(E964=0,SUMPRODUCT(($A$2:$A$4734=A964)*($B$2:$B$4734=B964)*($D$2:$D$4734=D964)*($E$2:$E$4734=0)),0)</f>
        <v>0</v>
      </c>
      <c r="L964" s="1" t="str">
        <f>IF(E964=0,SUMPRODUCT(MIN($K$2:$K$4734+((($A$2:$A$4734&lt;&gt;A964)+($E$2:$E$4734&lt;&gt;0))&gt;0)*1000000)),"")</f>
        <v/>
      </c>
      <c r="M964" s="1">
        <f>IF(AND(E964=0,COUNTIFS($A$2:A964,A964,$E$2:E964,0)=1),L964,0)</f>
        <v>0</v>
      </c>
    </row>
    <row r="965" spans="1:13" ht="15" customHeight="1">
      <c r="A965" s="1">
        <v>7117</v>
      </c>
      <c r="B965" s="1" t="s">
        <v>95</v>
      </c>
      <c r="C965" s="2" t="s">
        <v>1114</v>
      </c>
      <c r="D965" s="2" t="s">
        <v>1126</v>
      </c>
      <c r="E965" s="1">
        <v>1</v>
      </c>
      <c r="F965" s="2" t="s">
        <v>1149</v>
      </c>
      <c r="G965" s="1">
        <v>2</v>
      </c>
      <c r="H965" s="1" t="str">
        <f t="shared" si="15"/>
        <v>k7117_2</v>
      </c>
      <c r="K965" s="1">
        <f>IF(E965=0,SUMPRODUCT(($A$2:$A$4734=A965)*($B$2:$B$4734=B965)*($D$2:$D$4734=D965)*($E$2:$E$4734=0)),0)</f>
        <v>0</v>
      </c>
      <c r="L965" s="1" t="str">
        <f>IF(E965=0,SUMPRODUCT(MIN($K$2:$K$4734+((($A$2:$A$4734&lt;&gt;A965)+($E$2:$E$4734&lt;&gt;0))&gt;0)*1000000)),"")</f>
        <v/>
      </c>
      <c r="M965" s="1">
        <f>IF(AND(E965=0,COUNTIFS($A$2:A965,A965,$E$2:E965,0)=1),L965,0)</f>
        <v>0</v>
      </c>
    </row>
    <row r="966" spans="1:13" ht="15" customHeight="1">
      <c r="A966" s="1">
        <v>7117</v>
      </c>
      <c r="B966" s="1" t="s">
        <v>95</v>
      </c>
      <c r="C966" s="2" t="s">
        <v>1114</v>
      </c>
      <c r="D966" s="2" t="s">
        <v>1126</v>
      </c>
      <c r="E966" s="1">
        <v>1</v>
      </c>
      <c r="F966" s="2" t="s">
        <v>1150</v>
      </c>
      <c r="G966" s="1">
        <v>3</v>
      </c>
      <c r="H966" s="1" t="str">
        <f t="shared" si="15"/>
        <v>k7117_3</v>
      </c>
      <c r="K966" s="1">
        <f>IF(E966=0,SUMPRODUCT(($A$2:$A$4734=A966)*($B$2:$B$4734=B966)*($D$2:$D$4734=D966)*($E$2:$E$4734=0)),0)</f>
        <v>0</v>
      </c>
      <c r="L966" s="1" t="str">
        <f>IF(E966=0,SUMPRODUCT(MIN($K$2:$K$4734+((($A$2:$A$4734&lt;&gt;A966)+($E$2:$E$4734&lt;&gt;0))&gt;0)*1000000)),"")</f>
        <v/>
      </c>
      <c r="M966" s="1">
        <f>IF(AND(E966=0,COUNTIFS($A$2:A966,A966,$E$2:E966,0)=1),L966,0)</f>
        <v>0</v>
      </c>
    </row>
    <row r="967" spans="1:13" ht="15" customHeight="1">
      <c r="A967" s="1">
        <v>7117</v>
      </c>
      <c r="B967" s="1" t="s">
        <v>95</v>
      </c>
      <c r="C967" s="2" t="s">
        <v>1114</v>
      </c>
      <c r="D967" s="2" t="s">
        <v>1126</v>
      </c>
      <c r="E967" s="1">
        <v>1</v>
      </c>
      <c r="F967" s="2" t="s">
        <v>1151</v>
      </c>
      <c r="G967" s="1">
        <v>4</v>
      </c>
      <c r="H967" s="1" t="str">
        <f t="shared" si="15"/>
        <v>k7117_4</v>
      </c>
      <c r="K967" s="1">
        <f>IF(E967=0,SUMPRODUCT(($A$2:$A$4734=A967)*($B$2:$B$4734=B967)*($D$2:$D$4734=D967)*($E$2:$E$4734=0)),0)</f>
        <v>0</v>
      </c>
      <c r="L967" s="1" t="str">
        <f>IF(E967=0,SUMPRODUCT(MIN($K$2:$K$4734+((($A$2:$A$4734&lt;&gt;A967)+($E$2:$E$4734&lt;&gt;0))&gt;0)*1000000)),"")</f>
        <v/>
      </c>
      <c r="M967" s="1">
        <f>IF(AND(E967=0,COUNTIFS($A$2:A967,A967,$E$2:E967,0)=1),L967,0)</f>
        <v>0</v>
      </c>
    </row>
    <row r="968" spans="1:13" ht="15" customHeight="1">
      <c r="A968" s="1">
        <v>7117</v>
      </c>
      <c r="B968" s="1" t="s">
        <v>95</v>
      </c>
      <c r="C968" s="2" t="s">
        <v>1114</v>
      </c>
      <c r="D968" s="2" t="s">
        <v>1126</v>
      </c>
      <c r="E968" s="1">
        <v>1</v>
      </c>
      <c r="F968" s="2" t="s">
        <v>1152</v>
      </c>
      <c r="G968" s="1">
        <v>5</v>
      </c>
      <c r="H968" s="1" t="str">
        <f t="shared" si="15"/>
        <v>k7117_5</v>
      </c>
      <c r="K968" s="1">
        <f>IF(E968=0,SUMPRODUCT(($A$2:$A$4734=A968)*($B$2:$B$4734=B968)*($D$2:$D$4734=D968)*($E$2:$E$4734=0)),0)</f>
        <v>0</v>
      </c>
      <c r="L968" s="1" t="str">
        <f>IF(E968=0,SUMPRODUCT(MIN($K$2:$K$4734+((($A$2:$A$4734&lt;&gt;A968)+($E$2:$E$4734&lt;&gt;0))&gt;0)*1000000)),"")</f>
        <v/>
      </c>
      <c r="M968" s="1">
        <f>IF(AND(E968=0,COUNTIFS($A$2:A968,A968,$E$2:E968,0)=1),L968,0)</f>
        <v>0</v>
      </c>
    </row>
    <row r="969" spans="1:13" ht="15" customHeight="1">
      <c r="A969" s="1">
        <v>7118</v>
      </c>
      <c r="B969" s="1" t="s">
        <v>9</v>
      </c>
      <c r="C969" s="2" t="s">
        <v>1153</v>
      </c>
      <c r="D969" s="2" t="s">
        <v>1154</v>
      </c>
      <c r="E969" s="1">
        <v>0</v>
      </c>
      <c r="F969" s="2" t="s">
        <v>1155</v>
      </c>
      <c r="H969" s="1" t="str">
        <f t="shared" si="15"/>
        <v/>
      </c>
      <c r="K969" s="1">
        <f>IF(E969=0,SUMPRODUCT(($A$2:$A$4734=A969)*($B$2:$B$4734=B969)*($D$2:$D$4734=D969)*($E$2:$E$4734=0)),0)</f>
        <v>4</v>
      </c>
      <c r="L969" s="1">
        <f>IF(E969=0,SUMPRODUCT(MIN($K$2:$K$4734+((($A$2:$A$4734&lt;&gt;A969)+($E$2:$E$4734&lt;&gt;0))&gt;0)*1000000)),"")</f>
        <v>2</v>
      </c>
      <c r="M969" s="1">
        <f>IF(AND(E969=0,COUNTIFS($A$2:A969,A969,$E$2:E969,0)=1),L969,0)</f>
        <v>2</v>
      </c>
    </row>
    <row r="970" spans="1:13" ht="15" customHeight="1">
      <c r="A970" s="1">
        <v>7118</v>
      </c>
      <c r="B970" s="1" t="s">
        <v>9</v>
      </c>
      <c r="C970" s="2" t="s">
        <v>1153</v>
      </c>
      <c r="D970" s="2" t="s">
        <v>1154</v>
      </c>
      <c r="E970" s="1">
        <v>0</v>
      </c>
      <c r="F970" s="2" t="s">
        <v>1156</v>
      </c>
      <c r="H970" s="1" t="str">
        <f t="shared" si="15"/>
        <v/>
      </c>
      <c r="K970" s="1">
        <f>IF(E970=0,SUMPRODUCT(($A$2:$A$4734=A970)*($B$2:$B$4734=B970)*($D$2:$D$4734=D970)*($E$2:$E$4734=0)),0)</f>
        <v>4</v>
      </c>
      <c r="L970" s="1">
        <f>IF(E970=0,SUMPRODUCT(MIN($K$2:$K$4734+((($A$2:$A$4734&lt;&gt;A970)+($E$2:$E$4734&lt;&gt;0))&gt;0)*1000000)),"")</f>
        <v>2</v>
      </c>
      <c r="M970" s="1">
        <f>IF(AND(E970=0,COUNTIFS($A$2:A970,A970,$E$2:E970,0)=1),L970,0)</f>
        <v>0</v>
      </c>
    </row>
    <row r="971" spans="1:13" ht="15" customHeight="1">
      <c r="A971" s="1">
        <v>7118</v>
      </c>
      <c r="B971" s="1" t="s">
        <v>9</v>
      </c>
      <c r="C971" s="2" t="s">
        <v>1153</v>
      </c>
      <c r="D971" s="2" t="s">
        <v>1154</v>
      </c>
      <c r="E971" s="1">
        <v>0</v>
      </c>
      <c r="F971" s="2" t="s">
        <v>1157</v>
      </c>
      <c r="H971" s="1" t="str">
        <f t="shared" si="15"/>
        <v/>
      </c>
      <c r="K971" s="1">
        <f>IF(E971=0,SUMPRODUCT(($A$2:$A$4734=A971)*($B$2:$B$4734=B971)*($D$2:$D$4734=D971)*($E$2:$E$4734=0)),0)</f>
        <v>4</v>
      </c>
      <c r="L971" s="1">
        <f>IF(E971=0,SUMPRODUCT(MIN($K$2:$K$4734+((($A$2:$A$4734&lt;&gt;A971)+($E$2:$E$4734&lt;&gt;0))&gt;0)*1000000)),"")</f>
        <v>2</v>
      </c>
      <c r="M971" s="1">
        <f>IF(AND(E971=0,COUNTIFS($A$2:A971,A971,$E$2:E971,0)=1),L971,0)</f>
        <v>0</v>
      </c>
    </row>
    <row r="972" spans="1:13" ht="15" customHeight="1">
      <c r="A972" s="1">
        <v>7118</v>
      </c>
      <c r="B972" s="1" t="s">
        <v>9</v>
      </c>
      <c r="C972" s="2" t="s">
        <v>1153</v>
      </c>
      <c r="D972" s="2" t="s">
        <v>1154</v>
      </c>
      <c r="E972" s="1">
        <v>0</v>
      </c>
      <c r="F972" s="2" t="s">
        <v>1158</v>
      </c>
      <c r="H972" s="1" t="str">
        <f t="shared" si="15"/>
        <v/>
      </c>
      <c r="K972" s="1">
        <f>IF(E972=0,SUMPRODUCT(($A$2:$A$4734=A972)*($B$2:$B$4734=B972)*($D$2:$D$4734=D972)*($E$2:$E$4734=0)),0)</f>
        <v>4</v>
      </c>
      <c r="L972" s="1">
        <f>IF(E972=0,SUMPRODUCT(MIN($K$2:$K$4734+((($A$2:$A$4734&lt;&gt;A972)+($E$2:$E$4734&lt;&gt;0))&gt;0)*1000000)),"")</f>
        <v>2</v>
      </c>
      <c r="M972" s="1">
        <f>IF(AND(E972=0,COUNTIFS($A$2:A972,A972,$E$2:E972,0)=1),L972,0)</f>
        <v>0</v>
      </c>
    </row>
    <row r="973" spans="1:13" ht="15" customHeight="1">
      <c r="A973" s="1">
        <v>7118</v>
      </c>
      <c r="B973" s="1" t="s">
        <v>9</v>
      </c>
      <c r="C973" s="2" t="s">
        <v>1153</v>
      </c>
      <c r="D973" s="2" t="s">
        <v>1159</v>
      </c>
      <c r="E973" s="1">
        <v>0</v>
      </c>
      <c r="F973" s="2" t="s">
        <v>1160</v>
      </c>
      <c r="H973" s="1" t="str">
        <f t="shared" si="15"/>
        <v/>
      </c>
      <c r="K973" s="1">
        <f>IF(E973=0,SUMPRODUCT(($A$2:$A$4734=A973)*($B$2:$B$4734=B973)*($D$2:$D$4734=D973)*($E$2:$E$4734=0)),0)</f>
        <v>2</v>
      </c>
      <c r="L973" s="1">
        <f>IF(E973=0,SUMPRODUCT(MIN($K$2:$K$4734+((($A$2:$A$4734&lt;&gt;A973)+($E$2:$E$4734&lt;&gt;0))&gt;0)*1000000)),"")</f>
        <v>2</v>
      </c>
      <c r="M973" s="1">
        <f>IF(AND(E973=0,COUNTIFS($A$2:A973,A973,$E$2:E973,0)=1),L973,0)</f>
        <v>0</v>
      </c>
    </row>
    <row r="974" spans="1:13" ht="15" customHeight="1">
      <c r="A974" s="1">
        <v>7118</v>
      </c>
      <c r="B974" s="1" t="s">
        <v>9</v>
      </c>
      <c r="C974" s="2" t="s">
        <v>1153</v>
      </c>
      <c r="D974" s="2" t="s">
        <v>1159</v>
      </c>
      <c r="E974" s="1">
        <v>0</v>
      </c>
      <c r="F974" s="2" t="s">
        <v>1161</v>
      </c>
      <c r="H974" s="1" t="str">
        <f t="shared" si="15"/>
        <v/>
      </c>
      <c r="K974" s="1">
        <f>IF(E974=0,SUMPRODUCT(($A$2:$A$4734=A974)*($B$2:$B$4734=B974)*($D$2:$D$4734=D974)*($E$2:$E$4734=0)),0)</f>
        <v>2</v>
      </c>
      <c r="L974" s="1">
        <f>IF(E974=0,SUMPRODUCT(MIN($K$2:$K$4734+((($A$2:$A$4734&lt;&gt;A974)+($E$2:$E$4734&lt;&gt;0))&gt;0)*1000000)),"")</f>
        <v>2</v>
      </c>
      <c r="M974" s="1">
        <f>IF(AND(E974=0,COUNTIFS($A$2:A974,A974,$E$2:E974,0)=1),L974,0)</f>
        <v>0</v>
      </c>
    </row>
    <row r="975" spans="1:13" ht="15" customHeight="1">
      <c r="A975" s="1">
        <v>7271</v>
      </c>
      <c r="B975" s="1" t="s">
        <v>16</v>
      </c>
      <c r="C975" s="2" t="s">
        <v>1162</v>
      </c>
      <c r="D975" s="2" t="s">
        <v>1163</v>
      </c>
      <c r="E975" s="1">
        <v>0</v>
      </c>
      <c r="F975" s="2" t="s">
        <v>1164</v>
      </c>
      <c r="H975" s="1" t="str">
        <f t="shared" si="15"/>
        <v/>
      </c>
      <c r="K975" s="1">
        <f>IF(E975=0,SUMPRODUCT(($A$2:$A$4734=A975)*($B$2:$B$4734=B975)*($D$2:$D$4734=D975)*($E$2:$E$4734=0)),0)</f>
        <v>6</v>
      </c>
      <c r="L975" s="1">
        <f>IF(E975=0,SUMPRODUCT(MIN($K$2:$K$4734+((($A$2:$A$4734&lt;&gt;A975)+($E$2:$E$4734&lt;&gt;0))&gt;0)*1000000)),"")</f>
        <v>3</v>
      </c>
      <c r="M975" s="1">
        <f>IF(AND(E975=0,COUNTIFS($A$2:A975,A975,$E$2:E975,0)=1),L975,0)</f>
        <v>3</v>
      </c>
    </row>
    <row r="976" spans="1:13" ht="15" customHeight="1">
      <c r="A976" s="1">
        <v>7271</v>
      </c>
      <c r="B976" s="1" t="s">
        <v>16</v>
      </c>
      <c r="C976" s="2" t="s">
        <v>1162</v>
      </c>
      <c r="D976" s="2" t="s">
        <v>1163</v>
      </c>
      <c r="E976" s="1">
        <v>0</v>
      </c>
      <c r="F976" s="2" t="s">
        <v>1165</v>
      </c>
      <c r="H976" s="1" t="str">
        <f t="shared" si="15"/>
        <v/>
      </c>
      <c r="K976" s="1">
        <f>IF(E976=0,SUMPRODUCT(($A$2:$A$4734=A976)*($B$2:$B$4734=B976)*($D$2:$D$4734=D976)*($E$2:$E$4734=0)),0)</f>
        <v>6</v>
      </c>
      <c r="L976" s="1">
        <f>IF(E976=0,SUMPRODUCT(MIN($K$2:$K$4734+((($A$2:$A$4734&lt;&gt;A976)+($E$2:$E$4734&lt;&gt;0))&gt;0)*1000000)),"")</f>
        <v>3</v>
      </c>
      <c r="M976" s="1">
        <f>IF(AND(E976=0,COUNTIFS($A$2:A976,A976,$E$2:E976,0)=1),L976,0)</f>
        <v>0</v>
      </c>
    </row>
    <row r="977" spans="1:13" ht="15" customHeight="1">
      <c r="A977" s="1">
        <v>7271</v>
      </c>
      <c r="B977" s="1" t="s">
        <v>16</v>
      </c>
      <c r="C977" s="2" t="s">
        <v>1162</v>
      </c>
      <c r="D977" s="2" t="s">
        <v>1163</v>
      </c>
      <c r="E977" s="1">
        <v>0</v>
      </c>
      <c r="F977" s="2" t="s">
        <v>1166</v>
      </c>
      <c r="H977" s="1" t="str">
        <f t="shared" si="15"/>
        <v/>
      </c>
      <c r="K977" s="1">
        <f>IF(E977=0,SUMPRODUCT(($A$2:$A$4734=A977)*($B$2:$B$4734=B977)*($D$2:$D$4734=D977)*($E$2:$E$4734=0)),0)</f>
        <v>6</v>
      </c>
      <c r="L977" s="1">
        <f>IF(E977=0,SUMPRODUCT(MIN($K$2:$K$4734+((($A$2:$A$4734&lt;&gt;A977)+($E$2:$E$4734&lt;&gt;0))&gt;0)*1000000)),"")</f>
        <v>3</v>
      </c>
      <c r="M977" s="1">
        <f>IF(AND(E977=0,COUNTIFS($A$2:A977,A977,$E$2:E977,0)=1),L977,0)</f>
        <v>0</v>
      </c>
    </row>
    <row r="978" spans="1:13" ht="15" customHeight="1">
      <c r="A978" s="1">
        <v>7271</v>
      </c>
      <c r="B978" s="1" t="s">
        <v>16</v>
      </c>
      <c r="C978" s="2" t="s">
        <v>1162</v>
      </c>
      <c r="D978" s="2" t="s">
        <v>1163</v>
      </c>
      <c r="E978" s="1">
        <v>0</v>
      </c>
      <c r="F978" s="2" t="s">
        <v>1167</v>
      </c>
      <c r="H978" s="1" t="str">
        <f t="shared" si="15"/>
        <v/>
      </c>
      <c r="K978" s="1">
        <f>IF(E978=0,SUMPRODUCT(($A$2:$A$4734=A978)*($B$2:$B$4734=B978)*($D$2:$D$4734=D978)*($E$2:$E$4734=0)),0)</f>
        <v>6</v>
      </c>
      <c r="L978" s="1">
        <f>IF(E978=0,SUMPRODUCT(MIN($K$2:$K$4734+((($A$2:$A$4734&lt;&gt;A978)+($E$2:$E$4734&lt;&gt;0))&gt;0)*1000000)),"")</f>
        <v>3</v>
      </c>
      <c r="M978" s="1">
        <f>IF(AND(E978=0,COUNTIFS($A$2:A978,A978,$E$2:E978,0)=1),L978,0)</f>
        <v>0</v>
      </c>
    </row>
    <row r="979" spans="1:13" ht="15" customHeight="1">
      <c r="A979" s="1">
        <v>7271</v>
      </c>
      <c r="B979" s="1" t="s">
        <v>16</v>
      </c>
      <c r="C979" s="2" t="s">
        <v>1162</v>
      </c>
      <c r="D979" s="2" t="s">
        <v>1163</v>
      </c>
      <c r="E979" s="1">
        <v>0</v>
      </c>
      <c r="F979" s="2" t="s">
        <v>1168</v>
      </c>
      <c r="H979" s="1" t="str">
        <f t="shared" si="15"/>
        <v/>
      </c>
      <c r="K979" s="1">
        <f>IF(E979=0,SUMPRODUCT(($A$2:$A$4734=A979)*($B$2:$B$4734=B979)*($D$2:$D$4734=D979)*($E$2:$E$4734=0)),0)</f>
        <v>6</v>
      </c>
      <c r="L979" s="1">
        <f>IF(E979=0,SUMPRODUCT(MIN($K$2:$K$4734+((($A$2:$A$4734&lt;&gt;A979)+($E$2:$E$4734&lt;&gt;0))&gt;0)*1000000)),"")</f>
        <v>3</v>
      </c>
      <c r="M979" s="1">
        <f>IF(AND(E979=0,COUNTIFS($A$2:A979,A979,$E$2:E979,0)=1),L979,0)</f>
        <v>0</v>
      </c>
    </row>
    <row r="980" spans="1:13" ht="15" customHeight="1">
      <c r="A980" s="1">
        <v>7271</v>
      </c>
      <c r="B980" s="1" t="s">
        <v>16</v>
      </c>
      <c r="C980" s="2" t="s">
        <v>1162</v>
      </c>
      <c r="D980" s="2" t="s">
        <v>1163</v>
      </c>
      <c r="E980" s="1">
        <v>0</v>
      </c>
      <c r="F980" s="2" t="s">
        <v>1169</v>
      </c>
      <c r="H980" s="1" t="str">
        <f t="shared" si="15"/>
        <v/>
      </c>
      <c r="K980" s="1">
        <f>IF(E980=0,SUMPRODUCT(($A$2:$A$4734=A980)*($B$2:$B$4734=B980)*($D$2:$D$4734=D980)*($E$2:$E$4734=0)),0)</f>
        <v>6</v>
      </c>
      <c r="L980" s="1">
        <f>IF(E980=0,SUMPRODUCT(MIN($K$2:$K$4734+((($A$2:$A$4734&lt;&gt;A980)+($E$2:$E$4734&lt;&gt;0))&gt;0)*1000000)),"")</f>
        <v>3</v>
      </c>
      <c r="M980" s="1">
        <f>IF(AND(E980=0,COUNTIFS($A$2:A980,A980,$E$2:E980,0)=1),L980,0)</f>
        <v>0</v>
      </c>
    </row>
    <row r="981" spans="1:13" ht="15" customHeight="1">
      <c r="A981" s="1">
        <v>7271</v>
      </c>
      <c r="B981" s="1" t="s">
        <v>9</v>
      </c>
      <c r="C981" s="2" t="s">
        <v>1162</v>
      </c>
      <c r="D981" s="2" t="s">
        <v>1170</v>
      </c>
      <c r="E981" s="1">
        <v>0</v>
      </c>
      <c r="F981" s="2" t="s">
        <v>1171</v>
      </c>
      <c r="H981" s="1" t="str">
        <f t="shared" si="15"/>
        <v/>
      </c>
      <c r="K981" s="1">
        <f>IF(E981=0,SUMPRODUCT(($A$2:$A$4734=A981)*($B$2:$B$4734=B981)*($D$2:$D$4734=D981)*($E$2:$E$4734=0)),0)</f>
        <v>3</v>
      </c>
      <c r="L981" s="1">
        <f>IF(E981=0,SUMPRODUCT(MIN($K$2:$K$4734+((($A$2:$A$4734&lt;&gt;A981)+($E$2:$E$4734&lt;&gt;0))&gt;0)*1000000)),"")</f>
        <v>3</v>
      </c>
      <c r="M981" s="1">
        <f>IF(AND(E981=0,COUNTIFS($A$2:A981,A981,$E$2:E981,0)=1),L981,0)</f>
        <v>0</v>
      </c>
    </row>
    <row r="982" spans="1:13" ht="15" customHeight="1">
      <c r="A982" s="1">
        <v>7271</v>
      </c>
      <c r="B982" s="1" t="s">
        <v>9</v>
      </c>
      <c r="C982" s="2" t="s">
        <v>1162</v>
      </c>
      <c r="D982" s="2" t="s">
        <v>1170</v>
      </c>
      <c r="E982" s="1">
        <v>0</v>
      </c>
      <c r="F982" s="2" t="s">
        <v>1172</v>
      </c>
      <c r="H982" s="1" t="str">
        <f t="shared" si="15"/>
        <v/>
      </c>
      <c r="K982" s="1">
        <f>IF(E982=0,SUMPRODUCT(($A$2:$A$4734=A982)*($B$2:$B$4734=B982)*($D$2:$D$4734=D982)*($E$2:$E$4734=0)),0)</f>
        <v>3</v>
      </c>
      <c r="L982" s="1">
        <f>IF(E982=0,SUMPRODUCT(MIN($K$2:$K$4734+((($A$2:$A$4734&lt;&gt;A982)+($E$2:$E$4734&lt;&gt;0))&gt;0)*1000000)),"")</f>
        <v>3</v>
      </c>
      <c r="M982" s="1">
        <f>IF(AND(E982=0,COUNTIFS($A$2:A982,A982,$E$2:E982,0)=1),L982,0)</f>
        <v>0</v>
      </c>
    </row>
    <row r="983" spans="1:13" ht="15" customHeight="1">
      <c r="A983" s="1">
        <v>7271</v>
      </c>
      <c r="B983" s="1" t="s">
        <v>9</v>
      </c>
      <c r="C983" s="2" t="s">
        <v>1162</v>
      </c>
      <c r="D983" s="2" t="s">
        <v>1170</v>
      </c>
      <c r="E983" s="1">
        <v>0</v>
      </c>
      <c r="F983" s="2" t="s">
        <v>1173</v>
      </c>
      <c r="H983" s="1" t="str">
        <f t="shared" si="15"/>
        <v/>
      </c>
      <c r="K983" s="1">
        <f>IF(E983=0,SUMPRODUCT(($A$2:$A$4734=A983)*($B$2:$B$4734=B983)*($D$2:$D$4734=D983)*($E$2:$E$4734=0)),0)</f>
        <v>3</v>
      </c>
      <c r="L983" s="1">
        <f>IF(E983=0,SUMPRODUCT(MIN($K$2:$K$4734+((($A$2:$A$4734&lt;&gt;A983)+($E$2:$E$4734&lt;&gt;0))&gt;0)*1000000)),"")</f>
        <v>3</v>
      </c>
      <c r="M983" s="1">
        <f>IF(AND(E983=0,COUNTIFS($A$2:A983,A983,$E$2:E983,0)=1),L983,0)</f>
        <v>0</v>
      </c>
    </row>
    <row r="984" spans="1:13" ht="15" customHeight="1">
      <c r="A984" s="1">
        <v>7272</v>
      </c>
      <c r="B984" s="1" t="s">
        <v>872</v>
      </c>
      <c r="C984" s="2" t="s">
        <v>1174</v>
      </c>
      <c r="D984" s="2" t="s">
        <v>1175</v>
      </c>
      <c r="E984" s="1">
        <v>1</v>
      </c>
      <c r="F984" s="2" t="s">
        <v>1176</v>
      </c>
      <c r="G984" s="1">
        <v>1</v>
      </c>
      <c r="H984" s="1" t="str">
        <f t="shared" si="15"/>
        <v>k7272_1</v>
      </c>
      <c r="K984" s="1">
        <f>IF(E984=0,SUMPRODUCT(($A$2:$A$4734=A984)*($B$2:$B$4734=B984)*($D$2:$D$4734=D984)*($E$2:$E$4734=0)),0)</f>
        <v>0</v>
      </c>
      <c r="L984" s="1" t="str">
        <f>IF(E984=0,SUMPRODUCT(MIN($K$2:$K$4734+((($A$2:$A$4734&lt;&gt;A984)+($E$2:$E$4734&lt;&gt;0))&gt;0)*1000000)),"")</f>
        <v/>
      </c>
      <c r="M984" s="1">
        <f>IF(AND(E984=0,COUNTIFS($A$2:A984,A984,$E$2:E984,0)=1),L984,0)</f>
        <v>0</v>
      </c>
    </row>
    <row r="985" spans="1:13" ht="15" customHeight="1">
      <c r="A985" s="1">
        <v>7272</v>
      </c>
      <c r="B985" s="1" t="s">
        <v>872</v>
      </c>
      <c r="C985" s="2" t="s">
        <v>1174</v>
      </c>
      <c r="D985" s="2" t="s">
        <v>1175</v>
      </c>
      <c r="E985" s="1">
        <v>1</v>
      </c>
      <c r="F985" s="2" t="s">
        <v>1177</v>
      </c>
      <c r="G985" s="1">
        <v>2</v>
      </c>
      <c r="H985" s="1" t="str">
        <f t="shared" si="15"/>
        <v>k7272_2</v>
      </c>
      <c r="K985" s="1">
        <f>IF(E985=0,SUMPRODUCT(($A$2:$A$4734=A985)*($B$2:$B$4734=B985)*($D$2:$D$4734=D985)*($E$2:$E$4734=0)),0)</f>
        <v>0</v>
      </c>
      <c r="L985" s="1" t="str">
        <f>IF(E985=0,SUMPRODUCT(MIN($K$2:$K$4734+((($A$2:$A$4734&lt;&gt;A985)+($E$2:$E$4734&lt;&gt;0))&gt;0)*1000000)),"")</f>
        <v/>
      </c>
      <c r="M985" s="1">
        <f>IF(AND(E985=0,COUNTIFS($A$2:A985,A985,$E$2:E985,0)=1),L985,0)</f>
        <v>0</v>
      </c>
    </row>
    <row r="986" spans="1:13" ht="15" customHeight="1">
      <c r="A986" s="1">
        <v>7272</v>
      </c>
      <c r="B986" s="1" t="s">
        <v>872</v>
      </c>
      <c r="C986" s="2" t="s">
        <v>1174</v>
      </c>
      <c r="D986" s="2" t="s">
        <v>1175</v>
      </c>
      <c r="E986" s="1">
        <v>1</v>
      </c>
      <c r="F986" s="2" t="s">
        <v>1178</v>
      </c>
      <c r="G986" s="1">
        <v>3</v>
      </c>
      <c r="H986" s="1" t="str">
        <f t="shared" si="15"/>
        <v>k7272_3</v>
      </c>
      <c r="K986" s="1">
        <f>IF(E986=0,SUMPRODUCT(($A$2:$A$4734=A986)*($B$2:$B$4734=B986)*($D$2:$D$4734=D986)*($E$2:$E$4734=0)),0)</f>
        <v>0</v>
      </c>
      <c r="L986" s="1" t="str">
        <f>IF(E986=0,SUMPRODUCT(MIN($K$2:$K$4734+((($A$2:$A$4734&lt;&gt;A986)+($E$2:$E$4734&lt;&gt;0))&gt;0)*1000000)),"")</f>
        <v/>
      </c>
      <c r="M986" s="1">
        <f>IF(AND(E986=0,COUNTIFS($A$2:A986,A986,$E$2:E986,0)=1),L986,0)</f>
        <v>0</v>
      </c>
    </row>
    <row r="987" spans="1:13" ht="15" customHeight="1">
      <c r="A987" s="1">
        <v>7272</v>
      </c>
      <c r="B987" s="1" t="s">
        <v>872</v>
      </c>
      <c r="C987" s="2" t="s">
        <v>1174</v>
      </c>
      <c r="D987" s="2" t="s">
        <v>1175</v>
      </c>
      <c r="E987" s="1">
        <v>1</v>
      </c>
      <c r="F987" s="2" t="s">
        <v>1179</v>
      </c>
      <c r="G987" s="1">
        <v>4</v>
      </c>
      <c r="H987" s="1" t="str">
        <f t="shared" si="15"/>
        <v>k7272_4</v>
      </c>
      <c r="K987" s="1">
        <f>IF(E987=0,SUMPRODUCT(($A$2:$A$4734=A987)*($B$2:$B$4734=B987)*($D$2:$D$4734=D987)*($E$2:$E$4734=0)),0)</f>
        <v>0</v>
      </c>
      <c r="L987" s="1" t="str">
        <f>IF(E987=0,SUMPRODUCT(MIN($K$2:$K$4734+((($A$2:$A$4734&lt;&gt;A987)+($E$2:$E$4734&lt;&gt;0))&gt;0)*1000000)),"")</f>
        <v/>
      </c>
      <c r="M987" s="1">
        <f>IF(AND(E987=0,COUNTIFS($A$2:A987,A987,$E$2:E987,0)=1),L987,0)</f>
        <v>0</v>
      </c>
    </row>
    <row r="988" spans="1:13" ht="15" customHeight="1">
      <c r="A988" s="1">
        <v>7272</v>
      </c>
      <c r="B988" s="1" t="s">
        <v>872</v>
      </c>
      <c r="C988" s="2" t="s">
        <v>1174</v>
      </c>
      <c r="D988" s="2" t="s">
        <v>1175</v>
      </c>
      <c r="E988" s="1">
        <v>1</v>
      </c>
      <c r="F988" s="2" t="s">
        <v>1180</v>
      </c>
      <c r="G988" s="1">
        <v>5</v>
      </c>
      <c r="H988" s="1" t="str">
        <f t="shared" si="15"/>
        <v>k7272_5</v>
      </c>
      <c r="K988" s="1">
        <f>IF(E988=0,SUMPRODUCT(($A$2:$A$4734=A988)*($B$2:$B$4734=B988)*($D$2:$D$4734=D988)*($E$2:$E$4734=0)),0)</f>
        <v>0</v>
      </c>
      <c r="L988" s="1" t="str">
        <f>IF(E988=0,SUMPRODUCT(MIN($K$2:$K$4734+((($A$2:$A$4734&lt;&gt;A988)+($E$2:$E$4734&lt;&gt;0))&gt;0)*1000000)),"")</f>
        <v/>
      </c>
      <c r="M988" s="1">
        <f>IF(AND(E988=0,COUNTIFS($A$2:A988,A988,$E$2:E988,0)=1),L988,0)</f>
        <v>0</v>
      </c>
    </row>
    <row r="989" spans="1:13" ht="15" customHeight="1">
      <c r="A989" s="1">
        <v>7272</v>
      </c>
      <c r="B989" s="1" t="s">
        <v>95</v>
      </c>
      <c r="C989" s="2" t="s">
        <v>1174</v>
      </c>
      <c r="D989" s="2" t="s">
        <v>1181</v>
      </c>
      <c r="E989" s="1">
        <v>1</v>
      </c>
      <c r="F989" s="2" t="s">
        <v>1182</v>
      </c>
      <c r="G989" s="1">
        <v>1</v>
      </c>
      <c r="H989" s="1" t="str">
        <f t="shared" si="15"/>
        <v>k7272_1</v>
      </c>
      <c r="K989" s="1">
        <f>IF(E989=0,SUMPRODUCT(($A$2:$A$4734=A989)*($B$2:$B$4734=B989)*($D$2:$D$4734=D989)*($E$2:$E$4734=0)),0)</f>
        <v>0</v>
      </c>
      <c r="L989" s="1" t="str">
        <f>IF(E989=0,SUMPRODUCT(MIN($K$2:$K$4734+((($A$2:$A$4734&lt;&gt;A989)+($E$2:$E$4734&lt;&gt;0))&gt;0)*1000000)),"")</f>
        <v/>
      </c>
      <c r="M989" s="1">
        <f>IF(AND(E989=0,COUNTIFS($A$2:A989,A989,$E$2:E989,0)=1),L989,0)</f>
        <v>0</v>
      </c>
    </row>
    <row r="990" spans="1:13" ht="15" customHeight="1">
      <c r="A990" s="1">
        <v>7272</v>
      </c>
      <c r="B990" s="1" t="s">
        <v>95</v>
      </c>
      <c r="C990" s="2" t="s">
        <v>1174</v>
      </c>
      <c r="D990" s="2" t="s">
        <v>1181</v>
      </c>
      <c r="E990" s="1">
        <v>1</v>
      </c>
      <c r="F990" s="2" t="s">
        <v>1183</v>
      </c>
      <c r="G990" s="1">
        <v>2</v>
      </c>
      <c r="H990" s="1" t="str">
        <f t="shared" si="15"/>
        <v>k7272_2</v>
      </c>
      <c r="K990" s="1">
        <f>IF(E990=0,SUMPRODUCT(($A$2:$A$4734=A990)*($B$2:$B$4734=B990)*($D$2:$D$4734=D990)*($E$2:$E$4734=0)),0)</f>
        <v>0</v>
      </c>
      <c r="L990" s="1" t="str">
        <f>IF(E990=0,SUMPRODUCT(MIN($K$2:$K$4734+((($A$2:$A$4734&lt;&gt;A990)+($E$2:$E$4734&lt;&gt;0))&gt;0)*1000000)),"")</f>
        <v/>
      </c>
      <c r="M990" s="1">
        <f>IF(AND(E990=0,COUNTIFS($A$2:A990,A990,$E$2:E990,0)=1),L990,0)</f>
        <v>0</v>
      </c>
    </row>
    <row r="991" spans="1:13" ht="15" customHeight="1">
      <c r="A991" s="1">
        <v>7272</v>
      </c>
      <c r="B991" s="1" t="s">
        <v>95</v>
      </c>
      <c r="C991" s="2" t="s">
        <v>1174</v>
      </c>
      <c r="D991" s="2" t="s">
        <v>1181</v>
      </c>
      <c r="E991" s="1">
        <v>1</v>
      </c>
      <c r="F991" s="2" t="s">
        <v>1182</v>
      </c>
      <c r="G991" s="1">
        <v>3</v>
      </c>
      <c r="H991" s="1" t="str">
        <f t="shared" si="15"/>
        <v>k7272_3</v>
      </c>
      <c r="K991" s="1">
        <f>IF(E991=0,SUMPRODUCT(($A$2:$A$4734=A991)*($B$2:$B$4734=B991)*($D$2:$D$4734=D991)*($E$2:$E$4734=0)),0)</f>
        <v>0</v>
      </c>
      <c r="L991" s="1" t="str">
        <f>IF(E991=0,SUMPRODUCT(MIN($K$2:$K$4734+((($A$2:$A$4734&lt;&gt;A991)+($E$2:$E$4734&lt;&gt;0))&gt;0)*1000000)),"")</f>
        <v/>
      </c>
      <c r="M991" s="1">
        <f>IF(AND(E991=0,COUNTIFS($A$2:A991,A991,$E$2:E991,0)=1),L991,0)</f>
        <v>0</v>
      </c>
    </row>
    <row r="992" spans="1:13" ht="15" customHeight="1">
      <c r="A992" s="1">
        <v>7272</v>
      </c>
      <c r="B992" s="1" t="s">
        <v>95</v>
      </c>
      <c r="C992" s="2" t="s">
        <v>1174</v>
      </c>
      <c r="D992" s="2" t="s">
        <v>1181</v>
      </c>
      <c r="E992" s="1">
        <v>1</v>
      </c>
      <c r="F992" s="2" t="s">
        <v>1183</v>
      </c>
      <c r="G992" s="1">
        <v>4</v>
      </c>
      <c r="H992" s="1" t="str">
        <f t="shared" si="15"/>
        <v>k7272_4</v>
      </c>
      <c r="K992" s="1">
        <f>IF(E992=0,SUMPRODUCT(($A$2:$A$4734=A992)*($B$2:$B$4734=B992)*($D$2:$D$4734=D992)*($E$2:$E$4734=0)),0)</f>
        <v>0</v>
      </c>
      <c r="L992" s="1" t="str">
        <f>IF(E992=0,SUMPRODUCT(MIN($K$2:$K$4734+((($A$2:$A$4734&lt;&gt;A992)+($E$2:$E$4734&lt;&gt;0))&gt;0)*1000000)),"")</f>
        <v/>
      </c>
      <c r="M992" s="1">
        <f>IF(AND(E992=0,COUNTIFS($A$2:A992,A992,$E$2:E992,0)=1),L992,0)</f>
        <v>0</v>
      </c>
    </row>
    <row r="993" spans="1:13" ht="15" customHeight="1">
      <c r="A993" s="1">
        <v>7272</v>
      </c>
      <c r="B993" s="1" t="s">
        <v>95</v>
      </c>
      <c r="C993" s="2" t="s">
        <v>1174</v>
      </c>
      <c r="D993" s="2" t="s">
        <v>1181</v>
      </c>
      <c r="E993" s="1">
        <v>1</v>
      </c>
      <c r="F993" s="2" t="s">
        <v>1183</v>
      </c>
      <c r="G993" s="1">
        <v>5</v>
      </c>
      <c r="H993" s="1" t="str">
        <f t="shared" si="15"/>
        <v>k7272_5</v>
      </c>
      <c r="K993" s="1">
        <f>IF(E993=0,SUMPRODUCT(($A$2:$A$4734=A993)*($B$2:$B$4734=B993)*($D$2:$D$4734=D993)*($E$2:$E$4734=0)),0)</f>
        <v>0</v>
      </c>
      <c r="L993" s="1" t="str">
        <f>IF(E993=0,SUMPRODUCT(MIN($K$2:$K$4734+((($A$2:$A$4734&lt;&gt;A993)+($E$2:$E$4734&lt;&gt;0))&gt;0)*1000000)),"")</f>
        <v/>
      </c>
      <c r="M993" s="1">
        <f>IF(AND(E993=0,COUNTIFS($A$2:A993,A993,$E$2:E993,0)=1),L993,0)</f>
        <v>0</v>
      </c>
    </row>
    <row r="994" spans="1:13" ht="15" customHeight="1">
      <c r="A994" s="1">
        <v>7273</v>
      </c>
      <c r="B994" s="1" t="s">
        <v>358</v>
      </c>
      <c r="C994" s="2" t="s">
        <v>1184</v>
      </c>
      <c r="D994" s="2" t="s">
        <v>1185</v>
      </c>
      <c r="E994" s="1">
        <v>1</v>
      </c>
      <c r="F994" s="2" t="s">
        <v>1186</v>
      </c>
      <c r="G994" s="1">
        <v>1</v>
      </c>
      <c r="H994" s="1" t="str">
        <f t="shared" si="15"/>
        <v>k7273_1</v>
      </c>
      <c r="K994" s="1">
        <f>IF(E994=0,SUMPRODUCT(($A$2:$A$4734=A994)*($B$2:$B$4734=B994)*($D$2:$D$4734=D994)*($E$2:$E$4734=0)),0)</f>
        <v>0</v>
      </c>
      <c r="L994" s="1" t="str">
        <f>IF(E994=0,SUMPRODUCT(MIN($K$2:$K$4734+((($A$2:$A$4734&lt;&gt;A994)+($E$2:$E$4734&lt;&gt;0))&gt;0)*1000000)),"")</f>
        <v/>
      </c>
      <c r="M994" s="1">
        <f>IF(AND(E994=0,COUNTIFS($A$2:A994,A994,$E$2:E994,0)=1),L994,0)</f>
        <v>0</v>
      </c>
    </row>
    <row r="995" spans="1:13" ht="15" customHeight="1">
      <c r="A995" s="1">
        <v>7273</v>
      </c>
      <c r="B995" s="1" t="s">
        <v>358</v>
      </c>
      <c r="C995" s="2" t="s">
        <v>1184</v>
      </c>
      <c r="D995" s="2" t="s">
        <v>1185</v>
      </c>
      <c r="E995" s="1">
        <v>1</v>
      </c>
      <c r="F995" s="2" t="s">
        <v>1187</v>
      </c>
      <c r="G995" s="1">
        <v>2</v>
      </c>
      <c r="H995" s="1" t="str">
        <f t="shared" si="15"/>
        <v>k7273_2</v>
      </c>
      <c r="K995" s="1">
        <f>IF(E995=0,SUMPRODUCT(($A$2:$A$4734=A995)*($B$2:$B$4734=B995)*($D$2:$D$4734=D995)*($E$2:$E$4734=0)),0)</f>
        <v>0</v>
      </c>
      <c r="L995" s="1" t="str">
        <f>IF(E995=0,SUMPRODUCT(MIN($K$2:$K$4734+((($A$2:$A$4734&lt;&gt;A995)+($E$2:$E$4734&lt;&gt;0))&gt;0)*1000000)),"")</f>
        <v/>
      </c>
      <c r="M995" s="1">
        <f>IF(AND(E995=0,COUNTIFS($A$2:A995,A995,$E$2:E995,0)=1),L995,0)</f>
        <v>0</v>
      </c>
    </row>
    <row r="996" spans="1:13" ht="15" customHeight="1">
      <c r="A996" s="1">
        <v>7273</v>
      </c>
      <c r="B996" s="1" t="s">
        <v>358</v>
      </c>
      <c r="C996" s="2" t="s">
        <v>1184</v>
      </c>
      <c r="D996" s="2" t="s">
        <v>1185</v>
      </c>
      <c r="E996" s="1">
        <v>1</v>
      </c>
      <c r="F996" s="2" t="s">
        <v>1188</v>
      </c>
      <c r="G996" s="1">
        <v>3</v>
      </c>
      <c r="H996" s="1" t="str">
        <f t="shared" si="15"/>
        <v>k7273_3</v>
      </c>
      <c r="K996" s="1">
        <f>IF(E996=0,SUMPRODUCT(($A$2:$A$4734=A996)*($B$2:$B$4734=B996)*($D$2:$D$4734=D996)*($E$2:$E$4734=0)),0)</f>
        <v>0</v>
      </c>
      <c r="L996" s="1" t="str">
        <f>IF(E996=0,SUMPRODUCT(MIN($K$2:$K$4734+((($A$2:$A$4734&lt;&gt;A996)+($E$2:$E$4734&lt;&gt;0))&gt;0)*1000000)),"")</f>
        <v/>
      </c>
      <c r="M996" s="1">
        <f>IF(AND(E996=0,COUNTIFS($A$2:A996,A996,$E$2:E996,0)=1),L996,0)</f>
        <v>0</v>
      </c>
    </row>
    <row r="997" spans="1:13" ht="15" customHeight="1">
      <c r="A997" s="1">
        <v>7273</v>
      </c>
      <c r="B997" s="1" t="s">
        <v>358</v>
      </c>
      <c r="C997" s="2" t="s">
        <v>1184</v>
      </c>
      <c r="D997" s="2" t="s">
        <v>1185</v>
      </c>
      <c r="E997" s="1">
        <v>1</v>
      </c>
      <c r="F997" s="2" t="s">
        <v>1189</v>
      </c>
      <c r="G997" s="1">
        <v>4</v>
      </c>
      <c r="H997" s="1" t="str">
        <f t="shared" si="15"/>
        <v>k7273_4</v>
      </c>
      <c r="K997" s="1">
        <f>IF(E997=0,SUMPRODUCT(($A$2:$A$4734=A997)*($B$2:$B$4734=B997)*($D$2:$D$4734=D997)*($E$2:$E$4734=0)),0)</f>
        <v>0</v>
      </c>
      <c r="L997" s="1" t="str">
        <f>IF(E997=0,SUMPRODUCT(MIN($K$2:$K$4734+((($A$2:$A$4734&lt;&gt;A997)+($E$2:$E$4734&lt;&gt;0))&gt;0)*1000000)),"")</f>
        <v/>
      </c>
      <c r="M997" s="1">
        <f>IF(AND(E997=0,COUNTIFS($A$2:A997,A997,$E$2:E997,0)=1),L997,0)</f>
        <v>0</v>
      </c>
    </row>
    <row r="998" spans="1:13" ht="15" customHeight="1">
      <c r="A998" s="1">
        <v>7273</v>
      </c>
      <c r="B998" s="1" t="s">
        <v>358</v>
      </c>
      <c r="C998" s="2" t="s">
        <v>1184</v>
      </c>
      <c r="D998" s="2" t="s">
        <v>1185</v>
      </c>
      <c r="E998" s="1">
        <v>1</v>
      </c>
      <c r="F998" s="2" t="s">
        <v>1190</v>
      </c>
      <c r="G998" s="1">
        <v>5</v>
      </c>
      <c r="H998" s="1" t="str">
        <f t="shared" si="15"/>
        <v>k7273_5</v>
      </c>
      <c r="K998" s="1">
        <f>IF(E998=0,SUMPRODUCT(($A$2:$A$4734=A998)*($B$2:$B$4734=B998)*($D$2:$D$4734=D998)*($E$2:$E$4734=0)),0)</f>
        <v>0</v>
      </c>
      <c r="L998" s="1" t="str">
        <f>IF(E998=0,SUMPRODUCT(MIN($K$2:$K$4734+((($A$2:$A$4734&lt;&gt;A998)+($E$2:$E$4734&lt;&gt;0))&gt;0)*1000000)),"")</f>
        <v/>
      </c>
      <c r="M998" s="1">
        <f>IF(AND(E998=0,COUNTIFS($A$2:A998,A998,$E$2:E998,0)=1),L998,0)</f>
        <v>0</v>
      </c>
    </row>
    <row r="999" spans="1:13" ht="15" customHeight="1">
      <c r="A999" s="1">
        <v>7273</v>
      </c>
      <c r="B999" s="1" t="s">
        <v>358</v>
      </c>
      <c r="C999" s="2" t="s">
        <v>1184</v>
      </c>
      <c r="D999" s="2" t="s">
        <v>1185</v>
      </c>
      <c r="E999" s="1">
        <v>1</v>
      </c>
      <c r="F999" s="2" t="s">
        <v>1191</v>
      </c>
      <c r="G999" s="1">
        <v>6</v>
      </c>
      <c r="H999" s="1" t="str">
        <f t="shared" si="15"/>
        <v>k7273_6</v>
      </c>
      <c r="K999" s="1">
        <f>IF(E999=0,SUMPRODUCT(($A$2:$A$4734=A999)*($B$2:$B$4734=B999)*($D$2:$D$4734=D999)*($E$2:$E$4734=0)),0)</f>
        <v>0</v>
      </c>
      <c r="L999" s="1" t="str">
        <f>IF(E999=0,SUMPRODUCT(MIN($K$2:$K$4734+((($A$2:$A$4734&lt;&gt;A999)+($E$2:$E$4734&lt;&gt;0))&gt;0)*1000000)),"")</f>
        <v/>
      </c>
      <c r="M999" s="1">
        <f>IF(AND(E999=0,COUNTIFS($A$2:A999,A999,$E$2:E999,0)=1),L999,0)</f>
        <v>0</v>
      </c>
    </row>
    <row r="1000" spans="1:13" ht="15" customHeight="1">
      <c r="A1000" s="1">
        <v>7274</v>
      </c>
      <c r="B1000" s="1" t="s">
        <v>69</v>
      </c>
      <c r="C1000" s="2" t="s">
        <v>1192</v>
      </c>
      <c r="D1000" s="2" t="s">
        <v>1192</v>
      </c>
      <c r="E1000" s="1">
        <v>1</v>
      </c>
      <c r="F1000" s="2" t="s">
        <v>1193</v>
      </c>
      <c r="G1000" s="1">
        <v>1</v>
      </c>
      <c r="H1000" s="1" t="str">
        <f t="shared" si="15"/>
        <v>k7274_1</v>
      </c>
      <c r="K1000" s="1">
        <f>IF(E1000=0,SUMPRODUCT(($A$2:$A$4734=A1000)*($B$2:$B$4734=B1000)*($D$2:$D$4734=D1000)*($E$2:$E$4734=0)),0)</f>
        <v>0</v>
      </c>
      <c r="L1000" s="1" t="str">
        <f>IF(E1000=0,SUMPRODUCT(MIN($K$2:$K$4734+((($A$2:$A$4734&lt;&gt;A1000)+($E$2:$E$4734&lt;&gt;0))&gt;0)*1000000)),"")</f>
        <v/>
      </c>
      <c r="M1000" s="1">
        <f>IF(AND(E1000=0,COUNTIFS($A$2:A1000,A1000,$E$2:E1000,0)=1),L1000,0)</f>
        <v>0</v>
      </c>
    </row>
    <row r="1001" spans="1:13" ht="15" customHeight="1">
      <c r="A1001" s="1">
        <v>7274</v>
      </c>
      <c r="B1001" s="1" t="s">
        <v>69</v>
      </c>
      <c r="C1001" s="2" t="s">
        <v>1192</v>
      </c>
      <c r="D1001" s="2" t="s">
        <v>1192</v>
      </c>
      <c r="E1001" s="1">
        <v>1</v>
      </c>
      <c r="F1001" s="2" t="s">
        <v>1194</v>
      </c>
      <c r="G1001" s="1">
        <v>2</v>
      </c>
      <c r="H1001" s="1" t="str">
        <f t="shared" si="15"/>
        <v>k7274_2</v>
      </c>
      <c r="K1001" s="1">
        <f>IF(E1001=0,SUMPRODUCT(($A$2:$A$4734=A1001)*($B$2:$B$4734=B1001)*($D$2:$D$4734=D1001)*($E$2:$E$4734=0)),0)</f>
        <v>0</v>
      </c>
      <c r="L1001" s="1" t="str">
        <f>IF(E1001=0,SUMPRODUCT(MIN($K$2:$K$4734+((($A$2:$A$4734&lt;&gt;A1001)+($E$2:$E$4734&lt;&gt;0))&gt;0)*1000000)),"")</f>
        <v/>
      </c>
      <c r="M1001" s="1">
        <f>IF(AND(E1001=0,COUNTIFS($A$2:A1001,A1001,$E$2:E1001,0)=1),L1001,0)</f>
        <v>0</v>
      </c>
    </row>
    <row r="1002" spans="1:13" ht="15" customHeight="1">
      <c r="A1002" s="1">
        <v>7274</v>
      </c>
      <c r="B1002" s="1" t="s">
        <v>69</v>
      </c>
      <c r="C1002" s="2" t="s">
        <v>1192</v>
      </c>
      <c r="D1002" s="2" t="s">
        <v>1192</v>
      </c>
      <c r="E1002" s="1">
        <v>1</v>
      </c>
      <c r="F1002" s="2" t="s">
        <v>1195</v>
      </c>
      <c r="G1002" s="1">
        <v>3</v>
      </c>
      <c r="H1002" s="1" t="str">
        <f t="shared" ref="H1002:H1065" si="16">IF(OR(E1002&lt;&gt;1,G1002=""),"","k"&amp;A1002&amp;"_"&amp;G1002)</f>
        <v>k7274_3</v>
      </c>
      <c r="K1002" s="1">
        <f>IF(E1002=0,SUMPRODUCT(($A$2:$A$4734=A1002)*($B$2:$B$4734=B1002)*($D$2:$D$4734=D1002)*($E$2:$E$4734=0)),0)</f>
        <v>0</v>
      </c>
      <c r="L1002" s="1" t="str">
        <f>IF(E1002=0,SUMPRODUCT(MIN($K$2:$K$4734+((($A$2:$A$4734&lt;&gt;A1002)+($E$2:$E$4734&lt;&gt;0))&gt;0)*1000000)),"")</f>
        <v/>
      </c>
      <c r="M1002" s="1">
        <f>IF(AND(E1002=0,COUNTIFS($A$2:A1002,A1002,$E$2:E1002,0)=1),L1002,0)</f>
        <v>0</v>
      </c>
    </row>
    <row r="1003" spans="1:13" ht="15" customHeight="1">
      <c r="A1003" s="1">
        <v>7274</v>
      </c>
      <c r="B1003" s="1" t="s">
        <v>69</v>
      </c>
      <c r="C1003" s="2" t="s">
        <v>1192</v>
      </c>
      <c r="D1003" s="2" t="s">
        <v>1192</v>
      </c>
      <c r="E1003" s="1">
        <v>1</v>
      </c>
      <c r="F1003" s="2" t="s">
        <v>1196</v>
      </c>
      <c r="G1003" s="1">
        <v>4</v>
      </c>
      <c r="H1003" s="1" t="str">
        <f t="shared" si="16"/>
        <v>k7274_4</v>
      </c>
      <c r="K1003" s="1">
        <f>IF(E1003=0,SUMPRODUCT(($A$2:$A$4734=A1003)*($B$2:$B$4734=B1003)*($D$2:$D$4734=D1003)*($E$2:$E$4734=0)),0)</f>
        <v>0</v>
      </c>
      <c r="L1003" s="1" t="str">
        <f>IF(E1003=0,SUMPRODUCT(MIN($K$2:$K$4734+((($A$2:$A$4734&lt;&gt;A1003)+($E$2:$E$4734&lt;&gt;0))&gt;0)*1000000)),"")</f>
        <v/>
      </c>
      <c r="M1003" s="1">
        <f>IF(AND(E1003=0,COUNTIFS($A$2:A1003,A1003,$E$2:E1003,0)=1),L1003,0)</f>
        <v>0</v>
      </c>
    </row>
    <row r="1004" spans="1:13" ht="15" customHeight="1">
      <c r="A1004" s="1">
        <v>7274</v>
      </c>
      <c r="B1004" s="1" t="s">
        <v>69</v>
      </c>
      <c r="C1004" s="2" t="s">
        <v>1192</v>
      </c>
      <c r="D1004" s="2" t="s">
        <v>1192</v>
      </c>
      <c r="E1004" s="1">
        <v>1</v>
      </c>
      <c r="F1004" s="2" t="s">
        <v>1197</v>
      </c>
      <c r="G1004" s="1">
        <v>5</v>
      </c>
      <c r="H1004" s="1" t="str">
        <f t="shared" si="16"/>
        <v>k7274_5</v>
      </c>
      <c r="K1004" s="1">
        <f>IF(E1004=0,SUMPRODUCT(($A$2:$A$4734=A1004)*($B$2:$B$4734=B1004)*($D$2:$D$4734=D1004)*($E$2:$E$4734=0)),0)</f>
        <v>0</v>
      </c>
      <c r="L1004" s="1" t="str">
        <f>IF(E1004=0,SUMPRODUCT(MIN($K$2:$K$4734+((($A$2:$A$4734&lt;&gt;A1004)+($E$2:$E$4734&lt;&gt;0))&gt;0)*1000000)),"")</f>
        <v/>
      </c>
      <c r="M1004" s="1">
        <f>IF(AND(E1004=0,COUNTIFS($A$2:A1004,A1004,$E$2:E1004,0)=1),L1004,0)</f>
        <v>0</v>
      </c>
    </row>
    <row r="1005" spans="1:13" ht="15" customHeight="1">
      <c r="A1005" s="1">
        <v>7274</v>
      </c>
      <c r="B1005" s="1" t="s">
        <v>9</v>
      </c>
      <c r="C1005" s="2" t="s">
        <v>1192</v>
      </c>
      <c r="D1005" s="2" t="s">
        <v>1198</v>
      </c>
      <c r="E1005" s="1">
        <v>1</v>
      </c>
      <c r="F1005" s="2" t="s">
        <v>1199</v>
      </c>
      <c r="G1005" s="1">
        <v>1</v>
      </c>
      <c r="H1005" s="1" t="str">
        <f t="shared" si="16"/>
        <v>k7274_1</v>
      </c>
      <c r="K1005" s="1">
        <f>IF(E1005=0,SUMPRODUCT(($A$2:$A$4734=A1005)*($B$2:$B$4734=B1005)*($D$2:$D$4734=D1005)*($E$2:$E$4734=0)),0)</f>
        <v>0</v>
      </c>
      <c r="L1005" s="1" t="str">
        <f>IF(E1005=0,SUMPRODUCT(MIN($K$2:$K$4734+((($A$2:$A$4734&lt;&gt;A1005)+($E$2:$E$4734&lt;&gt;0))&gt;0)*1000000)),"")</f>
        <v/>
      </c>
      <c r="M1005" s="1">
        <f>IF(AND(E1005=0,COUNTIFS($A$2:A1005,A1005,$E$2:E1005,0)=1),L1005,0)</f>
        <v>0</v>
      </c>
    </row>
    <row r="1006" spans="1:13" ht="15" customHeight="1">
      <c r="A1006" s="1">
        <v>7274</v>
      </c>
      <c r="B1006" s="1" t="s">
        <v>9</v>
      </c>
      <c r="C1006" s="2" t="s">
        <v>1192</v>
      </c>
      <c r="D1006" s="2" t="s">
        <v>1198</v>
      </c>
      <c r="E1006" s="1">
        <v>1</v>
      </c>
      <c r="F1006" s="2" t="s">
        <v>1200</v>
      </c>
      <c r="G1006" s="1">
        <v>2</v>
      </c>
      <c r="H1006" s="1" t="str">
        <f t="shared" si="16"/>
        <v>k7274_2</v>
      </c>
      <c r="K1006" s="1">
        <f>IF(E1006=0,SUMPRODUCT(($A$2:$A$4734=A1006)*($B$2:$B$4734=B1006)*($D$2:$D$4734=D1006)*($E$2:$E$4734=0)),0)</f>
        <v>0</v>
      </c>
      <c r="L1006" s="1" t="str">
        <f>IF(E1006=0,SUMPRODUCT(MIN($K$2:$K$4734+((($A$2:$A$4734&lt;&gt;A1006)+($E$2:$E$4734&lt;&gt;0))&gt;0)*1000000)),"")</f>
        <v/>
      </c>
      <c r="M1006" s="1">
        <f>IF(AND(E1006=0,COUNTIFS($A$2:A1006,A1006,$E$2:E1006,0)=1),L1006,0)</f>
        <v>0</v>
      </c>
    </row>
    <row r="1007" spans="1:13" ht="15" customHeight="1">
      <c r="A1007" s="1">
        <v>7274</v>
      </c>
      <c r="B1007" s="1" t="s">
        <v>9</v>
      </c>
      <c r="C1007" s="2" t="s">
        <v>1192</v>
      </c>
      <c r="D1007" s="2" t="s">
        <v>1198</v>
      </c>
      <c r="E1007" s="1">
        <v>1</v>
      </c>
      <c r="F1007" s="2" t="s">
        <v>1201</v>
      </c>
      <c r="G1007" s="1">
        <v>3</v>
      </c>
      <c r="H1007" s="1" t="str">
        <f t="shared" si="16"/>
        <v>k7274_3</v>
      </c>
      <c r="K1007" s="1">
        <f>IF(E1007=0,SUMPRODUCT(($A$2:$A$4734=A1007)*($B$2:$B$4734=B1007)*($D$2:$D$4734=D1007)*($E$2:$E$4734=0)),0)</f>
        <v>0</v>
      </c>
      <c r="L1007" s="1" t="str">
        <f>IF(E1007=0,SUMPRODUCT(MIN($K$2:$K$4734+((($A$2:$A$4734&lt;&gt;A1007)+($E$2:$E$4734&lt;&gt;0))&gt;0)*1000000)),"")</f>
        <v/>
      </c>
      <c r="M1007" s="1">
        <f>IF(AND(E1007=0,COUNTIFS($A$2:A1007,A1007,$E$2:E1007,0)=1),L1007,0)</f>
        <v>0</v>
      </c>
    </row>
    <row r="1008" spans="1:13" ht="15" customHeight="1">
      <c r="A1008" s="1">
        <v>7274</v>
      </c>
      <c r="B1008" s="1" t="s">
        <v>9</v>
      </c>
      <c r="C1008" s="2" t="s">
        <v>1192</v>
      </c>
      <c r="D1008" s="2" t="s">
        <v>1198</v>
      </c>
      <c r="E1008" s="1">
        <v>1</v>
      </c>
      <c r="F1008" s="2" t="s">
        <v>1202</v>
      </c>
      <c r="G1008" s="1">
        <v>4</v>
      </c>
      <c r="H1008" s="1" t="str">
        <f t="shared" si="16"/>
        <v>k7274_4</v>
      </c>
      <c r="K1008" s="1">
        <f>IF(E1008=0,SUMPRODUCT(($A$2:$A$4734=A1008)*($B$2:$B$4734=B1008)*($D$2:$D$4734=D1008)*($E$2:$E$4734=0)),0)</f>
        <v>0</v>
      </c>
      <c r="L1008" s="1" t="str">
        <f>IF(E1008=0,SUMPRODUCT(MIN($K$2:$K$4734+((($A$2:$A$4734&lt;&gt;A1008)+($E$2:$E$4734&lt;&gt;0))&gt;0)*1000000)),"")</f>
        <v/>
      </c>
      <c r="M1008" s="1">
        <f>IF(AND(E1008=0,COUNTIFS($A$2:A1008,A1008,$E$2:E1008,0)=1),L1008,0)</f>
        <v>0</v>
      </c>
    </row>
    <row r="1009" spans="1:13" ht="15" customHeight="1">
      <c r="A1009" s="1">
        <v>7274</v>
      </c>
      <c r="B1009" s="1" t="s">
        <v>9</v>
      </c>
      <c r="C1009" s="2" t="s">
        <v>1192</v>
      </c>
      <c r="D1009" s="2" t="s">
        <v>1198</v>
      </c>
      <c r="E1009" s="1">
        <v>1</v>
      </c>
      <c r="F1009" s="2" t="s">
        <v>1203</v>
      </c>
      <c r="G1009" s="1">
        <v>5</v>
      </c>
      <c r="H1009" s="1" t="str">
        <f t="shared" si="16"/>
        <v>k7274_5</v>
      </c>
      <c r="K1009" s="1">
        <f>IF(E1009=0,SUMPRODUCT(($A$2:$A$4734=A1009)*($B$2:$B$4734=B1009)*($D$2:$D$4734=D1009)*($E$2:$E$4734=0)),0)</f>
        <v>0</v>
      </c>
      <c r="L1009" s="1" t="str">
        <f>IF(E1009=0,SUMPRODUCT(MIN($K$2:$K$4734+((($A$2:$A$4734&lt;&gt;A1009)+($E$2:$E$4734&lt;&gt;0))&gt;0)*1000000)),"")</f>
        <v/>
      </c>
      <c r="M1009" s="1">
        <f>IF(AND(E1009=0,COUNTIFS($A$2:A1009,A1009,$E$2:E1009,0)=1),L1009,0)</f>
        <v>0</v>
      </c>
    </row>
    <row r="1010" spans="1:13" ht="15" customHeight="1">
      <c r="A1010" s="1">
        <v>7274</v>
      </c>
      <c r="B1010" s="1" t="s">
        <v>9</v>
      </c>
      <c r="C1010" s="2" t="s">
        <v>1192</v>
      </c>
      <c r="D1010" s="2" t="s">
        <v>1204</v>
      </c>
      <c r="E1010" s="1">
        <v>1</v>
      </c>
      <c r="F1010" s="2" t="s">
        <v>1205</v>
      </c>
      <c r="G1010" s="1">
        <v>1</v>
      </c>
      <c r="H1010" s="1" t="str">
        <f t="shared" si="16"/>
        <v>k7274_1</v>
      </c>
      <c r="K1010" s="1">
        <f>IF(E1010=0,SUMPRODUCT(($A$2:$A$4734=A1010)*($B$2:$B$4734=B1010)*($D$2:$D$4734=D1010)*($E$2:$E$4734=0)),0)</f>
        <v>0</v>
      </c>
      <c r="L1010" s="1" t="str">
        <f>IF(E1010=0,SUMPRODUCT(MIN($K$2:$K$4734+((($A$2:$A$4734&lt;&gt;A1010)+($E$2:$E$4734&lt;&gt;0))&gt;0)*1000000)),"")</f>
        <v/>
      </c>
      <c r="M1010" s="1">
        <f>IF(AND(E1010=0,COUNTIFS($A$2:A1010,A1010,$E$2:E1010,0)=1),L1010,0)</f>
        <v>0</v>
      </c>
    </row>
    <row r="1011" spans="1:13" ht="15" customHeight="1">
      <c r="A1011" s="1">
        <v>7274</v>
      </c>
      <c r="B1011" s="1" t="s">
        <v>9</v>
      </c>
      <c r="C1011" s="2" t="s">
        <v>1192</v>
      </c>
      <c r="D1011" s="2" t="s">
        <v>1204</v>
      </c>
      <c r="E1011" s="1">
        <v>1</v>
      </c>
      <c r="F1011" s="2" t="s">
        <v>1206</v>
      </c>
      <c r="G1011" s="1">
        <v>2</v>
      </c>
      <c r="H1011" s="1" t="str">
        <f t="shared" si="16"/>
        <v>k7274_2</v>
      </c>
      <c r="K1011" s="1">
        <f>IF(E1011=0,SUMPRODUCT(($A$2:$A$4734=A1011)*($B$2:$B$4734=B1011)*($D$2:$D$4734=D1011)*($E$2:$E$4734=0)),0)</f>
        <v>0</v>
      </c>
      <c r="L1011" s="1" t="str">
        <f>IF(E1011=0,SUMPRODUCT(MIN($K$2:$K$4734+((($A$2:$A$4734&lt;&gt;A1011)+($E$2:$E$4734&lt;&gt;0))&gt;0)*1000000)),"")</f>
        <v/>
      </c>
      <c r="M1011" s="1">
        <f>IF(AND(E1011=0,COUNTIFS($A$2:A1011,A1011,$E$2:E1011,0)=1),L1011,0)</f>
        <v>0</v>
      </c>
    </row>
    <row r="1012" spans="1:13" ht="15" customHeight="1">
      <c r="A1012" s="1">
        <v>7274</v>
      </c>
      <c r="B1012" s="1" t="s">
        <v>9</v>
      </c>
      <c r="C1012" s="2" t="s">
        <v>1192</v>
      </c>
      <c r="D1012" s="2" t="s">
        <v>1204</v>
      </c>
      <c r="E1012" s="1">
        <v>1</v>
      </c>
      <c r="F1012" s="2" t="s">
        <v>1207</v>
      </c>
      <c r="G1012" s="1">
        <v>3</v>
      </c>
      <c r="H1012" s="1" t="str">
        <f t="shared" si="16"/>
        <v>k7274_3</v>
      </c>
      <c r="K1012" s="1">
        <f>IF(E1012=0,SUMPRODUCT(($A$2:$A$4734=A1012)*($B$2:$B$4734=B1012)*($D$2:$D$4734=D1012)*($E$2:$E$4734=0)),0)</f>
        <v>0</v>
      </c>
      <c r="L1012" s="1" t="str">
        <f>IF(E1012=0,SUMPRODUCT(MIN($K$2:$K$4734+((($A$2:$A$4734&lt;&gt;A1012)+($E$2:$E$4734&lt;&gt;0))&gt;0)*1000000)),"")</f>
        <v/>
      </c>
      <c r="M1012" s="1">
        <f>IF(AND(E1012=0,COUNTIFS($A$2:A1012,A1012,$E$2:E1012,0)=1),L1012,0)</f>
        <v>0</v>
      </c>
    </row>
    <row r="1013" spans="1:13" ht="15" customHeight="1">
      <c r="A1013" s="1">
        <v>7274</v>
      </c>
      <c r="B1013" s="1" t="s">
        <v>9</v>
      </c>
      <c r="C1013" s="2" t="s">
        <v>1192</v>
      </c>
      <c r="D1013" s="2" t="s">
        <v>1204</v>
      </c>
      <c r="E1013" s="1">
        <v>1</v>
      </c>
      <c r="F1013" s="2" t="s">
        <v>1208</v>
      </c>
      <c r="G1013" s="1">
        <v>4</v>
      </c>
      <c r="H1013" s="1" t="str">
        <f t="shared" si="16"/>
        <v>k7274_4</v>
      </c>
      <c r="K1013" s="1">
        <f>IF(E1013=0,SUMPRODUCT(($A$2:$A$4734=A1013)*($B$2:$B$4734=B1013)*($D$2:$D$4734=D1013)*($E$2:$E$4734=0)),0)</f>
        <v>0</v>
      </c>
      <c r="L1013" s="1" t="str">
        <f>IF(E1013=0,SUMPRODUCT(MIN($K$2:$K$4734+((($A$2:$A$4734&lt;&gt;A1013)+($E$2:$E$4734&lt;&gt;0))&gt;0)*1000000)),"")</f>
        <v/>
      </c>
      <c r="M1013" s="1">
        <f>IF(AND(E1013=0,COUNTIFS($A$2:A1013,A1013,$E$2:E1013,0)=1),L1013,0)</f>
        <v>0</v>
      </c>
    </row>
    <row r="1014" spans="1:13" ht="15" customHeight="1">
      <c r="A1014" s="1">
        <v>7274</v>
      </c>
      <c r="B1014" s="1" t="s">
        <v>9</v>
      </c>
      <c r="C1014" s="2" t="s">
        <v>1192</v>
      </c>
      <c r="D1014" s="2" t="s">
        <v>1204</v>
      </c>
      <c r="E1014" s="1">
        <v>1</v>
      </c>
      <c r="F1014" s="2" t="s">
        <v>1209</v>
      </c>
      <c r="G1014" s="1">
        <v>5</v>
      </c>
      <c r="H1014" s="1" t="str">
        <f t="shared" si="16"/>
        <v>k7274_5</v>
      </c>
      <c r="K1014" s="1">
        <f>IF(E1014=0,SUMPRODUCT(($A$2:$A$4734=A1014)*($B$2:$B$4734=B1014)*($D$2:$D$4734=D1014)*($E$2:$E$4734=0)),0)</f>
        <v>0</v>
      </c>
      <c r="L1014" s="1" t="str">
        <f>IF(E1014=0,SUMPRODUCT(MIN($K$2:$K$4734+((($A$2:$A$4734&lt;&gt;A1014)+($E$2:$E$4734&lt;&gt;0))&gt;0)*1000000)),"")</f>
        <v/>
      </c>
      <c r="M1014" s="1">
        <f>IF(AND(E1014=0,COUNTIFS($A$2:A1014,A1014,$E$2:E1014,0)=1),L1014,0)</f>
        <v>0</v>
      </c>
    </row>
    <row r="1015" spans="1:13" ht="15" customHeight="1">
      <c r="A1015" s="1">
        <v>7274</v>
      </c>
      <c r="B1015" s="1" t="s">
        <v>16</v>
      </c>
      <c r="C1015" s="2" t="s">
        <v>1192</v>
      </c>
      <c r="D1015" s="2" t="s">
        <v>1210</v>
      </c>
      <c r="E1015" s="1">
        <v>1</v>
      </c>
      <c r="F1015" s="2" t="s">
        <v>1211</v>
      </c>
      <c r="G1015" s="1">
        <v>1</v>
      </c>
      <c r="H1015" s="1" t="str">
        <f t="shared" si="16"/>
        <v>k7274_1</v>
      </c>
      <c r="K1015" s="1">
        <f>IF(E1015=0,SUMPRODUCT(($A$2:$A$4734=A1015)*($B$2:$B$4734=B1015)*($D$2:$D$4734=D1015)*($E$2:$E$4734=0)),0)</f>
        <v>0</v>
      </c>
      <c r="L1015" s="1" t="str">
        <f>IF(E1015=0,SUMPRODUCT(MIN($K$2:$K$4734+((($A$2:$A$4734&lt;&gt;A1015)+($E$2:$E$4734&lt;&gt;0))&gt;0)*1000000)),"")</f>
        <v/>
      </c>
      <c r="M1015" s="1">
        <f>IF(AND(E1015=0,COUNTIFS($A$2:A1015,A1015,$E$2:E1015,0)=1),L1015,0)</f>
        <v>0</v>
      </c>
    </row>
    <row r="1016" spans="1:13" ht="15" customHeight="1">
      <c r="A1016" s="1">
        <v>7274</v>
      </c>
      <c r="B1016" s="1" t="s">
        <v>16</v>
      </c>
      <c r="C1016" s="2" t="s">
        <v>1192</v>
      </c>
      <c r="D1016" s="2" t="s">
        <v>1210</v>
      </c>
      <c r="E1016" s="1">
        <v>1</v>
      </c>
      <c r="F1016" s="2" t="s">
        <v>1211</v>
      </c>
      <c r="G1016" s="1">
        <v>2</v>
      </c>
      <c r="H1016" s="1" t="str">
        <f t="shared" si="16"/>
        <v>k7274_2</v>
      </c>
      <c r="K1016" s="1">
        <f>IF(E1016=0,SUMPRODUCT(($A$2:$A$4734=A1016)*($B$2:$B$4734=B1016)*($D$2:$D$4734=D1016)*($E$2:$E$4734=0)),0)</f>
        <v>0</v>
      </c>
      <c r="L1016" s="1" t="str">
        <f>IF(E1016=0,SUMPRODUCT(MIN($K$2:$K$4734+((($A$2:$A$4734&lt;&gt;A1016)+($E$2:$E$4734&lt;&gt;0))&gt;0)*1000000)),"")</f>
        <v/>
      </c>
      <c r="M1016" s="1">
        <f>IF(AND(E1016=0,COUNTIFS($A$2:A1016,A1016,$E$2:E1016,0)=1),L1016,0)</f>
        <v>0</v>
      </c>
    </row>
    <row r="1017" spans="1:13" ht="15" customHeight="1">
      <c r="A1017" s="1">
        <v>7274</v>
      </c>
      <c r="B1017" s="1" t="s">
        <v>16</v>
      </c>
      <c r="C1017" s="2" t="s">
        <v>1192</v>
      </c>
      <c r="D1017" s="2" t="s">
        <v>1210</v>
      </c>
      <c r="E1017" s="1">
        <v>1</v>
      </c>
      <c r="F1017" s="2" t="s">
        <v>1212</v>
      </c>
      <c r="G1017" s="1">
        <v>3</v>
      </c>
      <c r="H1017" s="1" t="str">
        <f t="shared" si="16"/>
        <v>k7274_3</v>
      </c>
      <c r="K1017" s="1">
        <f>IF(E1017=0,SUMPRODUCT(($A$2:$A$4734=A1017)*($B$2:$B$4734=B1017)*($D$2:$D$4734=D1017)*($E$2:$E$4734=0)),0)</f>
        <v>0</v>
      </c>
      <c r="L1017" s="1" t="str">
        <f>IF(E1017=0,SUMPRODUCT(MIN($K$2:$K$4734+((($A$2:$A$4734&lt;&gt;A1017)+($E$2:$E$4734&lt;&gt;0))&gt;0)*1000000)),"")</f>
        <v/>
      </c>
      <c r="M1017" s="1">
        <f>IF(AND(E1017=0,COUNTIFS($A$2:A1017,A1017,$E$2:E1017,0)=1),L1017,0)</f>
        <v>0</v>
      </c>
    </row>
    <row r="1018" spans="1:13" ht="15" customHeight="1">
      <c r="A1018" s="1">
        <v>7274</v>
      </c>
      <c r="B1018" s="1" t="s">
        <v>16</v>
      </c>
      <c r="C1018" s="2" t="s">
        <v>1192</v>
      </c>
      <c r="D1018" s="2" t="s">
        <v>1210</v>
      </c>
      <c r="E1018" s="1">
        <v>1</v>
      </c>
      <c r="F1018" s="2" t="s">
        <v>1213</v>
      </c>
      <c r="G1018" s="1">
        <v>4</v>
      </c>
      <c r="H1018" s="1" t="str">
        <f t="shared" si="16"/>
        <v>k7274_4</v>
      </c>
      <c r="K1018" s="1">
        <f>IF(E1018=0,SUMPRODUCT(($A$2:$A$4734=A1018)*($B$2:$B$4734=B1018)*($D$2:$D$4734=D1018)*($E$2:$E$4734=0)),0)</f>
        <v>0</v>
      </c>
      <c r="L1018" s="1" t="str">
        <f>IF(E1018=0,SUMPRODUCT(MIN($K$2:$K$4734+((($A$2:$A$4734&lt;&gt;A1018)+($E$2:$E$4734&lt;&gt;0))&gt;0)*1000000)),"")</f>
        <v/>
      </c>
      <c r="M1018" s="1">
        <f>IF(AND(E1018=0,COUNTIFS($A$2:A1018,A1018,$E$2:E1018,0)=1),L1018,0)</f>
        <v>0</v>
      </c>
    </row>
    <row r="1019" spans="1:13" ht="15" customHeight="1">
      <c r="A1019" s="1">
        <v>7274</v>
      </c>
      <c r="B1019" s="1" t="s">
        <v>16</v>
      </c>
      <c r="C1019" s="2" t="s">
        <v>1192</v>
      </c>
      <c r="D1019" s="2" t="s">
        <v>1210</v>
      </c>
      <c r="E1019" s="1">
        <v>1</v>
      </c>
      <c r="F1019" s="2" t="s">
        <v>1214</v>
      </c>
      <c r="G1019" s="1">
        <v>5</v>
      </c>
      <c r="H1019" s="1" t="str">
        <f t="shared" si="16"/>
        <v>k7274_5</v>
      </c>
      <c r="K1019" s="1">
        <f>IF(E1019=0,SUMPRODUCT(($A$2:$A$4734=A1019)*($B$2:$B$4734=B1019)*($D$2:$D$4734=D1019)*($E$2:$E$4734=0)),0)</f>
        <v>0</v>
      </c>
      <c r="L1019" s="1" t="str">
        <f>IF(E1019=0,SUMPRODUCT(MIN($K$2:$K$4734+((($A$2:$A$4734&lt;&gt;A1019)+($E$2:$E$4734&lt;&gt;0))&gt;0)*1000000)),"")</f>
        <v/>
      </c>
      <c r="M1019" s="1">
        <f>IF(AND(E1019=0,COUNTIFS($A$2:A1019,A1019,$E$2:E1019,0)=1),L1019,0)</f>
        <v>0</v>
      </c>
    </row>
    <row r="1020" spans="1:13" ht="15" customHeight="1">
      <c r="A1020" s="1">
        <v>7274</v>
      </c>
      <c r="B1020" s="1" t="s">
        <v>9</v>
      </c>
      <c r="C1020" s="2" t="s">
        <v>1192</v>
      </c>
      <c r="D1020" s="2" t="s">
        <v>1210</v>
      </c>
      <c r="E1020" s="1">
        <v>1</v>
      </c>
      <c r="F1020" s="2" t="s">
        <v>1215</v>
      </c>
      <c r="G1020" s="1">
        <v>1</v>
      </c>
      <c r="H1020" s="1" t="str">
        <f t="shared" si="16"/>
        <v>k7274_1</v>
      </c>
      <c r="K1020" s="1">
        <f>IF(E1020=0,SUMPRODUCT(($A$2:$A$4734=A1020)*($B$2:$B$4734=B1020)*($D$2:$D$4734=D1020)*($E$2:$E$4734=0)),0)</f>
        <v>0</v>
      </c>
      <c r="L1020" s="1" t="str">
        <f>IF(E1020=0,SUMPRODUCT(MIN($K$2:$K$4734+((($A$2:$A$4734&lt;&gt;A1020)+($E$2:$E$4734&lt;&gt;0))&gt;0)*1000000)),"")</f>
        <v/>
      </c>
      <c r="M1020" s="1">
        <f>IF(AND(E1020=0,COUNTIFS($A$2:A1020,A1020,$E$2:E1020,0)=1),L1020,0)</f>
        <v>0</v>
      </c>
    </row>
    <row r="1021" spans="1:13" ht="15" customHeight="1">
      <c r="A1021" s="1">
        <v>7274</v>
      </c>
      <c r="B1021" s="1" t="s">
        <v>9</v>
      </c>
      <c r="C1021" s="2" t="s">
        <v>1192</v>
      </c>
      <c r="D1021" s="2" t="s">
        <v>1210</v>
      </c>
      <c r="E1021" s="1">
        <v>1</v>
      </c>
      <c r="F1021" s="2" t="s">
        <v>1216</v>
      </c>
      <c r="G1021" s="1">
        <v>2</v>
      </c>
      <c r="H1021" s="1" t="str">
        <f t="shared" si="16"/>
        <v>k7274_2</v>
      </c>
      <c r="K1021" s="1">
        <f>IF(E1021=0,SUMPRODUCT(($A$2:$A$4734=A1021)*($B$2:$B$4734=B1021)*($D$2:$D$4734=D1021)*($E$2:$E$4734=0)),0)</f>
        <v>0</v>
      </c>
      <c r="L1021" s="1" t="str">
        <f>IF(E1021=0,SUMPRODUCT(MIN($K$2:$K$4734+((($A$2:$A$4734&lt;&gt;A1021)+($E$2:$E$4734&lt;&gt;0))&gt;0)*1000000)),"")</f>
        <v/>
      </c>
      <c r="M1021" s="1">
        <f>IF(AND(E1021=0,COUNTIFS($A$2:A1021,A1021,$E$2:E1021,0)=1),L1021,0)</f>
        <v>0</v>
      </c>
    </row>
    <row r="1022" spans="1:13" ht="15" customHeight="1">
      <c r="A1022" s="1">
        <v>7274</v>
      </c>
      <c r="B1022" s="1" t="s">
        <v>9</v>
      </c>
      <c r="C1022" s="2" t="s">
        <v>1192</v>
      </c>
      <c r="D1022" s="2" t="s">
        <v>1210</v>
      </c>
      <c r="E1022" s="1">
        <v>1</v>
      </c>
      <c r="F1022" s="2" t="s">
        <v>1217</v>
      </c>
      <c r="G1022" s="1">
        <v>3</v>
      </c>
      <c r="H1022" s="1" t="str">
        <f t="shared" si="16"/>
        <v>k7274_3</v>
      </c>
      <c r="K1022" s="1">
        <f>IF(E1022=0,SUMPRODUCT(($A$2:$A$4734=A1022)*($B$2:$B$4734=B1022)*($D$2:$D$4734=D1022)*($E$2:$E$4734=0)),0)</f>
        <v>0</v>
      </c>
      <c r="L1022" s="1" t="str">
        <f>IF(E1022=0,SUMPRODUCT(MIN($K$2:$K$4734+((($A$2:$A$4734&lt;&gt;A1022)+($E$2:$E$4734&lt;&gt;0))&gt;0)*1000000)),"")</f>
        <v/>
      </c>
      <c r="M1022" s="1">
        <f>IF(AND(E1022=0,COUNTIFS($A$2:A1022,A1022,$E$2:E1022,0)=1),L1022,0)</f>
        <v>0</v>
      </c>
    </row>
    <row r="1023" spans="1:13" ht="15" customHeight="1">
      <c r="A1023" s="1">
        <v>7274</v>
      </c>
      <c r="B1023" s="1" t="s">
        <v>9</v>
      </c>
      <c r="C1023" s="2" t="s">
        <v>1192</v>
      </c>
      <c r="D1023" s="2" t="s">
        <v>1210</v>
      </c>
      <c r="E1023" s="1">
        <v>1</v>
      </c>
      <c r="F1023" s="2" t="s">
        <v>1218</v>
      </c>
      <c r="G1023" s="1">
        <v>4</v>
      </c>
      <c r="H1023" s="1" t="str">
        <f t="shared" si="16"/>
        <v>k7274_4</v>
      </c>
      <c r="K1023" s="1">
        <f>IF(E1023=0,SUMPRODUCT(($A$2:$A$4734=A1023)*($B$2:$B$4734=B1023)*($D$2:$D$4734=D1023)*($E$2:$E$4734=0)),0)</f>
        <v>0</v>
      </c>
      <c r="L1023" s="1" t="str">
        <f>IF(E1023=0,SUMPRODUCT(MIN($K$2:$K$4734+((($A$2:$A$4734&lt;&gt;A1023)+($E$2:$E$4734&lt;&gt;0))&gt;0)*1000000)),"")</f>
        <v/>
      </c>
      <c r="M1023" s="1">
        <f>IF(AND(E1023=0,COUNTIFS($A$2:A1023,A1023,$E$2:E1023,0)=1),L1023,0)</f>
        <v>0</v>
      </c>
    </row>
    <row r="1024" spans="1:13" ht="15" customHeight="1">
      <c r="A1024" s="1">
        <v>7274</v>
      </c>
      <c r="B1024" s="1" t="s">
        <v>9</v>
      </c>
      <c r="C1024" s="2" t="s">
        <v>1192</v>
      </c>
      <c r="D1024" s="2" t="s">
        <v>1210</v>
      </c>
      <c r="E1024" s="1">
        <v>1</v>
      </c>
      <c r="F1024" s="2" t="s">
        <v>1218</v>
      </c>
      <c r="G1024" s="1">
        <v>5</v>
      </c>
      <c r="H1024" s="1" t="str">
        <f t="shared" si="16"/>
        <v>k7274_5</v>
      </c>
      <c r="K1024" s="1">
        <f>IF(E1024=0,SUMPRODUCT(($A$2:$A$4734=A1024)*($B$2:$B$4734=B1024)*($D$2:$D$4734=D1024)*($E$2:$E$4734=0)),0)</f>
        <v>0</v>
      </c>
      <c r="L1024" s="1" t="str">
        <f>IF(E1024=0,SUMPRODUCT(MIN($K$2:$K$4734+((($A$2:$A$4734&lt;&gt;A1024)+($E$2:$E$4734&lt;&gt;0))&gt;0)*1000000)),"")</f>
        <v/>
      </c>
      <c r="M1024" s="1">
        <f>IF(AND(E1024=0,COUNTIFS($A$2:A1024,A1024,$E$2:E1024,0)=1),L1024,0)</f>
        <v>0</v>
      </c>
    </row>
    <row r="1025" spans="1:13" ht="15" customHeight="1">
      <c r="A1025" s="1">
        <v>7275</v>
      </c>
      <c r="B1025" s="1" t="s">
        <v>9</v>
      </c>
      <c r="C1025" s="2" t="s">
        <v>1219</v>
      </c>
      <c r="D1025" s="2" t="s">
        <v>1220</v>
      </c>
      <c r="E1025" s="1">
        <v>1</v>
      </c>
      <c r="F1025" s="2" t="s">
        <v>1221</v>
      </c>
      <c r="G1025" s="1">
        <v>1</v>
      </c>
      <c r="H1025" s="1" t="str">
        <f t="shared" si="16"/>
        <v>k7275_1</v>
      </c>
      <c r="K1025" s="1">
        <f>IF(E1025=0,SUMPRODUCT(($A$2:$A$4734=A1025)*($B$2:$B$4734=B1025)*($D$2:$D$4734=D1025)*($E$2:$E$4734=0)),0)</f>
        <v>0</v>
      </c>
      <c r="L1025" s="1" t="str">
        <f>IF(E1025=0,SUMPRODUCT(MIN($K$2:$K$4734+((($A$2:$A$4734&lt;&gt;A1025)+($E$2:$E$4734&lt;&gt;0))&gt;0)*1000000)),"")</f>
        <v/>
      </c>
      <c r="M1025" s="1">
        <f>IF(AND(E1025=0,COUNTIFS($A$2:A1025,A1025,$E$2:E1025,0)=1),L1025,0)</f>
        <v>0</v>
      </c>
    </row>
    <row r="1026" spans="1:13" ht="15" customHeight="1">
      <c r="A1026" s="1">
        <v>7275</v>
      </c>
      <c r="B1026" s="1" t="s">
        <v>9</v>
      </c>
      <c r="C1026" s="2" t="s">
        <v>1219</v>
      </c>
      <c r="D1026" s="2" t="s">
        <v>1220</v>
      </c>
      <c r="E1026" s="1">
        <v>1</v>
      </c>
      <c r="F1026" s="2" t="s">
        <v>1222</v>
      </c>
      <c r="G1026" s="1">
        <v>2</v>
      </c>
      <c r="H1026" s="1" t="str">
        <f t="shared" si="16"/>
        <v>k7275_2</v>
      </c>
      <c r="K1026" s="1">
        <f>IF(E1026=0,SUMPRODUCT(($A$2:$A$4734=A1026)*($B$2:$B$4734=B1026)*($D$2:$D$4734=D1026)*($E$2:$E$4734=0)),0)</f>
        <v>0</v>
      </c>
      <c r="L1026" s="1" t="str">
        <f>IF(E1026=0,SUMPRODUCT(MIN($K$2:$K$4734+((($A$2:$A$4734&lt;&gt;A1026)+($E$2:$E$4734&lt;&gt;0))&gt;0)*1000000)),"")</f>
        <v/>
      </c>
      <c r="M1026" s="1">
        <f>IF(AND(E1026=0,COUNTIFS($A$2:A1026,A1026,$E$2:E1026,0)=1),L1026,0)</f>
        <v>0</v>
      </c>
    </row>
    <row r="1027" spans="1:13" ht="15" customHeight="1">
      <c r="A1027" s="1">
        <v>7275</v>
      </c>
      <c r="B1027" s="1" t="s">
        <v>9</v>
      </c>
      <c r="C1027" s="2" t="s">
        <v>1219</v>
      </c>
      <c r="D1027" s="2" t="s">
        <v>1220</v>
      </c>
      <c r="E1027" s="1">
        <v>1</v>
      </c>
      <c r="F1027" s="2" t="s">
        <v>1223</v>
      </c>
      <c r="G1027" s="1">
        <v>3</v>
      </c>
      <c r="H1027" s="1" t="str">
        <f t="shared" si="16"/>
        <v>k7275_3</v>
      </c>
      <c r="K1027" s="1">
        <f>IF(E1027=0,SUMPRODUCT(($A$2:$A$4734=A1027)*($B$2:$B$4734=B1027)*($D$2:$D$4734=D1027)*($E$2:$E$4734=0)),0)</f>
        <v>0</v>
      </c>
      <c r="L1027" s="1" t="str">
        <f>IF(E1027=0,SUMPRODUCT(MIN($K$2:$K$4734+((($A$2:$A$4734&lt;&gt;A1027)+($E$2:$E$4734&lt;&gt;0))&gt;0)*1000000)),"")</f>
        <v/>
      </c>
      <c r="M1027" s="1">
        <f>IF(AND(E1027=0,COUNTIFS($A$2:A1027,A1027,$E$2:E1027,0)=1),L1027,0)</f>
        <v>0</v>
      </c>
    </row>
    <row r="1028" spans="1:13" ht="15" customHeight="1">
      <c r="A1028" s="1">
        <v>7275</v>
      </c>
      <c r="B1028" s="1" t="s">
        <v>9</v>
      </c>
      <c r="C1028" s="2" t="s">
        <v>1219</v>
      </c>
      <c r="D1028" s="2" t="s">
        <v>1220</v>
      </c>
      <c r="E1028" s="1">
        <v>1</v>
      </c>
      <c r="F1028" s="2" t="s">
        <v>1224</v>
      </c>
      <c r="G1028" s="1">
        <v>4</v>
      </c>
      <c r="H1028" s="1" t="str">
        <f t="shared" si="16"/>
        <v>k7275_4</v>
      </c>
      <c r="K1028" s="1">
        <f>IF(E1028=0,SUMPRODUCT(($A$2:$A$4734=A1028)*($B$2:$B$4734=B1028)*($D$2:$D$4734=D1028)*($E$2:$E$4734=0)),0)</f>
        <v>0</v>
      </c>
      <c r="L1028" s="1" t="str">
        <f>IF(E1028=0,SUMPRODUCT(MIN($K$2:$K$4734+((($A$2:$A$4734&lt;&gt;A1028)+($E$2:$E$4734&lt;&gt;0))&gt;0)*1000000)),"")</f>
        <v/>
      </c>
      <c r="M1028" s="1">
        <f>IF(AND(E1028=0,COUNTIFS($A$2:A1028,A1028,$E$2:E1028,0)=1),L1028,0)</f>
        <v>0</v>
      </c>
    </row>
    <row r="1029" spans="1:13" ht="15" customHeight="1">
      <c r="A1029" s="1">
        <v>7275</v>
      </c>
      <c r="B1029" s="1" t="s">
        <v>9</v>
      </c>
      <c r="C1029" s="2" t="s">
        <v>1219</v>
      </c>
      <c r="D1029" s="2" t="s">
        <v>1220</v>
      </c>
      <c r="E1029" s="1">
        <v>1</v>
      </c>
      <c r="F1029" s="2" t="s">
        <v>1224</v>
      </c>
      <c r="G1029" s="1">
        <v>5</v>
      </c>
      <c r="H1029" s="1" t="str">
        <f t="shared" si="16"/>
        <v>k7275_5</v>
      </c>
      <c r="K1029" s="1">
        <f>IF(E1029=0,SUMPRODUCT(($A$2:$A$4734=A1029)*($B$2:$B$4734=B1029)*($D$2:$D$4734=D1029)*($E$2:$E$4734=0)),0)</f>
        <v>0</v>
      </c>
      <c r="L1029" s="1" t="str">
        <f>IF(E1029=0,SUMPRODUCT(MIN($K$2:$K$4734+((($A$2:$A$4734&lt;&gt;A1029)+($E$2:$E$4734&lt;&gt;0))&gt;0)*1000000)),"")</f>
        <v/>
      </c>
      <c r="M1029" s="1">
        <f>IF(AND(E1029=0,COUNTIFS($A$2:A1029,A1029,$E$2:E1029,0)=1),L1029,0)</f>
        <v>0</v>
      </c>
    </row>
    <row r="1030" spans="1:13" ht="15" customHeight="1">
      <c r="A1030" s="1">
        <v>7275</v>
      </c>
      <c r="B1030" s="1" t="s">
        <v>9</v>
      </c>
      <c r="C1030" s="2" t="s">
        <v>1219</v>
      </c>
      <c r="D1030" s="2" t="s">
        <v>1225</v>
      </c>
      <c r="E1030" s="1">
        <v>1</v>
      </c>
      <c r="F1030" s="2" t="s">
        <v>1226</v>
      </c>
      <c r="G1030" s="1">
        <v>1</v>
      </c>
      <c r="H1030" s="1" t="str">
        <f t="shared" si="16"/>
        <v>k7275_1</v>
      </c>
      <c r="K1030" s="1">
        <f>IF(E1030=0,SUMPRODUCT(($A$2:$A$4734=A1030)*($B$2:$B$4734=B1030)*($D$2:$D$4734=D1030)*($E$2:$E$4734=0)),0)</f>
        <v>0</v>
      </c>
      <c r="L1030" s="1" t="str">
        <f>IF(E1030=0,SUMPRODUCT(MIN($K$2:$K$4734+((($A$2:$A$4734&lt;&gt;A1030)+($E$2:$E$4734&lt;&gt;0))&gt;0)*1000000)),"")</f>
        <v/>
      </c>
      <c r="M1030" s="1">
        <f>IF(AND(E1030=0,COUNTIFS($A$2:A1030,A1030,$E$2:E1030,0)=1),L1030,0)</f>
        <v>0</v>
      </c>
    </row>
    <row r="1031" spans="1:13" ht="15" customHeight="1">
      <c r="A1031" s="1">
        <v>7275</v>
      </c>
      <c r="B1031" s="1" t="s">
        <v>9</v>
      </c>
      <c r="C1031" s="2" t="s">
        <v>1219</v>
      </c>
      <c r="D1031" s="2" t="s">
        <v>1225</v>
      </c>
      <c r="E1031" s="1">
        <v>1</v>
      </c>
      <c r="F1031" s="2" t="s">
        <v>1227</v>
      </c>
      <c r="G1031" s="1">
        <v>2</v>
      </c>
      <c r="H1031" s="1" t="str">
        <f t="shared" si="16"/>
        <v>k7275_2</v>
      </c>
      <c r="K1031" s="1">
        <f>IF(E1031=0,SUMPRODUCT(($A$2:$A$4734=A1031)*($B$2:$B$4734=B1031)*($D$2:$D$4734=D1031)*($E$2:$E$4734=0)),0)</f>
        <v>0</v>
      </c>
      <c r="L1031" s="1" t="str">
        <f>IF(E1031=0,SUMPRODUCT(MIN($K$2:$K$4734+((($A$2:$A$4734&lt;&gt;A1031)+($E$2:$E$4734&lt;&gt;0))&gt;0)*1000000)),"")</f>
        <v/>
      </c>
      <c r="M1031" s="1">
        <f>IF(AND(E1031=0,COUNTIFS($A$2:A1031,A1031,$E$2:E1031,0)=1),L1031,0)</f>
        <v>0</v>
      </c>
    </row>
    <row r="1032" spans="1:13" ht="15" customHeight="1">
      <c r="A1032" s="1">
        <v>7275</v>
      </c>
      <c r="B1032" s="1" t="s">
        <v>9</v>
      </c>
      <c r="C1032" s="2" t="s">
        <v>1219</v>
      </c>
      <c r="D1032" s="2" t="s">
        <v>1225</v>
      </c>
      <c r="E1032" s="1">
        <v>1</v>
      </c>
      <c r="F1032" s="2" t="s">
        <v>1228</v>
      </c>
      <c r="G1032" s="1">
        <v>3</v>
      </c>
      <c r="H1032" s="1" t="str">
        <f t="shared" si="16"/>
        <v>k7275_3</v>
      </c>
      <c r="K1032" s="1">
        <f>IF(E1032=0,SUMPRODUCT(($A$2:$A$4734=A1032)*($B$2:$B$4734=B1032)*($D$2:$D$4734=D1032)*($E$2:$E$4734=0)),0)</f>
        <v>0</v>
      </c>
      <c r="L1032" s="1" t="str">
        <f>IF(E1032=0,SUMPRODUCT(MIN($K$2:$K$4734+((($A$2:$A$4734&lt;&gt;A1032)+($E$2:$E$4734&lt;&gt;0))&gt;0)*1000000)),"")</f>
        <v/>
      </c>
      <c r="M1032" s="1">
        <f>IF(AND(E1032=0,COUNTIFS($A$2:A1032,A1032,$E$2:E1032,0)=1),L1032,0)</f>
        <v>0</v>
      </c>
    </row>
    <row r="1033" spans="1:13" ht="15" customHeight="1">
      <c r="A1033" s="1">
        <v>7275</v>
      </c>
      <c r="B1033" s="1" t="s">
        <v>9</v>
      </c>
      <c r="C1033" s="2" t="s">
        <v>1219</v>
      </c>
      <c r="D1033" s="2" t="s">
        <v>1225</v>
      </c>
      <c r="E1033" s="1">
        <v>1</v>
      </c>
      <c r="F1033" s="2" t="s">
        <v>1229</v>
      </c>
      <c r="G1033" s="1">
        <v>4</v>
      </c>
      <c r="H1033" s="1" t="str">
        <f t="shared" si="16"/>
        <v>k7275_4</v>
      </c>
      <c r="K1033" s="1">
        <f>IF(E1033=0,SUMPRODUCT(($A$2:$A$4734=A1033)*($B$2:$B$4734=B1033)*($D$2:$D$4734=D1033)*($E$2:$E$4734=0)),0)</f>
        <v>0</v>
      </c>
      <c r="L1033" s="1" t="str">
        <f>IF(E1033=0,SUMPRODUCT(MIN($K$2:$K$4734+((($A$2:$A$4734&lt;&gt;A1033)+($E$2:$E$4734&lt;&gt;0))&gt;0)*1000000)),"")</f>
        <v/>
      </c>
      <c r="M1033" s="1">
        <f>IF(AND(E1033=0,COUNTIFS($A$2:A1033,A1033,$E$2:E1033,0)=1),L1033,0)</f>
        <v>0</v>
      </c>
    </row>
    <row r="1034" spans="1:13" ht="15" customHeight="1">
      <c r="A1034" s="1">
        <v>7275</v>
      </c>
      <c r="B1034" s="1" t="s">
        <v>9</v>
      </c>
      <c r="C1034" s="2" t="s">
        <v>1219</v>
      </c>
      <c r="D1034" s="2" t="s">
        <v>1225</v>
      </c>
      <c r="E1034" s="1">
        <v>1</v>
      </c>
      <c r="F1034" s="2" t="s">
        <v>1230</v>
      </c>
      <c r="G1034" s="1">
        <v>5</v>
      </c>
      <c r="H1034" s="1" t="str">
        <f t="shared" si="16"/>
        <v>k7275_5</v>
      </c>
      <c r="K1034" s="1">
        <f>IF(E1034=0,SUMPRODUCT(($A$2:$A$4734=A1034)*($B$2:$B$4734=B1034)*($D$2:$D$4734=D1034)*($E$2:$E$4734=0)),0)</f>
        <v>0</v>
      </c>
      <c r="L1034" s="1" t="str">
        <f>IF(E1034=0,SUMPRODUCT(MIN($K$2:$K$4734+((($A$2:$A$4734&lt;&gt;A1034)+($E$2:$E$4734&lt;&gt;0))&gt;0)*1000000)),"")</f>
        <v/>
      </c>
      <c r="M1034" s="1">
        <f>IF(AND(E1034=0,COUNTIFS($A$2:A1034,A1034,$E$2:E1034,0)=1),L1034,0)</f>
        <v>0</v>
      </c>
    </row>
    <row r="1035" spans="1:13" ht="15" customHeight="1">
      <c r="A1035" s="1">
        <v>7275</v>
      </c>
      <c r="B1035" s="1" t="s">
        <v>95</v>
      </c>
      <c r="C1035" s="2" t="s">
        <v>1219</v>
      </c>
      <c r="D1035" s="2" t="s">
        <v>1231</v>
      </c>
      <c r="E1035" s="1">
        <v>1</v>
      </c>
      <c r="F1035" s="2" t="s">
        <v>1232</v>
      </c>
      <c r="G1035" s="1">
        <v>1</v>
      </c>
      <c r="H1035" s="1" t="str">
        <f t="shared" si="16"/>
        <v>k7275_1</v>
      </c>
      <c r="K1035" s="1">
        <f>IF(E1035=0,SUMPRODUCT(($A$2:$A$4734=A1035)*($B$2:$B$4734=B1035)*($D$2:$D$4734=D1035)*($E$2:$E$4734=0)),0)</f>
        <v>0</v>
      </c>
      <c r="L1035" s="1" t="str">
        <f>IF(E1035=0,SUMPRODUCT(MIN($K$2:$K$4734+((($A$2:$A$4734&lt;&gt;A1035)+($E$2:$E$4734&lt;&gt;0))&gt;0)*1000000)),"")</f>
        <v/>
      </c>
      <c r="M1035" s="1">
        <f>IF(AND(E1035=0,COUNTIFS($A$2:A1035,A1035,$E$2:E1035,0)=1),L1035,0)</f>
        <v>0</v>
      </c>
    </row>
    <row r="1036" spans="1:13" ht="15" customHeight="1">
      <c r="A1036" s="1">
        <v>7275</v>
      </c>
      <c r="B1036" s="1" t="s">
        <v>95</v>
      </c>
      <c r="C1036" s="2" t="s">
        <v>1219</v>
      </c>
      <c r="D1036" s="2" t="s">
        <v>1231</v>
      </c>
      <c r="E1036" s="1">
        <v>1</v>
      </c>
      <c r="F1036" s="2" t="s">
        <v>1233</v>
      </c>
      <c r="G1036" s="1">
        <v>2</v>
      </c>
      <c r="H1036" s="1" t="str">
        <f t="shared" si="16"/>
        <v>k7275_2</v>
      </c>
      <c r="K1036" s="1">
        <f>IF(E1036=0,SUMPRODUCT(($A$2:$A$4734=A1036)*($B$2:$B$4734=B1036)*($D$2:$D$4734=D1036)*($E$2:$E$4734=0)),0)</f>
        <v>0</v>
      </c>
      <c r="L1036" s="1" t="str">
        <f>IF(E1036=0,SUMPRODUCT(MIN($K$2:$K$4734+((($A$2:$A$4734&lt;&gt;A1036)+($E$2:$E$4734&lt;&gt;0))&gt;0)*1000000)),"")</f>
        <v/>
      </c>
      <c r="M1036" s="1">
        <f>IF(AND(E1036=0,COUNTIFS($A$2:A1036,A1036,$E$2:E1036,0)=1),L1036,0)</f>
        <v>0</v>
      </c>
    </row>
    <row r="1037" spans="1:13" ht="15" customHeight="1">
      <c r="A1037" s="1">
        <v>7275</v>
      </c>
      <c r="B1037" s="1" t="s">
        <v>95</v>
      </c>
      <c r="C1037" s="2" t="s">
        <v>1219</v>
      </c>
      <c r="D1037" s="2" t="s">
        <v>1231</v>
      </c>
      <c r="E1037" s="1">
        <v>1</v>
      </c>
      <c r="F1037" s="2" t="s">
        <v>1234</v>
      </c>
      <c r="G1037" s="1">
        <v>3</v>
      </c>
      <c r="H1037" s="1" t="str">
        <f t="shared" si="16"/>
        <v>k7275_3</v>
      </c>
      <c r="K1037" s="1">
        <f>IF(E1037=0,SUMPRODUCT(($A$2:$A$4734=A1037)*($B$2:$B$4734=B1037)*($D$2:$D$4734=D1037)*($E$2:$E$4734=0)),0)</f>
        <v>0</v>
      </c>
      <c r="L1037" s="1" t="str">
        <f>IF(E1037=0,SUMPRODUCT(MIN($K$2:$K$4734+((($A$2:$A$4734&lt;&gt;A1037)+($E$2:$E$4734&lt;&gt;0))&gt;0)*1000000)),"")</f>
        <v/>
      </c>
      <c r="M1037" s="1">
        <f>IF(AND(E1037=0,COUNTIFS($A$2:A1037,A1037,$E$2:E1037,0)=1),L1037,0)</f>
        <v>0</v>
      </c>
    </row>
    <row r="1038" spans="1:13" ht="15" customHeight="1">
      <c r="A1038" s="1">
        <v>7275</v>
      </c>
      <c r="B1038" s="1" t="s">
        <v>95</v>
      </c>
      <c r="C1038" s="2" t="s">
        <v>1219</v>
      </c>
      <c r="D1038" s="2" t="s">
        <v>1231</v>
      </c>
      <c r="E1038" s="1">
        <v>1</v>
      </c>
      <c r="F1038" s="2" t="s">
        <v>581</v>
      </c>
      <c r="G1038" s="1">
        <v>4</v>
      </c>
      <c r="H1038" s="1" t="str">
        <f t="shared" si="16"/>
        <v>k7275_4</v>
      </c>
      <c r="K1038" s="1">
        <f>IF(E1038=0,SUMPRODUCT(($A$2:$A$4734=A1038)*($B$2:$B$4734=B1038)*($D$2:$D$4734=D1038)*($E$2:$E$4734=0)),0)</f>
        <v>0</v>
      </c>
      <c r="L1038" s="1" t="str">
        <f>IF(E1038=0,SUMPRODUCT(MIN($K$2:$K$4734+((($A$2:$A$4734&lt;&gt;A1038)+($E$2:$E$4734&lt;&gt;0))&gt;0)*1000000)),"")</f>
        <v/>
      </c>
      <c r="M1038" s="1">
        <f>IF(AND(E1038=0,COUNTIFS($A$2:A1038,A1038,$E$2:E1038,0)=1),L1038,0)</f>
        <v>0</v>
      </c>
    </row>
    <row r="1039" spans="1:13" ht="15" customHeight="1">
      <c r="A1039" s="1">
        <v>7275</v>
      </c>
      <c r="B1039" s="1" t="s">
        <v>95</v>
      </c>
      <c r="C1039" s="2" t="s">
        <v>1219</v>
      </c>
      <c r="D1039" s="2" t="s">
        <v>1231</v>
      </c>
      <c r="E1039" s="1">
        <v>1</v>
      </c>
      <c r="F1039" s="2" t="s">
        <v>1235</v>
      </c>
      <c r="G1039" s="1">
        <v>5</v>
      </c>
      <c r="H1039" s="1" t="str">
        <f t="shared" si="16"/>
        <v>k7275_5</v>
      </c>
      <c r="K1039" s="1">
        <f>IF(E1039=0,SUMPRODUCT(($A$2:$A$4734=A1039)*($B$2:$B$4734=B1039)*($D$2:$D$4734=D1039)*($E$2:$E$4734=0)),0)</f>
        <v>0</v>
      </c>
      <c r="L1039" s="1" t="str">
        <f>IF(E1039=0,SUMPRODUCT(MIN($K$2:$K$4734+((($A$2:$A$4734&lt;&gt;A1039)+($E$2:$E$4734&lt;&gt;0))&gt;0)*1000000)),"")</f>
        <v/>
      </c>
      <c r="M1039" s="1">
        <f>IF(AND(E1039=0,COUNTIFS($A$2:A1039,A1039,$E$2:E1039,0)=1),L1039,0)</f>
        <v>0</v>
      </c>
    </row>
    <row r="1040" spans="1:13" ht="15" customHeight="1">
      <c r="A1040" s="1">
        <v>7275</v>
      </c>
      <c r="B1040" s="1" t="s">
        <v>1236</v>
      </c>
      <c r="C1040" s="2" t="s">
        <v>1219</v>
      </c>
      <c r="D1040" s="2" t="s">
        <v>1237</v>
      </c>
      <c r="E1040" s="1">
        <v>1</v>
      </c>
      <c r="F1040" s="2" t="s">
        <v>1238</v>
      </c>
      <c r="G1040" s="1">
        <v>1</v>
      </c>
      <c r="H1040" s="1" t="str">
        <f t="shared" si="16"/>
        <v>k7275_1</v>
      </c>
      <c r="K1040" s="1">
        <f>IF(E1040=0,SUMPRODUCT(($A$2:$A$4734=A1040)*($B$2:$B$4734=B1040)*($D$2:$D$4734=D1040)*($E$2:$E$4734=0)),0)</f>
        <v>0</v>
      </c>
      <c r="L1040" s="1" t="str">
        <f>IF(E1040=0,SUMPRODUCT(MIN($K$2:$K$4734+((($A$2:$A$4734&lt;&gt;A1040)+($E$2:$E$4734&lt;&gt;0))&gt;0)*1000000)),"")</f>
        <v/>
      </c>
      <c r="M1040" s="1">
        <f>IF(AND(E1040=0,COUNTIFS($A$2:A1040,A1040,$E$2:E1040,0)=1),L1040,0)</f>
        <v>0</v>
      </c>
    </row>
    <row r="1041" spans="1:13" ht="15" customHeight="1">
      <c r="A1041" s="1">
        <v>7275</v>
      </c>
      <c r="B1041" s="1" t="s">
        <v>1236</v>
      </c>
      <c r="C1041" s="2" t="s">
        <v>1219</v>
      </c>
      <c r="D1041" s="2" t="s">
        <v>1237</v>
      </c>
      <c r="E1041" s="1">
        <v>1</v>
      </c>
      <c r="F1041" s="2" t="s">
        <v>1239</v>
      </c>
      <c r="G1041" s="1">
        <v>2</v>
      </c>
      <c r="H1041" s="1" t="str">
        <f t="shared" si="16"/>
        <v>k7275_2</v>
      </c>
      <c r="K1041" s="1">
        <f>IF(E1041=0,SUMPRODUCT(($A$2:$A$4734=A1041)*($B$2:$B$4734=B1041)*($D$2:$D$4734=D1041)*($E$2:$E$4734=0)),0)</f>
        <v>0</v>
      </c>
      <c r="L1041" s="1" t="str">
        <f>IF(E1041=0,SUMPRODUCT(MIN($K$2:$K$4734+((($A$2:$A$4734&lt;&gt;A1041)+($E$2:$E$4734&lt;&gt;0))&gt;0)*1000000)),"")</f>
        <v/>
      </c>
      <c r="M1041" s="1">
        <f>IF(AND(E1041=0,COUNTIFS($A$2:A1041,A1041,$E$2:E1041,0)=1),L1041,0)</f>
        <v>0</v>
      </c>
    </row>
    <row r="1042" spans="1:13" ht="15" customHeight="1">
      <c r="A1042" s="1">
        <v>7275</v>
      </c>
      <c r="B1042" s="1" t="s">
        <v>1236</v>
      </c>
      <c r="C1042" s="2" t="s">
        <v>1219</v>
      </c>
      <c r="D1042" s="2" t="s">
        <v>1237</v>
      </c>
      <c r="E1042" s="1">
        <v>1</v>
      </c>
      <c r="F1042" s="2" t="s">
        <v>1240</v>
      </c>
      <c r="G1042" s="1">
        <v>3</v>
      </c>
      <c r="H1042" s="1" t="str">
        <f t="shared" si="16"/>
        <v>k7275_3</v>
      </c>
      <c r="K1042" s="1">
        <f>IF(E1042=0,SUMPRODUCT(($A$2:$A$4734=A1042)*($B$2:$B$4734=B1042)*($D$2:$D$4734=D1042)*($E$2:$E$4734=0)),0)</f>
        <v>0</v>
      </c>
      <c r="L1042" s="1" t="str">
        <f>IF(E1042=0,SUMPRODUCT(MIN($K$2:$K$4734+((($A$2:$A$4734&lt;&gt;A1042)+($E$2:$E$4734&lt;&gt;0))&gt;0)*1000000)),"")</f>
        <v/>
      </c>
      <c r="M1042" s="1">
        <f>IF(AND(E1042=0,COUNTIFS($A$2:A1042,A1042,$E$2:E1042,0)=1),L1042,0)</f>
        <v>0</v>
      </c>
    </row>
    <row r="1043" spans="1:13" ht="15" customHeight="1">
      <c r="A1043" s="1">
        <v>7275</v>
      </c>
      <c r="B1043" s="1" t="s">
        <v>1236</v>
      </c>
      <c r="C1043" s="2" t="s">
        <v>1219</v>
      </c>
      <c r="D1043" s="2" t="s">
        <v>1237</v>
      </c>
      <c r="E1043" s="1">
        <v>1</v>
      </c>
      <c r="F1043" s="2" t="s">
        <v>1241</v>
      </c>
      <c r="G1043" s="1">
        <v>4</v>
      </c>
      <c r="H1043" s="1" t="str">
        <f t="shared" si="16"/>
        <v>k7275_4</v>
      </c>
      <c r="K1043" s="1">
        <f>IF(E1043=0,SUMPRODUCT(($A$2:$A$4734=A1043)*($B$2:$B$4734=B1043)*($D$2:$D$4734=D1043)*($E$2:$E$4734=0)),0)</f>
        <v>0</v>
      </c>
      <c r="L1043" s="1" t="str">
        <f>IF(E1043=0,SUMPRODUCT(MIN($K$2:$K$4734+((($A$2:$A$4734&lt;&gt;A1043)+($E$2:$E$4734&lt;&gt;0))&gt;0)*1000000)),"")</f>
        <v/>
      </c>
      <c r="M1043" s="1">
        <f>IF(AND(E1043=0,COUNTIFS($A$2:A1043,A1043,$E$2:E1043,0)=1),L1043,0)</f>
        <v>0</v>
      </c>
    </row>
    <row r="1044" spans="1:13" ht="15" customHeight="1">
      <c r="A1044" s="1">
        <v>7275</v>
      </c>
      <c r="B1044" s="1" t="s">
        <v>1236</v>
      </c>
      <c r="C1044" s="2" t="s">
        <v>1219</v>
      </c>
      <c r="D1044" s="2" t="s">
        <v>1237</v>
      </c>
      <c r="E1044" s="1">
        <v>1</v>
      </c>
      <c r="F1044" s="2" t="s">
        <v>1242</v>
      </c>
      <c r="G1044" s="1">
        <v>5</v>
      </c>
      <c r="H1044" s="1" t="str">
        <f t="shared" si="16"/>
        <v>k7275_5</v>
      </c>
      <c r="K1044" s="1">
        <f>IF(E1044=0,SUMPRODUCT(($A$2:$A$4734=A1044)*($B$2:$B$4734=B1044)*($D$2:$D$4734=D1044)*($E$2:$E$4734=0)),0)</f>
        <v>0</v>
      </c>
      <c r="L1044" s="1" t="str">
        <f>IF(E1044=0,SUMPRODUCT(MIN($K$2:$K$4734+((($A$2:$A$4734&lt;&gt;A1044)+($E$2:$E$4734&lt;&gt;0))&gt;0)*1000000)),"")</f>
        <v/>
      </c>
      <c r="M1044" s="1">
        <f>IF(AND(E1044=0,COUNTIFS($A$2:A1044,A1044,$E$2:E1044,0)=1),L1044,0)</f>
        <v>0</v>
      </c>
    </row>
    <row r="1045" spans="1:13" ht="15" customHeight="1">
      <c r="A1045" s="1">
        <v>7275</v>
      </c>
      <c r="B1045" s="1" t="s">
        <v>161</v>
      </c>
      <c r="C1045" s="2" t="s">
        <v>1219</v>
      </c>
      <c r="D1045" s="2" t="s">
        <v>1243</v>
      </c>
      <c r="E1045" s="1">
        <v>1</v>
      </c>
      <c r="F1045" s="2" t="s">
        <v>1244</v>
      </c>
      <c r="G1045" s="1">
        <v>1</v>
      </c>
      <c r="H1045" s="1" t="str">
        <f t="shared" si="16"/>
        <v>k7275_1</v>
      </c>
      <c r="K1045" s="1">
        <f>IF(E1045=0,SUMPRODUCT(($A$2:$A$4734=A1045)*($B$2:$B$4734=B1045)*($D$2:$D$4734=D1045)*($E$2:$E$4734=0)),0)</f>
        <v>0</v>
      </c>
      <c r="L1045" s="1" t="str">
        <f>IF(E1045=0,SUMPRODUCT(MIN($K$2:$K$4734+((($A$2:$A$4734&lt;&gt;A1045)+($E$2:$E$4734&lt;&gt;0))&gt;0)*1000000)),"")</f>
        <v/>
      </c>
      <c r="M1045" s="1">
        <f>IF(AND(E1045=0,COUNTIFS($A$2:A1045,A1045,$E$2:E1045,0)=1),L1045,0)</f>
        <v>0</v>
      </c>
    </row>
    <row r="1046" spans="1:13" ht="15" customHeight="1">
      <c r="A1046" s="1">
        <v>7275</v>
      </c>
      <c r="B1046" s="1" t="s">
        <v>161</v>
      </c>
      <c r="C1046" s="2" t="s">
        <v>1219</v>
      </c>
      <c r="D1046" s="2" t="s">
        <v>1243</v>
      </c>
      <c r="E1046" s="1">
        <v>1</v>
      </c>
      <c r="F1046" s="2" t="s">
        <v>1245</v>
      </c>
      <c r="G1046" s="1">
        <v>2</v>
      </c>
      <c r="H1046" s="1" t="str">
        <f t="shared" si="16"/>
        <v>k7275_2</v>
      </c>
      <c r="K1046" s="1">
        <f>IF(E1046=0,SUMPRODUCT(($A$2:$A$4734=A1046)*($B$2:$B$4734=B1046)*($D$2:$D$4734=D1046)*($E$2:$E$4734=0)),0)</f>
        <v>0</v>
      </c>
      <c r="L1046" s="1" t="str">
        <f>IF(E1046=0,SUMPRODUCT(MIN($K$2:$K$4734+((($A$2:$A$4734&lt;&gt;A1046)+($E$2:$E$4734&lt;&gt;0))&gt;0)*1000000)),"")</f>
        <v/>
      </c>
      <c r="M1046" s="1">
        <f>IF(AND(E1046=0,COUNTIFS($A$2:A1046,A1046,$E$2:E1046,0)=1),L1046,0)</f>
        <v>0</v>
      </c>
    </row>
    <row r="1047" spans="1:13" ht="15" customHeight="1">
      <c r="A1047" s="1">
        <v>7275</v>
      </c>
      <c r="B1047" s="1" t="s">
        <v>161</v>
      </c>
      <c r="C1047" s="2" t="s">
        <v>1219</v>
      </c>
      <c r="D1047" s="2" t="s">
        <v>1243</v>
      </c>
      <c r="E1047" s="1">
        <v>1</v>
      </c>
      <c r="F1047" s="2" t="s">
        <v>1246</v>
      </c>
      <c r="G1047" s="1">
        <v>3</v>
      </c>
      <c r="H1047" s="1" t="str">
        <f t="shared" si="16"/>
        <v>k7275_3</v>
      </c>
      <c r="K1047" s="1">
        <f>IF(E1047=0,SUMPRODUCT(($A$2:$A$4734=A1047)*($B$2:$B$4734=B1047)*($D$2:$D$4734=D1047)*($E$2:$E$4734=0)),0)</f>
        <v>0</v>
      </c>
      <c r="L1047" s="1" t="str">
        <f>IF(E1047=0,SUMPRODUCT(MIN($K$2:$K$4734+((($A$2:$A$4734&lt;&gt;A1047)+($E$2:$E$4734&lt;&gt;0))&gt;0)*1000000)),"")</f>
        <v/>
      </c>
      <c r="M1047" s="1">
        <f>IF(AND(E1047=0,COUNTIFS($A$2:A1047,A1047,$E$2:E1047,0)=1),L1047,0)</f>
        <v>0</v>
      </c>
    </row>
    <row r="1048" spans="1:13" ht="15" customHeight="1">
      <c r="A1048" s="1">
        <v>7275</v>
      </c>
      <c r="B1048" s="1" t="s">
        <v>161</v>
      </c>
      <c r="C1048" s="2" t="s">
        <v>1219</v>
      </c>
      <c r="D1048" s="2" t="s">
        <v>1243</v>
      </c>
      <c r="E1048" s="1">
        <v>1</v>
      </c>
      <c r="F1048" s="2" t="s">
        <v>1247</v>
      </c>
      <c r="G1048" s="1">
        <v>4</v>
      </c>
      <c r="H1048" s="1" t="str">
        <f t="shared" si="16"/>
        <v>k7275_4</v>
      </c>
      <c r="K1048" s="1">
        <f>IF(E1048=0,SUMPRODUCT(($A$2:$A$4734=A1048)*($B$2:$B$4734=B1048)*($D$2:$D$4734=D1048)*($E$2:$E$4734=0)),0)</f>
        <v>0</v>
      </c>
      <c r="L1048" s="1" t="str">
        <f>IF(E1048=0,SUMPRODUCT(MIN($K$2:$K$4734+((($A$2:$A$4734&lt;&gt;A1048)+($E$2:$E$4734&lt;&gt;0))&gt;0)*1000000)),"")</f>
        <v/>
      </c>
      <c r="M1048" s="1">
        <f>IF(AND(E1048=0,COUNTIFS($A$2:A1048,A1048,$E$2:E1048,0)=1),L1048,0)</f>
        <v>0</v>
      </c>
    </row>
    <row r="1049" spans="1:13" ht="15" customHeight="1">
      <c r="A1049" s="1">
        <v>7275</v>
      </c>
      <c r="B1049" s="1" t="s">
        <v>161</v>
      </c>
      <c r="C1049" s="2" t="s">
        <v>1219</v>
      </c>
      <c r="D1049" s="2" t="s">
        <v>1243</v>
      </c>
      <c r="E1049" s="1">
        <v>1</v>
      </c>
      <c r="F1049" s="2" t="s">
        <v>1248</v>
      </c>
      <c r="G1049" s="1">
        <v>5</v>
      </c>
      <c r="H1049" s="1" t="str">
        <f t="shared" si="16"/>
        <v>k7275_5</v>
      </c>
      <c r="K1049" s="1">
        <f>IF(E1049=0,SUMPRODUCT(($A$2:$A$4734=A1049)*($B$2:$B$4734=B1049)*($D$2:$D$4734=D1049)*($E$2:$E$4734=0)),0)</f>
        <v>0</v>
      </c>
      <c r="L1049" s="1" t="str">
        <f>IF(E1049=0,SUMPRODUCT(MIN($K$2:$K$4734+((($A$2:$A$4734&lt;&gt;A1049)+($E$2:$E$4734&lt;&gt;0))&gt;0)*1000000)),"")</f>
        <v/>
      </c>
      <c r="M1049" s="1">
        <f>IF(AND(E1049=0,COUNTIFS($A$2:A1049,A1049,$E$2:E1049,0)=1),L1049,0)</f>
        <v>0</v>
      </c>
    </row>
    <row r="1050" spans="1:13" ht="15" customHeight="1">
      <c r="A1050" s="1">
        <v>7276</v>
      </c>
      <c r="B1050" s="1" t="s">
        <v>95</v>
      </c>
      <c r="C1050" s="2" t="s">
        <v>1249</v>
      </c>
      <c r="D1050" s="2" t="s">
        <v>1250</v>
      </c>
      <c r="E1050" s="1">
        <v>1</v>
      </c>
      <c r="F1050" s="2" t="s">
        <v>1251</v>
      </c>
      <c r="G1050" s="1">
        <v>1</v>
      </c>
      <c r="H1050" s="1" t="str">
        <f t="shared" si="16"/>
        <v>k7276_1</v>
      </c>
      <c r="K1050" s="1">
        <f>IF(E1050=0,SUMPRODUCT(($A$2:$A$4734=A1050)*($B$2:$B$4734=B1050)*($D$2:$D$4734=D1050)*($E$2:$E$4734=0)),0)</f>
        <v>0</v>
      </c>
      <c r="L1050" s="1" t="str">
        <f>IF(E1050=0,SUMPRODUCT(MIN($K$2:$K$4734+((($A$2:$A$4734&lt;&gt;A1050)+($E$2:$E$4734&lt;&gt;0))&gt;0)*1000000)),"")</f>
        <v/>
      </c>
      <c r="M1050" s="1">
        <f>IF(AND(E1050=0,COUNTIFS($A$2:A1050,A1050,$E$2:E1050,0)=1),L1050,0)</f>
        <v>0</v>
      </c>
    </row>
    <row r="1051" spans="1:13" ht="15" customHeight="1">
      <c r="A1051" s="1">
        <v>7276</v>
      </c>
      <c r="B1051" s="1" t="s">
        <v>95</v>
      </c>
      <c r="C1051" s="2" t="s">
        <v>1249</v>
      </c>
      <c r="D1051" s="2" t="s">
        <v>1250</v>
      </c>
      <c r="E1051" s="1">
        <v>1</v>
      </c>
      <c r="F1051" s="2" t="s">
        <v>1252</v>
      </c>
      <c r="G1051" s="1">
        <v>2</v>
      </c>
      <c r="H1051" s="1" t="str">
        <f t="shared" si="16"/>
        <v>k7276_2</v>
      </c>
      <c r="K1051" s="1">
        <f>IF(E1051=0,SUMPRODUCT(($A$2:$A$4734=A1051)*($B$2:$B$4734=B1051)*($D$2:$D$4734=D1051)*($E$2:$E$4734=0)),0)</f>
        <v>0</v>
      </c>
      <c r="L1051" s="1" t="str">
        <f>IF(E1051=0,SUMPRODUCT(MIN($K$2:$K$4734+((($A$2:$A$4734&lt;&gt;A1051)+($E$2:$E$4734&lt;&gt;0))&gt;0)*1000000)),"")</f>
        <v/>
      </c>
      <c r="M1051" s="1">
        <f>IF(AND(E1051=0,COUNTIFS($A$2:A1051,A1051,$E$2:E1051,0)=1),L1051,0)</f>
        <v>0</v>
      </c>
    </row>
    <row r="1052" spans="1:13" ht="15" customHeight="1">
      <c r="A1052" s="1">
        <v>7276</v>
      </c>
      <c r="B1052" s="1" t="s">
        <v>95</v>
      </c>
      <c r="C1052" s="2" t="s">
        <v>1249</v>
      </c>
      <c r="D1052" s="2" t="s">
        <v>1250</v>
      </c>
      <c r="E1052" s="1">
        <v>1</v>
      </c>
      <c r="F1052" s="2" t="s">
        <v>1253</v>
      </c>
      <c r="G1052" s="1">
        <v>3</v>
      </c>
      <c r="H1052" s="1" t="str">
        <f t="shared" si="16"/>
        <v>k7276_3</v>
      </c>
      <c r="K1052" s="1">
        <f>IF(E1052=0,SUMPRODUCT(($A$2:$A$4734=A1052)*($B$2:$B$4734=B1052)*($D$2:$D$4734=D1052)*($E$2:$E$4734=0)),0)</f>
        <v>0</v>
      </c>
      <c r="L1052" s="1" t="str">
        <f>IF(E1052=0,SUMPRODUCT(MIN($K$2:$K$4734+((($A$2:$A$4734&lt;&gt;A1052)+($E$2:$E$4734&lt;&gt;0))&gt;0)*1000000)),"")</f>
        <v/>
      </c>
      <c r="M1052" s="1">
        <f>IF(AND(E1052=0,COUNTIFS($A$2:A1052,A1052,$E$2:E1052,0)=1),L1052,0)</f>
        <v>0</v>
      </c>
    </row>
    <row r="1053" spans="1:13" ht="15" customHeight="1">
      <c r="A1053" s="1">
        <v>7276</v>
      </c>
      <c r="B1053" s="1" t="s">
        <v>95</v>
      </c>
      <c r="C1053" s="2" t="s">
        <v>1249</v>
      </c>
      <c r="D1053" s="2" t="s">
        <v>1250</v>
      </c>
      <c r="E1053" s="1">
        <v>1</v>
      </c>
      <c r="F1053" s="2" t="s">
        <v>1254</v>
      </c>
      <c r="G1053" s="1">
        <v>4</v>
      </c>
      <c r="H1053" s="1" t="str">
        <f t="shared" si="16"/>
        <v>k7276_4</v>
      </c>
      <c r="K1053" s="1">
        <f>IF(E1053=0,SUMPRODUCT(($A$2:$A$4734=A1053)*($B$2:$B$4734=B1053)*($D$2:$D$4734=D1053)*($E$2:$E$4734=0)),0)</f>
        <v>0</v>
      </c>
      <c r="L1053" s="1" t="str">
        <f>IF(E1053=0,SUMPRODUCT(MIN($K$2:$K$4734+((($A$2:$A$4734&lt;&gt;A1053)+($E$2:$E$4734&lt;&gt;0))&gt;0)*1000000)),"")</f>
        <v/>
      </c>
      <c r="M1053" s="1">
        <f>IF(AND(E1053=0,COUNTIFS($A$2:A1053,A1053,$E$2:E1053,0)=1),L1053,0)</f>
        <v>0</v>
      </c>
    </row>
    <row r="1054" spans="1:13" ht="15" customHeight="1">
      <c r="A1054" s="1">
        <v>7276</v>
      </c>
      <c r="B1054" s="1" t="s">
        <v>95</v>
      </c>
      <c r="C1054" s="2" t="s">
        <v>1249</v>
      </c>
      <c r="D1054" s="2" t="s">
        <v>1250</v>
      </c>
      <c r="E1054" s="1">
        <v>1</v>
      </c>
      <c r="F1054" s="2" t="s">
        <v>1255</v>
      </c>
      <c r="G1054" s="1">
        <v>5</v>
      </c>
      <c r="H1054" s="1" t="str">
        <f t="shared" si="16"/>
        <v>k7276_5</v>
      </c>
      <c r="K1054" s="1">
        <f>IF(E1054=0,SUMPRODUCT(($A$2:$A$4734=A1054)*($B$2:$B$4734=B1054)*($D$2:$D$4734=D1054)*($E$2:$E$4734=0)),0)</f>
        <v>0</v>
      </c>
      <c r="L1054" s="1" t="str">
        <f>IF(E1054=0,SUMPRODUCT(MIN($K$2:$K$4734+((($A$2:$A$4734&lt;&gt;A1054)+($E$2:$E$4734&lt;&gt;0))&gt;0)*1000000)),"")</f>
        <v/>
      </c>
      <c r="M1054" s="1">
        <f>IF(AND(E1054=0,COUNTIFS($A$2:A1054,A1054,$E$2:E1054,0)=1),L1054,0)</f>
        <v>0</v>
      </c>
    </row>
    <row r="1055" spans="1:13" ht="15" customHeight="1">
      <c r="A1055" s="1">
        <v>7276</v>
      </c>
      <c r="B1055" s="1" t="s">
        <v>16</v>
      </c>
      <c r="C1055" s="2" t="s">
        <v>1249</v>
      </c>
      <c r="D1055" s="2" t="s">
        <v>1256</v>
      </c>
      <c r="E1055" s="1">
        <v>1</v>
      </c>
      <c r="F1055" s="2" t="s">
        <v>1257</v>
      </c>
      <c r="G1055" s="1">
        <v>1</v>
      </c>
      <c r="H1055" s="1" t="str">
        <f t="shared" si="16"/>
        <v>k7276_1</v>
      </c>
      <c r="K1055" s="1">
        <f>IF(E1055=0,SUMPRODUCT(($A$2:$A$4734=A1055)*($B$2:$B$4734=B1055)*($D$2:$D$4734=D1055)*($E$2:$E$4734=0)),0)</f>
        <v>0</v>
      </c>
      <c r="L1055" s="1" t="str">
        <f>IF(E1055=0,SUMPRODUCT(MIN($K$2:$K$4734+((($A$2:$A$4734&lt;&gt;A1055)+($E$2:$E$4734&lt;&gt;0))&gt;0)*1000000)),"")</f>
        <v/>
      </c>
      <c r="M1055" s="1">
        <f>IF(AND(E1055=0,COUNTIFS($A$2:A1055,A1055,$E$2:E1055,0)=1),L1055,0)</f>
        <v>0</v>
      </c>
    </row>
    <row r="1056" spans="1:13" ht="15" customHeight="1">
      <c r="A1056" s="1">
        <v>7276</v>
      </c>
      <c r="B1056" s="1" t="s">
        <v>16</v>
      </c>
      <c r="C1056" s="2" t="s">
        <v>1249</v>
      </c>
      <c r="D1056" s="2" t="s">
        <v>1256</v>
      </c>
      <c r="E1056" s="1">
        <v>1</v>
      </c>
      <c r="F1056" s="2" t="s">
        <v>1258</v>
      </c>
      <c r="G1056" s="1">
        <v>2</v>
      </c>
      <c r="H1056" s="1" t="str">
        <f t="shared" si="16"/>
        <v>k7276_2</v>
      </c>
      <c r="K1056" s="1">
        <f>IF(E1056=0,SUMPRODUCT(($A$2:$A$4734=A1056)*($B$2:$B$4734=B1056)*($D$2:$D$4734=D1056)*($E$2:$E$4734=0)),0)</f>
        <v>0</v>
      </c>
      <c r="L1056" s="1" t="str">
        <f>IF(E1056=0,SUMPRODUCT(MIN($K$2:$K$4734+((($A$2:$A$4734&lt;&gt;A1056)+($E$2:$E$4734&lt;&gt;0))&gt;0)*1000000)),"")</f>
        <v/>
      </c>
      <c r="M1056" s="1">
        <f>IF(AND(E1056=0,COUNTIFS($A$2:A1056,A1056,$E$2:E1056,0)=1),L1056,0)</f>
        <v>0</v>
      </c>
    </row>
    <row r="1057" spans="1:13" ht="15" customHeight="1">
      <c r="A1057" s="1">
        <v>7276</v>
      </c>
      <c r="B1057" s="1" t="s">
        <v>16</v>
      </c>
      <c r="C1057" s="2" t="s">
        <v>1249</v>
      </c>
      <c r="D1057" s="2" t="s">
        <v>1256</v>
      </c>
      <c r="E1057" s="1">
        <v>1</v>
      </c>
      <c r="F1057" s="2" t="s">
        <v>1259</v>
      </c>
      <c r="G1057" s="1">
        <v>3</v>
      </c>
      <c r="H1057" s="1" t="str">
        <f t="shared" si="16"/>
        <v>k7276_3</v>
      </c>
      <c r="K1057" s="1">
        <f>IF(E1057=0,SUMPRODUCT(($A$2:$A$4734=A1057)*($B$2:$B$4734=B1057)*($D$2:$D$4734=D1057)*($E$2:$E$4734=0)),0)</f>
        <v>0</v>
      </c>
      <c r="L1057" s="1" t="str">
        <f>IF(E1057=0,SUMPRODUCT(MIN($K$2:$K$4734+((($A$2:$A$4734&lt;&gt;A1057)+($E$2:$E$4734&lt;&gt;0))&gt;0)*1000000)),"")</f>
        <v/>
      </c>
      <c r="M1057" s="1">
        <f>IF(AND(E1057=0,COUNTIFS($A$2:A1057,A1057,$E$2:E1057,0)=1),L1057,0)</f>
        <v>0</v>
      </c>
    </row>
    <row r="1058" spans="1:13" ht="15" customHeight="1">
      <c r="A1058" s="1">
        <v>7276</v>
      </c>
      <c r="B1058" s="1" t="s">
        <v>16</v>
      </c>
      <c r="C1058" s="2" t="s">
        <v>1249</v>
      </c>
      <c r="D1058" s="2" t="s">
        <v>1256</v>
      </c>
      <c r="E1058" s="1">
        <v>1</v>
      </c>
      <c r="F1058" s="2" t="s">
        <v>1260</v>
      </c>
      <c r="G1058" s="1">
        <v>4</v>
      </c>
      <c r="H1058" s="1" t="str">
        <f t="shared" si="16"/>
        <v>k7276_4</v>
      </c>
      <c r="K1058" s="1">
        <f>IF(E1058=0,SUMPRODUCT(($A$2:$A$4734=A1058)*($B$2:$B$4734=B1058)*($D$2:$D$4734=D1058)*($E$2:$E$4734=0)),0)</f>
        <v>0</v>
      </c>
      <c r="L1058" s="1" t="str">
        <f>IF(E1058=0,SUMPRODUCT(MIN($K$2:$K$4734+((($A$2:$A$4734&lt;&gt;A1058)+($E$2:$E$4734&lt;&gt;0))&gt;0)*1000000)),"")</f>
        <v/>
      </c>
      <c r="M1058" s="1">
        <f>IF(AND(E1058=0,COUNTIFS($A$2:A1058,A1058,$E$2:E1058,0)=1),L1058,0)</f>
        <v>0</v>
      </c>
    </row>
    <row r="1059" spans="1:13" ht="15" customHeight="1">
      <c r="A1059" s="1">
        <v>7276</v>
      </c>
      <c r="B1059" s="1" t="s">
        <v>16</v>
      </c>
      <c r="C1059" s="2" t="s">
        <v>1249</v>
      </c>
      <c r="D1059" s="2" t="s">
        <v>1256</v>
      </c>
      <c r="E1059" s="1">
        <v>1</v>
      </c>
      <c r="F1059" s="2" t="s">
        <v>1261</v>
      </c>
      <c r="G1059" s="1">
        <v>5</v>
      </c>
      <c r="H1059" s="1" t="str">
        <f t="shared" si="16"/>
        <v>k7276_5</v>
      </c>
      <c r="K1059" s="1">
        <f>IF(E1059=0,SUMPRODUCT(($A$2:$A$4734=A1059)*($B$2:$B$4734=B1059)*($D$2:$D$4734=D1059)*($E$2:$E$4734=0)),0)</f>
        <v>0</v>
      </c>
      <c r="L1059" s="1" t="str">
        <f>IF(E1059=0,SUMPRODUCT(MIN($K$2:$K$4734+((($A$2:$A$4734&lt;&gt;A1059)+($E$2:$E$4734&lt;&gt;0))&gt;0)*1000000)),"")</f>
        <v/>
      </c>
      <c r="M1059" s="1">
        <f>IF(AND(E1059=0,COUNTIFS($A$2:A1059,A1059,$E$2:E1059,0)=1),L1059,0)</f>
        <v>0</v>
      </c>
    </row>
    <row r="1060" spans="1:13" ht="15" customHeight="1">
      <c r="A1060" s="1">
        <v>7277</v>
      </c>
      <c r="B1060" s="1" t="s">
        <v>144</v>
      </c>
      <c r="C1060" s="2" t="s">
        <v>1262</v>
      </c>
      <c r="D1060" s="2" t="s">
        <v>1262</v>
      </c>
      <c r="E1060" s="1">
        <v>1</v>
      </c>
      <c r="F1060" s="2" t="s">
        <v>1263</v>
      </c>
      <c r="G1060" s="1">
        <v>1</v>
      </c>
      <c r="H1060" s="1" t="str">
        <f t="shared" si="16"/>
        <v>k7277_1</v>
      </c>
      <c r="K1060" s="1">
        <f>IF(E1060=0,SUMPRODUCT(($A$2:$A$4734=A1060)*($B$2:$B$4734=B1060)*($D$2:$D$4734=D1060)*($E$2:$E$4734=0)),0)</f>
        <v>0</v>
      </c>
      <c r="L1060" s="1" t="str">
        <f>IF(E1060=0,SUMPRODUCT(MIN($K$2:$K$4734+((($A$2:$A$4734&lt;&gt;A1060)+($E$2:$E$4734&lt;&gt;0))&gt;0)*1000000)),"")</f>
        <v/>
      </c>
      <c r="M1060" s="1">
        <f>IF(AND(E1060=0,COUNTIFS($A$2:A1060,A1060,$E$2:E1060,0)=1),L1060,0)</f>
        <v>0</v>
      </c>
    </row>
    <row r="1061" spans="1:13" ht="15" customHeight="1">
      <c r="A1061" s="1">
        <v>7277</v>
      </c>
      <c r="B1061" s="1" t="s">
        <v>144</v>
      </c>
      <c r="C1061" s="2" t="s">
        <v>1262</v>
      </c>
      <c r="D1061" s="2" t="s">
        <v>1262</v>
      </c>
      <c r="E1061" s="1">
        <v>1</v>
      </c>
      <c r="F1061" s="2" t="s">
        <v>1264</v>
      </c>
      <c r="G1061" s="1">
        <v>2</v>
      </c>
      <c r="H1061" s="1" t="str">
        <f t="shared" si="16"/>
        <v>k7277_2</v>
      </c>
      <c r="K1061" s="1">
        <f>IF(E1061=0,SUMPRODUCT(($A$2:$A$4734=A1061)*($B$2:$B$4734=B1061)*($D$2:$D$4734=D1061)*($E$2:$E$4734=0)),0)</f>
        <v>0</v>
      </c>
      <c r="L1061" s="1" t="str">
        <f>IF(E1061=0,SUMPRODUCT(MIN($K$2:$K$4734+((($A$2:$A$4734&lt;&gt;A1061)+($E$2:$E$4734&lt;&gt;0))&gt;0)*1000000)),"")</f>
        <v/>
      </c>
      <c r="M1061" s="1">
        <f>IF(AND(E1061=0,COUNTIFS($A$2:A1061,A1061,$E$2:E1061,0)=1),L1061,0)</f>
        <v>0</v>
      </c>
    </row>
    <row r="1062" spans="1:13" ht="15" customHeight="1">
      <c r="A1062" s="1">
        <v>7277</v>
      </c>
      <c r="B1062" s="1" t="s">
        <v>144</v>
      </c>
      <c r="C1062" s="2" t="s">
        <v>1262</v>
      </c>
      <c r="D1062" s="2" t="s">
        <v>1262</v>
      </c>
      <c r="E1062" s="1">
        <v>1</v>
      </c>
      <c r="F1062" s="2" t="s">
        <v>1265</v>
      </c>
      <c r="G1062" s="1">
        <v>3</v>
      </c>
      <c r="H1062" s="1" t="str">
        <f t="shared" si="16"/>
        <v>k7277_3</v>
      </c>
      <c r="K1062" s="1">
        <f>IF(E1062=0,SUMPRODUCT(($A$2:$A$4734=A1062)*($B$2:$B$4734=B1062)*($D$2:$D$4734=D1062)*($E$2:$E$4734=0)),0)</f>
        <v>0</v>
      </c>
      <c r="L1062" s="1" t="str">
        <f>IF(E1062=0,SUMPRODUCT(MIN($K$2:$K$4734+((($A$2:$A$4734&lt;&gt;A1062)+($E$2:$E$4734&lt;&gt;0))&gt;0)*1000000)),"")</f>
        <v/>
      </c>
      <c r="M1062" s="1">
        <f>IF(AND(E1062=0,COUNTIFS($A$2:A1062,A1062,$E$2:E1062,0)=1),L1062,0)</f>
        <v>0</v>
      </c>
    </row>
    <row r="1063" spans="1:13" ht="15" customHeight="1">
      <c r="A1063" s="1">
        <v>7277</v>
      </c>
      <c r="B1063" s="1" t="s">
        <v>144</v>
      </c>
      <c r="C1063" s="2" t="s">
        <v>1262</v>
      </c>
      <c r="D1063" s="2" t="s">
        <v>1262</v>
      </c>
      <c r="E1063" s="1">
        <v>1</v>
      </c>
      <c r="F1063" s="2" t="s">
        <v>1266</v>
      </c>
      <c r="G1063" s="1">
        <v>4</v>
      </c>
      <c r="H1063" s="1" t="str">
        <f t="shared" si="16"/>
        <v>k7277_4</v>
      </c>
      <c r="K1063" s="1">
        <f>IF(E1063=0,SUMPRODUCT(($A$2:$A$4734=A1063)*($B$2:$B$4734=B1063)*($D$2:$D$4734=D1063)*($E$2:$E$4734=0)),0)</f>
        <v>0</v>
      </c>
      <c r="L1063" s="1" t="str">
        <f>IF(E1063=0,SUMPRODUCT(MIN($K$2:$K$4734+((($A$2:$A$4734&lt;&gt;A1063)+($E$2:$E$4734&lt;&gt;0))&gt;0)*1000000)),"")</f>
        <v/>
      </c>
      <c r="M1063" s="1">
        <f>IF(AND(E1063=0,COUNTIFS($A$2:A1063,A1063,$E$2:E1063,0)=1),L1063,0)</f>
        <v>0</v>
      </c>
    </row>
    <row r="1064" spans="1:13" ht="15" customHeight="1">
      <c r="A1064" s="1">
        <v>7277</v>
      </c>
      <c r="B1064" s="1" t="s">
        <v>144</v>
      </c>
      <c r="C1064" s="2" t="s">
        <v>1262</v>
      </c>
      <c r="D1064" s="2" t="s">
        <v>1262</v>
      </c>
      <c r="E1064" s="1">
        <v>1</v>
      </c>
      <c r="F1064" s="2" t="s">
        <v>1267</v>
      </c>
      <c r="G1064" s="1">
        <v>5</v>
      </c>
      <c r="H1064" s="1" t="str">
        <f t="shared" si="16"/>
        <v>k7277_5</v>
      </c>
      <c r="K1064" s="1">
        <f>IF(E1064=0,SUMPRODUCT(($A$2:$A$4734=A1064)*($B$2:$B$4734=B1064)*($D$2:$D$4734=D1064)*($E$2:$E$4734=0)),0)</f>
        <v>0</v>
      </c>
      <c r="L1064" s="1" t="str">
        <f>IF(E1064=0,SUMPRODUCT(MIN($K$2:$K$4734+((($A$2:$A$4734&lt;&gt;A1064)+($E$2:$E$4734&lt;&gt;0))&gt;0)*1000000)),"")</f>
        <v/>
      </c>
      <c r="M1064" s="1">
        <f>IF(AND(E1064=0,COUNTIFS($A$2:A1064,A1064,$E$2:E1064,0)=1),L1064,0)</f>
        <v>0</v>
      </c>
    </row>
    <row r="1065" spans="1:13" ht="15" customHeight="1">
      <c r="A1065" s="1">
        <v>7277</v>
      </c>
      <c r="B1065" s="1" t="s">
        <v>9</v>
      </c>
      <c r="C1065" s="2" t="s">
        <v>1262</v>
      </c>
      <c r="D1065" s="2" t="s">
        <v>1268</v>
      </c>
      <c r="E1065" s="1">
        <v>1</v>
      </c>
      <c r="F1065" s="2" t="s">
        <v>1269</v>
      </c>
      <c r="G1065" s="1">
        <v>1</v>
      </c>
      <c r="H1065" s="1" t="str">
        <f t="shared" si="16"/>
        <v>k7277_1</v>
      </c>
      <c r="K1065" s="1">
        <f>IF(E1065=0,SUMPRODUCT(($A$2:$A$4734=A1065)*($B$2:$B$4734=B1065)*($D$2:$D$4734=D1065)*($E$2:$E$4734=0)),0)</f>
        <v>0</v>
      </c>
      <c r="L1065" s="1" t="str">
        <f>IF(E1065=0,SUMPRODUCT(MIN($K$2:$K$4734+((($A$2:$A$4734&lt;&gt;A1065)+($E$2:$E$4734&lt;&gt;0))&gt;0)*1000000)),"")</f>
        <v/>
      </c>
      <c r="M1065" s="1">
        <f>IF(AND(E1065=0,COUNTIFS($A$2:A1065,A1065,$E$2:E1065,0)=1),L1065,0)</f>
        <v>0</v>
      </c>
    </row>
    <row r="1066" spans="1:13" ht="15" customHeight="1">
      <c r="A1066" s="1">
        <v>7277</v>
      </c>
      <c r="B1066" s="1" t="s">
        <v>9</v>
      </c>
      <c r="C1066" s="2" t="s">
        <v>1262</v>
      </c>
      <c r="D1066" s="2" t="s">
        <v>1268</v>
      </c>
      <c r="E1066" s="1">
        <v>1</v>
      </c>
      <c r="F1066" s="2" t="s">
        <v>1270</v>
      </c>
      <c r="G1066" s="1">
        <v>2</v>
      </c>
      <c r="H1066" s="1" t="str">
        <f t="shared" ref="H1066:H1129" si="17">IF(OR(E1066&lt;&gt;1,G1066=""),"","k"&amp;A1066&amp;"_"&amp;G1066)</f>
        <v>k7277_2</v>
      </c>
      <c r="K1066" s="1">
        <f>IF(E1066=0,SUMPRODUCT(($A$2:$A$4734=A1066)*($B$2:$B$4734=B1066)*($D$2:$D$4734=D1066)*($E$2:$E$4734=0)),0)</f>
        <v>0</v>
      </c>
      <c r="L1066" s="1" t="str">
        <f>IF(E1066=0,SUMPRODUCT(MIN($K$2:$K$4734+((($A$2:$A$4734&lt;&gt;A1066)+($E$2:$E$4734&lt;&gt;0))&gt;0)*1000000)),"")</f>
        <v/>
      </c>
      <c r="M1066" s="1">
        <f>IF(AND(E1066=0,COUNTIFS($A$2:A1066,A1066,$E$2:E1066,0)=1),L1066,0)</f>
        <v>0</v>
      </c>
    </row>
    <row r="1067" spans="1:13" ht="15" customHeight="1">
      <c r="A1067" s="1">
        <v>7277</v>
      </c>
      <c r="B1067" s="1" t="s">
        <v>9</v>
      </c>
      <c r="C1067" s="2" t="s">
        <v>1262</v>
      </c>
      <c r="D1067" s="2" t="s">
        <v>1268</v>
      </c>
      <c r="E1067" s="1">
        <v>1</v>
      </c>
      <c r="F1067" s="2" t="s">
        <v>1271</v>
      </c>
      <c r="G1067" s="1">
        <v>3</v>
      </c>
      <c r="H1067" s="1" t="str">
        <f t="shared" si="17"/>
        <v>k7277_3</v>
      </c>
      <c r="K1067" s="1">
        <f>IF(E1067=0,SUMPRODUCT(($A$2:$A$4734=A1067)*($B$2:$B$4734=B1067)*($D$2:$D$4734=D1067)*($E$2:$E$4734=0)),0)</f>
        <v>0</v>
      </c>
      <c r="L1067" s="1" t="str">
        <f>IF(E1067=0,SUMPRODUCT(MIN($K$2:$K$4734+((($A$2:$A$4734&lt;&gt;A1067)+($E$2:$E$4734&lt;&gt;0))&gt;0)*1000000)),"")</f>
        <v/>
      </c>
      <c r="M1067" s="1">
        <f>IF(AND(E1067=0,COUNTIFS($A$2:A1067,A1067,$E$2:E1067,0)=1),L1067,0)</f>
        <v>0</v>
      </c>
    </row>
    <row r="1068" spans="1:13" ht="15" customHeight="1">
      <c r="A1068" s="1">
        <v>7277</v>
      </c>
      <c r="B1068" s="1" t="s">
        <v>9</v>
      </c>
      <c r="C1068" s="2" t="s">
        <v>1262</v>
      </c>
      <c r="D1068" s="2" t="s">
        <v>1268</v>
      </c>
      <c r="E1068" s="1">
        <v>1</v>
      </c>
      <c r="F1068" s="2" t="s">
        <v>1272</v>
      </c>
      <c r="G1068" s="1">
        <v>4</v>
      </c>
      <c r="H1068" s="1" t="str">
        <f t="shared" si="17"/>
        <v>k7277_4</v>
      </c>
      <c r="K1068" s="1">
        <f>IF(E1068=0,SUMPRODUCT(($A$2:$A$4734=A1068)*($B$2:$B$4734=B1068)*($D$2:$D$4734=D1068)*($E$2:$E$4734=0)),0)</f>
        <v>0</v>
      </c>
      <c r="L1068" s="1" t="str">
        <f>IF(E1068=0,SUMPRODUCT(MIN($K$2:$K$4734+((($A$2:$A$4734&lt;&gt;A1068)+($E$2:$E$4734&lt;&gt;0))&gt;0)*1000000)),"")</f>
        <v/>
      </c>
      <c r="M1068" s="1">
        <f>IF(AND(E1068=0,COUNTIFS($A$2:A1068,A1068,$E$2:E1068,0)=1),L1068,0)</f>
        <v>0</v>
      </c>
    </row>
    <row r="1069" spans="1:13" ht="15" customHeight="1">
      <c r="A1069" s="1">
        <v>7277</v>
      </c>
      <c r="B1069" s="1" t="s">
        <v>9</v>
      </c>
      <c r="C1069" s="2" t="s">
        <v>1262</v>
      </c>
      <c r="D1069" s="2" t="s">
        <v>1268</v>
      </c>
      <c r="E1069" s="1">
        <v>1</v>
      </c>
      <c r="F1069" s="2" t="s">
        <v>1273</v>
      </c>
      <c r="G1069" s="1">
        <v>5</v>
      </c>
      <c r="H1069" s="1" t="str">
        <f t="shared" si="17"/>
        <v>k7277_5</v>
      </c>
      <c r="K1069" s="1">
        <f>IF(E1069=0,SUMPRODUCT(($A$2:$A$4734=A1069)*($B$2:$B$4734=B1069)*($D$2:$D$4734=D1069)*($E$2:$E$4734=0)),0)</f>
        <v>0</v>
      </c>
      <c r="L1069" s="1" t="str">
        <f>IF(E1069=0,SUMPRODUCT(MIN($K$2:$K$4734+((($A$2:$A$4734&lt;&gt;A1069)+($E$2:$E$4734&lt;&gt;0))&gt;0)*1000000)),"")</f>
        <v/>
      </c>
      <c r="M1069" s="1">
        <f>IF(AND(E1069=0,COUNTIFS($A$2:A1069,A1069,$E$2:E1069,0)=1),L1069,0)</f>
        <v>0</v>
      </c>
    </row>
    <row r="1070" spans="1:13" ht="15" customHeight="1">
      <c r="A1070" s="1">
        <v>7277</v>
      </c>
      <c r="B1070" s="1" t="s">
        <v>9</v>
      </c>
      <c r="C1070" s="2" t="s">
        <v>1262</v>
      </c>
      <c r="D1070" s="2" t="s">
        <v>1274</v>
      </c>
      <c r="E1070" s="1">
        <v>1</v>
      </c>
      <c r="F1070" s="2" t="s">
        <v>1275</v>
      </c>
      <c r="G1070" s="1">
        <v>1</v>
      </c>
      <c r="H1070" s="1" t="str">
        <f t="shared" si="17"/>
        <v>k7277_1</v>
      </c>
      <c r="K1070" s="1">
        <f>IF(E1070=0,SUMPRODUCT(($A$2:$A$4734=A1070)*($B$2:$B$4734=B1070)*($D$2:$D$4734=D1070)*($E$2:$E$4734=0)),0)</f>
        <v>0</v>
      </c>
      <c r="L1070" s="1" t="str">
        <f>IF(E1070=0,SUMPRODUCT(MIN($K$2:$K$4734+((($A$2:$A$4734&lt;&gt;A1070)+($E$2:$E$4734&lt;&gt;0))&gt;0)*1000000)),"")</f>
        <v/>
      </c>
      <c r="M1070" s="1">
        <f>IF(AND(E1070=0,COUNTIFS($A$2:A1070,A1070,$E$2:E1070,0)=1),L1070,0)</f>
        <v>0</v>
      </c>
    </row>
    <row r="1071" spans="1:13" ht="15" customHeight="1">
      <c r="A1071" s="1">
        <v>7277</v>
      </c>
      <c r="B1071" s="1" t="s">
        <v>9</v>
      </c>
      <c r="C1071" s="2" t="s">
        <v>1262</v>
      </c>
      <c r="D1071" s="2" t="s">
        <v>1274</v>
      </c>
      <c r="E1071" s="1">
        <v>1</v>
      </c>
      <c r="F1071" s="2" t="s">
        <v>1276</v>
      </c>
      <c r="G1071" s="1">
        <v>2</v>
      </c>
      <c r="H1071" s="1" t="str">
        <f t="shared" si="17"/>
        <v>k7277_2</v>
      </c>
      <c r="K1071" s="1">
        <f>IF(E1071=0,SUMPRODUCT(($A$2:$A$4734=A1071)*($B$2:$B$4734=B1071)*($D$2:$D$4734=D1071)*($E$2:$E$4734=0)),0)</f>
        <v>0</v>
      </c>
      <c r="L1071" s="1" t="str">
        <f>IF(E1071=0,SUMPRODUCT(MIN($K$2:$K$4734+((($A$2:$A$4734&lt;&gt;A1071)+($E$2:$E$4734&lt;&gt;0))&gt;0)*1000000)),"")</f>
        <v/>
      </c>
      <c r="M1071" s="1">
        <f>IF(AND(E1071=0,COUNTIFS($A$2:A1071,A1071,$E$2:E1071,0)=1),L1071,0)</f>
        <v>0</v>
      </c>
    </row>
    <row r="1072" spans="1:13" ht="15" customHeight="1">
      <c r="A1072" s="1">
        <v>7277</v>
      </c>
      <c r="B1072" s="1" t="s">
        <v>9</v>
      </c>
      <c r="C1072" s="2" t="s">
        <v>1262</v>
      </c>
      <c r="D1072" s="2" t="s">
        <v>1274</v>
      </c>
      <c r="E1072" s="1">
        <v>1</v>
      </c>
      <c r="F1072" s="2" t="s">
        <v>1277</v>
      </c>
      <c r="G1072" s="1">
        <v>3</v>
      </c>
      <c r="H1072" s="1" t="str">
        <f t="shared" si="17"/>
        <v>k7277_3</v>
      </c>
      <c r="K1072" s="1">
        <f>IF(E1072=0,SUMPRODUCT(($A$2:$A$4734=A1072)*($B$2:$B$4734=B1072)*($D$2:$D$4734=D1072)*($E$2:$E$4734=0)),0)</f>
        <v>0</v>
      </c>
      <c r="L1072" s="1" t="str">
        <f>IF(E1072=0,SUMPRODUCT(MIN($K$2:$K$4734+((($A$2:$A$4734&lt;&gt;A1072)+($E$2:$E$4734&lt;&gt;0))&gt;0)*1000000)),"")</f>
        <v/>
      </c>
      <c r="M1072" s="1">
        <f>IF(AND(E1072=0,COUNTIFS($A$2:A1072,A1072,$E$2:E1072,0)=1),L1072,0)</f>
        <v>0</v>
      </c>
    </row>
    <row r="1073" spans="1:13" ht="15" customHeight="1">
      <c r="A1073" s="1">
        <v>7277</v>
      </c>
      <c r="B1073" s="1" t="s">
        <v>9</v>
      </c>
      <c r="C1073" s="2" t="s">
        <v>1262</v>
      </c>
      <c r="D1073" s="2" t="s">
        <v>1274</v>
      </c>
      <c r="E1073" s="1">
        <v>1</v>
      </c>
      <c r="F1073" s="2" t="s">
        <v>1278</v>
      </c>
      <c r="G1073" s="1">
        <v>4</v>
      </c>
      <c r="H1073" s="1" t="str">
        <f t="shared" si="17"/>
        <v>k7277_4</v>
      </c>
      <c r="K1073" s="1">
        <f>IF(E1073=0,SUMPRODUCT(($A$2:$A$4734=A1073)*($B$2:$B$4734=B1073)*($D$2:$D$4734=D1073)*($E$2:$E$4734=0)),0)</f>
        <v>0</v>
      </c>
      <c r="L1073" s="1" t="str">
        <f>IF(E1073=0,SUMPRODUCT(MIN($K$2:$K$4734+((($A$2:$A$4734&lt;&gt;A1073)+($E$2:$E$4734&lt;&gt;0))&gt;0)*1000000)),"")</f>
        <v/>
      </c>
      <c r="M1073" s="1">
        <f>IF(AND(E1073=0,COUNTIFS($A$2:A1073,A1073,$E$2:E1073,0)=1),L1073,0)</f>
        <v>0</v>
      </c>
    </row>
    <row r="1074" spans="1:13" ht="15" customHeight="1">
      <c r="A1074" s="1">
        <v>7277</v>
      </c>
      <c r="B1074" s="1" t="s">
        <v>9</v>
      </c>
      <c r="C1074" s="2" t="s">
        <v>1262</v>
      </c>
      <c r="D1074" s="2" t="s">
        <v>1274</v>
      </c>
      <c r="E1074" s="1">
        <v>1</v>
      </c>
      <c r="F1074" s="2" t="s">
        <v>1279</v>
      </c>
      <c r="G1074" s="1">
        <v>5</v>
      </c>
      <c r="H1074" s="1" t="str">
        <f t="shared" si="17"/>
        <v>k7277_5</v>
      </c>
      <c r="K1074" s="1">
        <f>IF(E1074=0,SUMPRODUCT(($A$2:$A$4734=A1074)*($B$2:$B$4734=B1074)*($D$2:$D$4734=D1074)*($E$2:$E$4734=0)),0)</f>
        <v>0</v>
      </c>
      <c r="L1074" s="1" t="str">
        <f>IF(E1074=0,SUMPRODUCT(MIN($K$2:$K$4734+((($A$2:$A$4734&lt;&gt;A1074)+($E$2:$E$4734&lt;&gt;0))&gt;0)*1000000)),"")</f>
        <v/>
      </c>
      <c r="M1074" s="1">
        <f>IF(AND(E1074=0,COUNTIFS($A$2:A1074,A1074,$E$2:E1074,0)=1),L1074,0)</f>
        <v>0</v>
      </c>
    </row>
    <row r="1075" spans="1:13" ht="15" customHeight="1">
      <c r="A1075" s="1">
        <v>7277</v>
      </c>
      <c r="B1075" s="1" t="s">
        <v>16</v>
      </c>
      <c r="C1075" s="2" t="s">
        <v>1262</v>
      </c>
      <c r="D1075" s="2" t="s">
        <v>1280</v>
      </c>
      <c r="E1075" s="1">
        <v>1</v>
      </c>
      <c r="F1075" s="2" t="s">
        <v>1281</v>
      </c>
      <c r="G1075" s="1">
        <v>1</v>
      </c>
      <c r="H1075" s="1" t="str">
        <f t="shared" si="17"/>
        <v>k7277_1</v>
      </c>
      <c r="K1075" s="1">
        <f>IF(E1075=0,SUMPRODUCT(($A$2:$A$4734=A1075)*($B$2:$B$4734=B1075)*($D$2:$D$4734=D1075)*($E$2:$E$4734=0)),0)</f>
        <v>0</v>
      </c>
      <c r="L1075" s="1" t="str">
        <f>IF(E1075=0,SUMPRODUCT(MIN($K$2:$K$4734+((($A$2:$A$4734&lt;&gt;A1075)+($E$2:$E$4734&lt;&gt;0))&gt;0)*1000000)),"")</f>
        <v/>
      </c>
      <c r="M1075" s="1">
        <f>IF(AND(E1075=0,COUNTIFS($A$2:A1075,A1075,$E$2:E1075,0)=1),L1075,0)</f>
        <v>0</v>
      </c>
    </row>
    <row r="1076" spans="1:13" ht="15" customHeight="1">
      <c r="A1076" s="1">
        <v>7277</v>
      </c>
      <c r="B1076" s="1" t="s">
        <v>16</v>
      </c>
      <c r="C1076" s="2" t="s">
        <v>1262</v>
      </c>
      <c r="D1076" s="2" t="s">
        <v>1280</v>
      </c>
      <c r="E1076" s="1">
        <v>1</v>
      </c>
      <c r="F1076" s="2" t="s">
        <v>1282</v>
      </c>
      <c r="G1076" s="1">
        <v>2</v>
      </c>
      <c r="H1076" s="1" t="str">
        <f t="shared" si="17"/>
        <v>k7277_2</v>
      </c>
      <c r="K1076" s="1">
        <f>IF(E1076=0,SUMPRODUCT(($A$2:$A$4734=A1076)*($B$2:$B$4734=B1076)*($D$2:$D$4734=D1076)*($E$2:$E$4734=0)),0)</f>
        <v>0</v>
      </c>
      <c r="L1076" s="1" t="str">
        <f>IF(E1076=0,SUMPRODUCT(MIN($K$2:$K$4734+((($A$2:$A$4734&lt;&gt;A1076)+($E$2:$E$4734&lt;&gt;0))&gt;0)*1000000)),"")</f>
        <v/>
      </c>
      <c r="M1076" s="1">
        <f>IF(AND(E1076=0,COUNTIFS($A$2:A1076,A1076,$E$2:E1076,0)=1),L1076,0)</f>
        <v>0</v>
      </c>
    </row>
    <row r="1077" spans="1:13" ht="15" customHeight="1">
      <c r="A1077" s="1">
        <v>7277</v>
      </c>
      <c r="B1077" s="1" t="s">
        <v>16</v>
      </c>
      <c r="C1077" s="2" t="s">
        <v>1262</v>
      </c>
      <c r="D1077" s="2" t="s">
        <v>1280</v>
      </c>
      <c r="E1077" s="1">
        <v>1</v>
      </c>
      <c r="F1077" s="2" t="s">
        <v>1283</v>
      </c>
      <c r="G1077" s="1">
        <v>3</v>
      </c>
      <c r="H1077" s="1" t="str">
        <f t="shared" si="17"/>
        <v>k7277_3</v>
      </c>
      <c r="K1077" s="1">
        <f>IF(E1077=0,SUMPRODUCT(($A$2:$A$4734=A1077)*($B$2:$B$4734=B1077)*($D$2:$D$4734=D1077)*($E$2:$E$4734=0)),0)</f>
        <v>0</v>
      </c>
      <c r="L1077" s="1" t="str">
        <f>IF(E1077=0,SUMPRODUCT(MIN($K$2:$K$4734+((($A$2:$A$4734&lt;&gt;A1077)+($E$2:$E$4734&lt;&gt;0))&gt;0)*1000000)),"")</f>
        <v/>
      </c>
      <c r="M1077" s="1">
        <f>IF(AND(E1077=0,COUNTIFS($A$2:A1077,A1077,$E$2:E1077,0)=1),L1077,0)</f>
        <v>0</v>
      </c>
    </row>
    <row r="1078" spans="1:13" ht="15" customHeight="1">
      <c r="A1078" s="1">
        <v>7277</v>
      </c>
      <c r="B1078" s="1" t="s">
        <v>16</v>
      </c>
      <c r="C1078" s="2" t="s">
        <v>1262</v>
      </c>
      <c r="D1078" s="2" t="s">
        <v>1280</v>
      </c>
      <c r="E1078" s="1">
        <v>1</v>
      </c>
      <c r="F1078" s="2" t="s">
        <v>1284</v>
      </c>
      <c r="G1078" s="1">
        <v>4</v>
      </c>
      <c r="H1078" s="1" t="str">
        <f t="shared" si="17"/>
        <v>k7277_4</v>
      </c>
      <c r="K1078" s="1">
        <f>IF(E1078=0,SUMPRODUCT(($A$2:$A$4734=A1078)*($B$2:$B$4734=B1078)*($D$2:$D$4734=D1078)*($E$2:$E$4734=0)),0)</f>
        <v>0</v>
      </c>
      <c r="L1078" s="1" t="str">
        <f>IF(E1078=0,SUMPRODUCT(MIN($K$2:$K$4734+((($A$2:$A$4734&lt;&gt;A1078)+($E$2:$E$4734&lt;&gt;0))&gt;0)*1000000)),"")</f>
        <v/>
      </c>
      <c r="M1078" s="1">
        <f>IF(AND(E1078=0,COUNTIFS($A$2:A1078,A1078,$E$2:E1078,0)=1),L1078,0)</f>
        <v>0</v>
      </c>
    </row>
    <row r="1079" spans="1:13" ht="15" customHeight="1">
      <c r="A1079" s="1">
        <v>7277</v>
      </c>
      <c r="B1079" s="1" t="s">
        <v>16</v>
      </c>
      <c r="C1079" s="2" t="s">
        <v>1262</v>
      </c>
      <c r="D1079" s="2" t="s">
        <v>1280</v>
      </c>
      <c r="E1079" s="1">
        <v>1</v>
      </c>
      <c r="F1079" s="2" t="s">
        <v>1285</v>
      </c>
      <c r="G1079" s="1">
        <v>5</v>
      </c>
      <c r="H1079" s="1" t="str">
        <f t="shared" si="17"/>
        <v>k7277_5</v>
      </c>
      <c r="K1079" s="1">
        <f>IF(E1079=0,SUMPRODUCT(($A$2:$A$4734=A1079)*($B$2:$B$4734=B1079)*($D$2:$D$4734=D1079)*($E$2:$E$4734=0)),0)</f>
        <v>0</v>
      </c>
      <c r="L1079" s="1" t="str">
        <f>IF(E1079=0,SUMPRODUCT(MIN($K$2:$K$4734+((($A$2:$A$4734&lt;&gt;A1079)+($E$2:$E$4734&lt;&gt;0))&gt;0)*1000000)),"")</f>
        <v/>
      </c>
      <c r="M1079" s="1">
        <f>IF(AND(E1079=0,COUNTIFS($A$2:A1079,A1079,$E$2:E1079,0)=1),L1079,0)</f>
        <v>0</v>
      </c>
    </row>
    <row r="1080" spans="1:13" ht="15" customHeight="1">
      <c r="A1080" s="1">
        <v>7277</v>
      </c>
      <c r="B1080" s="1" t="s">
        <v>9</v>
      </c>
      <c r="C1080" s="2" t="s">
        <v>1262</v>
      </c>
      <c r="D1080" s="2" t="s">
        <v>1286</v>
      </c>
      <c r="E1080" s="1">
        <v>1</v>
      </c>
      <c r="F1080" s="2" t="s">
        <v>142</v>
      </c>
      <c r="G1080" s="1">
        <v>1</v>
      </c>
      <c r="H1080" s="1" t="str">
        <f t="shared" si="17"/>
        <v>k7277_1</v>
      </c>
      <c r="K1080" s="1">
        <f>IF(E1080=0,SUMPRODUCT(($A$2:$A$4734=A1080)*($B$2:$B$4734=B1080)*($D$2:$D$4734=D1080)*($E$2:$E$4734=0)),0)</f>
        <v>0</v>
      </c>
      <c r="L1080" s="1" t="str">
        <f>IF(E1080=0,SUMPRODUCT(MIN($K$2:$K$4734+((($A$2:$A$4734&lt;&gt;A1080)+($E$2:$E$4734&lt;&gt;0))&gt;0)*1000000)),"")</f>
        <v/>
      </c>
      <c r="M1080" s="1">
        <f>IF(AND(E1080=0,COUNTIFS($A$2:A1080,A1080,$E$2:E1080,0)=1),L1080,0)</f>
        <v>0</v>
      </c>
    </row>
    <row r="1081" spans="1:13" ht="15" customHeight="1">
      <c r="A1081" s="1">
        <v>7277</v>
      </c>
      <c r="B1081" s="1" t="s">
        <v>9</v>
      </c>
      <c r="C1081" s="2" t="s">
        <v>1262</v>
      </c>
      <c r="D1081" s="2" t="s">
        <v>1286</v>
      </c>
      <c r="E1081" s="1">
        <v>1</v>
      </c>
      <c r="F1081" s="2" t="s">
        <v>138</v>
      </c>
      <c r="G1081" s="1">
        <v>2</v>
      </c>
      <c r="H1081" s="1" t="str">
        <f t="shared" si="17"/>
        <v>k7277_2</v>
      </c>
      <c r="K1081" s="1">
        <f>IF(E1081=0,SUMPRODUCT(($A$2:$A$4734=A1081)*($B$2:$B$4734=B1081)*($D$2:$D$4734=D1081)*($E$2:$E$4734=0)),0)</f>
        <v>0</v>
      </c>
      <c r="L1081" s="1" t="str">
        <f>IF(E1081=0,SUMPRODUCT(MIN($K$2:$K$4734+((($A$2:$A$4734&lt;&gt;A1081)+($E$2:$E$4734&lt;&gt;0))&gt;0)*1000000)),"")</f>
        <v/>
      </c>
      <c r="M1081" s="1">
        <f>IF(AND(E1081=0,COUNTIFS($A$2:A1081,A1081,$E$2:E1081,0)=1),L1081,0)</f>
        <v>0</v>
      </c>
    </row>
    <row r="1082" spans="1:13" ht="15" customHeight="1">
      <c r="A1082" s="1">
        <v>7277</v>
      </c>
      <c r="B1082" s="1" t="s">
        <v>9</v>
      </c>
      <c r="C1082" s="2" t="s">
        <v>1262</v>
      </c>
      <c r="D1082" s="2" t="s">
        <v>1286</v>
      </c>
      <c r="E1082" s="1">
        <v>1</v>
      </c>
      <c r="F1082" s="2" t="s">
        <v>1287</v>
      </c>
      <c r="G1082" s="1">
        <v>3</v>
      </c>
      <c r="H1082" s="1" t="str">
        <f t="shared" si="17"/>
        <v>k7277_3</v>
      </c>
      <c r="K1082" s="1">
        <f>IF(E1082=0,SUMPRODUCT(($A$2:$A$4734=A1082)*($B$2:$B$4734=B1082)*($D$2:$D$4734=D1082)*($E$2:$E$4734=0)),0)</f>
        <v>0</v>
      </c>
      <c r="L1082" s="1" t="str">
        <f>IF(E1082=0,SUMPRODUCT(MIN($K$2:$K$4734+((($A$2:$A$4734&lt;&gt;A1082)+($E$2:$E$4734&lt;&gt;0))&gt;0)*1000000)),"")</f>
        <v/>
      </c>
      <c r="M1082" s="1">
        <f>IF(AND(E1082=0,COUNTIFS($A$2:A1082,A1082,$E$2:E1082,0)=1),L1082,0)</f>
        <v>0</v>
      </c>
    </row>
    <row r="1083" spans="1:13" ht="15" customHeight="1">
      <c r="A1083" s="1">
        <v>7277</v>
      </c>
      <c r="B1083" s="1" t="s">
        <v>9</v>
      </c>
      <c r="C1083" s="2" t="s">
        <v>1262</v>
      </c>
      <c r="D1083" s="2" t="s">
        <v>1286</v>
      </c>
      <c r="E1083" s="1">
        <v>1</v>
      </c>
      <c r="F1083" s="2" t="s">
        <v>141</v>
      </c>
      <c r="G1083" s="1">
        <v>4</v>
      </c>
      <c r="H1083" s="1" t="str">
        <f t="shared" si="17"/>
        <v>k7277_4</v>
      </c>
      <c r="K1083" s="1">
        <f>IF(E1083=0,SUMPRODUCT(($A$2:$A$4734=A1083)*($B$2:$B$4734=B1083)*($D$2:$D$4734=D1083)*($E$2:$E$4734=0)),0)</f>
        <v>0</v>
      </c>
      <c r="L1083" s="1" t="str">
        <f>IF(E1083=0,SUMPRODUCT(MIN($K$2:$K$4734+((($A$2:$A$4734&lt;&gt;A1083)+($E$2:$E$4734&lt;&gt;0))&gt;0)*1000000)),"")</f>
        <v/>
      </c>
      <c r="M1083" s="1">
        <f>IF(AND(E1083=0,COUNTIFS($A$2:A1083,A1083,$E$2:E1083,0)=1),L1083,0)</f>
        <v>0</v>
      </c>
    </row>
    <row r="1084" spans="1:13" ht="15" customHeight="1">
      <c r="A1084" s="1">
        <v>7277</v>
      </c>
      <c r="B1084" s="1" t="s">
        <v>9</v>
      </c>
      <c r="C1084" s="2" t="s">
        <v>1262</v>
      </c>
      <c r="D1084" s="2" t="s">
        <v>1286</v>
      </c>
      <c r="E1084" s="1">
        <v>1</v>
      </c>
      <c r="F1084" s="2" t="s">
        <v>141</v>
      </c>
      <c r="G1084" s="1">
        <v>5</v>
      </c>
      <c r="H1084" s="1" t="str">
        <f t="shared" si="17"/>
        <v>k7277_5</v>
      </c>
      <c r="K1084" s="1">
        <f>IF(E1084=0,SUMPRODUCT(($A$2:$A$4734=A1084)*($B$2:$B$4734=B1084)*($D$2:$D$4734=D1084)*($E$2:$E$4734=0)),0)</f>
        <v>0</v>
      </c>
      <c r="L1084" s="1" t="str">
        <f>IF(E1084=0,SUMPRODUCT(MIN($K$2:$K$4734+((($A$2:$A$4734&lt;&gt;A1084)+($E$2:$E$4734&lt;&gt;0))&gt;0)*1000000)),"")</f>
        <v/>
      </c>
      <c r="M1084" s="1">
        <f>IF(AND(E1084=0,COUNTIFS($A$2:A1084,A1084,$E$2:E1084,0)=1),L1084,0)</f>
        <v>0</v>
      </c>
    </row>
    <row r="1085" spans="1:13" ht="15" customHeight="1">
      <c r="A1085" s="1">
        <v>7277</v>
      </c>
      <c r="B1085" s="1" t="s">
        <v>95</v>
      </c>
      <c r="C1085" s="2" t="s">
        <v>1262</v>
      </c>
      <c r="D1085" s="2" t="s">
        <v>1288</v>
      </c>
      <c r="E1085" s="1">
        <v>1</v>
      </c>
      <c r="F1085" s="2" t="s">
        <v>1289</v>
      </c>
      <c r="G1085" s="1">
        <v>1</v>
      </c>
      <c r="H1085" s="1" t="str">
        <f t="shared" si="17"/>
        <v>k7277_1</v>
      </c>
      <c r="K1085" s="1">
        <f>IF(E1085=0,SUMPRODUCT(($A$2:$A$4734=A1085)*($B$2:$B$4734=B1085)*($D$2:$D$4734=D1085)*($E$2:$E$4734=0)),0)</f>
        <v>0</v>
      </c>
      <c r="L1085" s="1" t="str">
        <f>IF(E1085=0,SUMPRODUCT(MIN($K$2:$K$4734+((($A$2:$A$4734&lt;&gt;A1085)+($E$2:$E$4734&lt;&gt;0))&gt;0)*1000000)),"")</f>
        <v/>
      </c>
      <c r="M1085" s="1">
        <f>IF(AND(E1085=0,COUNTIFS($A$2:A1085,A1085,$E$2:E1085,0)=1),L1085,0)</f>
        <v>0</v>
      </c>
    </row>
    <row r="1086" spans="1:13" ht="15" customHeight="1">
      <c r="A1086" s="1">
        <v>7277</v>
      </c>
      <c r="B1086" s="1" t="s">
        <v>95</v>
      </c>
      <c r="C1086" s="2" t="s">
        <v>1262</v>
      </c>
      <c r="D1086" s="2" t="s">
        <v>1288</v>
      </c>
      <c r="E1086" s="1">
        <v>1</v>
      </c>
      <c r="F1086" s="2" t="s">
        <v>1290</v>
      </c>
      <c r="G1086" s="1">
        <v>2</v>
      </c>
      <c r="H1086" s="1" t="str">
        <f t="shared" si="17"/>
        <v>k7277_2</v>
      </c>
      <c r="K1086" s="1">
        <f>IF(E1086=0,SUMPRODUCT(($A$2:$A$4734=A1086)*($B$2:$B$4734=B1086)*($D$2:$D$4734=D1086)*($E$2:$E$4734=0)),0)</f>
        <v>0</v>
      </c>
      <c r="L1086" s="1" t="str">
        <f>IF(E1086=0,SUMPRODUCT(MIN($K$2:$K$4734+((($A$2:$A$4734&lt;&gt;A1086)+($E$2:$E$4734&lt;&gt;0))&gt;0)*1000000)),"")</f>
        <v/>
      </c>
      <c r="M1086" s="1">
        <f>IF(AND(E1086=0,COUNTIFS($A$2:A1086,A1086,$E$2:E1086,0)=1),L1086,0)</f>
        <v>0</v>
      </c>
    </row>
    <row r="1087" spans="1:13" ht="15" customHeight="1">
      <c r="A1087" s="1">
        <v>7277</v>
      </c>
      <c r="B1087" s="1" t="s">
        <v>95</v>
      </c>
      <c r="C1087" s="2" t="s">
        <v>1262</v>
      </c>
      <c r="D1087" s="2" t="s">
        <v>1288</v>
      </c>
      <c r="E1087" s="1">
        <v>1</v>
      </c>
      <c r="F1087" s="2" t="s">
        <v>1291</v>
      </c>
      <c r="G1087" s="1">
        <v>3</v>
      </c>
      <c r="H1087" s="1" t="str">
        <f t="shared" si="17"/>
        <v>k7277_3</v>
      </c>
      <c r="K1087" s="1">
        <f>IF(E1087=0,SUMPRODUCT(($A$2:$A$4734=A1087)*($B$2:$B$4734=B1087)*($D$2:$D$4734=D1087)*($E$2:$E$4734=0)),0)</f>
        <v>0</v>
      </c>
      <c r="L1087" s="1" t="str">
        <f>IF(E1087=0,SUMPRODUCT(MIN($K$2:$K$4734+((($A$2:$A$4734&lt;&gt;A1087)+($E$2:$E$4734&lt;&gt;0))&gt;0)*1000000)),"")</f>
        <v/>
      </c>
      <c r="M1087" s="1">
        <f>IF(AND(E1087=0,COUNTIFS($A$2:A1087,A1087,$E$2:E1087,0)=1),L1087,0)</f>
        <v>0</v>
      </c>
    </row>
    <row r="1088" spans="1:13" ht="15" customHeight="1">
      <c r="A1088" s="1">
        <v>7277</v>
      </c>
      <c r="B1088" s="1" t="s">
        <v>95</v>
      </c>
      <c r="C1088" s="2" t="s">
        <v>1262</v>
      </c>
      <c r="D1088" s="2" t="s">
        <v>1288</v>
      </c>
      <c r="E1088" s="1">
        <v>1</v>
      </c>
      <c r="F1088" s="2" t="s">
        <v>1292</v>
      </c>
      <c r="G1088" s="1">
        <v>4</v>
      </c>
      <c r="H1088" s="1" t="str">
        <f t="shared" si="17"/>
        <v>k7277_4</v>
      </c>
      <c r="K1088" s="1">
        <f>IF(E1088=0,SUMPRODUCT(($A$2:$A$4734=A1088)*($B$2:$B$4734=B1088)*($D$2:$D$4734=D1088)*($E$2:$E$4734=0)),0)</f>
        <v>0</v>
      </c>
      <c r="L1088" s="1" t="str">
        <f>IF(E1088=0,SUMPRODUCT(MIN($K$2:$K$4734+((($A$2:$A$4734&lt;&gt;A1088)+($E$2:$E$4734&lt;&gt;0))&gt;0)*1000000)),"")</f>
        <v/>
      </c>
      <c r="M1088" s="1">
        <f>IF(AND(E1088=0,COUNTIFS($A$2:A1088,A1088,$E$2:E1088,0)=1),L1088,0)</f>
        <v>0</v>
      </c>
    </row>
    <row r="1089" spans="1:13" ht="15" customHeight="1">
      <c r="A1089" s="1">
        <v>7277</v>
      </c>
      <c r="B1089" s="1" t="s">
        <v>95</v>
      </c>
      <c r="C1089" s="2" t="s">
        <v>1262</v>
      </c>
      <c r="D1089" s="2" t="s">
        <v>1288</v>
      </c>
      <c r="E1089" s="1">
        <v>1</v>
      </c>
      <c r="F1089" s="2" t="s">
        <v>1293</v>
      </c>
      <c r="G1089" s="1">
        <v>5</v>
      </c>
      <c r="H1089" s="1" t="str">
        <f t="shared" si="17"/>
        <v>k7277_5</v>
      </c>
      <c r="K1089" s="1">
        <f>IF(E1089=0,SUMPRODUCT(($A$2:$A$4734=A1089)*($B$2:$B$4734=B1089)*($D$2:$D$4734=D1089)*($E$2:$E$4734=0)),0)</f>
        <v>0</v>
      </c>
      <c r="L1089" s="1" t="str">
        <f>IF(E1089=0,SUMPRODUCT(MIN($K$2:$K$4734+((($A$2:$A$4734&lt;&gt;A1089)+($E$2:$E$4734&lt;&gt;0))&gt;0)*1000000)),"")</f>
        <v/>
      </c>
      <c r="M1089" s="1">
        <f>IF(AND(E1089=0,COUNTIFS($A$2:A1089,A1089,$E$2:E1089,0)=1),L1089,0)</f>
        <v>0</v>
      </c>
    </row>
    <row r="1090" spans="1:13" ht="15" customHeight="1">
      <c r="A1090" s="1">
        <v>7277</v>
      </c>
      <c r="B1090" s="1" t="s">
        <v>95</v>
      </c>
      <c r="C1090" s="2" t="s">
        <v>1262</v>
      </c>
      <c r="D1090" s="2" t="s">
        <v>1294</v>
      </c>
      <c r="E1090" s="1">
        <v>1</v>
      </c>
      <c r="F1090" s="2" t="s">
        <v>1295</v>
      </c>
      <c r="G1090" s="1">
        <v>1</v>
      </c>
      <c r="H1090" s="1" t="str">
        <f t="shared" si="17"/>
        <v>k7277_1</v>
      </c>
      <c r="K1090" s="1">
        <f>IF(E1090=0,SUMPRODUCT(($A$2:$A$4734=A1090)*($B$2:$B$4734=B1090)*($D$2:$D$4734=D1090)*($E$2:$E$4734=0)),0)</f>
        <v>0</v>
      </c>
      <c r="L1090" s="1" t="str">
        <f>IF(E1090=0,SUMPRODUCT(MIN($K$2:$K$4734+((($A$2:$A$4734&lt;&gt;A1090)+($E$2:$E$4734&lt;&gt;0))&gt;0)*1000000)),"")</f>
        <v/>
      </c>
      <c r="M1090" s="1">
        <f>IF(AND(E1090=0,COUNTIFS($A$2:A1090,A1090,$E$2:E1090,0)=1),L1090,0)</f>
        <v>0</v>
      </c>
    </row>
    <row r="1091" spans="1:13" ht="15" customHeight="1">
      <c r="A1091" s="1">
        <v>7277</v>
      </c>
      <c r="B1091" s="1" t="s">
        <v>95</v>
      </c>
      <c r="C1091" s="2" t="s">
        <v>1262</v>
      </c>
      <c r="D1091" s="2" t="s">
        <v>1294</v>
      </c>
      <c r="E1091" s="1">
        <v>1</v>
      </c>
      <c r="F1091" s="2" t="s">
        <v>1296</v>
      </c>
      <c r="G1091" s="1">
        <v>2</v>
      </c>
      <c r="H1091" s="1" t="str">
        <f t="shared" si="17"/>
        <v>k7277_2</v>
      </c>
      <c r="K1091" s="1">
        <f>IF(E1091=0,SUMPRODUCT(($A$2:$A$4734=A1091)*($B$2:$B$4734=B1091)*($D$2:$D$4734=D1091)*($E$2:$E$4734=0)),0)</f>
        <v>0</v>
      </c>
      <c r="L1091" s="1" t="str">
        <f>IF(E1091=0,SUMPRODUCT(MIN($K$2:$K$4734+((($A$2:$A$4734&lt;&gt;A1091)+($E$2:$E$4734&lt;&gt;0))&gt;0)*1000000)),"")</f>
        <v/>
      </c>
      <c r="M1091" s="1">
        <f>IF(AND(E1091=0,COUNTIFS($A$2:A1091,A1091,$E$2:E1091,0)=1),L1091,0)</f>
        <v>0</v>
      </c>
    </row>
    <row r="1092" spans="1:13" ht="15" customHeight="1">
      <c r="A1092" s="1">
        <v>7277</v>
      </c>
      <c r="B1092" s="1" t="s">
        <v>95</v>
      </c>
      <c r="C1092" s="2" t="s">
        <v>1262</v>
      </c>
      <c r="D1092" s="2" t="s">
        <v>1294</v>
      </c>
      <c r="E1092" s="1">
        <v>1</v>
      </c>
      <c r="F1092" s="2" t="s">
        <v>1297</v>
      </c>
      <c r="G1092" s="1">
        <v>3</v>
      </c>
      <c r="H1092" s="1" t="str">
        <f t="shared" si="17"/>
        <v>k7277_3</v>
      </c>
      <c r="K1092" s="1">
        <f>IF(E1092=0,SUMPRODUCT(($A$2:$A$4734=A1092)*($B$2:$B$4734=B1092)*($D$2:$D$4734=D1092)*($E$2:$E$4734=0)),0)</f>
        <v>0</v>
      </c>
      <c r="L1092" s="1" t="str">
        <f>IF(E1092=0,SUMPRODUCT(MIN($K$2:$K$4734+((($A$2:$A$4734&lt;&gt;A1092)+($E$2:$E$4734&lt;&gt;0))&gt;0)*1000000)),"")</f>
        <v/>
      </c>
      <c r="M1092" s="1">
        <f>IF(AND(E1092=0,COUNTIFS($A$2:A1092,A1092,$E$2:E1092,0)=1),L1092,0)</f>
        <v>0</v>
      </c>
    </row>
    <row r="1093" spans="1:13" ht="15" customHeight="1">
      <c r="A1093" s="1">
        <v>7277</v>
      </c>
      <c r="B1093" s="1" t="s">
        <v>95</v>
      </c>
      <c r="C1093" s="2" t="s">
        <v>1262</v>
      </c>
      <c r="D1093" s="2" t="s">
        <v>1294</v>
      </c>
      <c r="E1093" s="1">
        <v>1</v>
      </c>
      <c r="F1093" s="2" t="s">
        <v>1298</v>
      </c>
      <c r="G1093" s="1">
        <v>4</v>
      </c>
      <c r="H1093" s="1" t="str">
        <f t="shared" si="17"/>
        <v>k7277_4</v>
      </c>
      <c r="K1093" s="1">
        <f>IF(E1093=0,SUMPRODUCT(($A$2:$A$4734=A1093)*($B$2:$B$4734=B1093)*($D$2:$D$4734=D1093)*($E$2:$E$4734=0)),0)</f>
        <v>0</v>
      </c>
      <c r="L1093" s="1" t="str">
        <f>IF(E1093=0,SUMPRODUCT(MIN($K$2:$K$4734+((($A$2:$A$4734&lt;&gt;A1093)+($E$2:$E$4734&lt;&gt;0))&gt;0)*1000000)),"")</f>
        <v/>
      </c>
      <c r="M1093" s="1">
        <f>IF(AND(E1093=0,COUNTIFS($A$2:A1093,A1093,$E$2:E1093,0)=1),L1093,0)</f>
        <v>0</v>
      </c>
    </row>
    <row r="1094" spans="1:13" ht="15" customHeight="1">
      <c r="A1094" s="1">
        <v>7277</v>
      </c>
      <c r="B1094" s="1" t="s">
        <v>95</v>
      </c>
      <c r="C1094" s="2" t="s">
        <v>1262</v>
      </c>
      <c r="D1094" s="2" t="s">
        <v>1294</v>
      </c>
      <c r="E1094" s="1">
        <v>1</v>
      </c>
      <c r="F1094" s="2" t="s">
        <v>1298</v>
      </c>
      <c r="G1094" s="1">
        <v>5</v>
      </c>
      <c r="H1094" s="1" t="str">
        <f t="shared" si="17"/>
        <v>k7277_5</v>
      </c>
      <c r="K1094" s="1">
        <f>IF(E1094=0,SUMPRODUCT(($A$2:$A$4734=A1094)*($B$2:$B$4734=B1094)*($D$2:$D$4734=D1094)*($E$2:$E$4734=0)),0)</f>
        <v>0</v>
      </c>
      <c r="L1094" s="1" t="str">
        <f>IF(E1094=0,SUMPRODUCT(MIN($K$2:$K$4734+((($A$2:$A$4734&lt;&gt;A1094)+($E$2:$E$4734&lt;&gt;0))&gt;0)*1000000)),"")</f>
        <v/>
      </c>
      <c r="M1094" s="1">
        <f>IF(AND(E1094=0,COUNTIFS($A$2:A1094,A1094,$E$2:E1094,0)=1),L1094,0)</f>
        <v>0</v>
      </c>
    </row>
    <row r="1095" spans="1:13" ht="15" customHeight="1">
      <c r="A1095" s="1">
        <v>7277</v>
      </c>
      <c r="B1095" s="1" t="s">
        <v>144</v>
      </c>
      <c r="C1095" s="2" t="s">
        <v>1262</v>
      </c>
      <c r="D1095" s="2" t="s">
        <v>1299</v>
      </c>
      <c r="E1095" s="1">
        <v>1</v>
      </c>
      <c r="F1095" s="2" t="s">
        <v>1300</v>
      </c>
      <c r="G1095" s="1">
        <v>1</v>
      </c>
      <c r="H1095" s="1" t="str">
        <f t="shared" si="17"/>
        <v>k7277_1</v>
      </c>
      <c r="K1095" s="1">
        <f>IF(E1095=0,SUMPRODUCT(($A$2:$A$4734=A1095)*($B$2:$B$4734=B1095)*($D$2:$D$4734=D1095)*($E$2:$E$4734=0)),0)</f>
        <v>0</v>
      </c>
      <c r="L1095" s="1" t="str">
        <f>IF(E1095=0,SUMPRODUCT(MIN($K$2:$K$4734+((($A$2:$A$4734&lt;&gt;A1095)+($E$2:$E$4734&lt;&gt;0))&gt;0)*1000000)),"")</f>
        <v/>
      </c>
      <c r="M1095" s="1">
        <f>IF(AND(E1095=0,COUNTIFS($A$2:A1095,A1095,$E$2:E1095,0)=1),L1095,0)</f>
        <v>0</v>
      </c>
    </row>
    <row r="1096" spans="1:13" ht="15" customHeight="1">
      <c r="A1096" s="1">
        <v>7277</v>
      </c>
      <c r="B1096" s="1" t="s">
        <v>144</v>
      </c>
      <c r="C1096" s="2" t="s">
        <v>1262</v>
      </c>
      <c r="D1096" s="2" t="s">
        <v>1299</v>
      </c>
      <c r="E1096" s="1">
        <v>1</v>
      </c>
      <c r="F1096" s="2" t="s">
        <v>1301</v>
      </c>
      <c r="G1096" s="1">
        <v>2</v>
      </c>
      <c r="H1096" s="1" t="str">
        <f t="shared" si="17"/>
        <v>k7277_2</v>
      </c>
      <c r="K1096" s="1">
        <f>IF(E1096=0,SUMPRODUCT(($A$2:$A$4734=A1096)*($B$2:$B$4734=B1096)*($D$2:$D$4734=D1096)*($E$2:$E$4734=0)),0)</f>
        <v>0</v>
      </c>
      <c r="L1096" s="1" t="str">
        <f>IF(E1096=0,SUMPRODUCT(MIN($K$2:$K$4734+((($A$2:$A$4734&lt;&gt;A1096)+($E$2:$E$4734&lt;&gt;0))&gt;0)*1000000)),"")</f>
        <v/>
      </c>
      <c r="M1096" s="1">
        <f>IF(AND(E1096=0,COUNTIFS($A$2:A1096,A1096,$E$2:E1096,0)=1),L1096,0)</f>
        <v>0</v>
      </c>
    </row>
    <row r="1097" spans="1:13" ht="15" customHeight="1">
      <c r="A1097" s="1">
        <v>7277</v>
      </c>
      <c r="B1097" s="1" t="s">
        <v>144</v>
      </c>
      <c r="C1097" s="2" t="s">
        <v>1262</v>
      </c>
      <c r="D1097" s="2" t="s">
        <v>1299</v>
      </c>
      <c r="E1097" s="1">
        <v>1</v>
      </c>
      <c r="F1097" s="2" t="s">
        <v>1302</v>
      </c>
      <c r="G1097" s="1">
        <v>3</v>
      </c>
      <c r="H1097" s="1" t="str">
        <f t="shared" si="17"/>
        <v>k7277_3</v>
      </c>
      <c r="K1097" s="1">
        <f>IF(E1097=0,SUMPRODUCT(($A$2:$A$4734=A1097)*($B$2:$B$4734=B1097)*($D$2:$D$4734=D1097)*($E$2:$E$4734=0)),0)</f>
        <v>0</v>
      </c>
      <c r="L1097" s="1" t="str">
        <f>IF(E1097=0,SUMPRODUCT(MIN($K$2:$K$4734+((($A$2:$A$4734&lt;&gt;A1097)+($E$2:$E$4734&lt;&gt;0))&gt;0)*1000000)),"")</f>
        <v/>
      </c>
      <c r="M1097" s="1">
        <f>IF(AND(E1097=0,COUNTIFS($A$2:A1097,A1097,$E$2:E1097,0)=1),L1097,0)</f>
        <v>0</v>
      </c>
    </row>
    <row r="1098" spans="1:13" ht="15" customHeight="1">
      <c r="A1098" s="1">
        <v>7277</v>
      </c>
      <c r="B1098" s="1" t="s">
        <v>144</v>
      </c>
      <c r="C1098" s="2" t="s">
        <v>1262</v>
      </c>
      <c r="D1098" s="2" t="s">
        <v>1299</v>
      </c>
      <c r="E1098" s="1">
        <v>1</v>
      </c>
      <c r="F1098" s="2" t="s">
        <v>1303</v>
      </c>
      <c r="G1098" s="1">
        <v>4</v>
      </c>
      <c r="H1098" s="1" t="str">
        <f t="shared" si="17"/>
        <v>k7277_4</v>
      </c>
      <c r="K1098" s="1">
        <f>IF(E1098=0,SUMPRODUCT(($A$2:$A$4734=A1098)*($B$2:$B$4734=B1098)*($D$2:$D$4734=D1098)*($E$2:$E$4734=0)),0)</f>
        <v>0</v>
      </c>
      <c r="L1098" s="1" t="str">
        <f>IF(E1098=0,SUMPRODUCT(MIN($K$2:$K$4734+((($A$2:$A$4734&lt;&gt;A1098)+($E$2:$E$4734&lt;&gt;0))&gt;0)*1000000)),"")</f>
        <v/>
      </c>
      <c r="M1098" s="1">
        <f>IF(AND(E1098=0,COUNTIFS($A$2:A1098,A1098,$E$2:E1098,0)=1),L1098,0)</f>
        <v>0</v>
      </c>
    </row>
    <row r="1099" spans="1:13" ht="15" customHeight="1">
      <c r="A1099" s="1">
        <v>7277</v>
      </c>
      <c r="B1099" s="1" t="s">
        <v>144</v>
      </c>
      <c r="C1099" s="2" t="s">
        <v>1262</v>
      </c>
      <c r="D1099" s="2" t="s">
        <v>1299</v>
      </c>
      <c r="E1099" s="1">
        <v>1</v>
      </c>
      <c r="F1099" s="2" t="s">
        <v>1304</v>
      </c>
      <c r="G1099" s="1">
        <v>5</v>
      </c>
      <c r="H1099" s="1" t="str">
        <f t="shared" si="17"/>
        <v>k7277_5</v>
      </c>
      <c r="K1099" s="1">
        <f>IF(E1099=0,SUMPRODUCT(($A$2:$A$4734=A1099)*($B$2:$B$4734=B1099)*($D$2:$D$4734=D1099)*($E$2:$E$4734=0)),0)</f>
        <v>0</v>
      </c>
      <c r="L1099" s="1" t="str">
        <f>IF(E1099=0,SUMPRODUCT(MIN($K$2:$K$4734+((($A$2:$A$4734&lt;&gt;A1099)+($E$2:$E$4734&lt;&gt;0))&gt;0)*1000000)),"")</f>
        <v/>
      </c>
      <c r="M1099" s="1">
        <f>IF(AND(E1099=0,COUNTIFS($A$2:A1099,A1099,$E$2:E1099,0)=1),L1099,0)</f>
        <v>0</v>
      </c>
    </row>
    <row r="1100" spans="1:13" ht="15" customHeight="1">
      <c r="A1100" s="1">
        <v>7278</v>
      </c>
      <c r="B1100" s="1" t="s">
        <v>9</v>
      </c>
      <c r="C1100" s="2" t="s">
        <v>1305</v>
      </c>
      <c r="D1100" s="2" t="s">
        <v>1306</v>
      </c>
      <c r="E1100" s="1">
        <v>1</v>
      </c>
      <c r="F1100" s="2" t="s">
        <v>1307</v>
      </c>
      <c r="G1100" s="1">
        <v>1</v>
      </c>
      <c r="H1100" s="1" t="str">
        <f t="shared" si="17"/>
        <v>k7278_1</v>
      </c>
      <c r="K1100" s="1">
        <f>IF(E1100=0,SUMPRODUCT(($A$2:$A$4734=A1100)*($B$2:$B$4734=B1100)*($D$2:$D$4734=D1100)*($E$2:$E$4734=0)),0)</f>
        <v>0</v>
      </c>
      <c r="L1100" s="1" t="str">
        <f>IF(E1100=0,SUMPRODUCT(MIN($K$2:$K$4734+((($A$2:$A$4734&lt;&gt;A1100)+($E$2:$E$4734&lt;&gt;0))&gt;0)*1000000)),"")</f>
        <v/>
      </c>
      <c r="M1100" s="1">
        <f>IF(AND(E1100=0,COUNTIFS($A$2:A1100,A1100,$E$2:E1100,0)=1),L1100,0)</f>
        <v>0</v>
      </c>
    </row>
    <row r="1101" spans="1:13" ht="15" customHeight="1">
      <c r="A1101" s="1">
        <v>7278</v>
      </c>
      <c r="B1101" s="1" t="s">
        <v>9</v>
      </c>
      <c r="C1101" s="2" t="s">
        <v>1305</v>
      </c>
      <c r="D1101" s="2" t="s">
        <v>1306</v>
      </c>
      <c r="E1101" s="1">
        <v>1</v>
      </c>
      <c r="F1101" s="2" t="s">
        <v>1308</v>
      </c>
      <c r="G1101" s="1">
        <v>2</v>
      </c>
      <c r="H1101" s="1" t="str">
        <f t="shared" si="17"/>
        <v>k7278_2</v>
      </c>
      <c r="K1101" s="1">
        <f>IF(E1101=0,SUMPRODUCT(($A$2:$A$4734=A1101)*($B$2:$B$4734=B1101)*($D$2:$D$4734=D1101)*($E$2:$E$4734=0)),0)</f>
        <v>0</v>
      </c>
      <c r="L1101" s="1" t="str">
        <f>IF(E1101=0,SUMPRODUCT(MIN($K$2:$K$4734+((($A$2:$A$4734&lt;&gt;A1101)+($E$2:$E$4734&lt;&gt;0))&gt;0)*1000000)),"")</f>
        <v/>
      </c>
      <c r="M1101" s="1">
        <f>IF(AND(E1101=0,COUNTIFS($A$2:A1101,A1101,$E$2:E1101,0)=1),L1101,0)</f>
        <v>0</v>
      </c>
    </row>
    <row r="1102" spans="1:13" ht="15" customHeight="1">
      <c r="A1102" s="1">
        <v>7278</v>
      </c>
      <c r="B1102" s="1" t="s">
        <v>9</v>
      </c>
      <c r="C1102" s="2" t="s">
        <v>1305</v>
      </c>
      <c r="D1102" s="2" t="s">
        <v>1306</v>
      </c>
      <c r="E1102" s="1">
        <v>1</v>
      </c>
      <c r="F1102" s="2" t="s">
        <v>1309</v>
      </c>
      <c r="G1102" s="1">
        <v>3</v>
      </c>
      <c r="H1102" s="1" t="str">
        <f t="shared" si="17"/>
        <v>k7278_3</v>
      </c>
      <c r="K1102" s="1">
        <f>IF(E1102=0,SUMPRODUCT(($A$2:$A$4734=A1102)*($B$2:$B$4734=B1102)*($D$2:$D$4734=D1102)*($E$2:$E$4734=0)),0)</f>
        <v>0</v>
      </c>
      <c r="L1102" s="1" t="str">
        <f>IF(E1102=0,SUMPRODUCT(MIN($K$2:$K$4734+((($A$2:$A$4734&lt;&gt;A1102)+($E$2:$E$4734&lt;&gt;0))&gt;0)*1000000)),"")</f>
        <v/>
      </c>
      <c r="M1102" s="1">
        <f>IF(AND(E1102=0,COUNTIFS($A$2:A1102,A1102,$E$2:E1102,0)=1),L1102,0)</f>
        <v>0</v>
      </c>
    </row>
    <row r="1103" spans="1:13" ht="15" customHeight="1">
      <c r="A1103" s="1">
        <v>7278</v>
      </c>
      <c r="B1103" s="1" t="s">
        <v>9</v>
      </c>
      <c r="C1103" s="2" t="s">
        <v>1305</v>
      </c>
      <c r="D1103" s="2" t="s">
        <v>1306</v>
      </c>
      <c r="E1103" s="1">
        <v>1</v>
      </c>
      <c r="F1103" s="2" t="s">
        <v>1309</v>
      </c>
      <c r="G1103" s="1">
        <v>4</v>
      </c>
      <c r="H1103" s="1" t="str">
        <f t="shared" si="17"/>
        <v>k7278_4</v>
      </c>
      <c r="K1103" s="1">
        <f>IF(E1103=0,SUMPRODUCT(($A$2:$A$4734=A1103)*($B$2:$B$4734=B1103)*($D$2:$D$4734=D1103)*($E$2:$E$4734=0)),0)</f>
        <v>0</v>
      </c>
      <c r="L1103" s="1" t="str">
        <f>IF(E1103=0,SUMPRODUCT(MIN($K$2:$K$4734+((($A$2:$A$4734&lt;&gt;A1103)+($E$2:$E$4734&lt;&gt;0))&gt;0)*1000000)),"")</f>
        <v/>
      </c>
      <c r="M1103" s="1">
        <f>IF(AND(E1103=0,COUNTIFS($A$2:A1103,A1103,$E$2:E1103,0)=1),L1103,0)</f>
        <v>0</v>
      </c>
    </row>
    <row r="1104" spans="1:13" ht="15" customHeight="1">
      <c r="A1104" s="1">
        <v>7278</v>
      </c>
      <c r="B1104" s="1" t="s">
        <v>9</v>
      </c>
      <c r="C1104" s="2" t="s">
        <v>1305</v>
      </c>
      <c r="D1104" s="2" t="s">
        <v>1306</v>
      </c>
      <c r="E1104" s="1">
        <v>1</v>
      </c>
      <c r="F1104" s="2" t="s">
        <v>1309</v>
      </c>
      <c r="G1104" s="1">
        <v>5</v>
      </c>
      <c r="H1104" s="1" t="str">
        <f t="shared" si="17"/>
        <v>k7278_5</v>
      </c>
      <c r="K1104" s="1">
        <f>IF(E1104=0,SUMPRODUCT(($A$2:$A$4734=A1104)*($B$2:$B$4734=B1104)*($D$2:$D$4734=D1104)*($E$2:$E$4734=0)),0)</f>
        <v>0</v>
      </c>
      <c r="L1104" s="1" t="str">
        <f>IF(E1104=0,SUMPRODUCT(MIN($K$2:$K$4734+((($A$2:$A$4734&lt;&gt;A1104)+($E$2:$E$4734&lt;&gt;0))&gt;0)*1000000)),"")</f>
        <v/>
      </c>
      <c r="M1104" s="1">
        <f>IF(AND(E1104=0,COUNTIFS($A$2:A1104,A1104,$E$2:E1104,0)=1),L1104,0)</f>
        <v>0</v>
      </c>
    </row>
    <row r="1105" spans="1:13" ht="15" customHeight="1">
      <c r="A1105" s="1">
        <v>7278</v>
      </c>
      <c r="B1105" s="1" t="s">
        <v>9</v>
      </c>
      <c r="C1105" s="2" t="s">
        <v>1305</v>
      </c>
      <c r="D1105" s="2" t="s">
        <v>1306</v>
      </c>
      <c r="E1105" s="1">
        <v>1</v>
      </c>
      <c r="F1105" s="2" t="s">
        <v>1310</v>
      </c>
      <c r="G1105" s="1">
        <v>6</v>
      </c>
      <c r="H1105" s="1" t="str">
        <f t="shared" si="17"/>
        <v>k7278_6</v>
      </c>
      <c r="K1105" s="1">
        <f>IF(E1105=0,SUMPRODUCT(($A$2:$A$4734=A1105)*($B$2:$B$4734=B1105)*($D$2:$D$4734=D1105)*($E$2:$E$4734=0)),0)</f>
        <v>0</v>
      </c>
      <c r="L1105" s="1" t="str">
        <f>IF(E1105=0,SUMPRODUCT(MIN($K$2:$K$4734+((($A$2:$A$4734&lt;&gt;A1105)+($E$2:$E$4734&lt;&gt;0))&gt;0)*1000000)),"")</f>
        <v/>
      </c>
      <c r="M1105" s="1">
        <f>IF(AND(E1105=0,COUNTIFS($A$2:A1105,A1105,$E$2:E1105,0)=1),L1105,0)</f>
        <v>0</v>
      </c>
    </row>
    <row r="1106" spans="1:13" ht="15" customHeight="1">
      <c r="A1106" s="1">
        <v>7278</v>
      </c>
      <c r="B1106" s="1" t="s">
        <v>16</v>
      </c>
      <c r="C1106" s="2" t="s">
        <v>1305</v>
      </c>
      <c r="D1106" s="2" t="s">
        <v>1311</v>
      </c>
      <c r="E1106" s="1">
        <v>1</v>
      </c>
      <c r="F1106" s="2" t="s">
        <v>1312</v>
      </c>
      <c r="G1106" s="1">
        <v>1</v>
      </c>
      <c r="H1106" s="1" t="str">
        <f t="shared" si="17"/>
        <v>k7278_1</v>
      </c>
      <c r="K1106" s="1">
        <f>IF(E1106=0,SUMPRODUCT(($A$2:$A$4734=A1106)*($B$2:$B$4734=B1106)*($D$2:$D$4734=D1106)*($E$2:$E$4734=0)),0)</f>
        <v>0</v>
      </c>
      <c r="L1106" s="1" t="str">
        <f>IF(E1106=0,SUMPRODUCT(MIN($K$2:$K$4734+((($A$2:$A$4734&lt;&gt;A1106)+($E$2:$E$4734&lt;&gt;0))&gt;0)*1000000)),"")</f>
        <v/>
      </c>
      <c r="M1106" s="1">
        <f>IF(AND(E1106=0,COUNTIFS($A$2:A1106,A1106,$E$2:E1106,0)=1),L1106,0)</f>
        <v>0</v>
      </c>
    </row>
    <row r="1107" spans="1:13" ht="15" customHeight="1">
      <c r="A1107" s="1">
        <v>7278</v>
      </c>
      <c r="B1107" s="1" t="s">
        <v>16</v>
      </c>
      <c r="C1107" s="2" t="s">
        <v>1305</v>
      </c>
      <c r="D1107" s="2" t="s">
        <v>1311</v>
      </c>
      <c r="E1107" s="1">
        <v>1</v>
      </c>
      <c r="F1107" s="2" t="s">
        <v>1313</v>
      </c>
      <c r="G1107" s="1">
        <v>2</v>
      </c>
      <c r="H1107" s="1" t="str">
        <f t="shared" si="17"/>
        <v>k7278_2</v>
      </c>
      <c r="K1107" s="1">
        <f>IF(E1107=0,SUMPRODUCT(($A$2:$A$4734=A1107)*($B$2:$B$4734=B1107)*($D$2:$D$4734=D1107)*($E$2:$E$4734=0)),0)</f>
        <v>0</v>
      </c>
      <c r="L1107" s="1" t="str">
        <f>IF(E1107=0,SUMPRODUCT(MIN($K$2:$K$4734+((($A$2:$A$4734&lt;&gt;A1107)+($E$2:$E$4734&lt;&gt;0))&gt;0)*1000000)),"")</f>
        <v/>
      </c>
      <c r="M1107" s="1">
        <f>IF(AND(E1107=0,COUNTIFS($A$2:A1107,A1107,$E$2:E1107,0)=1),L1107,0)</f>
        <v>0</v>
      </c>
    </row>
    <row r="1108" spans="1:13" ht="15" customHeight="1">
      <c r="A1108" s="1">
        <v>7278</v>
      </c>
      <c r="B1108" s="1" t="s">
        <v>16</v>
      </c>
      <c r="C1108" s="2" t="s">
        <v>1305</v>
      </c>
      <c r="D1108" s="2" t="s">
        <v>1311</v>
      </c>
      <c r="E1108" s="1">
        <v>1</v>
      </c>
      <c r="F1108" s="2" t="s">
        <v>1314</v>
      </c>
      <c r="G1108" s="1">
        <v>3</v>
      </c>
      <c r="H1108" s="1" t="str">
        <f t="shared" si="17"/>
        <v>k7278_3</v>
      </c>
      <c r="K1108" s="1">
        <f>IF(E1108=0,SUMPRODUCT(($A$2:$A$4734=A1108)*($B$2:$B$4734=B1108)*($D$2:$D$4734=D1108)*($E$2:$E$4734=0)),0)</f>
        <v>0</v>
      </c>
      <c r="L1108" s="1" t="str">
        <f>IF(E1108=0,SUMPRODUCT(MIN($K$2:$K$4734+((($A$2:$A$4734&lt;&gt;A1108)+($E$2:$E$4734&lt;&gt;0))&gt;0)*1000000)),"")</f>
        <v/>
      </c>
      <c r="M1108" s="1">
        <f>IF(AND(E1108=0,COUNTIFS($A$2:A1108,A1108,$E$2:E1108,0)=1),L1108,0)</f>
        <v>0</v>
      </c>
    </row>
    <row r="1109" spans="1:13" ht="15" customHeight="1">
      <c r="A1109" s="1">
        <v>7278</v>
      </c>
      <c r="B1109" s="1" t="s">
        <v>16</v>
      </c>
      <c r="C1109" s="2" t="s">
        <v>1305</v>
      </c>
      <c r="D1109" s="2" t="s">
        <v>1311</v>
      </c>
      <c r="E1109" s="1">
        <v>1</v>
      </c>
      <c r="F1109" s="2" t="s">
        <v>1315</v>
      </c>
      <c r="G1109" s="1">
        <v>4</v>
      </c>
      <c r="H1109" s="1" t="str">
        <f t="shared" si="17"/>
        <v>k7278_4</v>
      </c>
      <c r="K1109" s="1">
        <f>IF(E1109=0,SUMPRODUCT(($A$2:$A$4734=A1109)*($B$2:$B$4734=B1109)*($D$2:$D$4734=D1109)*($E$2:$E$4734=0)),0)</f>
        <v>0</v>
      </c>
      <c r="L1109" s="1" t="str">
        <f>IF(E1109=0,SUMPRODUCT(MIN($K$2:$K$4734+((($A$2:$A$4734&lt;&gt;A1109)+($E$2:$E$4734&lt;&gt;0))&gt;0)*1000000)),"")</f>
        <v/>
      </c>
      <c r="M1109" s="1">
        <f>IF(AND(E1109=0,COUNTIFS($A$2:A1109,A1109,$E$2:E1109,0)=1),L1109,0)</f>
        <v>0</v>
      </c>
    </row>
    <row r="1110" spans="1:13" ht="15" customHeight="1">
      <c r="A1110" s="1">
        <v>7278</v>
      </c>
      <c r="B1110" s="1" t="s">
        <v>16</v>
      </c>
      <c r="C1110" s="2" t="s">
        <v>1305</v>
      </c>
      <c r="D1110" s="2" t="s">
        <v>1311</v>
      </c>
      <c r="E1110" s="1">
        <v>1</v>
      </c>
      <c r="F1110" s="2" t="s">
        <v>1314</v>
      </c>
      <c r="G1110" s="1">
        <v>5</v>
      </c>
      <c r="H1110" s="1" t="str">
        <f t="shared" si="17"/>
        <v>k7278_5</v>
      </c>
      <c r="K1110" s="1">
        <f>IF(E1110=0,SUMPRODUCT(($A$2:$A$4734=A1110)*($B$2:$B$4734=B1110)*($D$2:$D$4734=D1110)*($E$2:$E$4734=0)),0)</f>
        <v>0</v>
      </c>
      <c r="L1110" s="1" t="str">
        <f>IF(E1110=0,SUMPRODUCT(MIN($K$2:$K$4734+((($A$2:$A$4734&lt;&gt;A1110)+($E$2:$E$4734&lt;&gt;0))&gt;0)*1000000)),"")</f>
        <v/>
      </c>
      <c r="M1110" s="1">
        <f>IF(AND(E1110=0,COUNTIFS($A$2:A1110,A1110,$E$2:E1110,0)=1),L1110,0)</f>
        <v>0</v>
      </c>
    </row>
    <row r="1111" spans="1:13" ht="15" customHeight="1">
      <c r="A1111" s="1">
        <v>7278</v>
      </c>
      <c r="B1111" s="1" t="s">
        <v>16</v>
      </c>
      <c r="C1111" s="2" t="s">
        <v>1305</v>
      </c>
      <c r="D1111" s="2" t="s">
        <v>1311</v>
      </c>
      <c r="E1111" s="1">
        <v>1</v>
      </c>
      <c r="F1111" s="2" t="s">
        <v>1315</v>
      </c>
      <c r="G1111" s="1">
        <v>6</v>
      </c>
      <c r="H1111" s="1" t="str">
        <f t="shared" si="17"/>
        <v>k7278_6</v>
      </c>
      <c r="K1111" s="1">
        <f>IF(E1111=0,SUMPRODUCT(($A$2:$A$4734=A1111)*($B$2:$B$4734=B1111)*($D$2:$D$4734=D1111)*($E$2:$E$4734=0)),0)</f>
        <v>0</v>
      </c>
      <c r="L1111" s="1" t="str">
        <f>IF(E1111=0,SUMPRODUCT(MIN($K$2:$K$4734+((($A$2:$A$4734&lt;&gt;A1111)+($E$2:$E$4734&lt;&gt;0))&gt;0)*1000000)),"")</f>
        <v/>
      </c>
      <c r="M1111" s="1">
        <f>IF(AND(E1111=0,COUNTIFS($A$2:A1111,A1111,$E$2:E1111,0)=1),L1111,0)</f>
        <v>0</v>
      </c>
    </row>
    <row r="1112" spans="1:13" ht="15" customHeight="1">
      <c r="A1112" s="1">
        <v>7278</v>
      </c>
      <c r="B1112" s="1" t="s">
        <v>9</v>
      </c>
      <c r="C1112" s="2" t="s">
        <v>1305</v>
      </c>
      <c r="D1112" s="2" t="s">
        <v>1316</v>
      </c>
      <c r="E1112" s="1">
        <v>1</v>
      </c>
      <c r="F1112" s="2" t="s">
        <v>1317</v>
      </c>
      <c r="G1112" s="1">
        <v>1</v>
      </c>
      <c r="H1112" s="1" t="str">
        <f t="shared" si="17"/>
        <v>k7278_1</v>
      </c>
      <c r="K1112" s="1">
        <f>IF(E1112=0,SUMPRODUCT(($A$2:$A$4734=A1112)*($B$2:$B$4734=B1112)*($D$2:$D$4734=D1112)*($E$2:$E$4734=0)),0)</f>
        <v>0</v>
      </c>
      <c r="L1112" s="1" t="str">
        <f>IF(E1112=0,SUMPRODUCT(MIN($K$2:$K$4734+((($A$2:$A$4734&lt;&gt;A1112)+($E$2:$E$4734&lt;&gt;0))&gt;0)*1000000)),"")</f>
        <v/>
      </c>
      <c r="M1112" s="1">
        <f>IF(AND(E1112=0,COUNTIFS($A$2:A1112,A1112,$E$2:E1112,0)=1),L1112,0)</f>
        <v>0</v>
      </c>
    </row>
    <row r="1113" spans="1:13" ht="15" customHeight="1">
      <c r="A1113" s="1">
        <v>7278</v>
      </c>
      <c r="B1113" s="1" t="s">
        <v>9</v>
      </c>
      <c r="C1113" s="2" t="s">
        <v>1305</v>
      </c>
      <c r="D1113" s="2" t="s">
        <v>1316</v>
      </c>
      <c r="E1113" s="1">
        <v>1</v>
      </c>
      <c r="F1113" s="2" t="s">
        <v>1318</v>
      </c>
      <c r="G1113" s="1">
        <v>2</v>
      </c>
      <c r="H1113" s="1" t="str">
        <f t="shared" si="17"/>
        <v>k7278_2</v>
      </c>
      <c r="K1113" s="1">
        <f>IF(E1113=0,SUMPRODUCT(($A$2:$A$4734=A1113)*($B$2:$B$4734=B1113)*($D$2:$D$4734=D1113)*($E$2:$E$4734=0)),0)</f>
        <v>0</v>
      </c>
      <c r="L1113" s="1" t="str">
        <f>IF(E1113=0,SUMPRODUCT(MIN($K$2:$K$4734+((($A$2:$A$4734&lt;&gt;A1113)+($E$2:$E$4734&lt;&gt;0))&gt;0)*1000000)),"")</f>
        <v/>
      </c>
      <c r="M1113" s="1">
        <f>IF(AND(E1113=0,COUNTIFS($A$2:A1113,A1113,$E$2:E1113,0)=1),L1113,0)</f>
        <v>0</v>
      </c>
    </row>
    <row r="1114" spans="1:13" ht="15" customHeight="1">
      <c r="A1114" s="1">
        <v>7278</v>
      </c>
      <c r="B1114" s="1" t="s">
        <v>9</v>
      </c>
      <c r="C1114" s="2" t="s">
        <v>1305</v>
      </c>
      <c r="D1114" s="2" t="s">
        <v>1316</v>
      </c>
      <c r="E1114" s="1">
        <v>1</v>
      </c>
      <c r="F1114" s="2" t="s">
        <v>1317</v>
      </c>
      <c r="G1114" s="1">
        <v>3</v>
      </c>
      <c r="H1114" s="1" t="str">
        <f t="shared" si="17"/>
        <v>k7278_3</v>
      </c>
      <c r="K1114" s="1">
        <f>IF(E1114=0,SUMPRODUCT(($A$2:$A$4734=A1114)*($B$2:$B$4734=B1114)*($D$2:$D$4734=D1114)*($E$2:$E$4734=0)),0)</f>
        <v>0</v>
      </c>
      <c r="L1114" s="1" t="str">
        <f>IF(E1114=0,SUMPRODUCT(MIN($K$2:$K$4734+((($A$2:$A$4734&lt;&gt;A1114)+($E$2:$E$4734&lt;&gt;0))&gt;0)*1000000)),"")</f>
        <v/>
      </c>
      <c r="M1114" s="1">
        <f>IF(AND(E1114=0,COUNTIFS($A$2:A1114,A1114,$E$2:E1114,0)=1),L1114,0)</f>
        <v>0</v>
      </c>
    </row>
    <row r="1115" spans="1:13" ht="15" customHeight="1">
      <c r="A1115" s="1">
        <v>7278</v>
      </c>
      <c r="B1115" s="1" t="s">
        <v>9</v>
      </c>
      <c r="C1115" s="2" t="s">
        <v>1305</v>
      </c>
      <c r="D1115" s="2" t="s">
        <v>1316</v>
      </c>
      <c r="E1115" s="1">
        <v>1</v>
      </c>
      <c r="F1115" s="2" t="s">
        <v>1318</v>
      </c>
      <c r="G1115" s="1">
        <v>4</v>
      </c>
      <c r="H1115" s="1" t="str">
        <f t="shared" si="17"/>
        <v>k7278_4</v>
      </c>
      <c r="K1115" s="1">
        <f>IF(E1115=0,SUMPRODUCT(($A$2:$A$4734=A1115)*($B$2:$B$4734=B1115)*($D$2:$D$4734=D1115)*($E$2:$E$4734=0)),0)</f>
        <v>0</v>
      </c>
      <c r="L1115" s="1" t="str">
        <f>IF(E1115=0,SUMPRODUCT(MIN($K$2:$K$4734+((($A$2:$A$4734&lt;&gt;A1115)+($E$2:$E$4734&lt;&gt;0))&gt;0)*1000000)),"")</f>
        <v/>
      </c>
      <c r="M1115" s="1">
        <f>IF(AND(E1115=0,COUNTIFS($A$2:A1115,A1115,$E$2:E1115,0)=1),L1115,0)</f>
        <v>0</v>
      </c>
    </row>
    <row r="1116" spans="1:13" ht="15" customHeight="1">
      <c r="A1116" s="1">
        <v>7278</v>
      </c>
      <c r="B1116" s="1" t="s">
        <v>9</v>
      </c>
      <c r="C1116" s="2" t="s">
        <v>1305</v>
      </c>
      <c r="D1116" s="2" t="s">
        <v>1316</v>
      </c>
      <c r="E1116" s="1">
        <v>1</v>
      </c>
      <c r="F1116" s="2" t="s">
        <v>1319</v>
      </c>
      <c r="G1116" s="1">
        <v>5</v>
      </c>
      <c r="H1116" s="1" t="str">
        <f t="shared" si="17"/>
        <v>k7278_5</v>
      </c>
      <c r="K1116" s="1">
        <f>IF(E1116=0,SUMPRODUCT(($A$2:$A$4734=A1116)*($B$2:$B$4734=B1116)*($D$2:$D$4734=D1116)*($E$2:$E$4734=0)),0)</f>
        <v>0</v>
      </c>
      <c r="L1116" s="1" t="str">
        <f>IF(E1116=0,SUMPRODUCT(MIN($K$2:$K$4734+((($A$2:$A$4734&lt;&gt;A1116)+($E$2:$E$4734&lt;&gt;0))&gt;0)*1000000)),"")</f>
        <v/>
      </c>
      <c r="M1116" s="1">
        <f>IF(AND(E1116=0,COUNTIFS($A$2:A1116,A1116,$E$2:E1116,0)=1),L1116,0)</f>
        <v>0</v>
      </c>
    </row>
    <row r="1117" spans="1:13" ht="15" customHeight="1">
      <c r="A1117" s="1">
        <v>7278</v>
      </c>
      <c r="B1117" s="1" t="s">
        <v>9</v>
      </c>
      <c r="C1117" s="2" t="s">
        <v>1305</v>
      </c>
      <c r="D1117" s="2" t="s">
        <v>1316</v>
      </c>
      <c r="E1117" s="1">
        <v>1</v>
      </c>
      <c r="F1117" s="2" t="s">
        <v>1320</v>
      </c>
      <c r="G1117" s="1">
        <v>6</v>
      </c>
      <c r="H1117" s="1" t="str">
        <f t="shared" si="17"/>
        <v>k7278_6</v>
      </c>
      <c r="K1117" s="1">
        <f>IF(E1117=0,SUMPRODUCT(($A$2:$A$4734=A1117)*($B$2:$B$4734=B1117)*($D$2:$D$4734=D1117)*($E$2:$E$4734=0)),0)</f>
        <v>0</v>
      </c>
      <c r="L1117" s="1" t="str">
        <f>IF(E1117=0,SUMPRODUCT(MIN($K$2:$K$4734+((($A$2:$A$4734&lt;&gt;A1117)+($E$2:$E$4734&lt;&gt;0))&gt;0)*1000000)),"")</f>
        <v/>
      </c>
      <c r="M1117" s="1">
        <f>IF(AND(E1117=0,COUNTIFS($A$2:A1117,A1117,$E$2:E1117,0)=1),L1117,0)</f>
        <v>0</v>
      </c>
    </row>
    <row r="1118" spans="1:13" ht="15" customHeight="1">
      <c r="A1118" s="1">
        <v>7278</v>
      </c>
      <c r="B1118" s="1" t="s">
        <v>16</v>
      </c>
      <c r="C1118" s="2" t="s">
        <v>1305</v>
      </c>
      <c r="D1118" s="2" t="s">
        <v>1321</v>
      </c>
      <c r="E1118" s="1">
        <v>1</v>
      </c>
      <c r="F1118" s="2" t="s">
        <v>1322</v>
      </c>
      <c r="G1118" s="1">
        <v>1</v>
      </c>
      <c r="H1118" s="1" t="str">
        <f t="shared" si="17"/>
        <v>k7278_1</v>
      </c>
      <c r="K1118" s="1">
        <f>IF(E1118=0,SUMPRODUCT(($A$2:$A$4734=A1118)*($B$2:$B$4734=B1118)*($D$2:$D$4734=D1118)*($E$2:$E$4734=0)),0)</f>
        <v>0</v>
      </c>
      <c r="L1118" s="1" t="str">
        <f>IF(E1118=0,SUMPRODUCT(MIN($K$2:$K$4734+((($A$2:$A$4734&lt;&gt;A1118)+($E$2:$E$4734&lt;&gt;0))&gt;0)*1000000)),"")</f>
        <v/>
      </c>
      <c r="M1118" s="1">
        <f>IF(AND(E1118=0,COUNTIFS($A$2:A1118,A1118,$E$2:E1118,0)=1),L1118,0)</f>
        <v>0</v>
      </c>
    </row>
    <row r="1119" spans="1:13" ht="15" customHeight="1">
      <c r="A1119" s="1">
        <v>7278</v>
      </c>
      <c r="B1119" s="1" t="s">
        <v>16</v>
      </c>
      <c r="C1119" s="2" t="s">
        <v>1305</v>
      </c>
      <c r="D1119" s="2" t="s">
        <v>1321</v>
      </c>
      <c r="E1119" s="1">
        <v>1</v>
      </c>
      <c r="F1119" s="2" t="s">
        <v>1323</v>
      </c>
      <c r="G1119" s="1">
        <v>2</v>
      </c>
      <c r="H1119" s="1" t="str">
        <f t="shared" si="17"/>
        <v>k7278_2</v>
      </c>
      <c r="K1119" s="1">
        <f>IF(E1119=0,SUMPRODUCT(($A$2:$A$4734=A1119)*($B$2:$B$4734=B1119)*($D$2:$D$4734=D1119)*($E$2:$E$4734=0)),0)</f>
        <v>0</v>
      </c>
      <c r="L1119" s="1" t="str">
        <f>IF(E1119=0,SUMPRODUCT(MIN($K$2:$K$4734+((($A$2:$A$4734&lt;&gt;A1119)+($E$2:$E$4734&lt;&gt;0))&gt;0)*1000000)),"")</f>
        <v/>
      </c>
      <c r="M1119" s="1">
        <f>IF(AND(E1119=0,COUNTIFS($A$2:A1119,A1119,$E$2:E1119,0)=1),L1119,0)</f>
        <v>0</v>
      </c>
    </row>
    <row r="1120" spans="1:13" ht="15" customHeight="1">
      <c r="A1120" s="1">
        <v>7278</v>
      </c>
      <c r="B1120" s="1" t="s">
        <v>16</v>
      </c>
      <c r="C1120" s="2" t="s">
        <v>1305</v>
      </c>
      <c r="D1120" s="2" t="s">
        <v>1321</v>
      </c>
      <c r="E1120" s="1">
        <v>1</v>
      </c>
      <c r="F1120" s="2" t="s">
        <v>1324</v>
      </c>
      <c r="G1120" s="1">
        <v>3</v>
      </c>
      <c r="H1120" s="1" t="str">
        <f t="shared" si="17"/>
        <v>k7278_3</v>
      </c>
      <c r="K1120" s="1">
        <f>IF(E1120=0,SUMPRODUCT(($A$2:$A$4734=A1120)*($B$2:$B$4734=B1120)*($D$2:$D$4734=D1120)*($E$2:$E$4734=0)),0)</f>
        <v>0</v>
      </c>
      <c r="L1120" s="1" t="str">
        <f>IF(E1120=0,SUMPRODUCT(MIN($K$2:$K$4734+((($A$2:$A$4734&lt;&gt;A1120)+($E$2:$E$4734&lt;&gt;0))&gt;0)*1000000)),"")</f>
        <v/>
      </c>
      <c r="M1120" s="1">
        <f>IF(AND(E1120=0,COUNTIFS($A$2:A1120,A1120,$E$2:E1120,0)=1),L1120,0)</f>
        <v>0</v>
      </c>
    </row>
    <row r="1121" spans="1:13" ht="15" customHeight="1">
      <c r="A1121" s="1">
        <v>7278</v>
      </c>
      <c r="B1121" s="1" t="s">
        <v>16</v>
      </c>
      <c r="C1121" s="2" t="s">
        <v>1305</v>
      </c>
      <c r="D1121" s="2" t="s">
        <v>1321</v>
      </c>
      <c r="E1121" s="1">
        <v>1</v>
      </c>
      <c r="F1121" s="2" t="s">
        <v>1325</v>
      </c>
      <c r="G1121" s="1">
        <v>4</v>
      </c>
      <c r="H1121" s="1" t="str">
        <f t="shared" si="17"/>
        <v>k7278_4</v>
      </c>
      <c r="K1121" s="1">
        <f>IF(E1121=0,SUMPRODUCT(($A$2:$A$4734=A1121)*($B$2:$B$4734=B1121)*($D$2:$D$4734=D1121)*($E$2:$E$4734=0)),0)</f>
        <v>0</v>
      </c>
      <c r="L1121" s="1" t="str">
        <f>IF(E1121=0,SUMPRODUCT(MIN($K$2:$K$4734+((($A$2:$A$4734&lt;&gt;A1121)+($E$2:$E$4734&lt;&gt;0))&gt;0)*1000000)),"")</f>
        <v/>
      </c>
      <c r="M1121" s="1">
        <f>IF(AND(E1121=0,COUNTIFS($A$2:A1121,A1121,$E$2:E1121,0)=1),L1121,0)</f>
        <v>0</v>
      </c>
    </row>
    <row r="1122" spans="1:13" ht="15" customHeight="1">
      <c r="A1122" s="1">
        <v>7278</v>
      </c>
      <c r="B1122" s="1" t="s">
        <v>16</v>
      </c>
      <c r="C1122" s="2" t="s">
        <v>1305</v>
      </c>
      <c r="D1122" s="2" t="s">
        <v>1321</v>
      </c>
      <c r="E1122" s="1">
        <v>1</v>
      </c>
      <c r="F1122" s="2" t="s">
        <v>1324</v>
      </c>
      <c r="G1122" s="1">
        <v>5</v>
      </c>
      <c r="H1122" s="1" t="str">
        <f t="shared" si="17"/>
        <v>k7278_5</v>
      </c>
      <c r="K1122" s="1">
        <f>IF(E1122=0,SUMPRODUCT(($A$2:$A$4734=A1122)*($B$2:$B$4734=B1122)*($D$2:$D$4734=D1122)*($E$2:$E$4734=0)),0)</f>
        <v>0</v>
      </c>
      <c r="L1122" s="1" t="str">
        <f>IF(E1122=0,SUMPRODUCT(MIN($K$2:$K$4734+((($A$2:$A$4734&lt;&gt;A1122)+($E$2:$E$4734&lt;&gt;0))&gt;0)*1000000)),"")</f>
        <v/>
      </c>
      <c r="M1122" s="1">
        <f>IF(AND(E1122=0,COUNTIFS($A$2:A1122,A1122,$E$2:E1122,0)=1),L1122,0)</f>
        <v>0</v>
      </c>
    </row>
    <row r="1123" spans="1:13" ht="15" customHeight="1">
      <c r="A1123" s="1">
        <v>7278</v>
      </c>
      <c r="B1123" s="1" t="s">
        <v>16</v>
      </c>
      <c r="C1123" s="2" t="s">
        <v>1305</v>
      </c>
      <c r="D1123" s="2" t="s">
        <v>1321</v>
      </c>
      <c r="E1123" s="1">
        <v>1</v>
      </c>
      <c r="F1123" s="2" t="s">
        <v>1325</v>
      </c>
      <c r="G1123" s="1">
        <v>6</v>
      </c>
      <c r="H1123" s="1" t="str">
        <f t="shared" si="17"/>
        <v>k7278_6</v>
      </c>
      <c r="K1123" s="1">
        <f>IF(E1123=0,SUMPRODUCT(($A$2:$A$4734=A1123)*($B$2:$B$4734=B1123)*($D$2:$D$4734=D1123)*($E$2:$E$4734=0)),0)</f>
        <v>0</v>
      </c>
      <c r="L1123" s="1" t="str">
        <f>IF(E1123=0,SUMPRODUCT(MIN($K$2:$K$4734+((($A$2:$A$4734&lt;&gt;A1123)+($E$2:$E$4734&lt;&gt;0))&gt;0)*1000000)),"")</f>
        <v/>
      </c>
      <c r="M1123" s="1">
        <f>IF(AND(E1123=0,COUNTIFS($A$2:A1123,A1123,$E$2:E1123,0)=1),L1123,0)</f>
        <v>0</v>
      </c>
    </row>
    <row r="1124" spans="1:13" ht="15" customHeight="1">
      <c r="A1124" s="1">
        <v>7278</v>
      </c>
      <c r="B1124" s="1" t="s">
        <v>9</v>
      </c>
      <c r="C1124" s="2" t="s">
        <v>1305</v>
      </c>
      <c r="D1124" s="2" t="s">
        <v>1326</v>
      </c>
      <c r="E1124" s="1">
        <v>1</v>
      </c>
      <c r="F1124" s="2" t="s">
        <v>1327</v>
      </c>
      <c r="G1124" s="1">
        <v>1</v>
      </c>
      <c r="H1124" s="1" t="str">
        <f t="shared" si="17"/>
        <v>k7278_1</v>
      </c>
      <c r="K1124" s="1">
        <f>IF(E1124=0,SUMPRODUCT(($A$2:$A$4734=A1124)*($B$2:$B$4734=B1124)*($D$2:$D$4734=D1124)*($E$2:$E$4734=0)),0)</f>
        <v>0</v>
      </c>
      <c r="L1124" s="1" t="str">
        <f>IF(E1124=0,SUMPRODUCT(MIN($K$2:$K$4734+((($A$2:$A$4734&lt;&gt;A1124)+($E$2:$E$4734&lt;&gt;0))&gt;0)*1000000)),"")</f>
        <v/>
      </c>
      <c r="M1124" s="1">
        <f>IF(AND(E1124=0,COUNTIFS($A$2:A1124,A1124,$E$2:E1124,0)=1),L1124,0)</f>
        <v>0</v>
      </c>
    </row>
    <row r="1125" spans="1:13" ht="15" customHeight="1">
      <c r="A1125" s="1">
        <v>7278</v>
      </c>
      <c r="B1125" s="1" t="s">
        <v>9</v>
      </c>
      <c r="C1125" s="2" t="s">
        <v>1305</v>
      </c>
      <c r="D1125" s="2" t="s">
        <v>1326</v>
      </c>
      <c r="E1125" s="1">
        <v>1</v>
      </c>
      <c r="F1125" s="2" t="s">
        <v>1328</v>
      </c>
      <c r="G1125" s="1">
        <v>2</v>
      </c>
      <c r="H1125" s="1" t="str">
        <f t="shared" si="17"/>
        <v>k7278_2</v>
      </c>
      <c r="K1125" s="1">
        <f>IF(E1125=0,SUMPRODUCT(($A$2:$A$4734=A1125)*($B$2:$B$4734=B1125)*($D$2:$D$4734=D1125)*($E$2:$E$4734=0)),0)</f>
        <v>0</v>
      </c>
      <c r="L1125" s="1" t="str">
        <f>IF(E1125=0,SUMPRODUCT(MIN($K$2:$K$4734+((($A$2:$A$4734&lt;&gt;A1125)+($E$2:$E$4734&lt;&gt;0))&gt;0)*1000000)),"")</f>
        <v/>
      </c>
      <c r="M1125" s="1">
        <f>IF(AND(E1125=0,COUNTIFS($A$2:A1125,A1125,$E$2:E1125,0)=1),L1125,0)</f>
        <v>0</v>
      </c>
    </row>
    <row r="1126" spans="1:13" ht="15" customHeight="1">
      <c r="A1126" s="1">
        <v>7278</v>
      </c>
      <c r="B1126" s="1" t="s">
        <v>9</v>
      </c>
      <c r="C1126" s="2" t="s">
        <v>1305</v>
      </c>
      <c r="D1126" s="2" t="s">
        <v>1326</v>
      </c>
      <c r="E1126" s="1">
        <v>1</v>
      </c>
      <c r="F1126" s="2" t="s">
        <v>1329</v>
      </c>
      <c r="G1126" s="1">
        <v>3</v>
      </c>
      <c r="H1126" s="1" t="str">
        <f t="shared" si="17"/>
        <v>k7278_3</v>
      </c>
      <c r="K1126" s="1">
        <f>IF(E1126=0,SUMPRODUCT(($A$2:$A$4734=A1126)*($B$2:$B$4734=B1126)*($D$2:$D$4734=D1126)*($E$2:$E$4734=0)),0)</f>
        <v>0</v>
      </c>
      <c r="L1126" s="1" t="str">
        <f>IF(E1126=0,SUMPRODUCT(MIN($K$2:$K$4734+((($A$2:$A$4734&lt;&gt;A1126)+($E$2:$E$4734&lt;&gt;0))&gt;0)*1000000)),"")</f>
        <v/>
      </c>
      <c r="M1126" s="1">
        <f>IF(AND(E1126=0,COUNTIFS($A$2:A1126,A1126,$E$2:E1126,0)=1),L1126,0)</f>
        <v>0</v>
      </c>
    </row>
    <row r="1127" spans="1:13" ht="15" customHeight="1">
      <c r="A1127" s="1">
        <v>7278</v>
      </c>
      <c r="B1127" s="1" t="s">
        <v>9</v>
      </c>
      <c r="C1127" s="2" t="s">
        <v>1305</v>
      </c>
      <c r="D1127" s="2" t="s">
        <v>1326</v>
      </c>
      <c r="E1127" s="1">
        <v>1</v>
      </c>
      <c r="F1127" s="2" t="s">
        <v>1330</v>
      </c>
      <c r="G1127" s="1">
        <v>4</v>
      </c>
      <c r="H1127" s="1" t="str">
        <f t="shared" si="17"/>
        <v>k7278_4</v>
      </c>
      <c r="K1127" s="1">
        <f>IF(E1127=0,SUMPRODUCT(($A$2:$A$4734=A1127)*($B$2:$B$4734=B1127)*($D$2:$D$4734=D1127)*($E$2:$E$4734=0)),0)</f>
        <v>0</v>
      </c>
      <c r="L1127" s="1" t="str">
        <f>IF(E1127=0,SUMPRODUCT(MIN($K$2:$K$4734+((($A$2:$A$4734&lt;&gt;A1127)+($E$2:$E$4734&lt;&gt;0))&gt;0)*1000000)),"")</f>
        <v/>
      </c>
      <c r="M1127" s="1">
        <f>IF(AND(E1127=0,COUNTIFS($A$2:A1127,A1127,$E$2:E1127,0)=1),L1127,0)</f>
        <v>0</v>
      </c>
    </row>
    <row r="1128" spans="1:13" ht="15" customHeight="1">
      <c r="A1128" s="1">
        <v>7278</v>
      </c>
      <c r="B1128" s="1" t="s">
        <v>9</v>
      </c>
      <c r="C1128" s="2" t="s">
        <v>1305</v>
      </c>
      <c r="D1128" s="2" t="s">
        <v>1326</v>
      </c>
      <c r="E1128" s="1">
        <v>1</v>
      </c>
      <c r="F1128" s="2" t="s">
        <v>1329</v>
      </c>
      <c r="G1128" s="1">
        <v>5</v>
      </c>
      <c r="H1128" s="1" t="str">
        <f t="shared" si="17"/>
        <v>k7278_5</v>
      </c>
      <c r="K1128" s="1">
        <f>IF(E1128=0,SUMPRODUCT(($A$2:$A$4734=A1128)*($B$2:$B$4734=B1128)*($D$2:$D$4734=D1128)*($E$2:$E$4734=0)),0)</f>
        <v>0</v>
      </c>
      <c r="L1128" s="1" t="str">
        <f>IF(E1128=0,SUMPRODUCT(MIN($K$2:$K$4734+((($A$2:$A$4734&lt;&gt;A1128)+($E$2:$E$4734&lt;&gt;0))&gt;0)*1000000)),"")</f>
        <v/>
      </c>
      <c r="M1128" s="1">
        <f>IF(AND(E1128=0,COUNTIFS($A$2:A1128,A1128,$E$2:E1128,0)=1),L1128,0)</f>
        <v>0</v>
      </c>
    </row>
    <row r="1129" spans="1:13" ht="15" customHeight="1">
      <c r="A1129" s="1">
        <v>7278</v>
      </c>
      <c r="B1129" s="1" t="s">
        <v>9</v>
      </c>
      <c r="C1129" s="2" t="s">
        <v>1305</v>
      </c>
      <c r="D1129" s="2" t="s">
        <v>1326</v>
      </c>
      <c r="E1129" s="1">
        <v>1</v>
      </c>
      <c r="F1129" s="2" t="s">
        <v>1330</v>
      </c>
      <c r="G1129" s="1">
        <v>6</v>
      </c>
      <c r="H1129" s="1" t="str">
        <f t="shared" si="17"/>
        <v>k7278_6</v>
      </c>
      <c r="K1129" s="1">
        <f>IF(E1129=0,SUMPRODUCT(($A$2:$A$4734=A1129)*($B$2:$B$4734=B1129)*($D$2:$D$4734=D1129)*($E$2:$E$4734=0)),0)</f>
        <v>0</v>
      </c>
      <c r="L1129" s="1" t="str">
        <f>IF(E1129=0,SUMPRODUCT(MIN($K$2:$K$4734+((($A$2:$A$4734&lt;&gt;A1129)+($E$2:$E$4734&lt;&gt;0))&gt;0)*1000000)),"")</f>
        <v/>
      </c>
      <c r="M1129" s="1">
        <f>IF(AND(E1129=0,COUNTIFS($A$2:A1129,A1129,$E$2:E1129,0)=1),L1129,0)</f>
        <v>0</v>
      </c>
    </row>
    <row r="1130" spans="1:13" ht="15" customHeight="1">
      <c r="A1130" s="1">
        <v>7278</v>
      </c>
      <c r="B1130" s="1" t="s">
        <v>635</v>
      </c>
      <c r="C1130" s="2" t="s">
        <v>1305</v>
      </c>
      <c r="D1130" s="2" t="s">
        <v>1326</v>
      </c>
      <c r="E1130" s="1">
        <v>1</v>
      </c>
      <c r="F1130" s="2" t="s">
        <v>1331</v>
      </c>
      <c r="G1130" s="1">
        <v>1</v>
      </c>
      <c r="H1130" s="1" t="str">
        <f t="shared" ref="H1130:H1193" si="18">IF(OR(E1130&lt;&gt;1,G1130=""),"","k"&amp;A1130&amp;"_"&amp;G1130)</f>
        <v>k7278_1</v>
      </c>
      <c r="K1130" s="1">
        <f>IF(E1130=0,SUMPRODUCT(($A$2:$A$4734=A1130)*($B$2:$B$4734=B1130)*($D$2:$D$4734=D1130)*($E$2:$E$4734=0)),0)</f>
        <v>0</v>
      </c>
      <c r="L1130" s="1" t="str">
        <f>IF(E1130=0,SUMPRODUCT(MIN($K$2:$K$4734+((($A$2:$A$4734&lt;&gt;A1130)+($E$2:$E$4734&lt;&gt;0))&gt;0)*1000000)),"")</f>
        <v/>
      </c>
      <c r="M1130" s="1">
        <f>IF(AND(E1130=0,COUNTIFS($A$2:A1130,A1130,$E$2:E1130,0)=1),L1130,0)</f>
        <v>0</v>
      </c>
    </row>
    <row r="1131" spans="1:13" ht="15" customHeight="1">
      <c r="A1131" s="1">
        <v>7278</v>
      </c>
      <c r="B1131" s="1" t="s">
        <v>635</v>
      </c>
      <c r="C1131" s="2" t="s">
        <v>1305</v>
      </c>
      <c r="D1131" s="2" t="s">
        <v>1326</v>
      </c>
      <c r="E1131" s="1">
        <v>1</v>
      </c>
      <c r="F1131" s="2" t="s">
        <v>1332</v>
      </c>
      <c r="G1131" s="1">
        <v>2</v>
      </c>
      <c r="H1131" s="1" t="str">
        <f t="shared" si="18"/>
        <v>k7278_2</v>
      </c>
      <c r="K1131" s="1">
        <f>IF(E1131=0,SUMPRODUCT(($A$2:$A$4734=A1131)*($B$2:$B$4734=B1131)*($D$2:$D$4734=D1131)*($E$2:$E$4734=0)),0)</f>
        <v>0</v>
      </c>
      <c r="L1131" s="1" t="str">
        <f>IF(E1131=0,SUMPRODUCT(MIN($K$2:$K$4734+((($A$2:$A$4734&lt;&gt;A1131)+($E$2:$E$4734&lt;&gt;0))&gt;0)*1000000)),"")</f>
        <v/>
      </c>
      <c r="M1131" s="1">
        <f>IF(AND(E1131=0,COUNTIFS($A$2:A1131,A1131,$E$2:E1131,0)=1),L1131,0)</f>
        <v>0</v>
      </c>
    </row>
    <row r="1132" spans="1:13" ht="15" customHeight="1">
      <c r="A1132" s="1">
        <v>7278</v>
      </c>
      <c r="B1132" s="1" t="s">
        <v>635</v>
      </c>
      <c r="C1132" s="2" t="s">
        <v>1305</v>
      </c>
      <c r="D1132" s="2" t="s">
        <v>1326</v>
      </c>
      <c r="E1132" s="1">
        <v>1</v>
      </c>
      <c r="F1132" s="2" t="s">
        <v>1333</v>
      </c>
      <c r="G1132" s="1">
        <v>3</v>
      </c>
      <c r="H1132" s="1" t="str">
        <f t="shared" si="18"/>
        <v>k7278_3</v>
      </c>
      <c r="K1132" s="1">
        <f>IF(E1132=0,SUMPRODUCT(($A$2:$A$4734=A1132)*($B$2:$B$4734=B1132)*($D$2:$D$4734=D1132)*($E$2:$E$4734=0)),0)</f>
        <v>0</v>
      </c>
      <c r="L1132" s="1" t="str">
        <f>IF(E1132=0,SUMPRODUCT(MIN($K$2:$K$4734+((($A$2:$A$4734&lt;&gt;A1132)+($E$2:$E$4734&lt;&gt;0))&gt;0)*1000000)),"")</f>
        <v/>
      </c>
      <c r="M1132" s="1">
        <f>IF(AND(E1132=0,COUNTIFS($A$2:A1132,A1132,$E$2:E1132,0)=1),L1132,0)</f>
        <v>0</v>
      </c>
    </row>
    <row r="1133" spans="1:13" ht="15" customHeight="1">
      <c r="A1133" s="1">
        <v>7278</v>
      </c>
      <c r="B1133" s="1" t="s">
        <v>635</v>
      </c>
      <c r="C1133" s="2" t="s">
        <v>1305</v>
      </c>
      <c r="D1133" s="2" t="s">
        <v>1326</v>
      </c>
      <c r="E1133" s="1">
        <v>1</v>
      </c>
      <c r="F1133" s="2" t="s">
        <v>1334</v>
      </c>
      <c r="G1133" s="1">
        <v>4</v>
      </c>
      <c r="H1133" s="1" t="str">
        <f t="shared" si="18"/>
        <v>k7278_4</v>
      </c>
      <c r="K1133" s="1">
        <f>IF(E1133=0,SUMPRODUCT(($A$2:$A$4734=A1133)*($B$2:$B$4734=B1133)*($D$2:$D$4734=D1133)*($E$2:$E$4734=0)),0)</f>
        <v>0</v>
      </c>
      <c r="L1133" s="1" t="str">
        <f>IF(E1133=0,SUMPRODUCT(MIN($K$2:$K$4734+((($A$2:$A$4734&lt;&gt;A1133)+($E$2:$E$4734&lt;&gt;0))&gt;0)*1000000)),"")</f>
        <v/>
      </c>
      <c r="M1133" s="1">
        <f>IF(AND(E1133=0,COUNTIFS($A$2:A1133,A1133,$E$2:E1133,0)=1),L1133,0)</f>
        <v>0</v>
      </c>
    </row>
    <row r="1134" spans="1:13" ht="15" customHeight="1">
      <c r="A1134" s="1">
        <v>7278</v>
      </c>
      <c r="B1134" s="1" t="s">
        <v>635</v>
      </c>
      <c r="C1134" s="2" t="s">
        <v>1305</v>
      </c>
      <c r="D1134" s="2" t="s">
        <v>1326</v>
      </c>
      <c r="E1134" s="1">
        <v>1</v>
      </c>
      <c r="F1134" s="2" t="s">
        <v>1335</v>
      </c>
      <c r="G1134" s="1">
        <v>5</v>
      </c>
      <c r="H1134" s="1" t="str">
        <f t="shared" si="18"/>
        <v>k7278_5</v>
      </c>
      <c r="K1134" s="1">
        <f>IF(E1134=0,SUMPRODUCT(($A$2:$A$4734=A1134)*($B$2:$B$4734=B1134)*($D$2:$D$4734=D1134)*($E$2:$E$4734=0)),0)</f>
        <v>0</v>
      </c>
      <c r="L1134" s="1" t="str">
        <f>IF(E1134=0,SUMPRODUCT(MIN($K$2:$K$4734+((($A$2:$A$4734&lt;&gt;A1134)+($E$2:$E$4734&lt;&gt;0))&gt;0)*1000000)),"")</f>
        <v/>
      </c>
      <c r="M1134" s="1">
        <f>IF(AND(E1134=0,COUNTIFS($A$2:A1134,A1134,$E$2:E1134,0)=1),L1134,0)</f>
        <v>0</v>
      </c>
    </row>
    <row r="1135" spans="1:13" ht="15" customHeight="1">
      <c r="A1135" s="1">
        <v>7278</v>
      </c>
      <c r="B1135" s="1" t="s">
        <v>635</v>
      </c>
      <c r="C1135" s="2" t="s">
        <v>1305</v>
      </c>
      <c r="D1135" s="2" t="s">
        <v>1326</v>
      </c>
      <c r="E1135" s="1">
        <v>1</v>
      </c>
      <c r="F1135" s="2" t="s">
        <v>1336</v>
      </c>
      <c r="G1135" s="1">
        <v>6</v>
      </c>
      <c r="H1135" s="1" t="str">
        <f t="shared" si="18"/>
        <v>k7278_6</v>
      </c>
      <c r="K1135" s="1">
        <f>IF(E1135=0,SUMPRODUCT(($A$2:$A$4734=A1135)*($B$2:$B$4734=B1135)*($D$2:$D$4734=D1135)*($E$2:$E$4734=0)),0)</f>
        <v>0</v>
      </c>
      <c r="L1135" s="1" t="str">
        <f>IF(E1135=0,SUMPRODUCT(MIN($K$2:$K$4734+((($A$2:$A$4734&lt;&gt;A1135)+($E$2:$E$4734&lt;&gt;0))&gt;0)*1000000)),"")</f>
        <v/>
      </c>
      <c r="M1135" s="1">
        <f>IF(AND(E1135=0,COUNTIFS($A$2:A1135,A1135,$E$2:E1135,0)=1),L1135,0)</f>
        <v>0</v>
      </c>
    </row>
    <row r="1136" spans="1:13" ht="15" customHeight="1">
      <c r="A1136" s="1">
        <v>7278</v>
      </c>
      <c r="B1136" s="1" t="s">
        <v>69</v>
      </c>
      <c r="C1136" s="2" t="s">
        <v>1305</v>
      </c>
      <c r="D1136" s="2" t="s">
        <v>1337</v>
      </c>
      <c r="E1136" s="1">
        <v>1</v>
      </c>
      <c r="F1136" s="2" t="s">
        <v>1338</v>
      </c>
      <c r="G1136" s="1">
        <v>1</v>
      </c>
      <c r="H1136" s="1" t="str">
        <f t="shared" si="18"/>
        <v>k7278_1</v>
      </c>
      <c r="K1136" s="1">
        <f>IF(E1136=0,SUMPRODUCT(($A$2:$A$4734=A1136)*($B$2:$B$4734=B1136)*($D$2:$D$4734=D1136)*($E$2:$E$4734=0)),0)</f>
        <v>0</v>
      </c>
      <c r="L1136" s="1" t="str">
        <f>IF(E1136=0,SUMPRODUCT(MIN($K$2:$K$4734+((($A$2:$A$4734&lt;&gt;A1136)+($E$2:$E$4734&lt;&gt;0))&gt;0)*1000000)),"")</f>
        <v/>
      </c>
      <c r="M1136" s="1">
        <f>IF(AND(E1136=0,COUNTIFS($A$2:A1136,A1136,$E$2:E1136,0)=1),L1136,0)</f>
        <v>0</v>
      </c>
    </row>
    <row r="1137" spans="1:13" ht="15" customHeight="1">
      <c r="A1137" s="1">
        <v>7278</v>
      </c>
      <c r="B1137" s="1" t="s">
        <v>69</v>
      </c>
      <c r="C1137" s="2" t="s">
        <v>1305</v>
      </c>
      <c r="D1137" s="2" t="s">
        <v>1337</v>
      </c>
      <c r="E1137" s="1">
        <v>1</v>
      </c>
      <c r="F1137" s="2" t="s">
        <v>1339</v>
      </c>
      <c r="G1137" s="1">
        <v>2</v>
      </c>
      <c r="H1137" s="1" t="str">
        <f t="shared" si="18"/>
        <v>k7278_2</v>
      </c>
      <c r="K1137" s="1">
        <f>IF(E1137=0,SUMPRODUCT(($A$2:$A$4734=A1137)*($B$2:$B$4734=B1137)*($D$2:$D$4734=D1137)*($E$2:$E$4734=0)),0)</f>
        <v>0</v>
      </c>
      <c r="L1137" s="1" t="str">
        <f>IF(E1137=0,SUMPRODUCT(MIN($K$2:$K$4734+((($A$2:$A$4734&lt;&gt;A1137)+($E$2:$E$4734&lt;&gt;0))&gt;0)*1000000)),"")</f>
        <v/>
      </c>
      <c r="M1137" s="1">
        <f>IF(AND(E1137=0,COUNTIFS($A$2:A1137,A1137,$E$2:E1137,0)=1),L1137,0)</f>
        <v>0</v>
      </c>
    </row>
    <row r="1138" spans="1:13" ht="15" customHeight="1">
      <c r="A1138" s="1">
        <v>7278</v>
      </c>
      <c r="B1138" s="1" t="s">
        <v>69</v>
      </c>
      <c r="C1138" s="2" t="s">
        <v>1305</v>
      </c>
      <c r="D1138" s="2" t="s">
        <v>1337</v>
      </c>
      <c r="E1138" s="1">
        <v>1</v>
      </c>
      <c r="F1138" s="2" t="s">
        <v>1340</v>
      </c>
      <c r="G1138" s="1">
        <v>3</v>
      </c>
      <c r="H1138" s="1" t="str">
        <f t="shared" si="18"/>
        <v>k7278_3</v>
      </c>
      <c r="K1138" s="1">
        <f>IF(E1138=0,SUMPRODUCT(($A$2:$A$4734=A1138)*($B$2:$B$4734=B1138)*($D$2:$D$4734=D1138)*($E$2:$E$4734=0)),0)</f>
        <v>0</v>
      </c>
      <c r="L1138" s="1" t="str">
        <f>IF(E1138=0,SUMPRODUCT(MIN($K$2:$K$4734+((($A$2:$A$4734&lt;&gt;A1138)+($E$2:$E$4734&lt;&gt;0))&gt;0)*1000000)),"")</f>
        <v/>
      </c>
      <c r="M1138" s="1">
        <f>IF(AND(E1138=0,COUNTIFS($A$2:A1138,A1138,$E$2:E1138,0)=1),L1138,0)</f>
        <v>0</v>
      </c>
    </row>
    <row r="1139" spans="1:13" ht="15" customHeight="1">
      <c r="A1139" s="1">
        <v>7278</v>
      </c>
      <c r="B1139" s="1" t="s">
        <v>69</v>
      </c>
      <c r="C1139" s="2" t="s">
        <v>1305</v>
      </c>
      <c r="D1139" s="2" t="s">
        <v>1337</v>
      </c>
      <c r="E1139" s="1">
        <v>1</v>
      </c>
      <c r="F1139" s="2" t="s">
        <v>1341</v>
      </c>
      <c r="G1139" s="1">
        <v>4</v>
      </c>
      <c r="H1139" s="1" t="str">
        <f t="shared" si="18"/>
        <v>k7278_4</v>
      </c>
      <c r="K1139" s="1">
        <f>IF(E1139=0,SUMPRODUCT(($A$2:$A$4734=A1139)*($B$2:$B$4734=B1139)*($D$2:$D$4734=D1139)*($E$2:$E$4734=0)),0)</f>
        <v>0</v>
      </c>
      <c r="L1139" s="1" t="str">
        <f>IF(E1139=0,SUMPRODUCT(MIN($K$2:$K$4734+((($A$2:$A$4734&lt;&gt;A1139)+($E$2:$E$4734&lt;&gt;0))&gt;0)*1000000)),"")</f>
        <v/>
      </c>
      <c r="M1139" s="1">
        <f>IF(AND(E1139=0,COUNTIFS($A$2:A1139,A1139,$E$2:E1139,0)=1),L1139,0)</f>
        <v>0</v>
      </c>
    </row>
    <row r="1140" spans="1:13" ht="15" customHeight="1">
      <c r="A1140" s="1">
        <v>7278</v>
      </c>
      <c r="B1140" s="1" t="s">
        <v>69</v>
      </c>
      <c r="C1140" s="2" t="s">
        <v>1305</v>
      </c>
      <c r="D1140" s="2" t="s">
        <v>1337</v>
      </c>
      <c r="E1140" s="1">
        <v>1</v>
      </c>
      <c r="F1140" s="2" t="s">
        <v>1342</v>
      </c>
      <c r="G1140" s="1">
        <v>5</v>
      </c>
      <c r="H1140" s="1" t="str">
        <f t="shared" si="18"/>
        <v>k7278_5</v>
      </c>
      <c r="K1140" s="1">
        <f>IF(E1140=0,SUMPRODUCT(($A$2:$A$4734=A1140)*($B$2:$B$4734=B1140)*($D$2:$D$4734=D1140)*($E$2:$E$4734=0)),0)</f>
        <v>0</v>
      </c>
      <c r="L1140" s="1" t="str">
        <f>IF(E1140=0,SUMPRODUCT(MIN($K$2:$K$4734+((($A$2:$A$4734&lt;&gt;A1140)+($E$2:$E$4734&lt;&gt;0))&gt;0)*1000000)),"")</f>
        <v/>
      </c>
      <c r="M1140" s="1">
        <f>IF(AND(E1140=0,COUNTIFS($A$2:A1140,A1140,$E$2:E1140,0)=1),L1140,0)</f>
        <v>0</v>
      </c>
    </row>
    <row r="1141" spans="1:13" ht="15" customHeight="1">
      <c r="A1141" s="1">
        <v>7278</v>
      </c>
      <c r="B1141" s="1" t="s">
        <v>69</v>
      </c>
      <c r="C1141" s="2" t="s">
        <v>1305</v>
      </c>
      <c r="D1141" s="2" t="s">
        <v>1337</v>
      </c>
      <c r="E1141" s="1">
        <v>1</v>
      </c>
      <c r="F1141" s="2" t="s">
        <v>1343</v>
      </c>
      <c r="G1141" s="1">
        <v>6</v>
      </c>
      <c r="H1141" s="1" t="str">
        <f t="shared" si="18"/>
        <v>k7278_6</v>
      </c>
      <c r="K1141" s="1">
        <f>IF(E1141=0,SUMPRODUCT(($A$2:$A$4734=A1141)*($B$2:$B$4734=B1141)*($D$2:$D$4734=D1141)*($E$2:$E$4734=0)),0)</f>
        <v>0</v>
      </c>
      <c r="L1141" s="1" t="str">
        <f>IF(E1141=0,SUMPRODUCT(MIN($K$2:$K$4734+((($A$2:$A$4734&lt;&gt;A1141)+($E$2:$E$4734&lt;&gt;0))&gt;0)*1000000)),"")</f>
        <v/>
      </c>
      <c r="M1141" s="1">
        <f>IF(AND(E1141=0,COUNTIFS($A$2:A1141,A1141,$E$2:E1141,0)=1),L1141,0)</f>
        <v>0</v>
      </c>
    </row>
    <row r="1142" spans="1:13" ht="15" customHeight="1">
      <c r="A1142" s="1">
        <v>7279</v>
      </c>
      <c r="B1142" s="1" t="s">
        <v>358</v>
      </c>
      <c r="C1142" s="2" t="s">
        <v>1344</v>
      </c>
      <c r="D1142" s="2" t="s">
        <v>1345</v>
      </c>
      <c r="E1142" s="1">
        <v>1</v>
      </c>
      <c r="F1142" s="2" t="s">
        <v>1346</v>
      </c>
      <c r="G1142" s="1">
        <v>1</v>
      </c>
      <c r="H1142" s="1" t="str">
        <f t="shared" si="18"/>
        <v>k7279_1</v>
      </c>
      <c r="K1142" s="1">
        <f>IF(E1142=0,SUMPRODUCT(($A$2:$A$4734=A1142)*($B$2:$B$4734=B1142)*($D$2:$D$4734=D1142)*($E$2:$E$4734=0)),0)</f>
        <v>0</v>
      </c>
      <c r="L1142" s="1" t="str">
        <f>IF(E1142=0,SUMPRODUCT(MIN($K$2:$K$4734+((($A$2:$A$4734&lt;&gt;A1142)+($E$2:$E$4734&lt;&gt;0))&gt;0)*1000000)),"")</f>
        <v/>
      </c>
      <c r="M1142" s="1">
        <f>IF(AND(E1142=0,COUNTIFS($A$2:A1142,A1142,$E$2:E1142,0)=1),L1142,0)</f>
        <v>0</v>
      </c>
    </row>
    <row r="1143" spans="1:13" ht="15" customHeight="1">
      <c r="A1143" s="1">
        <v>7279</v>
      </c>
      <c r="B1143" s="1" t="s">
        <v>358</v>
      </c>
      <c r="C1143" s="2" t="s">
        <v>1344</v>
      </c>
      <c r="D1143" s="2" t="s">
        <v>1345</v>
      </c>
      <c r="E1143" s="1">
        <v>1</v>
      </c>
      <c r="F1143" s="2" t="s">
        <v>1347</v>
      </c>
      <c r="G1143" s="1">
        <v>2</v>
      </c>
      <c r="H1143" s="1" t="str">
        <f t="shared" si="18"/>
        <v>k7279_2</v>
      </c>
      <c r="K1143" s="1">
        <f>IF(E1143=0,SUMPRODUCT(($A$2:$A$4734=A1143)*($B$2:$B$4734=B1143)*($D$2:$D$4734=D1143)*($E$2:$E$4734=0)),0)</f>
        <v>0</v>
      </c>
      <c r="L1143" s="1" t="str">
        <f>IF(E1143=0,SUMPRODUCT(MIN($K$2:$K$4734+((($A$2:$A$4734&lt;&gt;A1143)+($E$2:$E$4734&lt;&gt;0))&gt;0)*1000000)),"")</f>
        <v/>
      </c>
      <c r="M1143" s="1">
        <f>IF(AND(E1143=0,COUNTIFS($A$2:A1143,A1143,$E$2:E1143,0)=1),L1143,0)</f>
        <v>0</v>
      </c>
    </row>
    <row r="1144" spans="1:13" ht="15" customHeight="1">
      <c r="A1144" s="1">
        <v>7279</v>
      </c>
      <c r="B1144" s="1" t="s">
        <v>358</v>
      </c>
      <c r="C1144" s="2" t="s">
        <v>1344</v>
      </c>
      <c r="D1144" s="2" t="s">
        <v>1345</v>
      </c>
      <c r="E1144" s="1">
        <v>1</v>
      </c>
      <c r="F1144" s="2" t="s">
        <v>1348</v>
      </c>
      <c r="G1144" s="1">
        <v>3</v>
      </c>
      <c r="H1144" s="1" t="str">
        <f t="shared" si="18"/>
        <v>k7279_3</v>
      </c>
      <c r="K1144" s="1">
        <f>IF(E1144=0,SUMPRODUCT(($A$2:$A$4734=A1144)*($B$2:$B$4734=B1144)*($D$2:$D$4734=D1144)*($E$2:$E$4734=0)),0)</f>
        <v>0</v>
      </c>
      <c r="L1144" s="1" t="str">
        <f>IF(E1144=0,SUMPRODUCT(MIN($K$2:$K$4734+((($A$2:$A$4734&lt;&gt;A1144)+($E$2:$E$4734&lt;&gt;0))&gt;0)*1000000)),"")</f>
        <v/>
      </c>
      <c r="M1144" s="1">
        <f>IF(AND(E1144=0,COUNTIFS($A$2:A1144,A1144,$E$2:E1144,0)=1),L1144,0)</f>
        <v>0</v>
      </c>
    </row>
    <row r="1145" spans="1:13" ht="15" customHeight="1">
      <c r="A1145" s="1">
        <v>7279</v>
      </c>
      <c r="B1145" s="1" t="s">
        <v>358</v>
      </c>
      <c r="C1145" s="2" t="s">
        <v>1344</v>
      </c>
      <c r="D1145" s="2" t="s">
        <v>1345</v>
      </c>
      <c r="E1145" s="1">
        <v>1</v>
      </c>
      <c r="F1145" s="2" t="s">
        <v>1349</v>
      </c>
      <c r="G1145" s="1">
        <v>4</v>
      </c>
      <c r="H1145" s="1" t="str">
        <f t="shared" si="18"/>
        <v>k7279_4</v>
      </c>
      <c r="K1145" s="1">
        <f>IF(E1145=0,SUMPRODUCT(($A$2:$A$4734=A1145)*($B$2:$B$4734=B1145)*($D$2:$D$4734=D1145)*($E$2:$E$4734=0)),0)</f>
        <v>0</v>
      </c>
      <c r="L1145" s="1" t="str">
        <f>IF(E1145=0,SUMPRODUCT(MIN($K$2:$K$4734+((($A$2:$A$4734&lt;&gt;A1145)+($E$2:$E$4734&lt;&gt;0))&gt;0)*1000000)),"")</f>
        <v/>
      </c>
      <c r="M1145" s="1">
        <f>IF(AND(E1145=0,COUNTIFS($A$2:A1145,A1145,$E$2:E1145,0)=1),L1145,0)</f>
        <v>0</v>
      </c>
    </row>
    <row r="1146" spans="1:13" ht="15" customHeight="1">
      <c r="A1146" s="1">
        <v>7279</v>
      </c>
      <c r="B1146" s="1" t="s">
        <v>358</v>
      </c>
      <c r="C1146" s="2" t="s">
        <v>1344</v>
      </c>
      <c r="D1146" s="2" t="s">
        <v>1345</v>
      </c>
      <c r="E1146" s="1">
        <v>1</v>
      </c>
      <c r="F1146" s="2" t="s">
        <v>1350</v>
      </c>
      <c r="G1146" s="1">
        <v>5</v>
      </c>
      <c r="H1146" s="1" t="str">
        <f t="shared" si="18"/>
        <v>k7279_5</v>
      </c>
      <c r="K1146" s="1">
        <f>IF(E1146=0,SUMPRODUCT(($A$2:$A$4734=A1146)*($B$2:$B$4734=B1146)*($D$2:$D$4734=D1146)*($E$2:$E$4734=0)),0)</f>
        <v>0</v>
      </c>
      <c r="L1146" s="1" t="str">
        <f>IF(E1146=0,SUMPRODUCT(MIN($K$2:$K$4734+((($A$2:$A$4734&lt;&gt;A1146)+($E$2:$E$4734&lt;&gt;0))&gt;0)*1000000)),"")</f>
        <v/>
      </c>
      <c r="M1146" s="1">
        <f>IF(AND(E1146=0,COUNTIFS($A$2:A1146,A1146,$E$2:E1146,0)=1),L1146,0)</f>
        <v>0</v>
      </c>
    </row>
    <row r="1147" spans="1:13" ht="15" customHeight="1">
      <c r="A1147" s="1">
        <v>7279</v>
      </c>
      <c r="B1147" s="1" t="s">
        <v>358</v>
      </c>
      <c r="C1147" s="2" t="s">
        <v>1344</v>
      </c>
      <c r="D1147" s="2" t="s">
        <v>1345</v>
      </c>
      <c r="E1147" s="1">
        <v>1</v>
      </c>
      <c r="F1147" s="2" t="s">
        <v>1351</v>
      </c>
      <c r="G1147" s="1">
        <v>6</v>
      </c>
      <c r="H1147" s="1" t="str">
        <f t="shared" si="18"/>
        <v>k7279_6</v>
      </c>
      <c r="K1147" s="1">
        <f>IF(E1147=0,SUMPRODUCT(($A$2:$A$4734=A1147)*($B$2:$B$4734=B1147)*($D$2:$D$4734=D1147)*($E$2:$E$4734=0)),0)</f>
        <v>0</v>
      </c>
      <c r="L1147" s="1" t="str">
        <f>IF(E1147=0,SUMPRODUCT(MIN($K$2:$K$4734+((($A$2:$A$4734&lt;&gt;A1147)+($E$2:$E$4734&lt;&gt;0))&gt;0)*1000000)),"")</f>
        <v/>
      </c>
      <c r="M1147" s="1">
        <f>IF(AND(E1147=0,COUNTIFS($A$2:A1147,A1147,$E$2:E1147,0)=1),L1147,0)</f>
        <v>0</v>
      </c>
    </row>
    <row r="1148" spans="1:13" ht="15" customHeight="1">
      <c r="A1148" s="1">
        <v>7279</v>
      </c>
      <c r="B1148" s="1" t="s">
        <v>95</v>
      </c>
      <c r="C1148" s="2" t="s">
        <v>1344</v>
      </c>
      <c r="D1148" s="2" t="s">
        <v>1352</v>
      </c>
      <c r="E1148" s="1">
        <v>1</v>
      </c>
      <c r="F1148" s="2" t="s">
        <v>1353</v>
      </c>
      <c r="G1148" s="1">
        <v>1</v>
      </c>
      <c r="H1148" s="1" t="str">
        <f t="shared" si="18"/>
        <v>k7279_1</v>
      </c>
      <c r="K1148" s="1">
        <f>IF(E1148=0,SUMPRODUCT(($A$2:$A$4734=A1148)*($B$2:$B$4734=B1148)*($D$2:$D$4734=D1148)*($E$2:$E$4734=0)),0)</f>
        <v>0</v>
      </c>
      <c r="L1148" s="1" t="str">
        <f>IF(E1148=0,SUMPRODUCT(MIN($K$2:$K$4734+((($A$2:$A$4734&lt;&gt;A1148)+($E$2:$E$4734&lt;&gt;0))&gt;0)*1000000)),"")</f>
        <v/>
      </c>
      <c r="M1148" s="1">
        <f>IF(AND(E1148=0,COUNTIFS($A$2:A1148,A1148,$E$2:E1148,0)=1),L1148,0)</f>
        <v>0</v>
      </c>
    </row>
    <row r="1149" spans="1:13" ht="15" customHeight="1">
      <c r="A1149" s="1">
        <v>7279</v>
      </c>
      <c r="B1149" s="1" t="s">
        <v>95</v>
      </c>
      <c r="C1149" s="2" t="s">
        <v>1344</v>
      </c>
      <c r="D1149" s="2" t="s">
        <v>1352</v>
      </c>
      <c r="E1149" s="1">
        <v>1</v>
      </c>
      <c r="F1149" s="2" t="s">
        <v>1354</v>
      </c>
      <c r="G1149" s="1">
        <v>2</v>
      </c>
      <c r="H1149" s="1" t="str">
        <f t="shared" si="18"/>
        <v>k7279_2</v>
      </c>
      <c r="K1149" s="1">
        <f>IF(E1149=0,SUMPRODUCT(($A$2:$A$4734=A1149)*($B$2:$B$4734=B1149)*($D$2:$D$4734=D1149)*($E$2:$E$4734=0)),0)</f>
        <v>0</v>
      </c>
      <c r="L1149" s="1" t="str">
        <f>IF(E1149=0,SUMPRODUCT(MIN($K$2:$K$4734+((($A$2:$A$4734&lt;&gt;A1149)+($E$2:$E$4734&lt;&gt;0))&gt;0)*1000000)),"")</f>
        <v/>
      </c>
      <c r="M1149" s="1">
        <f>IF(AND(E1149=0,COUNTIFS($A$2:A1149,A1149,$E$2:E1149,0)=1),L1149,0)</f>
        <v>0</v>
      </c>
    </row>
    <row r="1150" spans="1:13" ht="15" customHeight="1">
      <c r="A1150" s="1">
        <v>7279</v>
      </c>
      <c r="B1150" s="1" t="s">
        <v>95</v>
      </c>
      <c r="C1150" s="2" t="s">
        <v>1344</v>
      </c>
      <c r="D1150" s="2" t="s">
        <v>1352</v>
      </c>
      <c r="E1150" s="1">
        <v>1</v>
      </c>
      <c r="F1150" s="2" t="s">
        <v>1353</v>
      </c>
      <c r="G1150" s="1">
        <v>3</v>
      </c>
      <c r="H1150" s="1" t="str">
        <f t="shared" si="18"/>
        <v>k7279_3</v>
      </c>
      <c r="K1150" s="1">
        <f>IF(E1150=0,SUMPRODUCT(($A$2:$A$4734=A1150)*($B$2:$B$4734=B1150)*($D$2:$D$4734=D1150)*($E$2:$E$4734=0)),0)</f>
        <v>0</v>
      </c>
      <c r="L1150" s="1" t="str">
        <f>IF(E1150=0,SUMPRODUCT(MIN($K$2:$K$4734+((($A$2:$A$4734&lt;&gt;A1150)+($E$2:$E$4734&lt;&gt;0))&gt;0)*1000000)),"")</f>
        <v/>
      </c>
      <c r="M1150" s="1">
        <f>IF(AND(E1150=0,COUNTIFS($A$2:A1150,A1150,$E$2:E1150,0)=1),L1150,0)</f>
        <v>0</v>
      </c>
    </row>
    <row r="1151" spans="1:13" ht="15" customHeight="1">
      <c r="A1151" s="1">
        <v>7279</v>
      </c>
      <c r="B1151" s="1" t="s">
        <v>95</v>
      </c>
      <c r="C1151" s="2" t="s">
        <v>1344</v>
      </c>
      <c r="D1151" s="2" t="s">
        <v>1352</v>
      </c>
      <c r="E1151" s="1">
        <v>1</v>
      </c>
      <c r="F1151" s="2" t="s">
        <v>1354</v>
      </c>
      <c r="G1151" s="1">
        <v>4</v>
      </c>
      <c r="H1151" s="1" t="str">
        <f t="shared" si="18"/>
        <v>k7279_4</v>
      </c>
      <c r="K1151" s="1">
        <f>IF(E1151=0,SUMPRODUCT(($A$2:$A$4734=A1151)*($B$2:$B$4734=B1151)*($D$2:$D$4734=D1151)*($E$2:$E$4734=0)),0)</f>
        <v>0</v>
      </c>
      <c r="L1151" s="1" t="str">
        <f>IF(E1151=0,SUMPRODUCT(MIN($K$2:$K$4734+((($A$2:$A$4734&lt;&gt;A1151)+($E$2:$E$4734&lt;&gt;0))&gt;0)*1000000)),"")</f>
        <v/>
      </c>
      <c r="M1151" s="1">
        <f>IF(AND(E1151=0,COUNTIFS($A$2:A1151,A1151,$E$2:E1151,0)=1),L1151,0)</f>
        <v>0</v>
      </c>
    </row>
    <row r="1152" spans="1:13" ht="15" customHeight="1">
      <c r="A1152" s="1">
        <v>7279</v>
      </c>
      <c r="B1152" s="1" t="s">
        <v>95</v>
      </c>
      <c r="C1152" s="2" t="s">
        <v>1344</v>
      </c>
      <c r="D1152" s="2" t="s">
        <v>1352</v>
      </c>
      <c r="E1152" s="1">
        <v>1</v>
      </c>
      <c r="F1152" s="2" t="s">
        <v>1355</v>
      </c>
      <c r="G1152" s="1">
        <v>5</v>
      </c>
      <c r="H1152" s="1" t="str">
        <f t="shared" si="18"/>
        <v>k7279_5</v>
      </c>
      <c r="K1152" s="1">
        <f>IF(E1152=0,SUMPRODUCT(($A$2:$A$4734=A1152)*($B$2:$B$4734=B1152)*($D$2:$D$4734=D1152)*($E$2:$E$4734=0)),0)</f>
        <v>0</v>
      </c>
      <c r="L1152" s="1" t="str">
        <f>IF(E1152=0,SUMPRODUCT(MIN($K$2:$K$4734+((($A$2:$A$4734&lt;&gt;A1152)+($E$2:$E$4734&lt;&gt;0))&gt;0)*1000000)),"")</f>
        <v/>
      </c>
      <c r="M1152" s="1">
        <f>IF(AND(E1152=0,COUNTIFS($A$2:A1152,A1152,$E$2:E1152,0)=1),L1152,0)</f>
        <v>0</v>
      </c>
    </row>
    <row r="1153" spans="1:13" ht="15" customHeight="1">
      <c r="A1153" s="1">
        <v>7279</v>
      </c>
      <c r="B1153" s="1" t="s">
        <v>95</v>
      </c>
      <c r="C1153" s="2" t="s">
        <v>1344</v>
      </c>
      <c r="D1153" s="2" t="s">
        <v>1352</v>
      </c>
      <c r="E1153" s="1">
        <v>1</v>
      </c>
      <c r="F1153" s="2" t="s">
        <v>1356</v>
      </c>
      <c r="G1153" s="1">
        <v>6</v>
      </c>
      <c r="H1153" s="1" t="str">
        <f t="shared" si="18"/>
        <v>k7279_6</v>
      </c>
      <c r="K1153" s="1">
        <f>IF(E1153=0,SUMPRODUCT(($A$2:$A$4734=A1153)*($B$2:$B$4734=B1153)*($D$2:$D$4734=D1153)*($E$2:$E$4734=0)),0)</f>
        <v>0</v>
      </c>
      <c r="L1153" s="1" t="str">
        <f>IF(E1153=0,SUMPRODUCT(MIN($K$2:$K$4734+((($A$2:$A$4734&lt;&gt;A1153)+($E$2:$E$4734&lt;&gt;0))&gt;0)*1000000)),"")</f>
        <v/>
      </c>
      <c r="M1153" s="1">
        <f>IF(AND(E1153=0,COUNTIFS($A$2:A1153,A1153,$E$2:E1153,0)=1),L1153,0)</f>
        <v>0</v>
      </c>
    </row>
    <row r="1154" spans="1:13" ht="15" customHeight="1">
      <c r="A1154" s="1">
        <v>7279</v>
      </c>
      <c r="B1154" s="1" t="s">
        <v>144</v>
      </c>
      <c r="C1154" s="2" t="s">
        <v>1344</v>
      </c>
      <c r="D1154" s="2" t="s">
        <v>1357</v>
      </c>
      <c r="E1154" s="1">
        <v>1</v>
      </c>
      <c r="F1154" s="2" t="s">
        <v>1358</v>
      </c>
      <c r="G1154" s="1">
        <v>1</v>
      </c>
      <c r="H1154" s="1" t="str">
        <f t="shared" si="18"/>
        <v>k7279_1</v>
      </c>
      <c r="K1154" s="1">
        <f>IF(E1154=0,SUMPRODUCT(($A$2:$A$4734=A1154)*($B$2:$B$4734=B1154)*($D$2:$D$4734=D1154)*($E$2:$E$4734=0)),0)</f>
        <v>0</v>
      </c>
      <c r="L1154" s="1" t="str">
        <f>IF(E1154=0,SUMPRODUCT(MIN($K$2:$K$4734+((($A$2:$A$4734&lt;&gt;A1154)+($E$2:$E$4734&lt;&gt;0))&gt;0)*1000000)),"")</f>
        <v/>
      </c>
      <c r="M1154" s="1">
        <f>IF(AND(E1154=0,COUNTIFS($A$2:A1154,A1154,$E$2:E1154,0)=1),L1154,0)</f>
        <v>0</v>
      </c>
    </row>
    <row r="1155" spans="1:13" ht="15" customHeight="1">
      <c r="A1155" s="1">
        <v>7279</v>
      </c>
      <c r="B1155" s="1" t="s">
        <v>144</v>
      </c>
      <c r="C1155" s="2" t="s">
        <v>1344</v>
      </c>
      <c r="D1155" s="2" t="s">
        <v>1357</v>
      </c>
      <c r="E1155" s="1">
        <v>1</v>
      </c>
      <c r="F1155" s="2" t="s">
        <v>1359</v>
      </c>
      <c r="G1155" s="1">
        <v>2</v>
      </c>
      <c r="H1155" s="1" t="str">
        <f t="shared" si="18"/>
        <v>k7279_2</v>
      </c>
      <c r="K1155" s="1">
        <f>IF(E1155=0,SUMPRODUCT(($A$2:$A$4734=A1155)*($B$2:$B$4734=B1155)*($D$2:$D$4734=D1155)*($E$2:$E$4734=0)),0)</f>
        <v>0</v>
      </c>
      <c r="L1155" s="1" t="str">
        <f>IF(E1155=0,SUMPRODUCT(MIN($K$2:$K$4734+((($A$2:$A$4734&lt;&gt;A1155)+($E$2:$E$4734&lt;&gt;0))&gt;0)*1000000)),"")</f>
        <v/>
      </c>
      <c r="M1155" s="1">
        <f>IF(AND(E1155=0,COUNTIFS($A$2:A1155,A1155,$E$2:E1155,0)=1),L1155,0)</f>
        <v>0</v>
      </c>
    </row>
    <row r="1156" spans="1:13" ht="15" customHeight="1">
      <c r="A1156" s="1">
        <v>7279</v>
      </c>
      <c r="B1156" s="1" t="s">
        <v>144</v>
      </c>
      <c r="C1156" s="2" t="s">
        <v>1344</v>
      </c>
      <c r="D1156" s="2" t="s">
        <v>1357</v>
      </c>
      <c r="E1156" s="1">
        <v>1</v>
      </c>
      <c r="F1156" s="2" t="s">
        <v>1360</v>
      </c>
      <c r="G1156" s="1">
        <v>3</v>
      </c>
      <c r="H1156" s="1" t="str">
        <f t="shared" si="18"/>
        <v>k7279_3</v>
      </c>
      <c r="K1156" s="1">
        <f>IF(E1156=0,SUMPRODUCT(($A$2:$A$4734=A1156)*($B$2:$B$4734=B1156)*($D$2:$D$4734=D1156)*($E$2:$E$4734=0)),0)</f>
        <v>0</v>
      </c>
      <c r="L1156" s="1" t="str">
        <f>IF(E1156=0,SUMPRODUCT(MIN($K$2:$K$4734+((($A$2:$A$4734&lt;&gt;A1156)+($E$2:$E$4734&lt;&gt;0))&gt;0)*1000000)),"")</f>
        <v/>
      </c>
      <c r="M1156" s="1">
        <f>IF(AND(E1156=0,COUNTIFS($A$2:A1156,A1156,$E$2:E1156,0)=1),L1156,0)</f>
        <v>0</v>
      </c>
    </row>
    <row r="1157" spans="1:13" ht="15" customHeight="1">
      <c r="A1157" s="1">
        <v>7279</v>
      </c>
      <c r="B1157" s="1" t="s">
        <v>144</v>
      </c>
      <c r="C1157" s="2" t="s">
        <v>1344</v>
      </c>
      <c r="D1157" s="2" t="s">
        <v>1357</v>
      </c>
      <c r="E1157" s="1">
        <v>1</v>
      </c>
      <c r="F1157" s="2" t="s">
        <v>1361</v>
      </c>
      <c r="G1157" s="1">
        <v>4</v>
      </c>
      <c r="H1157" s="1" t="str">
        <f t="shared" si="18"/>
        <v>k7279_4</v>
      </c>
      <c r="K1157" s="1">
        <f>IF(E1157=0,SUMPRODUCT(($A$2:$A$4734=A1157)*($B$2:$B$4734=B1157)*($D$2:$D$4734=D1157)*($E$2:$E$4734=0)),0)</f>
        <v>0</v>
      </c>
      <c r="L1157" s="1" t="str">
        <f>IF(E1157=0,SUMPRODUCT(MIN($K$2:$K$4734+((($A$2:$A$4734&lt;&gt;A1157)+($E$2:$E$4734&lt;&gt;0))&gt;0)*1000000)),"")</f>
        <v/>
      </c>
      <c r="M1157" s="1">
        <f>IF(AND(E1157=0,COUNTIFS($A$2:A1157,A1157,$E$2:E1157,0)=1),L1157,0)</f>
        <v>0</v>
      </c>
    </row>
    <row r="1158" spans="1:13" ht="15" customHeight="1">
      <c r="A1158" s="1">
        <v>7279</v>
      </c>
      <c r="B1158" s="1" t="s">
        <v>144</v>
      </c>
      <c r="C1158" s="2" t="s">
        <v>1344</v>
      </c>
      <c r="D1158" s="2" t="s">
        <v>1357</v>
      </c>
      <c r="E1158" s="1">
        <v>1</v>
      </c>
      <c r="F1158" s="2" t="s">
        <v>1362</v>
      </c>
      <c r="G1158" s="1">
        <v>5</v>
      </c>
      <c r="H1158" s="1" t="str">
        <f t="shared" si="18"/>
        <v>k7279_5</v>
      </c>
      <c r="K1158" s="1">
        <f>IF(E1158=0,SUMPRODUCT(($A$2:$A$4734=A1158)*($B$2:$B$4734=B1158)*($D$2:$D$4734=D1158)*($E$2:$E$4734=0)),0)</f>
        <v>0</v>
      </c>
      <c r="L1158" s="1" t="str">
        <f>IF(E1158=0,SUMPRODUCT(MIN($K$2:$K$4734+((($A$2:$A$4734&lt;&gt;A1158)+($E$2:$E$4734&lt;&gt;0))&gt;0)*1000000)),"")</f>
        <v/>
      </c>
      <c r="M1158" s="1">
        <f>IF(AND(E1158=0,COUNTIFS($A$2:A1158,A1158,$E$2:E1158,0)=1),L1158,0)</f>
        <v>0</v>
      </c>
    </row>
    <row r="1159" spans="1:13" ht="15" customHeight="1">
      <c r="A1159" s="1">
        <v>7279</v>
      </c>
      <c r="B1159" s="1" t="s">
        <v>144</v>
      </c>
      <c r="C1159" s="2" t="s">
        <v>1344</v>
      </c>
      <c r="D1159" s="2" t="s">
        <v>1357</v>
      </c>
      <c r="E1159" s="1">
        <v>1</v>
      </c>
      <c r="F1159" s="2" t="s">
        <v>1362</v>
      </c>
      <c r="G1159" s="1">
        <v>6</v>
      </c>
      <c r="H1159" s="1" t="str">
        <f t="shared" si="18"/>
        <v>k7279_6</v>
      </c>
      <c r="K1159" s="1">
        <f>IF(E1159=0,SUMPRODUCT(($A$2:$A$4734=A1159)*($B$2:$B$4734=B1159)*($D$2:$D$4734=D1159)*($E$2:$E$4734=0)),0)</f>
        <v>0</v>
      </c>
      <c r="L1159" s="1" t="str">
        <f>IF(E1159=0,SUMPRODUCT(MIN($K$2:$K$4734+((($A$2:$A$4734&lt;&gt;A1159)+($E$2:$E$4734&lt;&gt;0))&gt;0)*1000000)),"")</f>
        <v/>
      </c>
      <c r="M1159" s="1">
        <f>IF(AND(E1159=0,COUNTIFS($A$2:A1159,A1159,$E$2:E1159,0)=1),L1159,0)</f>
        <v>0</v>
      </c>
    </row>
    <row r="1160" spans="1:13" ht="15" customHeight="1">
      <c r="A1160" s="1">
        <v>7279</v>
      </c>
      <c r="B1160" s="1" t="s">
        <v>358</v>
      </c>
      <c r="C1160" s="2" t="s">
        <v>1344</v>
      </c>
      <c r="D1160" s="2" t="s">
        <v>1363</v>
      </c>
      <c r="E1160" s="1">
        <v>1</v>
      </c>
      <c r="F1160" s="2" t="s">
        <v>1364</v>
      </c>
      <c r="G1160" s="1">
        <v>1</v>
      </c>
      <c r="H1160" s="1" t="str">
        <f t="shared" si="18"/>
        <v>k7279_1</v>
      </c>
      <c r="K1160" s="1">
        <f>IF(E1160=0,SUMPRODUCT(($A$2:$A$4734=A1160)*($B$2:$B$4734=B1160)*($D$2:$D$4734=D1160)*($E$2:$E$4734=0)),0)</f>
        <v>0</v>
      </c>
      <c r="L1160" s="1" t="str">
        <f>IF(E1160=0,SUMPRODUCT(MIN($K$2:$K$4734+((($A$2:$A$4734&lt;&gt;A1160)+($E$2:$E$4734&lt;&gt;0))&gt;0)*1000000)),"")</f>
        <v/>
      </c>
      <c r="M1160" s="1">
        <f>IF(AND(E1160=0,COUNTIFS($A$2:A1160,A1160,$E$2:E1160,0)=1),L1160,0)</f>
        <v>0</v>
      </c>
    </row>
    <row r="1161" spans="1:13" ht="15" customHeight="1">
      <c r="A1161" s="1">
        <v>7279</v>
      </c>
      <c r="B1161" s="1" t="s">
        <v>358</v>
      </c>
      <c r="C1161" s="2" t="s">
        <v>1344</v>
      </c>
      <c r="D1161" s="2" t="s">
        <v>1363</v>
      </c>
      <c r="E1161" s="1">
        <v>1</v>
      </c>
      <c r="F1161" s="2" t="s">
        <v>1365</v>
      </c>
      <c r="G1161" s="1">
        <v>2</v>
      </c>
      <c r="H1161" s="1" t="str">
        <f t="shared" si="18"/>
        <v>k7279_2</v>
      </c>
      <c r="K1161" s="1">
        <f>IF(E1161=0,SUMPRODUCT(($A$2:$A$4734=A1161)*($B$2:$B$4734=B1161)*($D$2:$D$4734=D1161)*($E$2:$E$4734=0)),0)</f>
        <v>0</v>
      </c>
      <c r="L1161" s="1" t="str">
        <f>IF(E1161=0,SUMPRODUCT(MIN($K$2:$K$4734+((($A$2:$A$4734&lt;&gt;A1161)+($E$2:$E$4734&lt;&gt;0))&gt;0)*1000000)),"")</f>
        <v/>
      </c>
      <c r="M1161" s="1">
        <f>IF(AND(E1161=0,COUNTIFS($A$2:A1161,A1161,$E$2:E1161,0)=1),L1161,0)</f>
        <v>0</v>
      </c>
    </row>
    <row r="1162" spans="1:13" ht="15" customHeight="1">
      <c r="A1162" s="1">
        <v>7279</v>
      </c>
      <c r="B1162" s="1" t="s">
        <v>358</v>
      </c>
      <c r="C1162" s="2" t="s">
        <v>1344</v>
      </c>
      <c r="D1162" s="2" t="s">
        <v>1363</v>
      </c>
      <c r="E1162" s="1">
        <v>1</v>
      </c>
      <c r="F1162" s="2" t="s">
        <v>1366</v>
      </c>
      <c r="G1162" s="1">
        <v>3</v>
      </c>
      <c r="H1162" s="1" t="str">
        <f t="shared" si="18"/>
        <v>k7279_3</v>
      </c>
      <c r="K1162" s="1">
        <f>IF(E1162=0,SUMPRODUCT(($A$2:$A$4734=A1162)*($B$2:$B$4734=B1162)*($D$2:$D$4734=D1162)*($E$2:$E$4734=0)),0)</f>
        <v>0</v>
      </c>
      <c r="L1162" s="1" t="str">
        <f>IF(E1162=0,SUMPRODUCT(MIN($K$2:$K$4734+((($A$2:$A$4734&lt;&gt;A1162)+($E$2:$E$4734&lt;&gt;0))&gt;0)*1000000)),"")</f>
        <v/>
      </c>
      <c r="M1162" s="1">
        <f>IF(AND(E1162=0,COUNTIFS($A$2:A1162,A1162,$E$2:E1162,0)=1),L1162,0)</f>
        <v>0</v>
      </c>
    </row>
    <row r="1163" spans="1:13" ht="15" customHeight="1">
      <c r="A1163" s="1">
        <v>7279</v>
      </c>
      <c r="B1163" s="1" t="s">
        <v>358</v>
      </c>
      <c r="C1163" s="2" t="s">
        <v>1344</v>
      </c>
      <c r="D1163" s="2" t="s">
        <v>1363</v>
      </c>
      <c r="E1163" s="1">
        <v>1</v>
      </c>
      <c r="F1163" s="2" t="s">
        <v>1367</v>
      </c>
      <c r="G1163" s="1">
        <v>4</v>
      </c>
      <c r="H1163" s="1" t="str">
        <f t="shared" si="18"/>
        <v>k7279_4</v>
      </c>
      <c r="K1163" s="1">
        <f>IF(E1163=0,SUMPRODUCT(($A$2:$A$4734=A1163)*($B$2:$B$4734=B1163)*($D$2:$D$4734=D1163)*($E$2:$E$4734=0)),0)</f>
        <v>0</v>
      </c>
      <c r="L1163" s="1" t="str">
        <f>IF(E1163=0,SUMPRODUCT(MIN($K$2:$K$4734+((($A$2:$A$4734&lt;&gt;A1163)+($E$2:$E$4734&lt;&gt;0))&gt;0)*1000000)),"")</f>
        <v/>
      </c>
      <c r="M1163" s="1">
        <f>IF(AND(E1163=0,COUNTIFS($A$2:A1163,A1163,$E$2:E1163,0)=1),L1163,0)</f>
        <v>0</v>
      </c>
    </row>
    <row r="1164" spans="1:13" ht="15" customHeight="1">
      <c r="A1164" s="1">
        <v>7279</v>
      </c>
      <c r="B1164" s="1" t="s">
        <v>358</v>
      </c>
      <c r="C1164" s="2" t="s">
        <v>1344</v>
      </c>
      <c r="D1164" s="2" t="s">
        <v>1363</v>
      </c>
      <c r="E1164" s="1">
        <v>1</v>
      </c>
      <c r="F1164" s="2" t="s">
        <v>1368</v>
      </c>
      <c r="G1164" s="1">
        <v>5</v>
      </c>
      <c r="H1164" s="1" t="str">
        <f t="shared" si="18"/>
        <v>k7279_5</v>
      </c>
      <c r="K1164" s="1">
        <f>IF(E1164=0,SUMPRODUCT(($A$2:$A$4734=A1164)*($B$2:$B$4734=B1164)*($D$2:$D$4734=D1164)*($E$2:$E$4734=0)),0)</f>
        <v>0</v>
      </c>
      <c r="L1164" s="1" t="str">
        <f>IF(E1164=0,SUMPRODUCT(MIN($K$2:$K$4734+((($A$2:$A$4734&lt;&gt;A1164)+($E$2:$E$4734&lt;&gt;0))&gt;0)*1000000)),"")</f>
        <v/>
      </c>
      <c r="M1164" s="1">
        <f>IF(AND(E1164=0,COUNTIFS($A$2:A1164,A1164,$E$2:E1164,0)=1),L1164,0)</f>
        <v>0</v>
      </c>
    </row>
    <row r="1165" spans="1:13" ht="15" customHeight="1">
      <c r="A1165" s="1">
        <v>7279</v>
      </c>
      <c r="B1165" s="1" t="s">
        <v>358</v>
      </c>
      <c r="C1165" s="2" t="s">
        <v>1344</v>
      </c>
      <c r="D1165" s="2" t="s">
        <v>1363</v>
      </c>
      <c r="E1165" s="1">
        <v>1</v>
      </c>
      <c r="F1165" s="2" t="s">
        <v>1369</v>
      </c>
      <c r="G1165" s="1">
        <v>6</v>
      </c>
      <c r="H1165" s="1" t="str">
        <f t="shared" si="18"/>
        <v>k7279_6</v>
      </c>
      <c r="K1165" s="1">
        <f>IF(E1165=0,SUMPRODUCT(($A$2:$A$4734=A1165)*($B$2:$B$4734=B1165)*($D$2:$D$4734=D1165)*($E$2:$E$4734=0)),0)</f>
        <v>0</v>
      </c>
      <c r="L1165" s="1" t="str">
        <f>IF(E1165=0,SUMPRODUCT(MIN($K$2:$K$4734+((($A$2:$A$4734&lt;&gt;A1165)+($E$2:$E$4734&lt;&gt;0))&gt;0)*1000000)),"")</f>
        <v/>
      </c>
      <c r="M1165" s="1">
        <f>IF(AND(E1165=0,COUNTIFS($A$2:A1165,A1165,$E$2:E1165,0)=1),L1165,0)</f>
        <v>0</v>
      </c>
    </row>
    <row r="1166" spans="1:13" ht="15" customHeight="1">
      <c r="A1166" s="1">
        <v>7280</v>
      </c>
      <c r="B1166" s="1" t="s">
        <v>69</v>
      </c>
      <c r="C1166" s="2" t="s">
        <v>1370</v>
      </c>
      <c r="D1166" s="2" t="s">
        <v>1370</v>
      </c>
      <c r="E1166" s="1">
        <v>1</v>
      </c>
      <c r="F1166" s="2" t="s">
        <v>1371</v>
      </c>
      <c r="G1166" s="1">
        <v>1</v>
      </c>
      <c r="H1166" s="1" t="str">
        <f t="shared" si="18"/>
        <v>k7280_1</v>
      </c>
      <c r="K1166" s="1">
        <f>IF(E1166=0,SUMPRODUCT(($A$2:$A$4734=A1166)*($B$2:$B$4734=B1166)*($D$2:$D$4734=D1166)*($E$2:$E$4734=0)),0)</f>
        <v>0</v>
      </c>
      <c r="L1166" s="1" t="str">
        <f>IF(E1166=0,SUMPRODUCT(MIN($K$2:$K$4734+((($A$2:$A$4734&lt;&gt;A1166)+($E$2:$E$4734&lt;&gt;0))&gt;0)*1000000)),"")</f>
        <v/>
      </c>
      <c r="M1166" s="1">
        <f>IF(AND(E1166=0,COUNTIFS($A$2:A1166,A1166,$E$2:E1166,0)=1),L1166,0)</f>
        <v>0</v>
      </c>
    </row>
    <row r="1167" spans="1:13" ht="15" customHeight="1">
      <c r="A1167" s="1">
        <v>7280</v>
      </c>
      <c r="B1167" s="1" t="s">
        <v>69</v>
      </c>
      <c r="C1167" s="2" t="s">
        <v>1370</v>
      </c>
      <c r="D1167" s="2" t="s">
        <v>1370</v>
      </c>
      <c r="E1167" s="1">
        <v>1</v>
      </c>
      <c r="F1167" s="2" t="s">
        <v>1372</v>
      </c>
      <c r="G1167" s="1">
        <v>2</v>
      </c>
      <c r="H1167" s="1" t="str">
        <f t="shared" si="18"/>
        <v>k7280_2</v>
      </c>
      <c r="K1167" s="1">
        <f>IF(E1167=0,SUMPRODUCT(($A$2:$A$4734=A1167)*($B$2:$B$4734=B1167)*($D$2:$D$4734=D1167)*($E$2:$E$4734=0)),0)</f>
        <v>0</v>
      </c>
      <c r="L1167" s="1" t="str">
        <f>IF(E1167=0,SUMPRODUCT(MIN($K$2:$K$4734+((($A$2:$A$4734&lt;&gt;A1167)+($E$2:$E$4734&lt;&gt;0))&gt;0)*1000000)),"")</f>
        <v/>
      </c>
      <c r="M1167" s="1">
        <f>IF(AND(E1167=0,COUNTIFS($A$2:A1167,A1167,$E$2:E1167,0)=1),L1167,0)</f>
        <v>0</v>
      </c>
    </row>
    <row r="1168" spans="1:13" ht="15" customHeight="1">
      <c r="A1168" s="1">
        <v>7280</v>
      </c>
      <c r="B1168" s="1" t="s">
        <v>69</v>
      </c>
      <c r="C1168" s="2" t="s">
        <v>1370</v>
      </c>
      <c r="D1168" s="2" t="s">
        <v>1370</v>
      </c>
      <c r="E1168" s="1">
        <v>1</v>
      </c>
      <c r="F1168" s="2" t="s">
        <v>1373</v>
      </c>
      <c r="G1168" s="1">
        <v>3</v>
      </c>
      <c r="H1168" s="1" t="str">
        <f t="shared" si="18"/>
        <v>k7280_3</v>
      </c>
      <c r="K1168" s="1">
        <f>IF(E1168=0,SUMPRODUCT(($A$2:$A$4734=A1168)*($B$2:$B$4734=B1168)*($D$2:$D$4734=D1168)*($E$2:$E$4734=0)),0)</f>
        <v>0</v>
      </c>
      <c r="L1168" s="1" t="str">
        <f>IF(E1168=0,SUMPRODUCT(MIN($K$2:$K$4734+((($A$2:$A$4734&lt;&gt;A1168)+($E$2:$E$4734&lt;&gt;0))&gt;0)*1000000)),"")</f>
        <v/>
      </c>
      <c r="M1168" s="1">
        <f>IF(AND(E1168=0,COUNTIFS($A$2:A1168,A1168,$E$2:E1168,0)=1),L1168,0)</f>
        <v>0</v>
      </c>
    </row>
    <row r="1169" spans="1:13" ht="15" customHeight="1">
      <c r="A1169" s="1">
        <v>7280</v>
      </c>
      <c r="B1169" s="1" t="s">
        <v>69</v>
      </c>
      <c r="C1169" s="2" t="s">
        <v>1370</v>
      </c>
      <c r="D1169" s="2" t="s">
        <v>1370</v>
      </c>
      <c r="E1169" s="1">
        <v>1</v>
      </c>
      <c r="F1169" s="2" t="s">
        <v>1374</v>
      </c>
      <c r="G1169" s="1">
        <v>4</v>
      </c>
      <c r="H1169" s="1" t="str">
        <f t="shared" si="18"/>
        <v>k7280_4</v>
      </c>
      <c r="K1169" s="1">
        <f>IF(E1169=0,SUMPRODUCT(($A$2:$A$4734=A1169)*($B$2:$B$4734=B1169)*($D$2:$D$4734=D1169)*($E$2:$E$4734=0)),0)</f>
        <v>0</v>
      </c>
      <c r="L1169" s="1" t="str">
        <f>IF(E1169=0,SUMPRODUCT(MIN($K$2:$K$4734+((($A$2:$A$4734&lt;&gt;A1169)+($E$2:$E$4734&lt;&gt;0))&gt;0)*1000000)),"")</f>
        <v/>
      </c>
      <c r="M1169" s="1">
        <f>IF(AND(E1169=0,COUNTIFS($A$2:A1169,A1169,$E$2:E1169,0)=1),L1169,0)</f>
        <v>0</v>
      </c>
    </row>
    <row r="1170" spans="1:13" ht="15" customHeight="1">
      <c r="A1170" s="1">
        <v>7280</v>
      </c>
      <c r="B1170" s="1" t="s">
        <v>9</v>
      </c>
      <c r="C1170" s="2" t="s">
        <v>1370</v>
      </c>
      <c r="D1170" s="2" t="s">
        <v>1375</v>
      </c>
      <c r="E1170" s="1">
        <v>1</v>
      </c>
      <c r="F1170" s="2" t="s">
        <v>1376</v>
      </c>
      <c r="G1170" s="1">
        <v>1</v>
      </c>
      <c r="H1170" s="1" t="str">
        <f t="shared" si="18"/>
        <v>k7280_1</v>
      </c>
      <c r="K1170" s="1">
        <f>IF(E1170=0,SUMPRODUCT(($A$2:$A$4734=A1170)*($B$2:$B$4734=B1170)*($D$2:$D$4734=D1170)*($E$2:$E$4734=0)),0)</f>
        <v>0</v>
      </c>
      <c r="L1170" s="1" t="str">
        <f>IF(E1170=0,SUMPRODUCT(MIN($K$2:$K$4734+((($A$2:$A$4734&lt;&gt;A1170)+($E$2:$E$4734&lt;&gt;0))&gt;0)*1000000)),"")</f>
        <v/>
      </c>
      <c r="M1170" s="1">
        <f>IF(AND(E1170=0,COUNTIFS($A$2:A1170,A1170,$E$2:E1170,0)=1),L1170,0)</f>
        <v>0</v>
      </c>
    </row>
    <row r="1171" spans="1:13" ht="15" customHeight="1">
      <c r="A1171" s="1">
        <v>7280</v>
      </c>
      <c r="B1171" s="1" t="s">
        <v>9</v>
      </c>
      <c r="C1171" s="2" t="s">
        <v>1370</v>
      </c>
      <c r="D1171" s="2" t="s">
        <v>1375</v>
      </c>
      <c r="E1171" s="1">
        <v>1</v>
      </c>
      <c r="F1171" s="2" t="s">
        <v>1377</v>
      </c>
      <c r="G1171" s="1">
        <v>2</v>
      </c>
      <c r="H1171" s="1" t="str">
        <f t="shared" si="18"/>
        <v>k7280_2</v>
      </c>
      <c r="K1171" s="1">
        <f>IF(E1171=0,SUMPRODUCT(($A$2:$A$4734=A1171)*($B$2:$B$4734=B1171)*($D$2:$D$4734=D1171)*($E$2:$E$4734=0)),0)</f>
        <v>0</v>
      </c>
      <c r="L1171" s="1" t="str">
        <f>IF(E1171=0,SUMPRODUCT(MIN($K$2:$K$4734+((($A$2:$A$4734&lt;&gt;A1171)+($E$2:$E$4734&lt;&gt;0))&gt;0)*1000000)),"")</f>
        <v/>
      </c>
      <c r="M1171" s="1">
        <f>IF(AND(E1171=0,COUNTIFS($A$2:A1171,A1171,$E$2:E1171,0)=1),L1171,0)</f>
        <v>0</v>
      </c>
    </row>
    <row r="1172" spans="1:13" ht="15" customHeight="1">
      <c r="A1172" s="1">
        <v>7280</v>
      </c>
      <c r="B1172" s="1" t="s">
        <v>9</v>
      </c>
      <c r="C1172" s="2" t="s">
        <v>1370</v>
      </c>
      <c r="D1172" s="2" t="s">
        <v>1375</v>
      </c>
      <c r="E1172" s="1">
        <v>1</v>
      </c>
      <c r="F1172" s="2" t="s">
        <v>1378</v>
      </c>
      <c r="G1172" s="1">
        <v>3</v>
      </c>
      <c r="H1172" s="1" t="str">
        <f t="shared" si="18"/>
        <v>k7280_3</v>
      </c>
      <c r="K1172" s="1">
        <f>IF(E1172=0,SUMPRODUCT(($A$2:$A$4734=A1172)*($B$2:$B$4734=B1172)*($D$2:$D$4734=D1172)*($E$2:$E$4734=0)),0)</f>
        <v>0</v>
      </c>
      <c r="L1172" s="1" t="str">
        <f>IF(E1172=0,SUMPRODUCT(MIN($K$2:$K$4734+((($A$2:$A$4734&lt;&gt;A1172)+($E$2:$E$4734&lt;&gt;0))&gt;0)*1000000)),"")</f>
        <v/>
      </c>
      <c r="M1172" s="1">
        <f>IF(AND(E1172=0,COUNTIFS($A$2:A1172,A1172,$E$2:E1172,0)=1),L1172,0)</f>
        <v>0</v>
      </c>
    </row>
    <row r="1173" spans="1:13" ht="15" customHeight="1">
      <c r="A1173" s="1">
        <v>7280</v>
      </c>
      <c r="B1173" s="1" t="s">
        <v>9</v>
      </c>
      <c r="C1173" s="2" t="s">
        <v>1370</v>
      </c>
      <c r="D1173" s="2" t="s">
        <v>1375</v>
      </c>
      <c r="E1173" s="1">
        <v>1</v>
      </c>
      <c r="F1173" s="2" t="s">
        <v>1379</v>
      </c>
      <c r="G1173" s="1">
        <v>4</v>
      </c>
      <c r="H1173" s="1" t="str">
        <f t="shared" si="18"/>
        <v>k7280_4</v>
      </c>
      <c r="K1173" s="1">
        <f>IF(E1173=0,SUMPRODUCT(($A$2:$A$4734=A1173)*($B$2:$B$4734=B1173)*($D$2:$D$4734=D1173)*($E$2:$E$4734=0)),0)</f>
        <v>0</v>
      </c>
      <c r="L1173" s="1" t="str">
        <f>IF(E1173=0,SUMPRODUCT(MIN($K$2:$K$4734+((($A$2:$A$4734&lt;&gt;A1173)+($E$2:$E$4734&lt;&gt;0))&gt;0)*1000000)),"")</f>
        <v/>
      </c>
      <c r="M1173" s="1">
        <f>IF(AND(E1173=0,COUNTIFS($A$2:A1173,A1173,$E$2:E1173,0)=1),L1173,0)</f>
        <v>0</v>
      </c>
    </row>
    <row r="1174" spans="1:13" ht="15" customHeight="1">
      <c r="A1174" s="1">
        <v>7280</v>
      </c>
      <c r="B1174" s="1" t="s">
        <v>16</v>
      </c>
      <c r="C1174" s="2" t="s">
        <v>1370</v>
      </c>
      <c r="D1174" s="2" t="s">
        <v>1380</v>
      </c>
      <c r="E1174" s="1">
        <v>1</v>
      </c>
      <c r="F1174" s="2" t="s">
        <v>1381</v>
      </c>
      <c r="G1174" s="1">
        <v>1</v>
      </c>
      <c r="H1174" s="1" t="str">
        <f t="shared" si="18"/>
        <v>k7280_1</v>
      </c>
      <c r="K1174" s="1">
        <f>IF(E1174=0,SUMPRODUCT(($A$2:$A$4734=A1174)*($B$2:$B$4734=B1174)*($D$2:$D$4734=D1174)*($E$2:$E$4734=0)),0)</f>
        <v>0</v>
      </c>
      <c r="L1174" s="1" t="str">
        <f>IF(E1174=0,SUMPRODUCT(MIN($K$2:$K$4734+((($A$2:$A$4734&lt;&gt;A1174)+($E$2:$E$4734&lt;&gt;0))&gt;0)*1000000)),"")</f>
        <v/>
      </c>
      <c r="M1174" s="1">
        <f>IF(AND(E1174=0,COUNTIFS($A$2:A1174,A1174,$E$2:E1174,0)=1),L1174,0)</f>
        <v>0</v>
      </c>
    </row>
    <row r="1175" spans="1:13" ht="15" customHeight="1">
      <c r="A1175" s="1">
        <v>7280</v>
      </c>
      <c r="B1175" s="1" t="s">
        <v>16</v>
      </c>
      <c r="C1175" s="2" t="s">
        <v>1370</v>
      </c>
      <c r="D1175" s="2" t="s">
        <v>1380</v>
      </c>
      <c r="E1175" s="1">
        <v>1</v>
      </c>
      <c r="F1175" s="2" t="s">
        <v>1382</v>
      </c>
      <c r="G1175" s="1">
        <v>2</v>
      </c>
      <c r="H1175" s="1" t="str">
        <f t="shared" si="18"/>
        <v>k7280_2</v>
      </c>
      <c r="K1175" s="1">
        <f>IF(E1175=0,SUMPRODUCT(($A$2:$A$4734=A1175)*($B$2:$B$4734=B1175)*($D$2:$D$4734=D1175)*($E$2:$E$4734=0)),0)</f>
        <v>0</v>
      </c>
      <c r="L1175" s="1" t="str">
        <f>IF(E1175=0,SUMPRODUCT(MIN($K$2:$K$4734+((($A$2:$A$4734&lt;&gt;A1175)+($E$2:$E$4734&lt;&gt;0))&gt;0)*1000000)),"")</f>
        <v/>
      </c>
      <c r="M1175" s="1">
        <f>IF(AND(E1175=0,COUNTIFS($A$2:A1175,A1175,$E$2:E1175,0)=1),L1175,0)</f>
        <v>0</v>
      </c>
    </row>
    <row r="1176" spans="1:13" ht="15" customHeight="1">
      <c r="A1176" s="1">
        <v>7280</v>
      </c>
      <c r="B1176" s="1" t="s">
        <v>16</v>
      </c>
      <c r="C1176" s="2" t="s">
        <v>1370</v>
      </c>
      <c r="D1176" s="2" t="s">
        <v>1380</v>
      </c>
      <c r="E1176" s="1">
        <v>1</v>
      </c>
      <c r="F1176" s="2" t="s">
        <v>1383</v>
      </c>
      <c r="G1176" s="1">
        <v>3</v>
      </c>
      <c r="H1176" s="1" t="str">
        <f t="shared" si="18"/>
        <v>k7280_3</v>
      </c>
      <c r="K1176" s="1">
        <f>IF(E1176=0,SUMPRODUCT(($A$2:$A$4734=A1176)*($B$2:$B$4734=B1176)*($D$2:$D$4734=D1176)*($E$2:$E$4734=0)),0)</f>
        <v>0</v>
      </c>
      <c r="L1176" s="1" t="str">
        <f>IF(E1176=0,SUMPRODUCT(MIN($K$2:$K$4734+((($A$2:$A$4734&lt;&gt;A1176)+($E$2:$E$4734&lt;&gt;0))&gt;0)*1000000)),"")</f>
        <v/>
      </c>
      <c r="M1176" s="1">
        <f>IF(AND(E1176=0,COUNTIFS($A$2:A1176,A1176,$E$2:E1176,0)=1),L1176,0)</f>
        <v>0</v>
      </c>
    </row>
    <row r="1177" spans="1:13" ht="15" customHeight="1">
      <c r="A1177" s="1">
        <v>7280</v>
      </c>
      <c r="B1177" s="1" t="s">
        <v>16</v>
      </c>
      <c r="C1177" s="2" t="s">
        <v>1370</v>
      </c>
      <c r="D1177" s="2" t="s">
        <v>1380</v>
      </c>
      <c r="E1177" s="1">
        <v>1</v>
      </c>
      <c r="F1177" s="2" t="s">
        <v>1384</v>
      </c>
      <c r="G1177" s="1">
        <v>4</v>
      </c>
      <c r="H1177" s="1" t="str">
        <f t="shared" si="18"/>
        <v>k7280_4</v>
      </c>
      <c r="K1177" s="1">
        <f>IF(E1177=0,SUMPRODUCT(($A$2:$A$4734=A1177)*($B$2:$B$4734=B1177)*($D$2:$D$4734=D1177)*($E$2:$E$4734=0)),0)</f>
        <v>0</v>
      </c>
      <c r="L1177" s="1" t="str">
        <f>IF(E1177=0,SUMPRODUCT(MIN($K$2:$K$4734+((($A$2:$A$4734&lt;&gt;A1177)+($E$2:$E$4734&lt;&gt;0))&gt;0)*1000000)),"")</f>
        <v/>
      </c>
      <c r="M1177" s="1">
        <f>IF(AND(E1177=0,COUNTIFS($A$2:A1177,A1177,$E$2:E1177,0)=1),L1177,0)</f>
        <v>0</v>
      </c>
    </row>
    <row r="1178" spans="1:13" ht="15" customHeight="1">
      <c r="A1178" s="1">
        <v>7280</v>
      </c>
      <c r="B1178" s="1" t="s">
        <v>16</v>
      </c>
      <c r="C1178" s="2" t="s">
        <v>1370</v>
      </c>
      <c r="D1178" s="2" t="s">
        <v>1385</v>
      </c>
      <c r="E1178" s="1">
        <v>1</v>
      </c>
      <c r="F1178" s="2" t="s">
        <v>1386</v>
      </c>
      <c r="G1178" s="1">
        <v>1</v>
      </c>
      <c r="H1178" s="1" t="str">
        <f t="shared" si="18"/>
        <v>k7280_1</v>
      </c>
      <c r="K1178" s="1">
        <f>IF(E1178=0,SUMPRODUCT(($A$2:$A$4734=A1178)*($B$2:$B$4734=B1178)*($D$2:$D$4734=D1178)*($E$2:$E$4734=0)),0)</f>
        <v>0</v>
      </c>
      <c r="L1178" s="1" t="str">
        <f>IF(E1178=0,SUMPRODUCT(MIN($K$2:$K$4734+((($A$2:$A$4734&lt;&gt;A1178)+($E$2:$E$4734&lt;&gt;0))&gt;0)*1000000)),"")</f>
        <v/>
      </c>
      <c r="M1178" s="1">
        <f>IF(AND(E1178=0,COUNTIFS($A$2:A1178,A1178,$E$2:E1178,0)=1),L1178,0)</f>
        <v>0</v>
      </c>
    </row>
    <row r="1179" spans="1:13" ht="15" customHeight="1">
      <c r="A1179" s="1">
        <v>7280</v>
      </c>
      <c r="B1179" s="1" t="s">
        <v>16</v>
      </c>
      <c r="C1179" s="2" t="s">
        <v>1370</v>
      </c>
      <c r="D1179" s="2" t="s">
        <v>1385</v>
      </c>
      <c r="E1179" s="1">
        <v>1</v>
      </c>
      <c r="F1179" s="2" t="s">
        <v>1387</v>
      </c>
      <c r="G1179" s="1">
        <v>2</v>
      </c>
      <c r="H1179" s="1" t="str">
        <f t="shared" si="18"/>
        <v>k7280_2</v>
      </c>
      <c r="K1179" s="1">
        <f>IF(E1179=0,SUMPRODUCT(($A$2:$A$4734=A1179)*($B$2:$B$4734=B1179)*($D$2:$D$4734=D1179)*($E$2:$E$4734=0)),0)</f>
        <v>0</v>
      </c>
      <c r="L1179" s="1" t="str">
        <f>IF(E1179=0,SUMPRODUCT(MIN($K$2:$K$4734+((($A$2:$A$4734&lt;&gt;A1179)+($E$2:$E$4734&lt;&gt;0))&gt;0)*1000000)),"")</f>
        <v/>
      </c>
      <c r="M1179" s="1">
        <f>IF(AND(E1179=0,COUNTIFS($A$2:A1179,A1179,$E$2:E1179,0)=1),L1179,0)</f>
        <v>0</v>
      </c>
    </row>
    <row r="1180" spans="1:13" ht="15" customHeight="1">
      <c r="A1180" s="1">
        <v>7280</v>
      </c>
      <c r="B1180" s="1" t="s">
        <v>16</v>
      </c>
      <c r="C1180" s="2" t="s">
        <v>1370</v>
      </c>
      <c r="D1180" s="2" t="s">
        <v>1385</v>
      </c>
      <c r="E1180" s="1">
        <v>1</v>
      </c>
      <c r="F1180" s="2" t="s">
        <v>1388</v>
      </c>
      <c r="G1180" s="1">
        <v>3</v>
      </c>
      <c r="H1180" s="1" t="str">
        <f t="shared" si="18"/>
        <v>k7280_3</v>
      </c>
      <c r="K1180" s="1">
        <f>IF(E1180=0,SUMPRODUCT(($A$2:$A$4734=A1180)*($B$2:$B$4734=B1180)*($D$2:$D$4734=D1180)*($E$2:$E$4734=0)),0)</f>
        <v>0</v>
      </c>
      <c r="L1180" s="1" t="str">
        <f>IF(E1180=0,SUMPRODUCT(MIN($K$2:$K$4734+((($A$2:$A$4734&lt;&gt;A1180)+($E$2:$E$4734&lt;&gt;0))&gt;0)*1000000)),"")</f>
        <v/>
      </c>
      <c r="M1180" s="1">
        <f>IF(AND(E1180=0,COUNTIFS($A$2:A1180,A1180,$E$2:E1180,0)=1),L1180,0)</f>
        <v>0</v>
      </c>
    </row>
    <row r="1181" spans="1:13" ht="15" customHeight="1">
      <c r="A1181" s="1">
        <v>7280</v>
      </c>
      <c r="B1181" s="1" t="s">
        <v>16</v>
      </c>
      <c r="C1181" s="2" t="s">
        <v>1370</v>
      </c>
      <c r="D1181" s="2" t="s">
        <v>1385</v>
      </c>
      <c r="E1181" s="1">
        <v>1</v>
      </c>
      <c r="F1181" s="2" t="s">
        <v>1389</v>
      </c>
      <c r="G1181" s="1">
        <v>4</v>
      </c>
      <c r="H1181" s="1" t="str">
        <f t="shared" si="18"/>
        <v>k7280_4</v>
      </c>
      <c r="K1181" s="1">
        <f>IF(E1181=0,SUMPRODUCT(($A$2:$A$4734=A1181)*($B$2:$B$4734=B1181)*($D$2:$D$4734=D1181)*($E$2:$E$4734=0)),0)</f>
        <v>0</v>
      </c>
      <c r="L1181" s="1" t="str">
        <f>IF(E1181=0,SUMPRODUCT(MIN($K$2:$K$4734+((($A$2:$A$4734&lt;&gt;A1181)+($E$2:$E$4734&lt;&gt;0))&gt;0)*1000000)),"")</f>
        <v/>
      </c>
      <c r="M1181" s="1">
        <f>IF(AND(E1181=0,COUNTIFS($A$2:A1181,A1181,$E$2:E1181,0)=1),L1181,0)</f>
        <v>0</v>
      </c>
    </row>
    <row r="1182" spans="1:13" ht="15" customHeight="1">
      <c r="A1182" s="1">
        <v>7280</v>
      </c>
      <c r="B1182" s="1" t="s">
        <v>16</v>
      </c>
      <c r="C1182" s="2" t="s">
        <v>1370</v>
      </c>
      <c r="D1182" s="2" t="s">
        <v>1390</v>
      </c>
      <c r="E1182" s="1">
        <v>1</v>
      </c>
      <c r="F1182" s="2" t="s">
        <v>1391</v>
      </c>
      <c r="G1182" s="1">
        <v>1</v>
      </c>
      <c r="H1182" s="1" t="str">
        <f t="shared" si="18"/>
        <v>k7280_1</v>
      </c>
      <c r="K1182" s="1">
        <f>IF(E1182=0,SUMPRODUCT(($A$2:$A$4734=A1182)*($B$2:$B$4734=B1182)*($D$2:$D$4734=D1182)*($E$2:$E$4734=0)),0)</f>
        <v>0</v>
      </c>
      <c r="L1182" s="1" t="str">
        <f>IF(E1182=0,SUMPRODUCT(MIN($K$2:$K$4734+((($A$2:$A$4734&lt;&gt;A1182)+($E$2:$E$4734&lt;&gt;0))&gt;0)*1000000)),"")</f>
        <v/>
      </c>
      <c r="M1182" s="1">
        <f>IF(AND(E1182=0,COUNTIFS($A$2:A1182,A1182,$E$2:E1182,0)=1),L1182,0)</f>
        <v>0</v>
      </c>
    </row>
    <row r="1183" spans="1:13" ht="15" customHeight="1">
      <c r="A1183" s="1">
        <v>7280</v>
      </c>
      <c r="B1183" s="1" t="s">
        <v>16</v>
      </c>
      <c r="C1183" s="2" t="s">
        <v>1370</v>
      </c>
      <c r="D1183" s="2" t="s">
        <v>1390</v>
      </c>
      <c r="E1183" s="1">
        <v>1</v>
      </c>
      <c r="F1183" s="2" t="s">
        <v>1392</v>
      </c>
      <c r="G1183" s="1">
        <v>2</v>
      </c>
      <c r="H1183" s="1" t="str">
        <f t="shared" si="18"/>
        <v>k7280_2</v>
      </c>
      <c r="K1183" s="1">
        <f>IF(E1183=0,SUMPRODUCT(($A$2:$A$4734=A1183)*($B$2:$B$4734=B1183)*($D$2:$D$4734=D1183)*($E$2:$E$4734=0)),0)</f>
        <v>0</v>
      </c>
      <c r="L1183" s="1" t="str">
        <f>IF(E1183=0,SUMPRODUCT(MIN($K$2:$K$4734+((($A$2:$A$4734&lt;&gt;A1183)+($E$2:$E$4734&lt;&gt;0))&gt;0)*1000000)),"")</f>
        <v/>
      </c>
      <c r="M1183" s="1">
        <f>IF(AND(E1183=0,COUNTIFS($A$2:A1183,A1183,$E$2:E1183,0)=1),L1183,0)</f>
        <v>0</v>
      </c>
    </row>
    <row r="1184" spans="1:13" ht="15" customHeight="1">
      <c r="A1184" s="1">
        <v>7280</v>
      </c>
      <c r="B1184" s="1" t="s">
        <v>16</v>
      </c>
      <c r="C1184" s="2" t="s">
        <v>1370</v>
      </c>
      <c r="D1184" s="2" t="s">
        <v>1390</v>
      </c>
      <c r="E1184" s="1">
        <v>1</v>
      </c>
      <c r="F1184" s="2" t="s">
        <v>1393</v>
      </c>
      <c r="G1184" s="1">
        <v>3</v>
      </c>
      <c r="H1184" s="1" t="str">
        <f t="shared" si="18"/>
        <v>k7280_3</v>
      </c>
      <c r="K1184" s="1">
        <f>IF(E1184=0,SUMPRODUCT(($A$2:$A$4734=A1184)*($B$2:$B$4734=B1184)*($D$2:$D$4734=D1184)*($E$2:$E$4734=0)),0)</f>
        <v>0</v>
      </c>
      <c r="L1184" s="1" t="str">
        <f>IF(E1184=0,SUMPRODUCT(MIN($K$2:$K$4734+((($A$2:$A$4734&lt;&gt;A1184)+($E$2:$E$4734&lt;&gt;0))&gt;0)*1000000)),"")</f>
        <v/>
      </c>
      <c r="M1184" s="1">
        <f>IF(AND(E1184=0,COUNTIFS($A$2:A1184,A1184,$E$2:E1184,0)=1),L1184,0)</f>
        <v>0</v>
      </c>
    </row>
    <row r="1185" spans="1:13" ht="15" customHeight="1">
      <c r="A1185" s="1">
        <v>7280</v>
      </c>
      <c r="B1185" s="1" t="s">
        <v>16</v>
      </c>
      <c r="C1185" s="2" t="s">
        <v>1370</v>
      </c>
      <c r="D1185" s="2" t="s">
        <v>1390</v>
      </c>
      <c r="E1185" s="1">
        <v>1</v>
      </c>
      <c r="F1185" s="2" t="s">
        <v>1394</v>
      </c>
      <c r="G1185" s="1">
        <v>4</v>
      </c>
      <c r="H1185" s="1" t="str">
        <f t="shared" si="18"/>
        <v>k7280_4</v>
      </c>
      <c r="K1185" s="1">
        <f>IF(E1185=0,SUMPRODUCT(($A$2:$A$4734=A1185)*($B$2:$B$4734=B1185)*($D$2:$D$4734=D1185)*($E$2:$E$4734=0)),0)</f>
        <v>0</v>
      </c>
      <c r="L1185" s="1" t="str">
        <f>IF(E1185=0,SUMPRODUCT(MIN($K$2:$K$4734+((($A$2:$A$4734&lt;&gt;A1185)+($E$2:$E$4734&lt;&gt;0))&gt;0)*1000000)),"")</f>
        <v/>
      </c>
      <c r="M1185" s="1">
        <f>IF(AND(E1185=0,COUNTIFS($A$2:A1185,A1185,$E$2:E1185,0)=1),L1185,0)</f>
        <v>0</v>
      </c>
    </row>
    <row r="1186" spans="1:13" ht="15" customHeight="1">
      <c r="A1186" s="1">
        <v>7280</v>
      </c>
      <c r="B1186" s="1" t="s">
        <v>9</v>
      </c>
      <c r="C1186" s="2" t="s">
        <v>1370</v>
      </c>
      <c r="D1186" s="2" t="s">
        <v>1395</v>
      </c>
      <c r="E1186" s="1">
        <v>1</v>
      </c>
      <c r="F1186" s="2" t="s">
        <v>1396</v>
      </c>
      <c r="G1186" s="1">
        <v>1</v>
      </c>
      <c r="H1186" s="1" t="str">
        <f t="shared" si="18"/>
        <v>k7280_1</v>
      </c>
      <c r="K1186" s="1">
        <f>IF(E1186=0,SUMPRODUCT(($A$2:$A$4734=A1186)*($B$2:$B$4734=B1186)*($D$2:$D$4734=D1186)*($E$2:$E$4734=0)),0)</f>
        <v>0</v>
      </c>
      <c r="L1186" s="1" t="str">
        <f>IF(E1186=0,SUMPRODUCT(MIN($K$2:$K$4734+((($A$2:$A$4734&lt;&gt;A1186)+($E$2:$E$4734&lt;&gt;0))&gt;0)*1000000)),"")</f>
        <v/>
      </c>
      <c r="M1186" s="1">
        <f>IF(AND(E1186=0,COUNTIFS($A$2:A1186,A1186,$E$2:E1186,0)=1),L1186,0)</f>
        <v>0</v>
      </c>
    </row>
    <row r="1187" spans="1:13" ht="15" customHeight="1">
      <c r="A1187" s="1">
        <v>7280</v>
      </c>
      <c r="B1187" s="1" t="s">
        <v>9</v>
      </c>
      <c r="C1187" s="2" t="s">
        <v>1370</v>
      </c>
      <c r="D1187" s="2" t="s">
        <v>1395</v>
      </c>
      <c r="E1187" s="1">
        <v>1</v>
      </c>
      <c r="F1187" s="2" t="s">
        <v>1397</v>
      </c>
      <c r="G1187" s="1">
        <v>2</v>
      </c>
      <c r="H1187" s="1" t="str">
        <f t="shared" si="18"/>
        <v>k7280_2</v>
      </c>
      <c r="K1187" s="1">
        <f>IF(E1187=0,SUMPRODUCT(($A$2:$A$4734=A1187)*($B$2:$B$4734=B1187)*($D$2:$D$4734=D1187)*($E$2:$E$4734=0)),0)</f>
        <v>0</v>
      </c>
      <c r="L1187" s="1" t="str">
        <f>IF(E1187=0,SUMPRODUCT(MIN($K$2:$K$4734+((($A$2:$A$4734&lt;&gt;A1187)+($E$2:$E$4734&lt;&gt;0))&gt;0)*1000000)),"")</f>
        <v/>
      </c>
      <c r="M1187" s="1">
        <f>IF(AND(E1187=0,COUNTIFS($A$2:A1187,A1187,$E$2:E1187,0)=1),L1187,0)</f>
        <v>0</v>
      </c>
    </row>
    <row r="1188" spans="1:13" ht="15" customHeight="1">
      <c r="A1188" s="1">
        <v>7280</v>
      </c>
      <c r="B1188" s="1" t="s">
        <v>9</v>
      </c>
      <c r="C1188" s="2" t="s">
        <v>1370</v>
      </c>
      <c r="D1188" s="2" t="s">
        <v>1395</v>
      </c>
      <c r="E1188" s="1">
        <v>1</v>
      </c>
      <c r="F1188" s="2" t="s">
        <v>1398</v>
      </c>
      <c r="G1188" s="1">
        <v>3</v>
      </c>
      <c r="H1188" s="1" t="str">
        <f t="shared" si="18"/>
        <v>k7280_3</v>
      </c>
      <c r="K1188" s="1">
        <f>IF(E1188=0,SUMPRODUCT(($A$2:$A$4734=A1188)*($B$2:$B$4734=B1188)*($D$2:$D$4734=D1188)*($E$2:$E$4734=0)),0)</f>
        <v>0</v>
      </c>
      <c r="L1188" s="1" t="str">
        <f>IF(E1188=0,SUMPRODUCT(MIN($K$2:$K$4734+((($A$2:$A$4734&lt;&gt;A1188)+($E$2:$E$4734&lt;&gt;0))&gt;0)*1000000)),"")</f>
        <v/>
      </c>
      <c r="M1188" s="1">
        <f>IF(AND(E1188=0,COUNTIFS($A$2:A1188,A1188,$E$2:E1188,0)=1),L1188,0)</f>
        <v>0</v>
      </c>
    </row>
    <row r="1189" spans="1:13" ht="15" customHeight="1">
      <c r="A1189" s="1">
        <v>7280</v>
      </c>
      <c r="B1189" s="1" t="s">
        <v>9</v>
      </c>
      <c r="C1189" s="2" t="s">
        <v>1370</v>
      </c>
      <c r="D1189" s="2" t="s">
        <v>1395</v>
      </c>
      <c r="E1189" s="1">
        <v>1</v>
      </c>
      <c r="F1189" s="2" t="s">
        <v>1399</v>
      </c>
      <c r="G1189" s="1">
        <v>4</v>
      </c>
      <c r="H1189" s="1" t="str">
        <f t="shared" si="18"/>
        <v>k7280_4</v>
      </c>
      <c r="K1189" s="1">
        <f>IF(E1189=0,SUMPRODUCT(($A$2:$A$4734=A1189)*($B$2:$B$4734=B1189)*($D$2:$D$4734=D1189)*($E$2:$E$4734=0)),0)</f>
        <v>0</v>
      </c>
      <c r="L1189" s="1" t="str">
        <f>IF(E1189=0,SUMPRODUCT(MIN($K$2:$K$4734+((($A$2:$A$4734&lt;&gt;A1189)+($E$2:$E$4734&lt;&gt;0))&gt;0)*1000000)),"")</f>
        <v/>
      </c>
      <c r="M1189" s="1">
        <f>IF(AND(E1189=0,COUNTIFS($A$2:A1189,A1189,$E$2:E1189,0)=1),L1189,0)</f>
        <v>0</v>
      </c>
    </row>
    <row r="1190" spans="1:13" ht="15" customHeight="1">
      <c r="A1190" s="1">
        <v>7280</v>
      </c>
      <c r="B1190" s="1" t="s">
        <v>16</v>
      </c>
      <c r="C1190" s="2" t="s">
        <v>1370</v>
      </c>
      <c r="D1190" s="2" t="s">
        <v>1400</v>
      </c>
      <c r="E1190" s="1">
        <v>1</v>
      </c>
      <c r="F1190" s="2" t="s">
        <v>1401</v>
      </c>
      <c r="G1190" s="1">
        <v>1</v>
      </c>
      <c r="H1190" s="1" t="str">
        <f t="shared" si="18"/>
        <v>k7280_1</v>
      </c>
      <c r="K1190" s="1">
        <f>IF(E1190=0,SUMPRODUCT(($A$2:$A$4734=A1190)*($B$2:$B$4734=B1190)*($D$2:$D$4734=D1190)*($E$2:$E$4734=0)),0)</f>
        <v>0</v>
      </c>
      <c r="L1190" s="1" t="str">
        <f>IF(E1190=0,SUMPRODUCT(MIN($K$2:$K$4734+((($A$2:$A$4734&lt;&gt;A1190)+($E$2:$E$4734&lt;&gt;0))&gt;0)*1000000)),"")</f>
        <v/>
      </c>
      <c r="M1190" s="1">
        <f>IF(AND(E1190=0,COUNTIFS($A$2:A1190,A1190,$E$2:E1190,0)=1),L1190,0)</f>
        <v>0</v>
      </c>
    </row>
    <row r="1191" spans="1:13" ht="15" customHeight="1">
      <c r="A1191" s="1">
        <v>7280</v>
      </c>
      <c r="B1191" s="1" t="s">
        <v>16</v>
      </c>
      <c r="C1191" s="2" t="s">
        <v>1370</v>
      </c>
      <c r="D1191" s="2" t="s">
        <v>1400</v>
      </c>
      <c r="E1191" s="1">
        <v>1</v>
      </c>
      <c r="F1191" s="2" t="s">
        <v>1402</v>
      </c>
      <c r="G1191" s="1">
        <v>2</v>
      </c>
      <c r="H1191" s="1" t="str">
        <f t="shared" si="18"/>
        <v>k7280_2</v>
      </c>
      <c r="K1191" s="1">
        <f>IF(E1191=0,SUMPRODUCT(($A$2:$A$4734=A1191)*($B$2:$B$4734=B1191)*($D$2:$D$4734=D1191)*($E$2:$E$4734=0)),0)</f>
        <v>0</v>
      </c>
      <c r="L1191" s="1" t="str">
        <f>IF(E1191=0,SUMPRODUCT(MIN($K$2:$K$4734+((($A$2:$A$4734&lt;&gt;A1191)+($E$2:$E$4734&lt;&gt;0))&gt;0)*1000000)),"")</f>
        <v/>
      </c>
      <c r="M1191" s="1">
        <f>IF(AND(E1191=0,COUNTIFS($A$2:A1191,A1191,$E$2:E1191,0)=1),L1191,0)</f>
        <v>0</v>
      </c>
    </row>
    <row r="1192" spans="1:13" ht="15" customHeight="1">
      <c r="A1192" s="1">
        <v>7280</v>
      </c>
      <c r="B1192" s="1" t="s">
        <v>16</v>
      </c>
      <c r="C1192" s="2" t="s">
        <v>1370</v>
      </c>
      <c r="D1192" s="2" t="s">
        <v>1400</v>
      </c>
      <c r="E1192" s="1">
        <v>1</v>
      </c>
      <c r="F1192" s="2" t="s">
        <v>1403</v>
      </c>
      <c r="G1192" s="1">
        <v>3</v>
      </c>
      <c r="H1192" s="1" t="str">
        <f t="shared" si="18"/>
        <v>k7280_3</v>
      </c>
      <c r="K1192" s="1">
        <f>IF(E1192=0,SUMPRODUCT(($A$2:$A$4734=A1192)*($B$2:$B$4734=B1192)*($D$2:$D$4734=D1192)*($E$2:$E$4734=0)),0)</f>
        <v>0</v>
      </c>
      <c r="L1192" s="1" t="str">
        <f>IF(E1192=0,SUMPRODUCT(MIN($K$2:$K$4734+((($A$2:$A$4734&lt;&gt;A1192)+($E$2:$E$4734&lt;&gt;0))&gt;0)*1000000)),"")</f>
        <v/>
      </c>
      <c r="M1192" s="1">
        <f>IF(AND(E1192=0,COUNTIFS($A$2:A1192,A1192,$E$2:E1192,0)=1),L1192,0)</f>
        <v>0</v>
      </c>
    </row>
    <row r="1193" spans="1:13" ht="15" customHeight="1">
      <c r="A1193" s="1">
        <v>7280</v>
      </c>
      <c r="B1193" s="1" t="s">
        <v>16</v>
      </c>
      <c r="C1193" s="2" t="s">
        <v>1370</v>
      </c>
      <c r="D1193" s="2" t="s">
        <v>1400</v>
      </c>
      <c r="E1193" s="1">
        <v>1</v>
      </c>
      <c r="F1193" s="2" t="s">
        <v>1404</v>
      </c>
      <c r="G1193" s="1">
        <v>4</v>
      </c>
      <c r="H1193" s="1" t="str">
        <f t="shared" si="18"/>
        <v>k7280_4</v>
      </c>
      <c r="K1193" s="1">
        <f>IF(E1193=0,SUMPRODUCT(($A$2:$A$4734=A1193)*($B$2:$B$4734=B1193)*($D$2:$D$4734=D1193)*($E$2:$E$4734=0)),0)</f>
        <v>0</v>
      </c>
      <c r="L1193" s="1" t="str">
        <f>IF(E1193=0,SUMPRODUCT(MIN($K$2:$K$4734+((($A$2:$A$4734&lt;&gt;A1193)+($E$2:$E$4734&lt;&gt;0))&gt;0)*1000000)),"")</f>
        <v/>
      </c>
      <c r="M1193" s="1">
        <f>IF(AND(E1193=0,COUNTIFS($A$2:A1193,A1193,$E$2:E1193,0)=1),L1193,0)</f>
        <v>0</v>
      </c>
    </row>
    <row r="1194" spans="1:13" ht="15" customHeight="1">
      <c r="A1194" s="1">
        <v>7280</v>
      </c>
      <c r="B1194" s="1" t="s">
        <v>16</v>
      </c>
      <c r="C1194" s="2" t="s">
        <v>1370</v>
      </c>
      <c r="D1194" s="2" t="s">
        <v>1405</v>
      </c>
      <c r="E1194" s="1">
        <v>1</v>
      </c>
      <c r="F1194" s="2" t="s">
        <v>1406</v>
      </c>
      <c r="G1194" s="1">
        <v>1</v>
      </c>
      <c r="H1194" s="1" t="str">
        <f t="shared" ref="H1194:H1257" si="19">IF(OR(E1194&lt;&gt;1,G1194=""),"","k"&amp;A1194&amp;"_"&amp;G1194)</f>
        <v>k7280_1</v>
      </c>
      <c r="K1194" s="1">
        <f>IF(E1194=0,SUMPRODUCT(($A$2:$A$4734=A1194)*($B$2:$B$4734=B1194)*($D$2:$D$4734=D1194)*($E$2:$E$4734=0)),0)</f>
        <v>0</v>
      </c>
      <c r="L1194" s="1" t="str">
        <f>IF(E1194=0,SUMPRODUCT(MIN($K$2:$K$4734+((($A$2:$A$4734&lt;&gt;A1194)+($E$2:$E$4734&lt;&gt;0))&gt;0)*1000000)),"")</f>
        <v/>
      </c>
      <c r="M1194" s="1">
        <f>IF(AND(E1194=0,COUNTIFS($A$2:A1194,A1194,$E$2:E1194,0)=1),L1194,0)</f>
        <v>0</v>
      </c>
    </row>
    <row r="1195" spans="1:13" ht="15" customHeight="1">
      <c r="A1195" s="1">
        <v>7280</v>
      </c>
      <c r="B1195" s="1" t="s">
        <v>16</v>
      </c>
      <c r="C1195" s="2" t="s">
        <v>1370</v>
      </c>
      <c r="D1195" s="2" t="s">
        <v>1405</v>
      </c>
      <c r="E1195" s="1">
        <v>1</v>
      </c>
      <c r="F1195" s="2" t="s">
        <v>1407</v>
      </c>
      <c r="G1195" s="1">
        <v>2</v>
      </c>
      <c r="H1195" s="1" t="str">
        <f t="shared" si="19"/>
        <v>k7280_2</v>
      </c>
      <c r="K1195" s="1">
        <f>IF(E1195=0,SUMPRODUCT(($A$2:$A$4734=A1195)*($B$2:$B$4734=B1195)*($D$2:$D$4734=D1195)*($E$2:$E$4734=0)),0)</f>
        <v>0</v>
      </c>
      <c r="L1195" s="1" t="str">
        <f>IF(E1195=0,SUMPRODUCT(MIN($K$2:$K$4734+((($A$2:$A$4734&lt;&gt;A1195)+($E$2:$E$4734&lt;&gt;0))&gt;0)*1000000)),"")</f>
        <v/>
      </c>
      <c r="M1195" s="1">
        <f>IF(AND(E1195=0,COUNTIFS($A$2:A1195,A1195,$E$2:E1195,0)=1),L1195,0)</f>
        <v>0</v>
      </c>
    </row>
    <row r="1196" spans="1:13" ht="15" customHeight="1">
      <c r="A1196" s="1">
        <v>7280</v>
      </c>
      <c r="B1196" s="1" t="s">
        <v>16</v>
      </c>
      <c r="C1196" s="2" t="s">
        <v>1370</v>
      </c>
      <c r="D1196" s="2" t="s">
        <v>1405</v>
      </c>
      <c r="E1196" s="1">
        <v>1</v>
      </c>
      <c r="F1196" s="2" t="s">
        <v>1408</v>
      </c>
      <c r="G1196" s="1">
        <v>3</v>
      </c>
      <c r="H1196" s="1" t="str">
        <f t="shared" si="19"/>
        <v>k7280_3</v>
      </c>
      <c r="K1196" s="1">
        <f>IF(E1196=0,SUMPRODUCT(($A$2:$A$4734=A1196)*($B$2:$B$4734=B1196)*($D$2:$D$4734=D1196)*($E$2:$E$4734=0)),0)</f>
        <v>0</v>
      </c>
      <c r="L1196" s="1" t="str">
        <f>IF(E1196=0,SUMPRODUCT(MIN($K$2:$K$4734+((($A$2:$A$4734&lt;&gt;A1196)+($E$2:$E$4734&lt;&gt;0))&gt;0)*1000000)),"")</f>
        <v/>
      </c>
      <c r="M1196" s="1">
        <f>IF(AND(E1196=0,COUNTIFS($A$2:A1196,A1196,$E$2:E1196,0)=1),L1196,0)</f>
        <v>0</v>
      </c>
    </row>
    <row r="1197" spans="1:13" ht="15" customHeight="1">
      <c r="A1197" s="1">
        <v>7280</v>
      </c>
      <c r="B1197" s="1" t="s">
        <v>16</v>
      </c>
      <c r="C1197" s="2" t="s">
        <v>1370</v>
      </c>
      <c r="D1197" s="2" t="s">
        <v>1405</v>
      </c>
      <c r="E1197" s="1">
        <v>1</v>
      </c>
      <c r="F1197" s="2" t="s">
        <v>1409</v>
      </c>
      <c r="G1197" s="1">
        <v>4</v>
      </c>
      <c r="H1197" s="1" t="str">
        <f t="shared" si="19"/>
        <v>k7280_4</v>
      </c>
      <c r="K1197" s="1">
        <f>IF(E1197=0,SUMPRODUCT(($A$2:$A$4734=A1197)*($B$2:$B$4734=B1197)*($D$2:$D$4734=D1197)*($E$2:$E$4734=0)),0)</f>
        <v>0</v>
      </c>
      <c r="L1197" s="1" t="str">
        <f>IF(E1197=0,SUMPRODUCT(MIN($K$2:$K$4734+((($A$2:$A$4734&lt;&gt;A1197)+($E$2:$E$4734&lt;&gt;0))&gt;0)*1000000)),"")</f>
        <v/>
      </c>
      <c r="M1197" s="1">
        <f>IF(AND(E1197=0,COUNTIFS($A$2:A1197,A1197,$E$2:E1197,0)=1),L1197,0)</f>
        <v>0</v>
      </c>
    </row>
    <row r="1198" spans="1:13" ht="15" customHeight="1">
      <c r="A1198" s="1">
        <v>7281</v>
      </c>
      <c r="B1198" s="1" t="s">
        <v>16</v>
      </c>
      <c r="C1198" s="2" t="s">
        <v>1410</v>
      </c>
      <c r="D1198" s="2" t="s">
        <v>405</v>
      </c>
      <c r="E1198" s="1">
        <v>1</v>
      </c>
      <c r="F1198" s="2" t="s">
        <v>1411</v>
      </c>
      <c r="G1198" s="1">
        <v>1</v>
      </c>
      <c r="H1198" s="1" t="str">
        <f t="shared" si="19"/>
        <v>k7281_1</v>
      </c>
      <c r="K1198" s="1">
        <f>IF(E1198=0,SUMPRODUCT(($A$2:$A$4734=A1198)*($B$2:$B$4734=B1198)*($D$2:$D$4734=D1198)*($E$2:$E$4734=0)),0)</f>
        <v>0</v>
      </c>
      <c r="L1198" s="1" t="str">
        <f>IF(E1198=0,SUMPRODUCT(MIN($K$2:$K$4734+((($A$2:$A$4734&lt;&gt;A1198)+($E$2:$E$4734&lt;&gt;0))&gt;0)*1000000)),"")</f>
        <v/>
      </c>
      <c r="M1198" s="1">
        <f>IF(AND(E1198=0,COUNTIFS($A$2:A1198,A1198,$E$2:E1198,0)=1),L1198,0)</f>
        <v>0</v>
      </c>
    </row>
    <row r="1199" spans="1:13" ht="15" customHeight="1">
      <c r="A1199" s="1">
        <v>7281</v>
      </c>
      <c r="B1199" s="1" t="s">
        <v>16</v>
      </c>
      <c r="C1199" s="2" t="s">
        <v>1410</v>
      </c>
      <c r="D1199" s="2" t="s">
        <v>405</v>
      </c>
      <c r="E1199" s="1">
        <v>1</v>
      </c>
      <c r="F1199" s="2" t="s">
        <v>1412</v>
      </c>
      <c r="G1199" s="1">
        <v>2</v>
      </c>
      <c r="H1199" s="1" t="str">
        <f t="shared" si="19"/>
        <v>k7281_2</v>
      </c>
      <c r="K1199" s="1">
        <f>IF(E1199=0,SUMPRODUCT(($A$2:$A$4734=A1199)*($B$2:$B$4734=B1199)*($D$2:$D$4734=D1199)*($E$2:$E$4734=0)),0)</f>
        <v>0</v>
      </c>
      <c r="L1199" s="1" t="str">
        <f>IF(E1199=0,SUMPRODUCT(MIN($K$2:$K$4734+((($A$2:$A$4734&lt;&gt;A1199)+($E$2:$E$4734&lt;&gt;0))&gt;0)*1000000)),"")</f>
        <v/>
      </c>
      <c r="M1199" s="1">
        <f>IF(AND(E1199=0,COUNTIFS($A$2:A1199,A1199,$E$2:E1199,0)=1),L1199,0)</f>
        <v>0</v>
      </c>
    </row>
    <row r="1200" spans="1:13" ht="15" customHeight="1">
      <c r="A1200" s="1">
        <v>7281</v>
      </c>
      <c r="B1200" s="1" t="s">
        <v>16</v>
      </c>
      <c r="C1200" s="2" t="s">
        <v>1410</v>
      </c>
      <c r="D1200" s="2" t="s">
        <v>405</v>
      </c>
      <c r="E1200" s="1">
        <v>1</v>
      </c>
      <c r="F1200" s="2" t="s">
        <v>1413</v>
      </c>
      <c r="G1200" s="1">
        <v>3</v>
      </c>
      <c r="H1200" s="1" t="str">
        <f t="shared" si="19"/>
        <v>k7281_3</v>
      </c>
      <c r="K1200" s="1">
        <f>IF(E1200=0,SUMPRODUCT(($A$2:$A$4734=A1200)*($B$2:$B$4734=B1200)*($D$2:$D$4734=D1200)*($E$2:$E$4734=0)),0)</f>
        <v>0</v>
      </c>
      <c r="L1200" s="1" t="str">
        <f>IF(E1200=0,SUMPRODUCT(MIN($K$2:$K$4734+((($A$2:$A$4734&lt;&gt;A1200)+($E$2:$E$4734&lt;&gt;0))&gt;0)*1000000)),"")</f>
        <v/>
      </c>
      <c r="M1200" s="1">
        <f>IF(AND(E1200=0,COUNTIFS($A$2:A1200,A1200,$E$2:E1200,0)=1),L1200,0)</f>
        <v>0</v>
      </c>
    </row>
    <row r="1201" spans="1:13" ht="15" customHeight="1">
      <c r="A1201" s="1">
        <v>7281</v>
      </c>
      <c r="B1201" s="1" t="s">
        <v>16</v>
      </c>
      <c r="C1201" s="2" t="s">
        <v>1410</v>
      </c>
      <c r="D1201" s="2" t="s">
        <v>405</v>
      </c>
      <c r="E1201" s="1">
        <v>1</v>
      </c>
      <c r="F1201" s="2" t="s">
        <v>1414</v>
      </c>
      <c r="G1201" s="1">
        <v>4</v>
      </c>
      <c r="H1201" s="1" t="str">
        <f t="shared" si="19"/>
        <v>k7281_4</v>
      </c>
      <c r="K1201" s="1">
        <f>IF(E1201=0,SUMPRODUCT(($A$2:$A$4734=A1201)*($B$2:$B$4734=B1201)*($D$2:$D$4734=D1201)*($E$2:$E$4734=0)),0)</f>
        <v>0</v>
      </c>
      <c r="L1201" s="1" t="str">
        <f>IF(E1201=0,SUMPRODUCT(MIN($K$2:$K$4734+((($A$2:$A$4734&lt;&gt;A1201)+($E$2:$E$4734&lt;&gt;0))&gt;0)*1000000)),"")</f>
        <v/>
      </c>
      <c r="M1201" s="1">
        <f>IF(AND(E1201=0,COUNTIFS($A$2:A1201,A1201,$E$2:E1201,0)=1),L1201,0)</f>
        <v>0</v>
      </c>
    </row>
    <row r="1202" spans="1:13" ht="15" customHeight="1">
      <c r="A1202" s="1">
        <v>7281</v>
      </c>
      <c r="B1202" s="1" t="s">
        <v>69</v>
      </c>
      <c r="C1202" s="2" t="s">
        <v>1410</v>
      </c>
      <c r="D1202" s="2" t="s">
        <v>1415</v>
      </c>
      <c r="E1202" s="1">
        <v>1</v>
      </c>
      <c r="F1202" s="2" t="s">
        <v>1416</v>
      </c>
      <c r="G1202" s="1">
        <v>1</v>
      </c>
      <c r="H1202" s="1" t="str">
        <f t="shared" si="19"/>
        <v>k7281_1</v>
      </c>
      <c r="K1202" s="1">
        <f>IF(E1202=0,SUMPRODUCT(($A$2:$A$4734=A1202)*($B$2:$B$4734=B1202)*($D$2:$D$4734=D1202)*($E$2:$E$4734=0)),0)</f>
        <v>0</v>
      </c>
      <c r="L1202" s="1" t="str">
        <f>IF(E1202=0,SUMPRODUCT(MIN($K$2:$K$4734+((($A$2:$A$4734&lt;&gt;A1202)+($E$2:$E$4734&lt;&gt;0))&gt;0)*1000000)),"")</f>
        <v/>
      </c>
      <c r="M1202" s="1">
        <f>IF(AND(E1202=0,COUNTIFS($A$2:A1202,A1202,$E$2:E1202,0)=1),L1202,0)</f>
        <v>0</v>
      </c>
    </row>
    <row r="1203" spans="1:13" ht="15" customHeight="1">
      <c r="A1203" s="1">
        <v>7281</v>
      </c>
      <c r="B1203" s="1" t="s">
        <v>69</v>
      </c>
      <c r="C1203" s="2" t="s">
        <v>1410</v>
      </c>
      <c r="D1203" s="2" t="s">
        <v>1415</v>
      </c>
      <c r="E1203" s="1">
        <v>1</v>
      </c>
      <c r="F1203" s="2" t="s">
        <v>1417</v>
      </c>
      <c r="G1203" s="1">
        <v>2</v>
      </c>
      <c r="H1203" s="1" t="str">
        <f t="shared" si="19"/>
        <v>k7281_2</v>
      </c>
      <c r="K1203" s="1">
        <f>IF(E1203=0,SUMPRODUCT(($A$2:$A$4734=A1203)*($B$2:$B$4734=B1203)*($D$2:$D$4734=D1203)*($E$2:$E$4734=0)),0)</f>
        <v>0</v>
      </c>
      <c r="L1203" s="1" t="str">
        <f>IF(E1203=0,SUMPRODUCT(MIN($K$2:$K$4734+((($A$2:$A$4734&lt;&gt;A1203)+($E$2:$E$4734&lt;&gt;0))&gt;0)*1000000)),"")</f>
        <v/>
      </c>
      <c r="M1203" s="1">
        <f>IF(AND(E1203=0,COUNTIFS($A$2:A1203,A1203,$E$2:E1203,0)=1),L1203,0)</f>
        <v>0</v>
      </c>
    </row>
    <row r="1204" spans="1:13" ht="15" customHeight="1">
      <c r="A1204" s="1">
        <v>7281</v>
      </c>
      <c r="B1204" s="1" t="s">
        <v>69</v>
      </c>
      <c r="C1204" s="2" t="s">
        <v>1410</v>
      </c>
      <c r="D1204" s="2" t="s">
        <v>1415</v>
      </c>
      <c r="E1204" s="1">
        <v>1</v>
      </c>
      <c r="F1204" s="2" t="s">
        <v>1418</v>
      </c>
      <c r="G1204" s="1">
        <v>3</v>
      </c>
      <c r="H1204" s="1" t="str">
        <f t="shared" si="19"/>
        <v>k7281_3</v>
      </c>
      <c r="K1204" s="1">
        <f>IF(E1204=0,SUMPRODUCT(($A$2:$A$4734=A1204)*($B$2:$B$4734=B1204)*($D$2:$D$4734=D1204)*($E$2:$E$4734=0)),0)</f>
        <v>0</v>
      </c>
      <c r="L1204" s="1" t="str">
        <f>IF(E1204=0,SUMPRODUCT(MIN($K$2:$K$4734+((($A$2:$A$4734&lt;&gt;A1204)+($E$2:$E$4734&lt;&gt;0))&gt;0)*1000000)),"")</f>
        <v/>
      </c>
      <c r="M1204" s="1">
        <f>IF(AND(E1204=0,COUNTIFS($A$2:A1204,A1204,$E$2:E1204,0)=1),L1204,0)</f>
        <v>0</v>
      </c>
    </row>
    <row r="1205" spans="1:13" ht="15" customHeight="1">
      <c r="A1205" s="1">
        <v>7281</v>
      </c>
      <c r="B1205" s="1" t="s">
        <v>69</v>
      </c>
      <c r="C1205" s="2" t="s">
        <v>1410</v>
      </c>
      <c r="D1205" s="2" t="s">
        <v>1415</v>
      </c>
      <c r="E1205" s="1">
        <v>1</v>
      </c>
      <c r="F1205" s="2" t="s">
        <v>1419</v>
      </c>
      <c r="G1205" s="1">
        <v>4</v>
      </c>
      <c r="H1205" s="1" t="str">
        <f t="shared" si="19"/>
        <v>k7281_4</v>
      </c>
      <c r="K1205" s="1">
        <f>IF(E1205=0,SUMPRODUCT(($A$2:$A$4734=A1205)*($B$2:$B$4734=B1205)*($D$2:$D$4734=D1205)*($E$2:$E$4734=0)),0)</f>
        <v>0</v>
      </c>
      <c r="L1205" s="1" t="str">
        <f>IF(E1205=0,SUMPRODUCT(MIN($K$2:$K$4734+((($A$2:$A$4734&lt;&gt;A1205)+($E$2:$E$4734&lt;&gt;0))&gt;0)*1000000)),"")</f>
        <v/>
      </c>
      <c r="M1205" s="1">
        <f>IF(AND(E1205=0,COUNTIFS($A$2:A1205,A1205,$E$2:E1205,0)=1),L1205,0)</f>
        <v>0</v>
      </c>
    </row>
    <row r="1206" spans="1:13" ht="15" customHeight="1">
      <c r="A1206" s="1">
        <v>7281</v>
      </c>
      <c r="B1206" s="1" t="s">
        <v>9</v>
      </c>
      <c r="C1206" s="2" t="s">
        <v>1410</v>
      </c>
      <c r="D1206" s="2" t="s">
        <v>1420</v>
      </c>
      <c r="E1206" s="1">
        <v>1</v>
      </c>
      <c r="F1206" s="2" t="s">
        <v>1421</v>
      </c>
      <c r="G1206" s="1">
        <v>1</v>
      </c>
      <c r="H1206" s="1" t="str">
        <f t="shared" si="19"/>
        <v>k7281_1</v>
      </c>
      <c r="K1206" s="1">
        <f>IF(E1206=0,SUMPRODUCT(($A$2:$A$4734=A1206)*($B$2:$B$4734=B1206)*($D$2:$D$4734=D1206)*($E$2:$E$4734=0)),0)</f>
        <v>0</v>
      </c>
      <c r="L1206" s="1" t="str">
        <f>IF(E1206=0,SUMPRODUCT(MIN($K$2:$K$4734+((($A$2:$A$4734&lt;&gt;A1206)+($E$2:$E$4734&lt;&gt;0))&gt;0)*1000000)),"")</f>
        <v/>
      </c>
      <c r="M1206" s="1">
        <f>IF(AND(E1206=0,COUNTIFS($A$2:A1206,A1206,$E$2:E1206,0)=1),L1206,0)</f>
        <v>0</v>
      </c>
    </row>
    <row r="1207" spans="1:13" ht="15" customHeight="1">
      <c r="A1207" s="1">
        <v>7281</v>
      </c>
      <c r="B1207" s="1" t="s">
        <v>9</v>
      </c>
      <c r="C1207" s="2" t="s">
        <v>1410</v>
      </c>
      <c r="D1207" s="2" t="s">
        <v>1420</v>
      </c>
      <c r="E1207" s="1">
        <v>1</v>
      </c>
      <c r="F1207" s="2" t="s">
        <v>1422</v>
      </c>
      <c r="G1207" s="1">
        <v>2</v>
      </c>
      <c r="H1207" s="1" t="str">
        <f t="shared" si="19"/>
        <v>k7281_2</v>
      </c>
      <c r="K1207" s="1">
        <f>IF(E1207=0,SUMPRODUCT(($A$2:$A$4734=A1207)*($B$2:$B$4734=B1207)*($D$2:$D$4734=D1207)*($E$2:$E$4734=0)),0)</f>
        <v>0</v>
      </c>
      <c r="L1207" s="1" t="str">
        <f>IF(E1207=0,SUMPRODUCT(MIN($K$2:$K$4734+((($A$2:$A$4734&lt;&gt;A1207)+($E$2:$E$4734&lt;&gt;0))&gt;0)*1000000)),"")</f>
        <v/>
      </c>
      <c r="M1207" s="1">
        <f>IF(AND(E1207=0,COUNTIFS($A$2:A1207,A1207,$E$2:E1207,0)=1),L1207,0)</f>
        <v>0</v>
      </c>
    </row>
    <row r="1208" spans="1:13" ht="15" customHeight="1">
      <c r="A1208" s="1">
        <v>7281</v>
      </c>
      <c r="B1208" s="1" t="s">
        <v>9</v>
      </c>
      <c r="C1208" s="2" t="s">
        <v>1410</v>
      </c>
      <c r="D1208" s="2" t="s">
        <v>1420</v>
      </c>
      <c r="E1208" s="1">
        <v>1</v>
      </c>
      <c r="F1208" s="2" t="s">
        <v>1423</v>
      </c>
      <c r="G1208" s="1">
        <v>3</v>
      </c>
      <c r="H1208" s="1" t="str">
        <f t="shared" si="19"/>
        <v>k7281_3</v>
      </c>
      <c r="K1208" s="1">
        <f>IF(E1208=0,SUMPRODUCT(($A$2:$A$4734=A1208)*($B$2:$B$4734=B1208)*($D$2:$D$4734=D1208)*($E$2:$E$4734=0)),0)</f>
        <v>0</v>
      </c>
      <c r="L1208" s="1" t="str">
        <f>IF(E1208=0,SUMPRODUCT(MIN($K$2:$K$4734+((($A$2:$A$4734&lt;&gt;A1208)+($E$2:$E$4734&lt;&gt;0))&gt;0)*1000000)),"")</f>
        <v/>
      </c>
      <c r="M1208" s="1">
        <f>IF(AND(E1208=0,COUNTIFS($A$2:A1208,A1208,$E$2:E1208,0)=1),L1208,0)</f>
        <v>0</v>
      </c>
    </row>
    <row r="1209" spans="1:13" ht="15" customHeight="1">
      <c r="A1209" s="1">
        <v>7281</v>
      </c>
      <c r="B1209" s="1" t="s">
        <v>9</v>
      </c>
      <c r="C1209" s="2" t="s">
        <v>1410</v>
      </c>
      <c r="D1209" s="2" t="s">
        <v>1420</v>
      </c>
      <c r="E1209" s="1">
        <v>1</v>
      </c>
      <c r="F1209" s="2" t="s">
        <v>1424</v>
      </c>
      <c r="G1209" s="1">
        <v>4</v>
      </c>
      <c r="H1209" s="1" t="str">
        <f t="shared" si="19"/>
        <v>k7281_4</v>
      </c>
      <c r="K1209" s="1">
        <f>IF(E1209=0,SUMPRODUCT(($A$2:$A$4734=A1209)*($B$2:$B$4734=B1209)*($D$2:$D$4734=D1209)*($E$2:$E$4734=0)),0)</f>
        <v>0</v>
      </c>
      <c r="L1209" s="1" t="str">
        <f>IF(E1209=0,SUMPRODUCT(MIN($K$2:$K$4734+((($A$2:$A$4734&lt;&gt;A1209)+($E$2:$E$4734&lt;&gt;0))&gt;0)*1000000)),"")</f>
        <v/>
      </c>
      <c r="M1209" s="1">
        <f>IF(AND(E1209=0,COUNTIFS($A$2:A1209,A1209,$E$2:E1209,0)=1),L1209,0)</f>
        <v>0</v>
      </c>
    </row>
    <row r="1210" spans="1:13" ht="15" customHeight="1">
      <c r="A1210" s="1">
        <v>7282</v>
      </c>
      <c r="B1210" s="1" t="s">
        <v>16</v>
      </c>
      <c r="C1210" s="2" t="s">
        <v>1425</v>
      </c>
      <c r="D1210" s="2" t="s">
        <v>1426</v>
      </c>
      <c r="E1210" s="1">
        <v>1</v>
      </c>
      <c r="F1210" s="2" t="s">
        <v>1427</v>
      </c>
      <c r="G1210" s="1">
        <v>1</v>
      </c>
      <c r="H1210" s="1" t="str">
        <f t="shared" si="19"/>
        <v>k7282_1</v>
      </c>
      <c r="K1210" s="1">
        <f>IF(E1210=0,SUMPRODUCT(($A$2:$A$4734=A1210)*($B$2:$B$4734=B1210)*($D$2:$D$4734=D1210)*($E$2:$E$4734=0)),0)</f>
        <v>0</v>
      </c>
      <c r="L1210" s="1" t="str">
        <f>IF(E1210=0,SUMPRODUCT(MIN($K$2:$K$4734+((($A$2:$A$4734&lt;&gt;A1210)+($E$2:$E$4734&lt;&gt;0))&gt;0)*1000000)),"")</f>
        <v/>
      </c>
      <c r="M1210" s="1">
        <f>IF(AND(E1210=0,COUNTIFS($A$2:A1210,A1210,$E$2:E1210,0)=1),L1210,0)</f>
        <v>0</v>
      </c>
    </row>
    <row r="1211" spans="1:13" ht="15" customHeight="1">
      <c r="A1211" s="1">
        <v>7282</v>
      </c>
      <c r="B1211" s="1" t="s">
        <v>16</v>
      </c>
      <c r="C1211" s="2" t="s">
        <v>1425</v>
      </c>
      <c r="D1211" s="2" t="s">
        <v>1426</v>
      </c>
      <c r="E1211" s="1">
        <v>1</v>
      </c>
      <c r="F1211" s="2" t="s">
        <v>1428</v>
      </c>
      <c r="G1211" s="1">
        <v>2</v>
      </c>
      <c r="H1211" s="1" t="str">
        <f t="shared" si="19"/>
        <v>k7282_2</v>
      </c>
      <c r="K1211" s="1">
        <f>IF(E1211=0,SUMPRODUCT(($A$2:$A$4734=A1211)*($B$2:$B$4734=B1211)*($D$2:$D$4734=D1211)*($E$2:$E$4734=0)),0)</f>
        <v>0</v>
      </c>
      <c r="L1211" s="1" t="str">
        <f>IF(E1211=0,SUMPRODUCT(MIN($K$2:$K$4734+((($A$2:$A$4734&lt;&gt;A1211)+($E$2:$E$4734&lt;&gt;0))&gt;0)*1000000)),"")</f>
        <v/>
      </c>
      <c r="M1211" s="1">
        <f>IF(AND(E1211=0,COUNTIFS($A$2:A1211,A1211,$E$2:E1211,0)=1),L1211,0)</f>
        <v>0</v>
      </c>
    </row>
    <row r="1212" spans="1:13" ht="15" customHeight="1">
      <c r="A1212" s="1">
        <v>7282</v>
      </c>
      <c r="B1212" s="1" t="s">
        <v>16</v>
      </c>
      <c r="C1212" s="2" t="s">
        <v>1425</v>
      </c>
      <c r="D1212" s="2" t="s">
        <v>1426</v>
      </c>
      <c r="E1212" s="1">
        <v>1</v>
      </c>
      <c r="F1212" s="2" t="s">
        <v>1429</v>
      </c>
      <c r="G1212" s="1">
        <v>3</v>
      </c>
      <c r="H1212" s="1" t="str">
        <f t="shared" si="19"/>
        <v>k7282_3</v>
      </c>
      <c r="K1212" s="1">
        <f>IF(E1212=0,SUMPRODUCT(($A$2:$A$4734=A1212)*($B$2:$B$4734=B1212)*($D$2:$D$4734=D1212)*($E$2:$E$4734=0)),0)</f>
        <v>0</v>
      </c>
      <c r="L1212" s="1" t="str">
        <f>IF(E1212=0,SUMPRODUCT(MIN($K$2:$K$4734+((($A$2:$A$4734&lt;&gt;A1212)+($E$2:$E$4734&lt;&gt;0))&gt;0)*1000000)),"")</f>
        <v/>
      </c>
      <c r="M1212" s="1">
        <f>IF(AND(E1212=0,COUNTIFS($A$2:A1212,A1212,$E$2:E1212,0)=1),L1212,0)</f>
        <v>0</v>
      </c>
    </row>
    <row r="1213" spans="1:13" ht="15" customHeight="1">
      <c r="A1213" s="1">
        <v>7282</v>
      </c>
      <c r="B1213" s="1" t="s">
        <v>16</v>
      </c>
      <c r="C1213" s="2" t="s">
        <v>1425</v>
      </c>
      <c r="D1213" s="2" t="s">
        <v>1426</v>
      </c>
      <c r="E1213" s="1">
        <v>1</v>
      </c>
      <c r="F1213" s="2" t="s">
        <v>1430</v>
      </c>
      <c r="G1213" s="1">
        <v>4</v>
      </c>
      <c r="H1213" s="1" t="str">
        <f t="shared" si="19"/>
        <v>k7282_4</v>
      </c>
      <c r="K1213" s="1">
        <f>IF(E1213=0,SUMPRODUCT(($A$2:$A$4734=A1213)*($B$2:$B$4734=B1213)*($D$2:$D$4734=D1213)*($E$2:$E$4734=0)),0)</f>
        <v>0</v>
      </c>
      <c r="L1213" s="1" t="str">
        <f>IF(E1213=0,SUMPRODUCT(MIN($K$2:$K$4734+((($A$2:$A$4734&lt;&gt;A1213)+($E$2:$E$4734&lt;&gt;0))&gt;0)*1000000)),"")</f>
        <v/>
      </c>
      <c r="M1213" s="1">
        <f>IF(AND(E1213=0,COUNTIFS($A$2:A1213,A1213,$E$2:E1213,0)=1),L1213,0)</f>
        <v>0</v>
      </c>
    </row>
    <row r="1214" spans="1:13" ht="15" customHeight="1">
      <c r="A1214" s="1">
        <v>7282</v>
      </c>
      <c r="B1214" s="1" t="s">
        <v>9</v>
      </c>
      <c r="C1214" s="2" t="s">
        <v>1425</v>
      </c>
      <c r="D1214" s="2" t="s">
        <v>1431</v>
      </c>
      <c r="E1214" s="1">
        <v>1</v>
      </c>
      <c r="F1214" s="2" t="s">
        <v>1432</v>
      </c>
      <c r="G1214" s="1">
        <v>1</v>
      </c>
      <c r="H1214" s="1" t="str">
        <f t="shared" si="19"/>
        <v>k7282_1</v>
      </c>
      <c r="K1214" s="1">
        <f>IF(E1214=0,SUMPRODUCT(($A$2:$A$4734=A1214)*($B$2:$B$4734=B1214)*($D$2:$D$4734=D1214)*($E$2:$E$4734=0)),0)</f>
        <v>0</v>
      </c>
      <c r="L1214" s="1" t="str">
        <f>IF(E1214=0,SUMPRODUCT(MIN($K$2:$K$4734+((($A$2:$A$4734&lt;&gt;A1214)+($E$2:$E$4734&lt;&gt;0))&gt;0)*1000000)),"")</f>
        <v/>
      </c>
      <c r="M1214" s="1">
        <f>IF(AND(E1214=0,COUNTIFS($A$2:A1214,A1214,$E$2:E1214,0)=1),L1214,0)</f>
        <v>0</v>
      </c>
    </row>
    <row r="1215" spans="1:13" ht="15" customHeight="1">
      <c r="A1215" s="1">
        <v>7282</v>
      </c>
      <c r="B1215" s="1" t="s">
        <v>9</v>
      </c>
      <c r="C1215" s="2" t="s">
        <v>1425</v>
      </c>
      <c r="D1215" s="2" t="s">
        <v>1431</v>
      </c>
      <c r="E1215" s="1">
        <v>1</v>
      </c>
      <c r="F1215" s="2" t="s">
        <v>1433</v>
      </c>
      <c r="G1215" s="1">
        <v>2</v>
      </c>
      <c r="H1215" s="1" t="str">
        <f t="shared" si="19"/>
        <v>k7282_2</v>
      </c>
      <c r="K1215" s="1">
        <f>IF(E1215=0,SUMPRODUCT(($A$2:$A$4734=A1215)*($B$2:$B$4734=B1215)*($D$2:$D$4734=D1215)*($E$2:$E$4734=0)),0)</f>
        <v>0</v>
      </c>
      <c r="L1215" s="1" t="str">
        <f>IF(E1215=0,SUMPRODUCT(MIN($K$2:$K$4734+((($A$2:$A$4734&lt;&gt;A1215)+($E$2:$E$4734&lt;&gt;0))&gt;0)*1000000)),"")</f>
        <v/>
      </c>
      <c r="M1215" s="1">
        <f>IF(AND(E1215=0,COUNTIFS($A$2:A1215,A1215,$E$2:E1215,0)=1),L1215,0)</f>
        <v>0</v>
      </c>
    </row>
    <row r="1216" spans="1:13" ht="15" customHeight="1">
      <c r="A1216" s="1">
        <v>7282</v>
      </c>
      <c r="B1216" s="1" t="s">
        <v>9</v>
      </c>
      <c r="C1216" s="2" t="s">
        <v>1425</v>
      </c>
      <c r="D1216" s="2" t="s">
        <v>1431</v>
      </c>
      <c r="E1216" s="1">
        <v>1</v>
      </c>
      <c r="F1216" s="2" t="s">
        <v>1434</v>
      </c>
      <c r="G1216" s="1">
        <v>3</v>
      </c>
      <c r="H1216" s="1" t="str">
        <f t="shared" si="19"/>
        <v>k7282_3</v>
      </c>
      <c r="K1216" s="1">
        <f>IF(E1216=0,SUMPRODUCT(($A$2:$A$4734=A1216)*($B$2:$B$4734=B1216)*($D$2:$D$4734=D1216)*($E$2:$E$4734=0)),0)</f>
        <v>0</v>
      </c>
      <c r="L1216" s="1" t="str">
        <f>IF(E1216=0,SUMPRODUCT(MIN($K$2:$K$4734+((($A$2:$A$4734&lt;&gt;A1216)+($E$2:$E$4734&lt;&gt;0))&gt;0)*1000000)),"")</f>
        <v/>
      </c>
      <c r="M1216" s="1">
        <f>IF(AND(E1216=0,COUNTIFS($A$2:A1216,A1216,$E$2:E1216,0)=1),L1216,0)</f>
        <v>0</v>
      </c>
    </row>
    <row r="1217" spans="1:13" ht="15" customHeight="1">
      <c r="A1217" s="1">
        <v>7282</v>
      </c>
      <c r="B1217" s="1" t="s">
        <v>9</v>
      </c>
      <c r="C1217" s="2" t="s">
        <v>1425</v>
      </c>
      <c r="D1217" s="2" t="s">
        <v>1431</v>
      </c>
      <c r="E1217" s="1">
        <v>1</v>
      </c>
      <c r="F1217" s="2" t="s">
        <v>1435</v>
      </c>
      <c r="G1217" s="1">
        <v>4</v>
      </c>
      <c r="H1217" s="1" t="str">
        <f t="shared" si="19"/>
        <v>k7282_4</v>
      </c>
      <c r="K1217" s="1">
        <f>IF(E1217=0,SUMPRODUCT(($A$2:$A$4734=A1217)*($B$2:$B$4734=B1217)*($D$2:$D$4734=D1217)*($E$2:$E$4734=0)),0)</f>
        <v>0</v>
      </c>
      <c r="L1217" s="1" t="str">
        <f>IF(E1217=0,SUMPRODUCT(MIN($K$2:$K$4734+((($A$2:$A$4734&lt;&gt;A1217)+($E$2:$E$4734&lt;&gt;0))&gt;0)*1000000)),"")</f>
        <v/>
      </c>
      <c r="M1217" s="1">
        <f>IF(AND(E1217=0,COUNTIFS($A$2:A1217,A1217,$E$2:E1217,0)=1),L1217,0)</f>
        <v>0</v>
      </c>
    </row>
    <row r="1218" spans="1:13" ht="15" customHeight="1">
      <c r="A1218" s="1">
        <v>7282</v>
      </c>
      <c r="B1218" s="1" t="s">
        <v>9</v>
      </c>
      <c r="C1218" s="2" t="s">
        <v>1425</v>
      </c>
      <c r="D1218" s="2" t="s">
        <v>1436</v>
      </c>
      <c r="E1218" s="1">
        <v>1</v>
      </c>
      <c r="F1218" s="2" t="s">
        <v>1437</v>
      </c>
      <c r="G1218" s="1">
        <v>1</v>
      </c>
      <c r="H1218" s="1" t="str">
        <f t="shared" si="19"/>
        <v>k7282_1</v>
      </c>
      <c r="K1218" s="1">
        <f>IF(E1218=0,SUMPRODUCT(($A$2:$A$4734=A1218)*($B$2:$B$4734=B1218)*($D$2:$D$4734=D1218)*($E$2:$E$4734=0)),0)</f>
        <v>0</v>
      </c>
      <c r="L1218" s="1" t="str">
        <f>IF(E1218=0,SUMPRODUCT(MIN($K$2:$K$4734+((($A$2:$A$4734&lt;&gt;A1218)+($E$2:$E$4734&lt;&gt;0))&gt;0)*1000000)),"")</f>
        <v/>
      </c>
      <c r="M1218" s="1">
        <f>IF(AND(E1218=0,COUNTIFS($A$2:A1218,A1218,$E$2:E1218,0)=1),L1218,0)</f>
        <v>0</v>
      </c>
    </row>
    <row r="1219" spans="1:13" ht="15" customHeight="1">
      <c r="A1219" s="1">
        <v>7282</v>
      </c>
      <c r="B1219" s="1" t="s">
        <v>9</v>
      </c>
      <c r="C1219" s="2" t="s">
        <v>1425</v>
      </c>
      <c r="D1219" s="2" t="s">
        <v>1436</v>
      </c>
      <c r="E1219" s="1">
        <v>1</v>
      </c>
      <c r="F1219" s="2" t="s">
        <v>1438</v>
      </c>
      <c r="G1219" s="1">
        <v>2</v>
      </c>
      <c r="H1219" s="1" t="str">
        <f t="shared" si="19"/>
        <v>k7282_2</v>
      </c>
      <c r="K1219" s="1">
        <f>IF(E1219=0,SUMPRODUCT(($A$2:$A$4734=A1219)*($B$2:$B$4734=B1219)*($D$2:$D$4734=D1219)*($E$2:$E$4734=0)),0)</f>
        <v>0</v>
      </c>
      <c r="L1219" s="1" t="str">
        <f>IF(E1219=0,SUMPRODUCT(MIN($K$2:$K$4734+((($A$2:$A$4734&lt;&gt;A1219)+($E$2:$E$4734&lt;&gt;0))&gt;0)*1000000)),"")</f>
        <v/>
      </c>
      <c r="M1219" s="1">
        <f>IF(AND(E1219=0,COUNTIFS($A$2:A1219,A1219,$E$2:E1219,0)=1),L1219,0)</f>
        <v>0</v>
      </c>
    </row>
    <row r="1220" spans="1:13" ht="15" customHeight="1">
      <c r="A1220" s="1">
        <v>7282</v>
      </c>
      <c r="B1220" s="1" t="s">
        <v>9</v>
      </c>
      <c r="C1220" s="2" t="s">
        <v>1425</v>
      </c>
      <c r="D1220" s="2" t="s">
        <v>1436</v>
      </c>
      <c r="E1220" s="1">
        <v>1</v>
      </c>
      <c r="F1220" s="2" t="s">
        <v>1439</v>
      </c>
      <c r="G1220" s="1">
        <v>3</v>
      </c>
      <c r="H1220" s="1" t="str">
        <f t="shared" si="19"/>
        <v>k7282_3</v>
      </c>
      <c r="K1220" s="1">
        <f>IF(E1220=0,SUMPRODUCT(($A$2:$A$4734=A1220)*($B$2:$B$4734=B1220)*($D$2:$D$4734=D1220)*($E$2:$E$4734=0)),0)</f>
        <v>0</v>
      </c>
      <c r="L1220" s="1" t="str">
        <f>IF(E1220=0,SUMPRODUCT(MIN($K$2:$K$4734+((($A$2:$A$4734&lt;&gt;A1220)+($E$2:$E$4734&lt;&gt;0))&gt;0)*1000000)),"")</f>
        <v/>
      </c>
      <c r="M1220" s="1">
        <f>IF(AND(E1220=0,COUNTIFS($A$2:A1220,A1220,$E$2:E1220,0)=1),L1220,0)</f>
        <v>0</v>
      </c>
    </row>
    <row r="1221" spans="1:13" ht="15" customHeight="1">
      <c r="A1221" s="1">
        <v>7282</v>
      </c>
      <c r="B1221" s="1" t="s">
        <v>9</v>
      </c>
      <c r="C1221" s="2" t="s">
        <v>1425</v>
      </c>
      <c r="D1221" s="2" t="s">
        <v>1436</v>
      </c>
      <c r="E1221" s="1">
        <v>1</v>
      </c>
      <c r="F1221" s="2" t="s">
        <v>1440</v>
      </c>
      <c r="G1221" s="1">
        <v>4</v>
      </c>
      <c r="H1221" s="1" t="str">
        <f t="shared" si="19"/>
        <v>k7282_4</v>
      </c>
      <c r="K1221" s="1">
        <f>IF(E1221=0,SUMPRODUCT(($A$2:$A$4734=A1221)*($B$2:$B$4734=B1221)*($D$2:$D$4734=D1221)*($E$2:$E$4734=0)),0)</f>
        <v>0</v>
      </c>
      <c r="L1221" s="1" t="str">
        <f>IF(E1221=0,SUMPRODUCT(MIN($K$2:$K$4734+((($A$2:$A$4734&lt;&gt;A1221)+($E$2:$E$4734&lt;&gt;0))&gt;0)*1000000)),"")</f>
        <v/>
      </c>
      <c r="M1221" s="1">
        <f>IF(AND(E1221=0,COUNTIFS($A$2:A1221,A1221,$E$2:E1221,0)=1),L1221,0)</f>
        <v>0</v>
      </c>
    </row>
    <row r="1222" spans="1:13" ht="15" customHeight="1">
      <c r="A1222" s="1">
        <v>7282</v>
      </c>
      <c r="B1222" s="1" t="s">
        <v>69</v>
      </c>
      <c r="C1222" s="2" t="s">
        <v>1425</v>
      </c>
      <c r="D1222" s="2" t="s">
        <v>1425</v>
      </c>
      <c r="E1222" s="1">
        <v>1</v>
      </c>
      <c r="F1222" s="2" t="s">
        <v>1441</v>
      </c>
      <c r="G1222" s="1">
        <v>1</v>
      </c>
      <c r="H1222" s="1" t="str">
        <f t="shared" si="19"/>
        <v>k7282_1</v>
      </c>
      <c r="K1222" s="1">
        <f>IF(E1222=0,SUMPRODUCT(($A$2:$A$4734=A1222)*($B$2:$B$4734=B1222)*($D$2:$D$4734=D1222)*($E$2:$E$4734=0)),0)</f>
        <v>0</v>
      </c>
      <c r="L1222" s="1" t="str">
        <f>IF(E1222=0,SUMPRODUCT(MIN($K$2:$K$4734+((($A$2:$A$4734&lt;&gt;A1222)+($E$2:$E$4734&lt;&gt;0))&gt;0)*1000000)),"")</f>
        <v/>
      </c>
      <c r="M1222" s="1">
        <f>IF(AND(E1222=0,COUNTIFS($A$2:A1222,A1222,$E$2:E1222,0)=1),L1222,0)</f>
        <v>0</v>
      </c>
    </row>
    <row r="1223" spans="1:13" ht="15" customHeight="1">
      <c r="A1223" s="1">
        <v>7282</v>
      </c>
      <c r="B1223" s="1" t="s">
        <v>69</v>
      </c>
      <c r="C1223" s="2" t="s">
        <v>1425</v>
      </c>
      <c r="D1223" s="2" t="s">
        <v>1425</v>
      </c>
      <c r="E1223" s="1">
        <v>1</v>
      </c>
      <c r="F1223" s="2" t="s">
        <v>1442</v>
      </c>
      <c r="G1223" s="1">
        <v>2</v>
      </c>
      <c r="H1223" s="1" t="str">
        <f t="shared" si="19"/>
        <v>k7282_2</v>
      </c>
      <c r="K1223" s="1">
        <f>IF(E1223=0,SUMPRODUCT(($A$2:$A$4734=A1223)*($B$2:$B$4734=B1223)*($D$2:$D$4734=D1223)*($E$2:$E$4734=0)),0)</f>
        <v>0</v>
      </c>
      <c r="L1223" s="1" t="str">
        <f>IF(E1223=0,SUMPRODUCT(MIN($K$2:$K$4734+((($A$2:$A$4734&lt;&gt;A1223)+($E$2:$E$4734&lt;&gt;0))&gt;0)*1000000)),"")</f>
        <v/>
      </c>
      <c r="M1223" s="1">
        <f>IF(AND(E1223=0,COUNTIFS($A$2:A1223,A1223,$E$2:E1223,0)=1),L1223,0)</f>
        <v>0</v>
      </c>
    </row>
    <row r="1224" spans="1:13" ht="15" customHeight="1">
      <c r="A1224" s="1">
        <v>7282</v>
      </c>
      <c r="B1224" s="1" t="s">
        <v>69</v>
      </c>
      <c r="C1224" s="2" t="s">
        <v>1425</v>
      </c>
      <c r="D1224" s="2" t="s">
        <v>1425</v>
      </c>
      <c r="E1224" s="1">
        <v>1</v>
      </c>
      <c r="F1224" s="2" t="s">
        <v>1443</v>
      </c>
      <c r="G1224" s="1">
        <v>3</v>
      </c>
      <c r="H1224" s="1" t="str">
        <f t="shared" si="19"/>
        <v>k7282_3</v>
      </c>
      <c r="K1224" s="1">
        <f>IF(E1224=0,SUMPRODUCT(($A$2:$A$4734=A1224)*($B$2:$B$4734=B1224)*($D$2:$D$4734=D1224)*($E$2:$E$4734=0)),0)</f>
        <v>0</v>
      </c>
      <c r="L1224" s="1" t="str">
        <f>IF(E1224=0,SUMPRODUCT(MIN($K$2:$K$4734+((($A$2:$A$4734&lt;&gt;A1224)+($E$2:$E$4734&lt;&gt;0))&gt;0)*1000000)),"")</f>
        <v/>
      </c>
      <c r="M1224" s="1">
        <f>IF(AND(E1224=0,COUNTIFS($A$2:A1224,A1224,$E$2:E1224,0)=1),L1224,0)</f>
        <v>0</v>
      </c>
    </row>
    <row r="1225" spans="1:13" ht="15" customHeight="1">
      <c r="A1225" s="1">
        <v>7282</v>
      </c>
      <c r="B1225" s="1" t="s">
        <v>69</v>
      </c>
      <c r="C1225" s="2" t="s">
        <v>1425</v>
      </c>
      <c r="D1225" s="2" t="s">
        <v>1425</v>
      </c>
      <c r="E1225" s="1">
        <v>1</v>
      </c>
      <c r="F1225" s="2" t="s">
        <v>1444</v>
      </c>
      <c r="G1225" s="1">
        <v>4</v>
      </c>
      <c r="H1225" s="1" t="str">
        <f t="shared" si="19"/>
        <v>k7282_4</v>
      </c>
      <c r="K1225" s="1">
        <f>IF(E1225=0,SUMPRODUCT(($A$2:$A$4734=A1225)*($B$2:$B$4734=B1225)*($D$2:$D$4734=D1225)*($E$2:$E$4734=0)),0)</f>
        <v>0</v>
      </c>
      <c r="L1225" s="1" t="str">
        <f>IF(E1225=0,SUMPRODUCT(MIN($K$2:$K$4734+((($A$2:$A$4734&lt;&gt;A1225)+($E$2:$E$4734&lt;&gt;0))&gt;0)*1000000)),"")</f>
        <v/>
      </c>
      <c r="M1225" s="1">
        <f>IF(AND(E1225=0,COUNTIFS($A$2:A1225,A1225,$E$2:E1225,0)=1),L1225,0)</f>
        <v>0</v>
      </c>
    </row>
    <row r="1226" spans="1:13" ht="15" customHeight="1">
      <c r="A1226" s="1">
        <v>7283</v>
      </c>
      <c r="B1226" s="1" t="s">
        <v>144</v>
      </c>
      <c r="C1226" s="2" t="s">
        <v>1445</v>
      </c>
      <c r="D1226" s="2" t="s">
        <v>1445</v>
      </c>
      <c r="E1226" s="1">
        <v>1</v>
      </c>
      <c r="F1226" s="2" t="s">
        <v>1446</v>
      </c>
      <c r="G1226" s="1">
        <v>1</v>
      </c>
      <c r="H1226" s="1" t="str">
        <f t="shared" si="19"/>
        <v>k7283_1</v>
      </c>
      <c r="K1226" s="1">
        <f>IF(E1226=0,SUMPRODUCT(($A$2:$A$4734=A1226)*($B$2:$B$4734=B1226)*($D$2:$D$4734=D1226)*($E$2:$E$4734=0)),0)</f>
        <v>0</v>
      </c>
      <c r="L1226" s="1" t="str">
        <f>IF(E1226=0,SUMPRODUCT(MIN($K$2:$K$4734+((($A$2:$A$4734&lt;&gt;A1226)+($E$2:$E$4734&lt;&gt;0))&gt;0)*1000000)),"")</f>
        <v/>
      </c>
      <c r="M1226" s="1">
        <f>IF(AND(E1226=0,COUNTIFS($A$2:A1226,A1226,$E$2:E1226,0)=1),L1226,0)</f>
        <v>0</v>
      </c>
    </row>
    <row r="1227" spans="1:13" ht="15" customHeight="1">
      <c r="A1227" s="1">
        <v>7283</v>
      </c>
      <c r="B1227" s="1" t="s">
        <v>144</v>
      </c>
      <c r="C1227" s="2" t="s">
        <v>1445</v>
      </c>
      <c r="D1227" s="2" t="s">
        <v>1445</v>
      </c>
      <c r="E1227" s="1">
        <v>1</v>
      </c>
      <c r="F1227" s="2" t="s">
        <v>1447</v>
      </c>
      <c r="G1227" s="1">
        <v>2</v>
      </c>
      <c r="H1227" s="1" t="str">
        <f t="shared" si="19"/>
        <v>k7283_2</v>
      </c>
      <c r="K1227" s="1">
        <f>IF(E1227=0,SUMPRODUCT(($A$2:$A$4734=A1227)*($B$2:$B$4734=B1227)*($D$2:$D$4734=D1227)*($E$2:$E$4734=0)),0)</f>
        <v>0</v>
      </c>
      <c r="L1227" s="1" t="str">
        <f>IF(E1227=0,SUMPRODUCT(MIN($K$2:$K$4734+((($A$2:$A$4734&lt;&gt;A1227)+($E$2:$E$4734&lt;&gt;0))&gt;0)*1000000)),"")</f>
        <v/>
      </c>
      <c r="M1227" s="1">
        <f>IF(AND(E1227=0,COUNTIFS($A$2:A1227,A1227,$E$2:E1227,0)=1),L1227,0)</f>
        <v>0</v>
      </c>
    </row>
    <row r="1228" spans="1:13" ht="15" customHeight="1">
      <c r="A1228" s="1">
        <v>7283</v>
      </c>
      <c r="B1228" s="1" t="s">
        <v>144</v>
      </c>
      <c r="C1228" s="2" t="s">
        <v>1445</v>
      </c>
      <c r="D1228" s="2" t="s">
        <v>1445</v>
      </c>
      <c r="E1228" s="1">
        <v>1</v>
      </c>
      <c r="F1228" s="2" t="s">
        <v>1448</v>
      </c>
      <c r="G1228" s="1">
        <v>3</v>
      </c>
      <c r="H1228" s="1" t="str">
        <f t="shared" si="19"/>
        <v>k7283_3</v>
      </c>
      <c r="K1228" s="1">
        <f>IF(E1228=0,SUMPRODUCT(($A$2:$A$4734=A1228)*($B$2:$B$4734=B1228)*($D$2:$D$4734=D1228)*($E$2:$E$4734=0)),0)</f>
        <v>0</v>
      </c>
      <c r="L1228" s="1" t="str">
        <f>IF(E1228=0,SUMPRODUCT(MIN($K$2:$K$4734+((($A$2:$A$4734&lt;&gt;A1228)+($E$2:$E$4734&lt;&gt;0))&gt;0)*1000000)),"")</f>
        <v/>
      </c>
      <c r="M1228" s="1">
        <f>IF(AND(E1228=0,COUNTIFS($A$2:A1228,A1228,$E$2:E1228,0)=1),L1228,0)</f>
        <v>0</v>
      </c>
    </row>
    <row r="1229" spans="1:13" ht="15" customHeight="1">
      <c r="A1229" s="1">
        <v>7284</v>
      </c>
      <c r="B1229" s="1" t="s">
        <v>69</v>
      </c>
      <c r="C1229" s="2" t="s">
        <v>1449</v>
      </c>
      <c r="D1229" s="2" t="s">
        <v>1450</v>
      </c>
      <c r="E1229" s="1">
        <v>1</v>
      </c>
      <c r="F1229" s="2" t="s">
        <v>1451</v>
      </c>
      <c r="G1229" s="1">
        <v>1</v>
      </c>
      <c r="H1229" s="1" t="str">
        <f t="shared" si="19"/>
        <v>k7284_1</v>
      </c>
      <c r="K1229" s="1">
        <f>IF(E1229=0,SUMPRODUCT(($A$2:$A$4734=A1229)*($B$2:$B$4734=B1229)*($D$2:$D$4734=D1229)*($E$2:$E$4734=0)),0)</f>
        <v>0</v>
      </c>
      <c r="L1229" s="1" t="str">
        <f>IF(E1229=0,SUMPRODUCT(MIN($K$2:$K$4734+((($A$2:$A$4734&lt;&gt;A1229)+($E$2:$E$4734&lt;&gt;0))&gt;0)*1000000)),"")</f>
        <v/>
      </c>
      <c r="M1229" s="1">
        <f>IF(AND(E1229=0,COUNTIFS($A$2:A1229,A1229,$E$2:E1229,0)=1),L1229,0)</f>
        <v>0</v>
      </c>
    </row>
    <row r="1230" spans="1:13" ht="15" customHeight="1">
      <c r="A1230" s="1">
        <v>7284</v>
      </c>
      <c r="B1230" s="1" t="s">
        <v>69</v>
      </c>
      <c r="C1230" s="2" t="s">
        <v>1449</v>
      </c>
      <c r="D1230" s="2" t="s">
        <v>1450</v>
      </c>
      <c r="E1230" s="1">
        <v>1</v>
      </c>
      <c r="F1230" s="2" t="s">
        <v>1452</v>
      </c>
      <c r="G1230" s="1">
        <v>2</v>
      </c>
      <c r="H1230" s="1" t="str">
        <f t="shared" si="19"/>
        <v>k7284_2</v>
      </c>
      <c r="K1230" s="1">
        <f>IF(E1230=0,SUMPRODUCT(($A$2:$A$4734=A1230)*($B$2:$B$4734=B1230)*($D$2:$D$4734=D1230)*($E$2:$E$4734=0)),0)</f>
        <v>0</v>
      </c>
      <c r="L1230" s="1" t="str">
        <f>IF(E1230=0,SUMPRODUCT(MIN($K$2:$K$4734+((($A$2:$A$4734&lt;&gt;A1230)+($E$2:$E$4734&lt;&gt;0))&gt;0)*1000000)),"")</f>
        <v/>
      </c>
      <c r="M1230" s="1">
        <f>IF(AND(E1230=0,COUNTIFS($A$2:A1230,A1230,$E$2:E1230,0)=1),L1230,0)</f>
        <v>0</v>
      </c>
    </row>
    <row r="1231" spans="1:13" ht="15" customHeight="1">
      <c r="A1231" s="1">
        <v>7284</v>
      </c>
      <c r="B1231" s="1" t="s">
        <v>69</v>
      </c>
      <c r="C1231" s="2" t="s">
        <v>1449</v>
      </c>
      <c r="D1231" s="2" t="s">
        <v>1450</v>
      </c>
      <c r="E1231" s="1">
        <v>1</v>
      </c>
      <c r="F1231" s="2" t="s">
        <v>1453</v>
      </c>
      <c r="G1231" s="1">
        <v>3</v>
      </c>
      <c r="H1231" s="1" t="str">
        <f t="shared" si="19"/>
        <v>k7284_3</v>
      </c>
      <c r="K1231" s="1">
        <f>IF(E1231=0,SUMPRODUCT(($A$2:$A$4734=A1231)*($B$2:$B$4734=B1231)*($D$2:$D$4734=D1231)*($E$2:$E$4734=0)),0)</f>
        <v>0</v>
      </c>
      <c r="L1231" s="1" t="str">
        <f>IF(E1231=0,SUMPRODUCT(MIN($K$2:$K$4734+((($A$2:$A$4734&lt;&gt;A1231)+($E$2:$E$4734&lt;&gt;0))&gt;0)*1000000)),"")</f>
        <v/>
      </c>
      <c r="M1231" s="1">
        <f>IF(AND(E1231=0,COUNTIFS($A$2:A1231,A1231,$E$2:E1231,0)=1),L1231,0)</f>
        <v>0</v>
      </c>
    </row>
    <row r="1232" spans="1:13" ht="15" customHeight="1">
      <c r="A1232" s="1">
        <v>7284</v>
      </c>
      <c r="B1232" s="1" t="s">
        <v>69</v>
      </c>
      <c r="C1232" s="2" t="s">
        <v>1449</v>
      </c>
      <c r="D1232" s="2" t="s">
        <v>1450</v>
      </c>
      <c r="E1232" s="1">
        <v>1</v>
      </c>
      <c r="F1232" s="2" t="s">
        <v>1454</v>
      </c>
      <c r="G1232" s="1">
        <v>4</v>
      </c>
      <c r="H1232" s="1" t="str">
        <f t="shared" si="19"/>
        <v>k7284_4</v>
      </c>
      <c r="K1232" s="1">
        <f>IF(E1232=0,SUMPRODUCT(($A$2:$A$4734=A1232)*($B$2:$B$4734=B1232)*($D$2:$D$4734=D1232)*($E$2:$E$4734=0)),0)</f>
        <v>0</v>
      </c>
      <c r="L1232" s="1" t="str">
        <f>IF(E1232=0,SUMPRODUCT(MIN($K$2:$K$4734+((($A$2:$A$4734&lt;&gt;A1232)+($E$2:$E$4734&lt;&gt;0))&gt;0)*1000000)),"")</f>
        <v/>
      </c>
      <c r="M1232" s="1">
        <f>IF(AND(E1232=0,COUNTIFS($A$2:A1232,A1232,$E$2:E1232,0)=1),L1232,0)</f>
        <v>0</v>
      </c>
    </row>
    <row r="1233" spans="1:13" ht="15" customHeight="1">
      <c r="A1233" s="1">
        <v>7285</v>
      </c>
      <c r="B1233" s="1" t="s">
        <v>9</v>
      </c>
      <c r="C1233" s="2" t="s">
        <v>1455</v>
      </c>
      <c r="D1233" s="2" t="s">
        <v>1456</v>
      </c>
      <c r="E1233" s="1">
        <v>1</v>
      </c>
      <c r="F1233" s="2" t="s">
        <v>1457</v>
      </c>
      <c r="G1233" s="1">
        <v>1</v>
      </c>
      <c r="H1233" s="1" t="str">
        <f t="shared" si="19"/>
        <v>k7285_1</v>
      </c>
      <c r="K1233" s="1">
        <f>IF(E1233=0,SUMPRODUCT(($A$2:$A$4734=A1233)*($B$2:$B$4734=B1233)*($D$2:$D$4734=D1233)*($E$2:$E$4734=0)),0)</f>
        <v>0</v>
      </c>
      <c r="L1233" s="1" t="str">
        <f>IF(E1233=0,SUMPRODUCT(MIN($K$2:$K$4734+((($A$2:$A$4734&lt;&gt;A1233)+($E$2:$E$4734&lt;&gt;0))&gt;0)*1000000)),"")</f>
        <v/>
      </c>
      <c r="M1233" s="1">
        <f>IF(AND(E1233=0,COUNTIFS($A$2:A1233,A1233,$E$2:E1233,0)=1),L1233,0)</f>
        <v>0</v>
      </c>
    </row>
    <row r="1234" spans="1:13" ht="15" customHeight="1">
      <c r="A1234" s="1">
        <v>7285</v>
      </c>
      <c r="B1234" s="1" t="s">
        <v>9</v>
      </c>
      <c r="C1234" s="2" t="s">
        <v>1455</v>
      </c>
      <c r="D1234" s="2" t="s">
        <v>1456</v>
      </c>
      <c r="E1234" s="1">
        <v>1</v>
      </c>
      <c r="F1234" s="2" t="s">
        <v>1458</v>
      </c>
      <c r="G1234" s="1">
        <v>2</v>
      </c>
      <c r="H1234" s="1" t="str">
        <f t="shared" si="19"/>
        <v>k7285_2</v>
      </c>
      <c r="K1234" s="1">
        <f>IF(E1234=0,SUMPRODUCT(($A$2:$A$4734=A1234)*($B$2:$B$4734=B1234)*($D$2:$D$4734=D1234)*($E$2:$E$4734=0)),0)</f>
        <v>0</v>
      </c>
      <c r="L1234" s="1" t="str">
        <f>IF(E1234=0,SUMPRODUCT(MIN($K$2:$K$4734+((($A$2:$A$4734&lt;&gt;A1234)+($E$2:$E$4734&lt;&gt;0))&gt;0)*1000000)),"")</f>
        <v/>
      </c>
      <c r="M1234" s="1">
        <f>IF(AND(E1234=0,COUNTIFS($A$2:A1234,A1234,$E$2:E1234,0)=1),L1234,0)</f>
        <v>0</v>
      </c>
    </row>
    <row r="1235" spans="1:13" ht="15" customHeight="1">
      <c r="A1235" s="1">
        <v>7285</v>
      </c>
      <c r="B1235" s="1" t="s">
        <v>9</v>
      </c>
      <c r="C1235" s="2" t="s">
        <v>1455</v>
      </c>
      <c r="D1235" s="2" t="s">
        <v>1456</v>
      </c>
      <c r="E1235" s="1">
        <v>1</v>
      </c>
      <c r="F1235" s="2" t="s">
        <v>1458</v>
      </c>
      <c r="G1235" s="1">
        <v>3</v>
      </c>
      <c r="H1235" s="1" t="str">
        <f t="shared" si="19"/>
        <v>k7285_3</v>
      </c>
      <c r="K1235" s="1">
        <f>IF(E1235=0,SUMPRODUCT(($A$2:$A$4734=A1235)*($B$2:$B$4734=B1235)*($D$2:$D$4734=D1235)*($E$2:$E$4734=0)),0)</f>
        <v>0</v>
      </c>
      <c r="L1235" s="1" t="str">
        <f>IF(E1235=0,SUMPRODUCT(MIN($K$2:$K$4734+((($A$2:$A$4734&lt;&gt;A1235)+($E$2:$E$4734&lt;&gt;0))&gt;0)*1000000)),"")</f>
        <v/>
      </c>
      <c r="M1235" s="1">
        <f>IF(AND(E1235=0,COUNTIFS($A$2:A1235,A1235,$E$2:E1235,0)=1),L1235,0)</f>
        <v>0</v>
      </c>
    </row>
    <row r="1236" spans="1:13" ht="15" customHeight="1">
      <c r="A1236" s="1">
        <v>7285</v>
      </c>
      <c r="B1236" s="1" t="s">
        <v>9</v>
      </c>
      <c r="C1236" s="2" t="s">
        <v>1455</v>
      </c>
      <c r="D1236" s="2" t="s">
        <v>1456</v>
      </c>
      <c r="E1236" s="1">
        <v>1</v>
      </c>
      <c r="F1236" s="2" t="s">
        <v>1459</v>
      </c>
      <c r="G1236" s="1">
        <v>4</v>
      </c>
      <c r="H1236" s="1" t="str">
        <f t="shared" si="19"/>
        <v>k7285_4</v>
      </c>
      <c r="K1236" s="1">
        <f>IF(E1236=0,SUMPRODUCT(($A$2:$A$4734=A1236)*($B$2:$B$4734=B1236)*($D$2:$D$4734=D1236)*($E$2:$E$4734=0)),0)</f>
        <v>0</v>
      </c>
      <c r="L1236" s="1" t="str">
        <f>IF(E1236=0,SUMPRODUCT(MIN($K$2:$K$4734+((($A$2:$A$4734&lt;&gt;A1236)+($E$2:$E$4734&lt;&gt;0))&gt;0)*1000000)),"")</f>
        <v/>
      </c>
      <c r="M1236" s="1">
        <f>IF(AND(E1236=0,COUNTIFS($A$2:A1236,A1236,$E$2:E1236,0)=1),L1236,0)</f>
        <v>0</v>
      </c>
    </row>
    <row r="1237" spans="1:13" ht="15" customHeight="1">
      <c r="A1237" s="1">
        <v>7285</v>
      </c>
      <c r="B1237" s="1" t="s">
        <v>16</v>
      </c>
      <c r="C1237" s="2" t="s">
        <v>1455</v>
      </c>
      <c r="D1237" s="2" t="s">
        <v>1460</v>
      </c>
      <c r="E1237" s="1">
        <v>1</v>
      </c>
      <c r="F1237" s="2" t="s">
        <v>1461</v>
      </c>
      <c r="G1237" s="1">
        <v>1</v>
      </c>
      <c r="H1237" s="1" t="str">
        <f t="shared" si="19"/>
        <v>k7285_1</v>
      </c>
      <c r="K1237" s="1">
        <f>IF(E1237=0,SUMPRODUCT(($A$2:$A$4734=A1237)*($B$2:$B$4734=B1237)*($D$2:$D$4734=D1237)*($E$2:$E$4734=0)),0)</f>
        <v>0</v>
      </c>
      <c r="L1237" s="1" t="str">
        <f>IF(E1237=0,SUMPRODUCT(MIN($K$2:$K$4734+((($A$2:$A$4734&lt;&gt;A1237)+($E$2:$E$4734&lt;&gt;0))&gt;0)*1000000)),"")</f>
        <v/>
      </c>
      <c r="M1237" s="1">
        <f>IF(AND(E1237=0,COUNTIFS($A$2:A1237,A1237,$E$2:E1237,0)=1),L1237,0)</f>
        <v>0</v>
      </c>
    </row>
    <row r="1238" spans="1:13" ht="15" customHeight="1">
      <c r="A1238" s="1">
        <v>7285</v>
      </c>
      <c r="B1238" s="1" t="s">
        <v>16</v>
      </c>
      <c r="C1238" s="2" t="s">
        <v>1455</v>
      </c>
      <c r="D1238" s="2" t="s">
        <v>1460</v>
      </c>
      <c r="E1238" s="1">
        <v>1</v>
      </c>
      <c r="F1238" s="2" t="s">
        <v>1462</v>
      </c>
      <c r="G1238" s="1">
        <v>2</v>
      </c>
      <c r="H1238" s="1" t="str">
        <f t="shared" si="19"/>
        <v>k7285_2</v>
      </c>
      <c r="K1238" s="1">
        <f>IF(E1238=0,SUMPRODUCT(($A$2:$A$4734=A1238)*($B$2:$B$4734=B1238)*($D$2:$D$4734=D1238)*($E$2:$E$4734=0)),0)</f>
        <v>0</v>
      </c>
      <c r="L1238" s="1" t="str">
        <f>IF(E1238=0,SUMPRODUCT(MIN($K$2:$K$4734+((($A$2:$A$4734&lt;&gt;A1238)+($E$2:$E$4734&lt;&gt;0))&gt;0)*1000000)),"")</f>
        <v/>
      </c>
      <c r="M1238" s="1">
        <f>IF(AND(E1238=0,COUNTIFS($A$2:A1238,A1238,$E$2:E1238,0)=1),L1238,0)</f>
        <v>0</v>
      </c>
    </row>
    <row r="1239" spans="1:13" ht="15" customHeight="1">
      <c r="A1239" s="1">
        <v>7285</v>
      </c>
      <c r="B1239" s="1" t="s">
        <v>16</v>
      </c>
      <c r="C1239" s="2" t="s">
        <v>1455</v>
      </c>
      <c r="D1239" s="2" t="s">
        <v>1460</v>
      </c>
      <c r="E1239" s="1">
        <v>1</v>
      </c>
      <c r="F1239" s="2" t="s">
        <v>1463</v>
      </c>
      <c r="G1239" s="1">
        <v>3</v>
      </c>
      <c r="H1239" s="1" t="str">
        <f t="shared" si="19"/>
        <v>k7285_3</v>
      </c>
      <c r="K1239" s="1">
        <f>IF(E1239=0,SUMPRODUCT(($A$2:$A$4734=A1239)*($B$2:$B$4734=B1239)*($D$2:$D$4734=D1239)*($E$2:$E$4734=0)),0)</f>
        <v>0</v>
      </c>
      <c r="L1239" s="1" t="str">
        <f>IF(E1239=0,SUMPRODUCT(MIN($K$2:$K$4734+((($A$2:$A$4734&lt;&gt;A1239)+($E$2:$E$4734&lt;&gt;0))&gt;0)*1000000)),"")</f>
        <v/>
      </c>
      <c r="M1239" s="1">
        <f>IF(AND(E1239=0,COUNTIFS($A$2:A1239,A1239,$E$2:E1239,0)=1),L1239,0)</f>
        <v>0</v>
      </c>
    </row>
    <row r="1240" spans="1:13" ht="15" customHeight="1">
      <c r="A1240" s="1">
        <v>7285</v>
      </c>
      <c r="B1240" s="1" t="s">
        <v>16</v>
      </c>
      <c r="C1240" s="2" t="s">
        <v>1455</v>
      </c>
      <c r="D1240" s="2" t="s">
        <v>1460</v>
      </c>
      <c r="E1240" s="1">
        <v>1</v>
      </c>
      <c r="F1240" s="2" t="s">
        <v>1464</v>
      </c>
      <c r="G1240" s="1">
        <v>4</v>
      </c>
      <c r="H1240" s="1" t="str">
        <f t="shared" si="19"/>
        <v>k7285_4</v>
      </c>
      <c r="K1240" s="1">
        <f>IF(E1240=0,SUMPRODUCT(($A$2:$A$4734=A1240)*($B$2:$B$4734=B1240)*($D$2:$D$4734=D1240)*($E$2:$E$4734=0)),0)</f>
        <v>0</v>
      </c>
      <c r="L1240" s="1" t="str">
        <f>IF(E1240=0,SUMPRODUCT(MIN($K$2:$K$4734+((($A$2:$A$4734&lt;&gt;A1240)+($E$2:$E$4734&lt;&gt;0))&gt;0)*1000000)),"")</f>
        <v/>
      </c>
      <c r="M1240" s="1">
        <f>IF(AND(E1240=0,COUNTIFS($A$2:A1240,A1240,$E$2:E1240,0)=1),L1240,0)</f>
        <v>0</v>
      </c>
    </row>
    <row r="1241" spans="1:13" ht="15" customHeight="1">
      <c r="A1241" s="1">
        <v>7285</v>
      </c>
      <c r="B1241" s="1" t="s">
        <v>9</v>
      </c>
      <c r="C1241" s="2" t="s">
        <v>1455</v>
      </c>
      <c r="D1241" s="2" t="s">
        <v>1460</v>
      </c>
      <c r="E1241" s="1">
        <v>1</v>
      </c>
      <c r="F1241" s="2" t="s">
        <v>1465</v>
      </c>
      <c r="G1241" s="1">
        <v>1</v>
      </c>
      <c r="H1241" s="1" t="str">
        <f t="shared" si="19"/>
        <v>k7285_1</v>
      </c>
      <c r="K1241" s="1">
        <f>IF(E1241=0,SUMPRODUCT(($A$2:$A$4734=A1241)*($B$2:$B$4734=B1241)*($D$2:$D$4734=D1241)*($E$2:$E$4734=0)),0)</f>
        <v>0</v>
      </c>
      <c r="L1241" s="1" t="str">
        <f>IF(E1241=0,SUMPRODUCT(MIN($K$2:$K$4734+((($A$2:$A$4734&lt;&gt;A1241)+($E$2:$E$4734&lt;&gt;0))&gt;0)*1000000)),"")</f>
        <v/>
      </c>
      <c r="M1241" s="1">
        <f>IF(AND(E1241=0,COUNTIFS($A$2:A1241,A1241,$E$2:E1241,0)=1),L1241,0)</f>
        <v>0</v>
      </c>
    </row>
    <row r="1242" spans="1:13" ht="15" customHeight="1">
      <c r="A1242" s="1">
        <v>7285</v>
      </c>
      <c r="B1242" s="1" t="s">
        <v>9</v>
      </c>
      <c r="C1242" s="2" t="s">
        <v>1455</v>
      </c>
      <c r="D1242" s="2" t="s">
        <v>1460</v>
      </c>
      <c r="E1242" s="1">
        <v>1</v>
      </c>
      <c r="F1242" s="2" t="s">
        <v>1466</v>
      </c>
      <c r="G1242" s="1">
        <v>2</v>
      </c>
      <c r="H1242" s="1" t="str">
        <f t="shared" si="19"/>
        <v>k7285_2</v>
      </c>
      <c r="K1242" s="1">
        <f>IF(E1242=0,SUMPRODUCT(($A$2:$A$4734=A1242)*($B$2:$B$4734=B1242)*($D$2:$D$4734=D1242)*($E$2:$E$4734=0)),0)</f>
        <v>0</v>
      </c>
      <c r="L1242" s="1" t="str">
        <f>IF(E1242=0,SUMPRODUCT(MIN($K$2:$K$4734+((($A$2:$A$4734&lt;&gt;A1242)+($E$2:$E$4734&lt;&gt;0))&gt;0)*1000000)),"")</f>
        <v/>
      </c>
      <c r="M1242" s="1">
        <f>IF(AND(E1242=0,COUNTIFS($A$2:A1242,A1242,$E$2:E1242,0)=1),L1242,0)</f>
        <v>0</v>
      </c>
    </row>
    <row r="1243" spans="1:13" ht="15" customHeight="1">
      <c r="A1243" s="1">
        <v>7285</v>
      </c>
      <c r="B1243" s="1" t="s">
        <v>9</v>
      </c>
      <c r="C1243" s="2" t="s">
        <v>1455</v>
      </c>
      <c r="D1243" s="2" t="s">
        <v>1460</v>
      </c>
      <c r="E1243" s="1">
        <v>1</v>
      </c>
      <c r="F1243" s="2" t="s">
        <v>1467</v>
      </c>
      <c r="G1243" s="1">
        <v>3</v>
      </c>
      <c r="H1243" s="1" t="str">
        <f t="shared" si="19"/>
        <v>k7285_3</v>
      </c>
      <c r="K1243" s="1">
        <f>IF(E1243=0,SUMPRODUCT(($A$2:$A$4734=A1243)*($B$2:$B$4734=B1243)*($D$2:$D$4734=D1243)*($E$2:$E$4734=0)),0)</f>
        <v>0</v>
      </c>
      <c r="L1243" s="1" t="str">
        <f>IF(E1243=0,SUMPRODUCT(MIN($K$2:$K$4734+((($A$2:$A$4734&lt;&gt;A1243)+($E$2:$E$4734&lt;&gt;0))&gt;0)*1000000)),"")</f>
        <v/>
      </c>
      <c r="M1243" s="1">
        <f>IF(AND(E1243=0,COUNTIFS($A$2:A1243,A1243,$E$2:E1243,0)=1),L1243,0)</f>
        <v>0</v>
      </c>
    </row>
    <row r="1244" spans="1:13" ht="15" customHeight="1">
      <c r="A1244" s="1">
        <v>7285</v>
      </c>
      <c r="B1244" s="1" t="s">
        <v>9</v>
      </c>
      <c r="C1244" s="2" t="s">
        <v>1455</v>
      </c>
      <c r="D1244" s="2" t="s">
        <v>1460</v>
      </c>
      <c r="E1244" s="1">
        <v>1</v>
      </c>
      <c r="F1244" s="2" t="s">
        <v>1468</v>
      </c>
      <c r="G1244" s="1">
        <v>4</v>
      </c>
      <c r="H1244" s="1" t="str">
        <f t="shared" si="19"/>
        <v>k7285_4</v>
      </c>
      <c r="K1244" s="1">
        <f>IF(E1244=0,SUMPRODUCT(($A$2:$A$4734=A1244)*($B$2:$B$4734=B1244)*($D$2:$D$4734=D1244)*($E$2:$E$4734=0)),0)</f>
        <v>0</v>
      </c>
      <c r="L1244" s="1" t="str">
        <f>IF(E1244=0,SUMPRODUCT(MIN($K$2:$K$4734+((($A$2:$A$4734&lt;&gt;A1244)+($E$2:$E$4734&lt;&gt;0))&gt;0)*1000000)),"")</f>
        <v/>
      </c>
      <c r="M1244" s="1">
        <f>IF(AND(E1244=0,COUNTIFS($A$2:A1244,A1244,$E$2:E1244,0)=1),L1244,0)</f>
        <v>0</v>
      </c>
    </row>
    <row r="1245" spans="1:13" ht="15" customHeight="1">
      <c r="A1245" s="1">
        <v>7285</v>
      </c>
      <c r="B1245" s="1" t="s">
        <v>16</v>
      </c>
      <c r="C1245" s="2" t="s">
        <v>1455</v>
      </c>
      <c r="D1245" s="2" t="s">
        <v>1469</v>
      </c>
      <c r="E1245" s="1">
        <v>1</v>
      </c>
      <c r="F1245" s="2" t="s">
        <v>1470</v>
      </c>
      <c r="G1245" s="1">
        <v>1</v>
      </c>
      <c r="H1245" s="1" t="str">
        <f t="shared" si="19"/>
        <v>k7285_1</v>
      </c>
      <c r="K1245" s="1">
        <f>IF(E1245=0,SUMPRODUCT(($A$2:$A$4734=A1245)*($B$2:$B$4734=B1245)*($D$2:$D$4734=D1245)*($E$2:$E$4734=0)),0)</f>
        <v>0</v>
      </c>
      <c r="L1245" s="1" t="str">
        <f>IF(E1245=0,SUMPRODUCT(MIN($K$2:$K$4734+((($A$2:$A$4734&lt;&gt;A1245)+($E$2:$E$4734&lt;&gt;0))&gt;0)*1000000)),"")</f>
        <v/>
      </c>
      <c r="M1245" s="1">
        <f>IF(AND(E1245=0,COUNTIFS($A$2:A1245,A1245,$E$2:E1245,0)=1),L1245,0)</f>
        <v>0</v>
      </c>
    </row>
    <row r="1246" spans="1:13" ht="15" customHeight="1">
      <c r="A1246" s="1">
        <v>7285</v>
      </c>
      <c r="B1246" s="1" t="s">
        <v>16</v>
      </c>
      <c r="C1246" s="2" t="s">
        <v>1455</v>
      </c>
      <c r="D1246" s="2" t="s">
        <v>1469</v>
      </c>
      <c r="E1246" s="1">
        <v>1</v>
      </c>
      <c r="F1246" s="2" t="s">
        <v>1471</v>
      </c>
      <c r="G1246" s="1">
        <v>2</v>
      </c>
      <c r="H1246" s="1" t="str">
        <f t="shared" si="19"/>
        <v>k7285_2</v>
      </c>
      <c r="K1246" s="1">
        <f>IF(E1246=0,SUMPRODUCT(($A$2:$A$4734=A1246)*($B$2:$B$4734=B1246)*($D$2:$D$4734=D1246)*($E$2:$E$4734=0)),0)</f>
        <v>0</v>
      </c>
      <c r="L1246" s="1" t="str">
        <f>IF(E1246=0,SUMPRODUCT(MIN($K$2:$K$4734+((($A$2:$A$4734&lt;&gt;A1246)+($E$2:$E$4734&lt;&gt;0))&gt;0)*1000000)),"")</f>
        <v/>
      </c>
      <c r="M1246" s="1">
        <f>IF(AND(E1246=0,COUNTIFS($A$2:A1246,A1246,$E$2:E1246,0)=1),L1246,0)</f>
        <v>0</v>
      </c>
    </row>
    <row r="1247" spans="1:13" ht="15" customHeight="1">
      <c r="A1247" s="1">
        <v>7285</v>
      </c>
      <c r="B1247" s="1" t="s">
        <v>16</v>
      </c>
      <c r="C1247" s="2" t="s">
        <v>1455</v>
      </c>
      <c r="D1247" s="2" t="s">
        <v>1469</v>
      </c>
      <c r="E1247" s="1">
        <v>1</v>
      </c>
      <c r="F1247" s="2" t="s">
        <v>1472</v>
      </c>
      <c r="G1247" s="1">
        <v>3</v>
      </c>
      <c r="H1247" s="1" t="str">
        <f t="shared" si="19"/>
        <v>k7285_3</v>
      </c>
      <c r="K1247" s="1">
        <f>IF(E1247=0,SUMPRODUCT(($A$2:$A$4734=A1247)*($B$2:$B$4734=B1247)*($D$2:$D$4734=D1247)*($E$2:$E$4734=0)),0)</f>
        <v>0</v>
      </c>
      <c r="L1247" s="1" t="str">
        <f>IF(E1247=0,SUMPRODUCT(MIN($K$2:$K$4734+((($A$2:$A$4734&lt;&gt;A1247)+($E$2:$E$4734&lt;&gt;0))&gt;0)*1000000)),"")</f>
        <v/>
      </c>
      <c r="M1247" s="1">
        <f>IF(AND(E1247=0,COUNTIFS($A$2:A1247,A1247,$E$2:E1247,0)=1),L1247,0)</f>
        <v>0</v>
      </c>
    </row>
    <row r="1248" spans="1:13" ht="15" customHeight="1">
      <c r="A1248" s="1">
        <v>7285</v>
      </c>
      <c r="B1248" s="1" t="s">
        <v>16</v>
      </c>
      <c r="C1248" s="2" t="s">
        <v>1455</v>
      </c>
      <c r="D1248" s="2" t="s">
        <v>1469</v>
      </c>
      <c r="E1248" s="1">
        <v>1</v>
      </c>
      <c r="F1248" s="2" t="s">
        <v>1473</v>
      </c>
      <c r="G1248" s="1">
        <v>4</v>
      </c>
      <c r="H1248" s="1" t="str">
        <f t="shared" si="19"/>
        <v>k7285_4</v>
      </c>
      <c r="K1248" s="1">
        <f>IF(E1248=0,SUMPRODUCT(($A$2:$A$4734=A1248)*($B$2:$B$4734=B1248)*($D$2:$D$4734=D1248)*($E$2:$E$4734=0)),0)</f>
        <v>0</v>
      </c>
      <c r="L1248" s="1" t="str">
        <f>IF(E1248=0,SUMPRODUCT(MIN($K$2:$K$4734+((($A$2:$A$4734&lt;&gt;A1248)+($E$2:$E$4734&lt;&gt;0))&gt;0)*1000000)),"")</f>
        <v/>
      </c>
      <c r="M1248" s="1">
        <f>IF(AND(E1248=0,COUNTIFS($A$2:A1248,A1248,$E$2:E1248,0)=1),L1248,0)</f>
        <v>0</v>
      </c>
    </row>
    <row r="1249" spans="1:13" ht="15" customHeight="1">
      <c r="A1249" s="1">
        <v>7285</v>
      </c>
      <c r="B1249" s="1" t="s">
        <v>69</v>
      </c>
      <c r="C1249" s="2" t="s">
        <v>1455</v>
      </c>
      <c r="D1249" s="2" t="s">
        <v>1455</v>
      </c>
      <c r="E1249" s="1">
        <v>1</v>
      </c>
      <c r="F1249" s="2" t="s">
        <v>1474</v>
      </c>
      <c r="G1249" s="1">
        <v>1</v>
      </c>
      <c r="H1249" s="1" t="str">
        <f t="shared" si="19"/>
        <v>k7285_1</v>
      </c>
      <c r="K1249" s="1">
        <f>IF(E1249=0,SUMPRODUCT(($A$2:$A$4734=A1249)*($B$2:$B$4734=B1249)*($D$2:$D$4734=D1249)*($E$2:$E$4734=0)),0)</f>
        <v>0</v>
      </c>
      <c r="L1249" s="1" t="str">
        <f>IF(E1249=0,SUMPRODUCT(MIN($K$2:$K$4734+((($A$2:$A$4734&lt;&gt;A1249)+($E$2:$E$4734&lt;&gt;0))&gt;0)*1000000)),"")</f>
        <v/>
      </c>
      <c r="M1249" s="1">
        <f>IF(AND(E1249=0,COUNTIFS($A$2:A1249,A1249,$E$2:E1249,0)=1),L1249,0)</f>
        <v>0</v>
      </c>
    </row>
    <row r="1250" spans="1:13" ht="15" customHeight="1">
      <c r="A1250" s="1">
        <v>7285</v>
      </c>
      <c r="B1250" s="1" t="s">
        <v>69</v>
      </c>
      <c r="C1250" s="2" t="s">
        <v>1455</v>
      </c>
      <c r="D1250" s="2" t="s">
        <v>1455</v>
      </c>
      <c r="E1250" s="1">
        <v>1</v>
      </c>
      <c r="F1250" s="2" t="s">
        <v>1475</v>
      </c>
      <c r="G1250" s="1">
        <v>2</v>
      </c>
      <c r="H1250" s="1" t="str">
        <f t="shared" si="19"/>
        <v>k7285_2</v>
      </c>
      <c r="K1250" s="1">
        <f>IF(E1250=0,SUMPRODUCT(($A$2:$A$4734=A1250)*($B$2:$B$4734=B1250)*($D$2:$D$4734=D1250)*($E$2:$E$4734=0)),0)</f>
        <v>0</v>
      </c>
      <c r="L1250" s="1" t="str">
        <f>IF(E1250=0,SUMPRODUCT(MIN($K$2:$K$4734+((($A$2:$A$4734&lt;&gt;A1250)+($E$2:$E$4734&lt;&gt;0))&gt;0)*1000000)),"")</f>
        <v/>
      </c>
      <c r="M1250" s="1">
        <f>IF(AND(E1250=0,COUNTIFS($A$2:A1250,A1250,$E$2:E1250,0)=1),L1250,0)</f>
        <v>0</v>
      </c>
    </row>
    <row r="1251" spans="1:13" ht="15" customHeight="1">
      <c r="A1251" s="1">
        <v>7285</v>
      </c>
      <c r="B1251" s="1" t="s">
        <v>69</v>
      </c>
      <c r="C1251" s="2" t="s">
        <v>1455</v>
      </c>
      <c r="D1251" s="2" t="s">
        <v>1455</v>
      </c>
      <c r="E1251" s="1">
        <v>1</v>
      </c>
      <c r="F1251" s="2" t="s">
        <v>1476</v>
      </c>
      <c r="G1251" s="1">
        <v>3</v>
      </c>
      <c r="H1251" s="1" t="str">
        <f t="shared" si="19"/>
        <v>k7285_3</v>
      </c>
      <c r="K1251" s="1">
        <f>IF(E1251=0,SUMPRODUCT(($A$2:$A$4734=A1251)*($B$2:$B$4734=B1251)*($D$2:$D$4734=D1251)*($E$2:$E$4734=0)),0)</f>
        <v>0</v>
      </c>
      <c r="L1251" s="1" t="str">
        <f>IF(E1251=0,SUMPRODUCT(MIN($K$2:$K$4734+((($A$2:$A$4734&lt;&gt;A1251)+($E$2:$E$4734&lt;&gt;0))&gt;0)*1000000)),"")</f>
        <v/>
      </c>
      <c r="M1251" s="1">
        <f>IF(AND(E1251=0,COUNTIFS($A$2:A1251,A1251,$E$2:E1251,0)=1),L1251,0)</f>
        <v>0</v>
      </c>
    </row>
    <row r="1252" spans="1:13" ht="15" customHeight="1">
      <c r="A1252" s="1">
        <v>7285</v>
      </c>
      <c r="B1252" s="1" t="s">
        <v>69</v>
      </c>
      <c r="C1252" s="2" t="s">
        <v>1455</v>
      </c>
      <c r="D1252" s="2" t="s">
        <v>1455</v>
      </c>
      <c r="E1252" s="1">
        <v>1</v>
      </c>
      <c r="F1252" s="2" t="s">
        <v>1477</v>
      </c>
      <c r="G1252" s="1">
        <v>4</v>
      </c>
      <c r="H1252" s="1" t="str">
        <f t="shared" si="19"/>
        <v>k7285_4</v>
      </c>
      <c r="K1252" s="1">
        <f>IF(E1252=0,SUMPRODUCT(($A$2:$A$4734=A1252)*($B$2:$B$4734=B1252)*($D$2:$D$4734=D1252)*($E$2:$E$4734=0)),0)</f>
        <v>0</v>
      </c>
      <c r="L1252" s="1" t="str">
        <f>IF(E1252=0,SUMPRODUCT(MIN($K$2:$K$4734+((($A$2:$A$4734&lt;&gt;A1252)+($E$2:$E$4734&lt;&gt;0))&gt;0)*1000000)),"")</f>
        <v/>
      </c>
      <c r="M1252" s="1">
        <f>IF(AND(E1252=0,COUNTIFS($A$2:A1252,A1252,$E$2:E1252,0)=1),L1252,0)</f>
        <v>0</v>
      </c>
    </row>
    <row r="1253" spans="1:13" ht="15" customHeight="1">
      <c r="A1253" s="1">
        <v>7286</v>
      </c>
      <c r="B1253" s="1" t="s">
        <v>173</v>
      </c>
      <c r="C1253" s="2" t="s">
        <v>1478</v>
      </c>
      <c r="D1253" s="2" t="s">
        <v>1478</v>
      </c>
      <c r="E1253" s="1">
        <v>1</v>
      </c>
      <c r="F1253" s="2" t="s">
        <v>1479</v>
      </c>
      <c r="G1253" s="1">
        <v>1</v>
      </c>
      <c r="H1253" s="1" t="str">
        <f t="shared" si="19"/>
        <v>k7286_1</v>
      </c>
      <c r="K1253" s="1">
        <f>IF(E1253=0,SUMPRODUCT(($A$2:$A$4734=A1253)*($B$2:$B$4734=B1253)*($D$2:$D$4734=D1253)*($E$2:$E$4734=0)),0)</f>
        <v>0</v>
      </c>
      <c r="L1253" s="1" t="str">
        <f>IF(E1253=0,SUMPRODUCT(MIN($K$2:$K$4734+((($A$2:$A$4734&lt;&gt;A1253)+($E$2:$E$4734&lt;&gt;0))&gt;0)*1000000)),"")</f>
        <v/>
      </c>
      <c r="M1253" s="1">
        <f>IF(AND(E1253=0,COUNTIFS($A$2:A1253,A1253,$E$2:E1253,0)=1),L1253,0)</f>
        <v>0</v>
      </c>
    </row>
    <row r="1254" spans="1:13" ht="15" customHeight="1">
      <c r="A1254" s="1">
        <v>7286</v>
      </c>
      <c r="B1254" s="1" t="s">
        <v>173</v>
      </c>
      <c r="C1254" s="2" t="s">
        <v>1478</v>
      </c>
      <c r="D1254" s="2" t="s">
        <v>1478</v>
      </c>
      <c r="E1254" s="1">
        <v>1</v>
      </c>
      <c r="F1254" s="2" t="s">
        <v>1480</v>
      </c>
      <c r="G1254" s="1">
        <v>2</v>
      </c>
      <c r="H1254" s="1" t="str">
        <f t="shared" si="19"/>
        <v>k7286_2</v>
      </c>
      <c r="K1254" s="1">
        <f>IF(E1254=0,SUMPRODUCT(($A$2:$A$4734=A1254)*($B$2:$B$4734=B1254)*($D$2:$D$4734=D1254)*($E$2:$E$4734=0)),0)</f>
        <v>0</v>
      </c>
      <c r="L1254" s="1" t="str">
        <f>IF(E1254=0,SUMPRODUCT(MIN($K$2:$K$4734+((($A$2:$A$4734&lt;&gt;A1254)+($E$2:$E$4734&lt;&gt;0))&gt;0)*1000000)),"")</f>
        <v/>
      </c>
      <c r="M1254" s="1">
        <f>IF(AND(E1254=0,COUNTIFS($A$2:A1254,A1254,$E$2:E1254,0)=1),L1254,0)</f>
        <v>0</v>
      </c>
    </row>
    <row r="1255" spans="1:13" ht="15" customHeight="1">
      <c r="A1255" s="1">
        <v>7286</v>
      </c>
      <c r="B1255" s="1" t="s">
        <v>173</v>
      </c>
      <c r="C1255" s="2" t="s">
        <v>1478</v>
      </c>
      <c r="D1255" s="2" t="s">
        <v>1478</v>
      </c>
      <c r="E1255" s="1">
        <v>1</v>
      </c>
      <c r="F1255" s="2" t="s">
        <v>1481</v>
      </c>
      <c r="G1255" s="1">
        <v>3</v>
      </c>
      <c r="H1255" s="1" t="str">
        <f t="shared" si="19"/>
        <v>k7286_3</v>
      </c>
      <c r="K1255" s="1">
        <f>IF(E1255=0,SUMPRODUCT(($A$2:$A$4734=A1255)*($B$2:$B$4734=B1255)*($D$2:$D$4734=D1255)*($E$2:$E$4734=0)),0)</f>
        <v>0</v>
      </c>
      <c r="L1255" s="1" t="str">
        <f>IF(E1255=0,SUMPRODUCT(MIN($K$2:$K$4734+((($A$2:$A$4734&lt;&gt;A1255)+($E$2:$E$4734&lt;&gt;0))&gt;0)*1000000)),"")</f>
        <v/>
      </c>
      <c r="M1255" s="1">
        <f>IF(AND(E1255=0,COUNTIFS($A$2:A1255,A1255,$E$2:E1255,0)=1),L1255,0)</f>
        <v>0</v>
      </c>
    </row>
    <row r="1256" spans="1:13" ht="15" customHeight="1">
      <c r="A1256" s="1">
        <v>7286</v>
      </c>
      <c r="B1256" s="1" t="s">
        <v>173</v>
      </c>
      <c r="C1256" s="2" t="s">
        <v>1478</v>
      </c>
      <c r="D1256" s="2" t="s">
        <v>1478</v>
      </c>
      <c r="E1256" s="1">
        <v>1</v>
      </c>
      <c r="F1256" s="2" t="s">
        <v>1482</v>
      </c>
      <c r="G1256" s="1">
        <v>4</v>
      </c>
      <c r="H1256" s="1" t="str">
        <f t="shared" si="19"/>
        <v>k7286_4</v>
      </c>
      <c r="K1256" s="1">
        <f>IF(E1256=0,SUMPRODUCT(($A$2:$A$4734=A1256)*($B$2:$B$4734=B1256)*($D$2:$D$4734=D1256)*($E$2:$E$4734=0)),0)</f>
        <v>0</v>
      </c>
      <c r="L1256" s="1" t="str">
        <f>IF(E1256=0,SUMPRODUCT(MIN($K$2:$K$4734+((($A$2:$A$4734&lt;&gt;A1256)+($E$2:$E$4734&lt;&gt;0))&gt;0)*1000000)),"")</f>
        <v/>
      </c>
      <c r="M1256" s="1">
        <f>IF(AND(E1256=0,COUNTIFS($A$2:A1256,A1256,$E$2:E1256,0)=1),L1256,0)</f>
        <v>0</v>
      </c>
    </row>
    <row r="1257" spans="1:13" ht="15" customHeight="1">
      <c r="A1257" s="1">
        <v>7286</v>
      </c>
      <c r="B1257" s="1" t="s">
        <v>9</v>
      </c>
      <c r="C1257" s="2" t="s">
        <v>1478</v>
      </c>
      <c r="D1257" s="2" t="s">
        <v>1056</v>
      </c>
      <c r="E1257" s="1">
        <v>1</v>
      </c>
      <c r="F1257" s="2" t="s">
        <v>1483</v>
      </c>
      <c r="G1257" s="1">
        <v>1</v>
      </c>
      <c r="H1257" s="1" t="str">
        <f t="shared" si="19"/>
        <v>k7286_1</v>
      </c>
      <c r="K1257" s="1">
        <f>IF(E1257=0,SUMPRODUCT(($A$2:$A$4734=A1257)*($B$2:$B$4734=B1257)*($D$2:$D$4734=D1257)*($E$2:$E$4734=0)),0)</f>
        <v>0</v>
      </c>
      <c r="L1257" s="1" t="str">
        <f>IF(E1257=0,SUMPRODUCT(MIN($K$2:$K$4734+((($A$2:$A$4734&lt;&gt;A1257)+($E$2:$E$4734&lt;&gt;0))&gt;0)*1000000)),"")</f>
        <v/>
      </c>
      <c r="M1257" s="1">
        <f>IF(AND(E1257=0,COUNTIFS($A$2:A1257,A1257,$E$2:E1257,0)=1),L1257,0)</f>
        <v>0</v>
      </c>
    </row>
    <row r="1258" spans="1:13" ht="15" customHeight="1">
      <c r="A1258" s="1">
        <v>7286</v>
      </c>
      <c r="B1258" s="1" t="s">
        <v>9</v>
      </c>
      <c r="C1258" s="2" t="s">
        <v>1478</v>
      </c>
      <c r="D1258" s="2" t="s">
        <v>1056</v>
      </c>
      <c r="E1258" s="1">
        <v>1</v>
      </c>
      <c r="F1258" s="2" t="s">
        <v>1484</v>
      </c>
      <c r="G1258" s="1">
        <v>2</v>
      </c>
      <c r="H1258" s="1" t="str">
        <f t="shared" ref="H1258:H1320" si="20">IF(OR(E1258&lt;&gt;1,G1258=""),"","k"&amp;A1258&amp;"_"&amp;G1258)</f>
        <v>k7286_2</v>
      </c>
      <c r="K1258" s="1">
        <f>IF(E1258=0,SUMPRODUCT(($A$2:$A$4734=A1258)*($B$2:$B$4734=B1258)*($D$2:$D$4734=D1258)*($E$2:$E$4734=0)),0)</f>
        <v>0</v>
      </c>
      <c r="L1258" s="1" t="str">
        <f>IF(E1258=0,SUMPRODUCT(MIN($K$2:$K$4734+((($A$2:$A$4734&lt;&gt;A1258)+($E$2:$E$4734&lt;&gt;0))&gt;0)*1000000)),"")</f>
        <v/>
      </c>
      <c r="M1258" s="1">
        <f>IF(AND(E1258=0,COUNTIFS($A$2:A1258,A1258,$E$2:E1258,0)=1),L1258,0)</f>
        <v>0</v>
      </c>
    </row>
    <row r="1259" spans="1:13" ht="15" customHeight="1">
      <c r="A1259" s="1">
        <v>7286</v>
      </c>
      <c r="B1259" s="1" t="s">
        <v>9</v>
      </c>
      <c r="C1259" s="2" t="s">
        <v>1478</v>
      </c>
      <c r="D1259" s="2" t="s">
        <v>1056</v>
      </c>
      <c r="E1259" s="1">
        <v>1</v>
      </c>
      <c r="F1259" s="2" t="s">
        <v>1485</v>
      </c>
      <c r="G1259" s="1">
        <v>3</v>
      </c>
      <c r="H1259" s="1" t="str">
        <f t="shared" si="20"/>
        <v>k7286_3</v>
      </c>
      <c r="K1259" s="1">
        <f>IF(E1259=0,SUMPRODUCT(($A$2:$A$4734=A1259)*($B$2:$B$4734=B1259)*($D$2:$D$4734=D1259)*($E$2:$E$4734=0)),0)</f>
        <v>0</v>
      </c>
      <c r="L1259" s="1" t="str">
        <f>IF(E1259=0,SUMPRODUCT(MIN($K$2:$K$4734+((($A$2:$A$4734&lt;&gt;A1259)+($E$2:$E$4734&lt;&gt;0))&gt;0)*1000000)),"")</f>
        <v/>
      </c>
      <c r="M1259" s="1">
        <f>IF(AND(E1259=0,COUNTIFS($A$2:A1259,A1259,$E$2:E1259,0)=1),L1259,0)</f>
        <v>0</v>
      </c>
    </row>
    <row r="1260" spans="1:13" ht="15" customHeight="1">
      <c r="A1260" s="1">
        <v>7286</v>
      </c>
      <c r="B1260" s="1" t="s">
        <v>9</v>
      </c>
      <c r="C1260" s="2" t="s">
        <v>1478</v>
      </c>
      <c r="D1260" s="2" t="s">
        <v>1056</v>
      </c>
      <c r="E1260" s="1">
        <v>1</v>
      </c>
      <c r="F1260" s="2" t="s">
        <v>1059</v>
      </c>
      <c r="G1260" s="1">
        <v>4</v>
      </c>
      <c r="H1260" s="1" t="str">
        <f t="shared" si="20"/>
        <v>k7286_4</v>
      </c>
      <c r="K1260" s="1">
        <f>IF(E1260=0,SUMPRODUCT(($A$2:$A$4734=A1260)*($B$2:$B$4734=B1260)*($D$2:$D$4734=D1260)*($E$2:$E$4734=0)),0)</f>
        <v>0</v>
      </c>
      <c r="L1260" s="1" t="str">
        <f>IF(E1260=0,SUMPRODUCT(MIN($K$2:$K$4734+((($A$2:$A$4734&lt;&gt;A1260)+($E$2:$E$4734&lt;&gt;0))&gt;0)*1000000)),"")</f>
        <v/>
      </c>
      <c r="M1260" s="1">
        <f>IF(AND(E1260=0,COUNTIFS($A$2:A1260,A1260,$E$2:E1260,0)=1),L1260,0)</f>
        <v>0</v>
      </c>
    </row>
    <row r="1261" spans="1:13" ht="15" customHeight="1">
      <c r="A1261" s="1">
        <v>7286</v>
      </c>
      <c r="B1261" s="1" t="s">
        <v>69</v>
      </c>
      <c r="C1261" s="2" t="s">
        <v>1478</v>
      </c>
      <c r="D1261" s="2" t="s">
        <v>1486</v>
      </c>
      <c r="E1261" s="1">
        <v>1</v>
      </c>
      <c r="F1261" s="2" t="s">
        <v>1487</v>
      </c>
      <c r="G1261" s="1">
        <v>1</v>
      </c>
      <c r="H1261" s="1" t="str">
        <f t="shared" si="20"/>
        <v>k7286_1</v>
      </c>
      <c r="K1261" s="1">
        <f>IF(E1261=0,SUMPRODUCT(($A$2:$A$4734=A1261)*($B$2:$B$4734=B1261)*($D$2:$D$4734=D1261)*($E$2:$E$4734=0)),0)</f>
        <v>0</v>
      </c>
      <c r="L1261" s="1" t="str">
        <f>IF(E1261=0,SUMPRODUCT(MIN($K$2:$K$4734+((($A$2:$A$4734&lt;&gt;A1261)+($E$2:$E$4734&lt;&gt;0))&gt;0)*1000000)),"")</f>
        <v/>
      </c>
      <c r="M1261" s="1">
        <f>IF(AND(E1261=0,COUNTIFS($A$2:A1261,A1261,$E$2:E1261,0)=1),L1261,0)</f>
        <v>0</v>
      </c>
    </row>
    <row r="1262" spans="1:13" ht="15" customHeight="1">
      <c r="A1262" s="1">
        <v>7286</v>
      </c>
      <c r="B1262" s="1" t="s">
        <v>69</v>
      </c>
      <c r="C1262" s="2" t="s">
        <v>1478</v>
      </c>
      <c r="D1262" s="2" t="s">
        <v>1486</v>
      </c>
      <c r="E1262" s="1">
        <v>1</v>
      </c>
      <c r="F1262" s="2" t="s">
        <v>1488</v>
      </c>
      <c r="G1262" s="1">
        <v>2</v>
      </c>
      <c r="H1262" s="1" t="str">
        <f t="shared" si="20"/>
        <v>k7286_2</v>
      </c>
      <c r="K1262" s="1">
        <f>IF(E1262=0,SUMPRODUCT(($A$2:$A$4734=A1262)*($B$2:$B$4734=B1262)*($D$2:$D$4734=D1262)*($E$2:$E$4734=0)),0)</f>
        <v>0</v>
      </c>
      <c r="L1262" s="1" t="str">
        <f>IF(E1262=0,SUMPRODUCT(MIN($K$2:$K$4734+((($A$2:$A$4734&lt;&gt;A1262)+($E$2:$E$4734&lt;&gt;0))&gt;0)*1000000)),"")</f>
        <v/>
      </c>
      <c r="M1262" s="1">
        <f>IF(AND(E1262=0,COUNTIFS($A$2:A1262,A1262,$E$2:E1262,0)=1),L1262,0)</f>
        <v>0</v>
      </c>
    </row>
    <row r="1263" spans="1:13" ht="15" customHeight="1">
      <c r="A1263" s="1">
        <v>7286</v>
      </c>
      <c r="B1263" s="1" t="s">
        <v>69</v>
      </c>
      <c r="C1263" s="2" t="s">
        <v>1478</v>
      </c>
      <c r="D1263" s="2" t="s">
        <v>1486</v>
      </c>
      <c r="E1263" s="1">
        <v>1</v>
      </c>
      <c r="F1263" s="2" t="s">
        <v>1489</v>
      </c>
      <c r="G1263" s="1">
        <v>3</v>
      </c>
      <c r="H1263" s="1" t="str">
        <f t="shared" si="20"/>
        <v>k7286_3</v>
      </c>
      <c r="K1263" s="1">
        <f>IF(E1263=0,SUMPRODUCT(($A$2:$A$4734=A1263)*($B$2:$B$4734=B1263)*($D$2:$D$4734=D1263)*($E$2:$E$4734=0)),0)</f>
        <v>0</v>
      </c>
      <c r="L1263" s="1" t="str">
        <f>IF(E1263=0,SUMPRODUCT(MIN($K$2:$K$4734+((($A$2:$A$4734&lt;&gt;A1263)+($E$2:$E$4734&lt;&gt;0))&gt;0)*1000000)),"")</f>
        <v/>
      </c>
      <c r="M1263" s="1">
        <f>IF(AND(E1263=0,COUNTIFS($A$2:A1263,A1263,$E$2:E1263,0)=1),L1263,0)</f>
        <v>0</v>
      </c>
    </row>
    <row r="1264" spans="1:13" ht="15" customHeight="1">
      <c r="A1264" s="1">
        <v>7286</v>
      </c>
      <c r="B1264" s="1" t="s">
        <v>69</v>
      </c>
      <c r="C1264" s="2" t="s">
        <v>1478</v>
      </c>
      <c r="D1264" s="2" t="s">
        <v>1486</v>
      </c>
      <c r="E1264" s="1">
        <v>1</v>
      </c>
      <c r="F1264" s="2" t="s">
        <v>1490</v>
      </c>
      <c r="G1264" s="1">
        <v>4</v>
      </c>
      <c r="H1264" s="1" t="str">
        <f t="shared" si="20"/>
        <v>k7286_4</v>
      </c>
      <c r="K1264" s="1">
        <f>IF(E1264=0,SUMPRODUCT(($A$2:$A$4734=A1264)*($B$2:$B$4734=B1264)*($D$2:$D$4734=D1264)*($E$2:$E$4734=0)),0)</f>
        <v>0</v>
      </c>
      <c r="L1264" s="1" t="str">
        <f>IF(E1264=0,SUMPRODUCT(MIN($K$2:$K$4734+((($A$2:$A$4734&lt;&gt;A1264)+($E$2:$E$4734&lt;&gt;0))&gt;0)*1000000)),"")</f>
        <v/>
      </c>
      <c r="M1264" s="1">
        <f>IF(AND(E1264=0,COUNTIFS($A$2:A1264,A1264,$E$2:E1264,0)=1),L1264,0)</f>
        <v>0</v>
      </c>
    </row>
    <row r="1265" spans="1:13" ht="15" customHeight="1">
      <c r="A1265" s="1">
        <v>7286</v>
      </c>
      <c r="B1265" s="1" t="s">
        <v>144</v>
      </c>
      <c r="C1265" s="2" t="s">
        <v>1478</v>
      </c>
      <c r="D1265" s="2" t="s">
        <v>1486</v>
      </c>
      <c r="E1265" s="1">
        <v>1</v>
      </c>
      <c r="F1265" s="2" t="s">
        <v>1491</v>
      </c>
      <c r="G1265" s="1">
        <v>1</v>
      </c>
      <c r="H1265" s="1" t="str">
        <f t="shared" si="20"/>
        <v>k7286_1</v>
      </c>
      <c r="K1265" s="1">
        <f>IF(E1265=0,SUMPRODUCT(($A$2:$A$4734=A1265)*($B$2:$B$4734=B1265)*($D$2:$D$4734=D1265)*($E$2:$E$4734=0)),0)</f>
        <v>0</v>
      </c>
      <c r="L1265" s="1" t="str">
        <f>IF(E1265=0,SUMPRODUCT(MIN($K$2:$K$4734+((($A$2:$A$4734&lt;&gt;A1265)+($E$2:$E$4734&lt;&gt;0))&gt;0)*1000000)),"")</f>
        <v/>
      </c>
      <c r="M1265" s="1">
        <f>IF(AND(E1265=0,COUNTIFS($A$2:A1265,A1265,$E$2:E1265,0)=1),L1265,0)</f>
        <v>0</v>
      </c>
    </row>
    <row r="1266" spans="1:13" ht="15" customHeight="1">
      <c r="A1266" s="1">
        <v>7286</v>
      </c>
      <c r="B1266" s="1" t="s">
        <v>144</v>
      </c>
      <c r="C1266" s="2" t="s">
        <v>1478</v>
      </c>
      <c r="D1266" s="2" t="s">
        <v>1486</v>
      </c>
      <c r="E1266" s="1">
        <v>1</v>
      </c>
      <c r="F1266" s="2" t="s">
        <v>1492</v>
      </c>
      <c r="G1266" s="1">
        <v>2</v>
      </c>
      <c r="H1266" s="1" t="str">
        <f t="shared" si="20"/>
        <v>k7286_2</v>
      </c>
      <c r="K1266" s="1">
        <f>IF(E1266=0,SUMPRODUCT(($A$2:$A$4734=A1266)*($B$2:$B$4734=B1266)*($D$2:$D$4734=D1266)*($E$2:$E$4734=0)),0)</f>
        <v>0</v>
      </c>
      <c r="L1266" s="1" t="str">
        <f>IF(E1266=0,SUMPRODUCT(MIN($K$2:$K$4734+((($A$2:$A$4734&lt;&gt;A1266)+($E$2:$E$4734&lt;&gt;0))&gt;0)*1000000)),"")</f>
        <v/>
      </c>
      <c r="M1266" s="1">
        <f>IF(AND(E1266=0,COUNTIFS($A$2:A1266,A1266,$E$2:E1266,0)=1),L1266,0)</f>
        <v>0</v>
      </c>
    </row>
    <row r="1267" spans="1:13" ht="15" customHeight="1">
      <c r="A1267" s="1">
        <v>7286</v>
      </c>
      <c r="B1267" s="1" t="s">
        <v>144</v>
      </c>
      <c r="C1267" s="2" t="s">
        <v>1478</v>
      </c>
      <c r="D1267" s="2" t="s">
        <v>1486</v>
      </c>
      <c r="E1267" s="1">
        <v>1</v>
      </c>
      <c r="F1267" s="2" t="s">
        <v>1493</v>
      </c>
      <c r="G1267" s="1">
        <v>3</v>
      </c>
      <c r="H1267" s="1" t="str">
        <f t="shared" si="20"/>
        <v>k7286_3</v>
      </c>
      <c r="K1267" s="1">
        <f>IF(E1267=0,SUMPRODUCT(($A$2:$A$4734=A1267)*($B$2:$B$4734=B1267)*($D$2:$D$4734=D1267)*($E$2:$E$4734=0)),0)</f>
        <v>0</v>
      </c>
      <c r="L1267" s="1" t="str">
        <f>IF(E1267=0,SUMPRODUCT(MIN($K$2:$K$4734+((($A$2:$A$4734&lt;&gt;A1267)+($E$2:$E$4734&lt;&gt;0))&gt;0)*1000000)),"")</f>
        <v/>
      </c>
      <c r="M1267" s="1">
        <f>IF(AND(E1267=0,COUNTIFS($A$2:A1267,A1267,$E$2:E1267,0)=1),L1267,0)</f>
        <v>0</v>
      </c>
    </row>
    <row r="1268" spans="1:13" ht="15" customHeight="1">
      <c r="A1268" s="1">
        <v>7286</v>
      </c>
      <c r="B1268" s="1" t="s">
        <v>144</v>
      </c>
      <c r="C1268" s="2" t="s">
        <v>1478</v>
      </c>
      <c r="D1268" s="2" t="s">
        <v>1486</v>
      </c>
      <c r="E1268" s="1">
        <v>1</v>
      </c>
      <c r="F1268" s="2" t="s">
        <v>1494</v>
      </c>
      <c r="G1268" s="1">
        <v>4</v>
      </c>
      <c r="H1268" s="1" t="str">
        <f t="shared" si="20"/>
        <v>k7286_4</v>
      </c>
      <c r="K1268" s="1">
        <f>IF(E1268=0,SUMPRODUCT(($A$2:$A$4734=A1268)*($B$2:$B$4734=B1268)*($D$2:$D$4734=D1268)*($E$2:$E$4734=0)),0)</f>
        <v>0</v>
      </c>
      <c r="L1268" s="1" t="str">
        <f>IF(E1268=0,SUMPRODUCT(MIN($K$2:$K$4734+((($A$2:$A$4734&lt;&gt;A1268)+($E$2:$E$4734&lt;&gt;0))&gt;0)*1000000)),"")</f>
        <v/>
      </c>
      <c r="M1268" s="1">
        <f>IF(AND(E1268=0,COUNTIFS($A$2:A1268,A1268,$E$2:E1268,0)=1),L1268,0)</f>
        <v>0</v>
      </c>
    </row>
    <row r="1269" spans="1:13" ht="15" customHeight="1">
      <c r="A1269" s="1">
        <v>7287</v>
      </c>
      <c r="B1269" s="1" t="s">
        <v>173</v>
      </c>
      <c r="C1269" s="2" t="s">
        <v>1495</v>
      </c>
      <c r="D1269" s="2" t="s">
        <v>1495</v>
      </c>
      <c r="E1269" s="1">
        <v>1</v>
      </c>
      <c r="F1269" s="2" t="s">
        <v>1496</v>
      </c>
      <c r="G1269" s="1">
        <v>1</v>
      </c>
      <c r="H1269" s="1" t="str">
        <f t="shared" si="20"/>
        <v>k7287_1</v>
      </c>
      <c r="K1269" s="1">
        <f>IF(E1269=0,SUMPRODUCT(($A$2:$A$4734=A1269)*($B$2:$B$4734=B1269)*($D$2:$D$4734=D1269)*($E$2:$E$4734=0)),0)</f>
        <v>0</v>
      </c>
      <c r="L1269" s="1" t="str">
        <f>IF(E1269=0,SUMPRODUCT(MIN($K$2:$K$4734+((($A$2:$A$4734&lt;&gt;A1269)+($E$2:$E$4734&lt;&gt;0))&gt;0)*1000000)),"")</f>
        <v/>
      </c>
      <c r="M1269" s="1">
        <f>IF(AND(E1269=0,COUNTIFS($A$2:A1269,A1269,$E$2:E1269,0)=1),L1269,0)</f>
        <v>0</v>
      </c>
    </row>
    <row r="1270" spans="1:13" ht="15" customHeight="1">
      <c r="A1270" s="1">
        <v>7287</v>
      </c>
      <c r="B1270" s="1" t="s">
        <v>173</v>
      </c>
      <c r="C1270" s="2" t="s">
        <v>1495</v>
      </c>
      <c r="D1270" s="2" t="s">
        <v>1495</v>
      </c>
      <c r="E1270" s="1">
        <v>1</v>
      </c>
      <c r="F1270" s="2" t="s">
        <v>1497</v>
      </c>
      <c r="G1270" s="1">
        <v>2</v>
      </c>
      <c r="H1270" s="1" t="str">
        <f t="shared" si="20"/>
        <v>k7287_2</v>
      </c>
      <c r="K1270" s="1">
        <f>IF(E1270=0,SUMPRODUCT(($A$2:$A$4734=A1270)*($B$2:$B$4734=B1270)*($D$2:$D$4734=D1270)*($E$2:$E$4734=0)),0)</f>
        <v>0</v>
      </c>
      <c r="L1270" s="1" t="str">
        <f>IF(E1270=0,SUMPRODUCT(MIN($K$2:$K$4734+((($A$2:$A$4734&lt;&gt;A1270)+($E$2:$E$4734&lt;&gt;0))&gt;0)*1000000)),"")</f>
        <v/>
      </c>
      <c r="M1270" s="1">
        <f>IF(AND(E1270=0,COUNTIFS($A$2:A1270,A1270,$E$2:E1270,0)=1),L1270,0)</f>
        <v>0</v>
      </c>
    </row>
    <row r="1271" spans="1:13" ht="15" customHeight="1">
      <c r="A1271" s="1">
        <v>7287</v>
      </c>
      <c r="B1271" s="1" t="s">
        <v>173</v>
      </c>
      <c r="C1271" s="2" t="s">
        <v>1495</v>
      </c>
      <c r="D1271" s="2" t="s">
        <v>1495</v>
      </c>
      <c r="E1271" s="1">
        <v>1</v>
      </c>
      <c r="F1271" s="2" t="s">
        <v>1498</v>
      </c>
      <c r="G1271" s="1">
        <v>3</v>
      </c>
      <c r="H1271" s="1" t="str">
        <f t="shared" si="20"/>
        <v>k7287_3</v>
      </c>
      <c r="K1271" s="1">
        <f>IF(E1271=0,SUMPRODUCT(($A$2:$A$4734=A1271)*($B$2:$B$4734=B1271)*($D$2:$D$4734=D1271)*($E$2:$E$4734=0)),0)</f>
        <v>0</v>
      </c>
      <c r="L1271" s="1" t="str">
        <f>IF(E1271=0,SUMPRODUCT(MIN($K$2:$K$4734+((($A$2:$A$4734&lt;&gt;A1271)+($E$2:$E$4734&lt;&gt;0))&gt;0)*1000000)),"")</f>
        <v/>
      </c>
      <c r="M1271" s="1">
        <f>IF(AND(E1271=0,COUNTIFS($A$2:A1271,A1271,$E$2:E1271,0)=1),L1271,0)</f>
        <v>0</v>
      </c>
    </row>
    <row r="1272" spans="1:13" ht="15" customHeight="1">
      <c r="A1272" s="1">
        <v>7287</v>
      </c>
      <c r="B1272" s="1" t="s">
        <v>173</v>
      </c>
      <c r="C1272" s="2" t="s">
        <v>1495</v>
      </c>
      <c r="D1272" s="2" t="s">
        <v>1495</v>
      </c>
      <c r="E1272" s="1">
        <v>1</v>
      </c>
      <c r="F1272" s="2" t="s">
        <v>1499</v>
      </c>
      <c r="G1272" s="1">
        <v>4</v>
      </c>
      <c r="H1272" s="1" t="str">
        <f t="shared" si="20"/>
        <v>k7287_4</v>
      </c>
      <c r="K1272" s="1">
        <f>IF(E1272=0,SUMPRODUCT(($A$2:$A$4734=A1272)*($B$2:$B$4734=B1272)*($D$2:$D$4734=D1272)*($E$2:$E$4734=0)),0)</f>
        <v>0</v>
      </c>
      <c r="L1272" s="1" t="str">
        <f>IF(E1272=0,SUMPRODUCT(MIN($K$2:$K$4734+((($A$2:$A$4734&lt;&gt;A1272)+($E$2:$E$4734&lt;&gt;0))&gt;0)*1000000)),"")</f>
        <v/>
      </c>
      <c r="M1272" s="1">
        <f>IF(AND(E1272=0,COUNTIFS($A$2:A1272,A1272,$E$2:E1272,0)=1),L1272,0)</f>
        <v>0</v>
      </c>
    </row>
    <row r="1273" spans="1:13" ht="15" customHeight="1">
      <c r="A1273" s="1">
        <v>7287</v>
      </c>
      <c r="B1273" s="1" t="s">
        <v>144</v>
      </c>
      <c r="C1273" s="2" t="s">
        <v>1495</v>
      </c>
      <c r="D1273" s="2" t="s">
        <v>1500</v>
      </c>
      <c r="E1273" s="1">
        <v>1</v>
      </c>
      <c r="F1273" s="2" t="s">
        <v>1501</v>
      </c>
      <c r="G1273" s="1">
        <v>1</v>
      </c>
      <c r="H1273" s="1" t="str">
        <f t="shared" si="20"/>
        <v>k7287_1</v>
      </c>
      <c r="K1273" s="1">
        <f>IF(E1273=0,SUMPRODUCT(($A$2:$A$4734=A1273)*($B$2:$B$4734=B1273)*($D$2:$D$4734=D1273)*($E$2:$E$4734=0)),0)</f>
        <v>0</v>
      </c>
      <c r="L1273" s="1" t="str">
        <f>IF(E1273=0,SUMPRODUCT(MIN($K$2:$K$4734+((($A$2:$A$4734&lt;&gt;A1273)+($E$2:$E$4734&lt;&gt;0))&gt;0)*1000000)),"")</f>
        <v/>
      </c>
      <c r="M1273" s="1">
        <f>IF(AND(E1273=0,COUNTIFS($A$2:A1273,A1273,$E$2:E1273,0)=1),L1273,0)</f>
        <v>0</v>
      </c>
    </row>
    <row r="1274" spans="1:13" ht="15" customHeight="1">
      <c r="A1274" s="1">
        <v>7287</v>
      </c>
      <c r="B1274" s="1" t="s">
        <v>144</v>
      </c>
      <c r="C1274" s="2" t="s">
        <v>1495</v>
      </c>
      <c r="D1274" s="2" t="s">
        <v>1500</v>
      </c>
      <c r="E1274" s="1">
        <v>1</v>
      </c>
      <c r="F1274" s="2" t="s">
        <v>1502</v>
      </c>
      <c r="G1274" s="1">
        <v>2</v>
      </c>
      <c r="H1274" s="1" t="str">
        <f t="shared" si="20"/>
        <v>k7287_2</v>
      </c>
      <c r="K1274" s="1">
        <f>IF(E1274=0,SUMPRODUCT(($A$2:$A$4734=A1274)*($B$2:$B$4734=B1274)*($D$2:$D$4734=D1274)*($E$2:$E$4734=0)),0)</f>
        <v>0</v>
      </c>
      <c r="L1274" s="1" t="str">
        <f>IF(E1274=0,SUMPRODUCT(MIN($K$2:$K$4734+((($A$2:$A$4734&lt;&gt;A1274)+($E$2:$E$4734&lt;&gt;0))&gt;0)*1000000)),"")</f>
        <v/>
      </c>
      <c r="M1274" s="1">
        <f>IF(AND(E1274=0,COUNTIFS($A$2:A1274,A1274,$E$2:E1274,0)=1),L1274,0)</f>
        <v>0</v>
      </c>
    </row>
    <row r="1275" spans="1:13" ht="15" customHeight="1">
      <c r="A1275" s="1">
        <v>7287</v>
      </c>
      <c r="B1275" s="1" t="s">
        <v>144</v>
      </c>
      <c r="C1275" s="2" t="s">
        <v>1495</v>
      </c>
      <c r="D1275" s="2" t="s">
        <v>1500</v>
      </c>
      <c r="E1275" s="1">
        <v>1</v>
      </c>
      <c r="F1275" s="2" t="s">
        <v>1503</v>
      </c>
      <c r="G1275" s="1">
        <v>3</v>
      </c>
      <c r="H1275" s="1" t="str">
        <f t="shared" si="20"/>
        <v>k7287_3</v>
      </c>
      <c r="K1275" s="1">
        <f>IF(E1275=0,SUMPRODUCT(($A$2:$A$4734=A1275)*($B$2:$B$4734=B1275)*($D$2:$D$4734=D1275)*($E$2:$E$4734=0)),0)</f>
        <v>0</v>
      </c>
      <c r="L1275" s="1" t="str">
        <f>IF(E1275=0,SUMPRODUCT(MIN($K$2:$K$4734+((($A$2:$A$4734&lt;&gt;A1275)+($E$2:$E$4734&lt;&gt;0))&gt;0)*1000000)),"")</f>
        <v/>
      </c>
      <c r="M1275" s="1">
        <f>IF(AND(E1275=0,COUNTIFS($A$2:A1275,A1275,$E$2:E1275,0)=1),L1275,0)</f>
        <v>0</v>
      </c>
    </row>
    <row r="1276" spans="1:13" ht="15" customHeight="1">
      <c r="A1276" s="1">
        <v>7287</v>
      </c>
      <c r="B1276" s="1" t="s">
        <v>144</v>
      </c>
      <c r="C1276" s="2" t="s">
        <v>1495</v>
      </c>
      <c r="D1276" s="2" t="s">
        <v>1500</v>
      </c>
      <c r="E1276" s="1">
        <v>1</v>
      </c>
      <c r="F1276" s="2" t="s">
        <v>1504</v>
      </c>
      <c r="G1276" s="1">
        <v>4</v>
      </c>
      <c r="H1276" s="1" t="str">
        <f t="shared" si="20"/>
        <v>k7287_4</v>
      </c>
      <c r="K1276" s="1">
        <f>IF(E1276=0,SUMPRODUCT(($A$2:$A$4734=A1276)*($B$2:$B$4734=B1276)*($D$2:$D$4734=D1276)*($E$2:$E$4734=0)),0)</f>
        <v>0</v>
      </c>
      <c r="L1276" s="1" t="str">
        <f>IF(E1276=0,SUMPRODUCT(MIN($K$2:$K$4734+((($A$2:$A$4734&lt;&gt;A1276)+($E$2:$E$4734&lt;&gt;0))&gt;0)*1000000)),"")</f>
        <v/>
      </c>
      <c r="M1276" s="1">
        <f>IF(AND(E1276=0,COUNTIFS($A$2:A1276,A1276,$E$2:E1276,0)=1),L1276,0)</f>
        <v>0</v>
      </c>
    </row>
    <row r="1277" spans="1:13" ht="15" customHeight="1">
      <c r="A1277" s="1">
        <v>7288</v>
      </c>
      <c r="B1277" s="1" t="s">
        <v>9</v>
      </c>
      <c r="C1277" s="2" t="s">
        <v>1505</v>
      </c>
      <c r="D1277" s="2" t="s">
        <v>1506</v>
      </c>
      <c r="E1277" s="1">
        <v>0</v>
      </c>
      <c r="F1277" s="2" t="s">
        <v>1507</v>
      </c>
      <c r="H1277" s="1" t="str">
        <f t="shared" si="20"/>
        <v/>
      </c>
      <c r="K1277" s="1">
        <f>IF(E1277=0,SUMPRODUCT(($A$2:$A$4734=A1277)*($B$2:$B$4734=B1277)*($D$2:$D$4734=D1277)*($E$2:$E$4734=0)),0)</f>
        <v>3</v>
      </c>
      <c r="L1277" s="1">
        <f>IF(E1277=0,SUMPRODUCT(MIN($K$2:$K$4734+((($A$2:$A$4734&lt;&gt;A1277)+($E$2:$E$4734&lt;&gt;0))&gt;0)*1000000)),"")</f>
        <v>3</v>
      </c>
      <c r="M1277" s="1">
        <f>IF(AND(E1277=0,COUNTIFS($A$2:A1277,A1277,$E$2:E1277,0)=1),L1277,0)</f>
        <v>3</v>
      </c>
    </row>
    <row r="1278" spans="1:13" ht="15" customHeight="1">
      <c r="A1278" s="1">
        <v>7288</v>
      </c>
      <c r="B1278" s="1" t="s">
        <v>9</v>
      </c>
      <c r="C1278" s="2" t="s">
        <v>1505</v>
      </c>
      <c r="D1278" s="2" t="s">
        <v>1506</v>
      </c>
      <c r="E1278" s="1">
        <v>0</v>
      </c>
      <c r="F1278" s="2" t="s">
        <v>1508</v>
      </c>
      <c r="H1278" s="1" t="str">
        <f t="shared" si="20"/>
        <v/>
      </c>
      <c r="K1278" s="1">
        <f>IF(E1278=0,SUMPRODUCT(($A$2:$A$4734=A1278)*($B$2:$B$4734=B1278)*($D$2:$D$4734=D1278)*($E$2:$E$4734=0)),0)</f>
        <v>3</v>
      </c>
      <c r="L1278" s="1">
        <f>IF(E1278=0,SUMPRODUCT(MIN($K$2:$K$4734+((($A$2:$A$4734&lt;&gt;A1278)+($E$2:$E$4734&lt;&gt;0))&gt;0)*1000000)),"")</f>
        <v>3</v>
      </c>
      <c r="M1278" s="1">
        <f>IF(AND(E1278=0,COUNTIFS($A$2:A1278,A1278,$E$2:E1278,0)=1),L1278,0)</f>
        <v>0</v>
      </c>
    </row>
    <row r="1279" spans="1:13" ht="15" customHeight="1">
      <c r="A1279" s="1">
        <v>7288</v>
      </c>
      <c r="B1279" s="1" t="s">
        <v>9</v>
      </c>
      <c r="C1279" s="2" t="s">
        <v>1505</v>
      </c>
      <c r="D1279" s="2" t="s">
        <v>1506</v>
      </c>
      <c r="E1279" s="1">
        <v>0</v>
      </c>
      <c r="F1279" s="2" t="s">
        <v>1509</v>
      </c>
      <c r="H1279" s="1" t="str">
        <f t="shared" si="20"/>
        <v/>
      </c>
      <c r="K1279" s="1">
        <f>IF(E1279=0,SUMPRODUCT(($A$2:$A$4734=A1279)*($B$2:$B$4734=B1279)*($D$2:$D$4734=D1279)*($E$2:$E$4734=0)),0)</f>
        <v>3</v>
      </c>
      <c r="L1279" s="1">
        <f>IF(E1279=0,SUMPRODUCT(MIN($K$2:$K$4734+((($A$2:$A$4734&lt;&gt;A1279)+($E$2:$E$4734&lt;&gt;0))&gt;0)*1000000)),"")</f>
        <v>3</v>
      </c>
      <c r="M1279" s="1">
        <f>IF(AND(E1279=0,COUNTIFS($A$2:A1279,A1279,$E$2:E1279,0)=1),L1279,0)</f>
        <v>0</v>
      </c>
    </row>
    <row r="1280" spans="1:13" ht="15" customHeight="1">
      <c r="A1280" s="1">
        <v>7288</v>
      </c>
      <c r="B1280" s="1" t="s">
        <v>9</v>
      </c>
      <c r="C1280" s="2" t="s">
        <v>1505</v>
      </c>
      <c r="D1280" s="2" t="s">
        <v>1510</v>
      </c>
      <c r="E1280" s="1">
        <v>0</v>
      </c>
      <c r="F1280" s="2" t="s">
        <v>1511</v>
      </c>
      <c r="H1280" s="1" t="str">
        <f t="shared" si="20"/>
        <v/>
      </c>
      <c r="K1280" s="1">
        <f>IF(E1280=0,SUMPRODUCT(($A$2:$A$4734=A1280)*($B$2:$B$4734=B1280)*($D$2:$D$4734=D1280)*($E$2:$E$4734=0)),0)</f>
        <v>5</v>
      </c>
      <c r="L1280" s="1">
        <f>IF(E1280=0,SUMPRODUCT(MIN($K$2:$K$4734+((($A$2:$A$4734&lt;&gt;A1280)+($E$2:$E$4734&lt;&gt;0))&gt;0)*1000000)),"")</f>
        <v>3</v>
      </c>
      <c r="M1280" s="1">
        <f>IF(AND(E1280=0,COUNTIFS($A$2:A1280,A1280,$E$2:E1280,0)=1),L1280,0)</f>
        <v>0</v>
      </c>
    </row>
    <row r="1281" spans="1:13" ht="15" customHeight="1">
      <c r="A1281" s="1">
        <v>7288</v>
      </c>
      <c r="B1281" s="1" t="s">
        <v>9</v>
      </c>
      <c r="C1281" s="2" t="s">
        <v>1505</v>
      </c>
      <c r="D1281" s="2" t="s">
        <v>1510</v>
      </c>
      <c r="E1281" s="1">
        <v>0</v>
      </c>
      <c r="F1281" s="2" t="s">
        <v>1512</v>
      </c>
      <c r="H1281" s="1" t="str">
        <f t="shared" si="20"/>
        <v/>
      </c>
      <c r="K1281" s="1">
        <f>IF(E1281=0,SUMPRODUCT(($A$2:$A$4734=A1281)*($B$2:$B$4734=B1281)*($D$2:$D$4734=D1281)*($E$2:$E$4734=0)),0)</f>
        <v>5</v>
      </c>
      <c r="L1281" s="1">
        <f>IF(E1281=0,SUMPRODUCT(MIN($K$2:$K$4734+((($A$2:$A$4734&lt;&gt;A1281)+($E$2:$E$4734&lt;&gt;0))&gt;0)*1000000)),"")</f>
        <v>3</v>
      </c>
      <c r="M1281" s="1">
        <f>IF(AND(E1281=0,COUNTIFS($A$2:A1281,A1281,$E$2:E1281,0)=1),L1281,0)</f>
        <v>0</v>
      </c>
    </row>
    <row r="1282" spans="1:13" ht="15" customHeight="1">
      <c r="A1282" s="1">
        <v>7288</v>
      </c>
      <c r="B1282" s="1" t="s">
        <v>9</v>
      </c>
      <c r="C1282" s="2" t="s">
        <v>1505</v>
      </c>
      <c r="D1282" s="2" t="s">
        <v>1510</v>
      </c>
      <c r="E1282" s="1">
        <v>0</v>
      </c>
      <c r="F1282" s="2" t="s">
        <v>1513</v>
      </c>
      <c r="H1282" s="1" t="str">
        <f t="shared" si="20"/>
        <v/>
      </c>
      <c r="K1282" s="1">
        <f>IF(E1282=0,SUMPRODUCT(($A$2:$A$4734=A1282)*($B$2:$B$4734=B1282)*($D$2:$D$4734=D1282)*($E$2:$E$4734=0)),0)</f>
        <v>5</v>
      </c>
      <c r="L1282" s="1">
        <f>IF(E1282=0,SUMPRODUCT(MIN($K$2:$K$4734+((($A$2:$A$4734&lt;&gt;A1282)+($E$2:$E$4734&lt;&gt;0))&gt;0)*1000000)),"")</f>
        <v>3</v>
      </c>
      <c r="M1282" s="1">
        <f>IF(AND(E1282=0,COUNTIFS($A$2:A1282,A1282,$E$2:E1282,0)=1),L1282,0)</f>
        <v>0</v>
      </c>
    </row>
    <row r="1283" spans="1:13" ht="15" customHeight="1">
      <c r="A1283" s="1">
        <v>7288</v>
      </c>
      <c r="B1283" s="1" t="s">
        <v>9</v>
      </c>
      <c r="C1283" s="2" t="s">
        <v>1505</v>
      </c>
      <c r="D1283" s="2" t="s">
        <v>1510</v>
      </c>
      <c r="E1283" s="1">
        <v>0</v>
      </c>
      <c r="F1283" s="2" t="s">
        <v>1514</v>
      </c>
      <c r="H1283" s="1" t="str">
        <f t="shared" si="20"/>
        <v/>
      </c>
      <c r="K1283" s="1">
        <f>IF(E1283=0,SUMPRODUCT(($A$2:$A$4734=A1283)*($B$2:$B$4734=B1283)*($D$2:$D$4734=D1283)*($E$2:$E$4734=0)),0)</f>
        <v>5</v>
      </c>
      <c r="L1283" s="1">
        <f>IF(E1283=0,SUMPRODUCT(MIN($K$2:$K$4734+((($A$2:$A$4734&lt;&gt;A1283)+($E$2:$E$4734&lt;&gt;0))&gt;0)*1000000)),"")</f>
        <v>3</v>
      </c>
      <c r="M1283" s="1">
        <f>IF(AND(E1283=0,COUNTIFS($A$2:A1283,A1283,$E$2:E1283,0)=1),L1283,0)</f>
        <v>0</v>
      </c>
    </row>
    <row r="1284" spans="1:13" ht="15" customHeight="1">
      <c r="A1284" s="1">
        <v>7288</v>
      </c>
      <c r="B1284" s="1" t="s">
        <v>9</v>
      </c>
      <c r="C1284" s="2" t="s">
        <v>1505</v>
      </c>
      <c r="D1284" s="2" t="s">
        <v>1510</v>
      </c>
      <c r="E1284" s="1">
        <v>0</v>
      </c>
      <c r="F1284" s="2" t="s">
        <v>1515</v>
      </c>
      <c r="H1284" s="1" t="str">
        <f t="shared" si="20"/>
        <v/>
      </c>
      <c r="K1284" s="1">
        <f>IF(E1284=0,SUMPRODUCT(($A$2:$A$4734=A1284)*($B$2:$B$4734=B1284)*($D$2:$D$4734=D1284)*($E$2:$E$4734=0)),0)</f>
        <v>5</v>
      </c>
      <c r="L1284" s="1">
        <f>IF(E1284=0,SUMPRODUCT(MIN($K$2:$K$4734+((($A$2:$A$4734&lt;&gt;A1284)+($E$2:$E$4734&lt;&gt;0))&gt;0)*1000000)),"")</f>
        <v>3</v>
      </c>
      <c r="M1284" s="1">
        <f>IF(AND(E1284=0,COUNTIFS($A$2:A1284,A1284,$E$2:E1284,0)=1),L1284,0)</f>
        <v>0</v>
      </c>
    </row>
    <row r="1285" spans="1:13" ht="15" customHeight="1">
      <c r="A1285" s="1">
        <v>7288</v>
      </c>
      <c r="B1285" s="1" t="s">
        <v>16</v>
      </c>
      <c r="C1285" s="2" t="s">
        <v>1505</v>
      </c>
      <c r="D1285" s="2" t="s">
        <v>1516</v>
      </c>
      <c r="E1285" s="1">
        <v>0</v>
      </c>
      <c r="F1285" s="2" t="s">
        <v>1517</v>
      </c>
      <c r="H1285" s="1" t="str">
        <f t="shared" si="20"/>
        <v/>
      </c>
      <c r="K1285" s="1">
        <f>IF(E1285=0,SUMPRODUCT(($A$2:$A$4734=A1285)*($B$2:$B$4734=B1285)*($D$2:$D$4734=D1285)*($E$2:$E$4734=0)),0)</f>
        <v>4</v>
      </c>
      <c r="L1285" s="1">
        <f>IF(E1285=0,SUMPRODUCT(MIN($K$2:$K$4734+((($A$2:$A$4734&lt;&gt;A1285)+($E$2:$E$4734&lt;&gt;0))&gt;0)*1000000)),"")</f>
        <v>3</v>
      </c>
      <c r="M1285" s="1">
        <f>IF(AND(E1285=0,COUNTIFS($A$2:A1285,A1285,$E$2:E1285,0)=1),L1285,0)</f>
        <v>0</v>
      </c>
    </row>
    <row r="1286" spans="1:13" ht="15" customHeight="1">
      <c r="A1286" s="1">
        <v>7288</v>
      </c>
      <c r="B1286" s="1" t="s">
        <v>16</v>
      </c>
      <c r="C1286" s="2" t="s">
        <v>1505</v>
      </c>
      <c r="D1286" s="2" t="s">
        <v>1516</v>
      </c>
      <c r="E1286" s="1">
        <v>0</v>
      </c>
      <c r="F1286" s="2" t="s">
        <v>1518</v>
      </c>
      <c r="H1286" s="1" t="str">
        <f t="shared" si="20"/>
        <v/>
      </c>
      <c r="K1286" s="1">
        <f>IF(E1286=0,SUMPRODUCT(($A$2:$A$4734=A1286)*($B$2:$B$4734=B1286)*($D$2:$D$4734=D1286)*($E$2:$E$4734=0)),0)</f>
        <v>4</v>
      </c>
      <c r="L1286" s="1">
        <f>IF(E1286=0,SUMPRODUCT(MIN($K$2:$K$4734+((($A$2:$A$4734&lt;&gt;A1286)+($E$2:$E$4734&lt;&gt;0))&gt;0)*1000000)),"")</f>
        <v>3</v>
      </c>
      <c r="M1286" s="1">
        <f>IF(AND(E1286=0,COUNTIFS($A$2:A1286,A1286,$E$2:E1286,0)=1),L1286,0)</f>
        <v>0</v>
      </c>
    </row>
    <row r="1287" spans="1:13" ht="15" customHeight="1">
      <c r="A1287" s="1">
        <v>7288</v>
      </c>
      <c r="B1287" s="1" t="s">
        <v>16</v>
      </c>
      <c r="C1287" s="2" t="s">
        <v>1505</v>
      </c>
      <c r="D1287" s="2" t="s">
        <v>1516</v>
      </c>
      <c r="E1287" s="1">
        <v>0</v>
      </c>
      <c r="F1287" s="2" t="s">
        <v>1519</v>
      </c>
      <c r="H1287" s="1" t="str">
        <f t="shared" si="20"/>
        <v/>
      </c>
      <c r="K1287" s="1">
        <f>IF(E1287=0,SUMPRODUCT(($A$2:$A$4734=A1287)*($B$2:$B$4734=B1287)*($D$2:$D$4734=D1287)*($E$2:$E$4734=0)),0)</f>
        <v>4</v>
      </c>
      <c r="L1287" s="1">
        <f>IF(E1287=0,SUMPRODUCT(MIN($K$2:$K$4734+((($A$2:$A$4734&lt;&gt;A1287)+($E$2:$E$4734&lt;&gt;0))&gt;0)*1000000)),"")</f>
        <v>3</v>
      </c>
      <c r="M1287" s="1">
        <f>IF(AND(E1287=0,COUNTIFS($A$2:A1287,A1287,$E$2:E1287,0)=1),L1287,0)</f>
        <v>0</v>
      </c>
    </row>
    <row r="1288" spans="1:13" ht="15" customHeight="1">
      <c r="A1288" s="1">
        <v>7288</v>
      </c>
      <c r="B1288" s="1" t="s">
        <v>16</v>
      </c>
      <c r="C1288" s="2" t="s">
        <v>1505</v>
      </c>
      <c r="D1288" s="2" t="s">
        <v>1516</v>
      </c>
      <c r="E1288" s="1">
        <v>0</v>
      </c>
      <c r="F1288" s="2" t="s">
        <v>1520</v>
      </c>
      <c r="H1288" s="1" t="str">
        <f t="shared" si="20"/>
        <v/>
      </c>
      <c r="K1288" s="1">
        <f>IF(E1288=0,SUMPRODUCT(($A$2:$A$4734=A1288)*($B$2:$B$4734=B1288)*($D$2:$D$4734=D1288)*($E$2:$E$4734=0)),0)</f>
        <v>4</v>
      </c>
      <c r="L1288" s="1">
        <f>IF(E1288=0,SUMPRODUCT(MIN($K$2:$K$4734+((($A$2:$A$4734&lt;&gt;A1288)+($E$2:$E$4734&lt;&gt;0))&gt;0)*1000000)),"")</f>
        <v>3</v>
      </c>
      <c r="M1288" s="1">
        <f>IF(AND(E1288=0,COUNTIFS($A$2:A1288,A1288,$E$2:E1288,0)=1),L1288,0)</f>
        <v>0</v>
      </c>
    </row>
    <row r="1289" spans="1:13" ht="15" customHeight="1">
      <c r="A1289" s="1">
        <v>7289</v>
      </c>
      <c r="B1289" s="1" t="s">
        <v>9</v>
      </c>
      <c r="C1289" s="2" t="s">
        <v>1521</v>
      </c>
      <c r="D1289" s="2" t="s">
        <v>1522</v>
      </c>
      <c r="E1289" s="1">
        <v>0</v>
      </c>
      <c r="F1289" s="2" t="s">
        <v>1523</v>
      </c>
      <c r="H1289" s="1" t="str">
        <f t="shared" si="20"/>
        <v/>
      </c>
      <c r="K1289" s="1">
        <f>IF(E1289=0,SUMPRODUCT(($A$2:$A$4734=A1289)*($B$2:$B$4734=B1289)*($D$2:$D$4734=D1289)*($E$2:$E$4734=0)),0)</f>
        <v>3</v>
      </c>
      <c r="L1289" s="1">
        <f>IF(E1289=0,SUMPRODUCT(MIN($K$2:$K$4734+((($A$2:$A$4734&lt;&gt;A1289)+($E$2:$E$4734&lt;&gt;0))&gt;0)*1000000)),"")</f>
        <v>3</v>
      </c>
      <c r="M1289" s="1">
        <f>IF(AND(E1289=0,COUNTIFS($A$2:A1289,A1289,$E$2:E1289,0)=1),L1289,0)</f>
        <v>3</v>
      </c>
    </row>
    <row r="1290" spans="1:13" ht="15" customHeight="1">
      <c r="A1290" s="1">
        <v>7289</v>
      </c>
      <c r="B1290" s="1" t="s">
        <v>9</v>
      </c>
      <c r="C1290" s="2" t="s">
        <v>1521</v>
      </c>
      <c r="D1290" s="2" t="s">
        <v>1522</v>
      </c>
      <c r="E1290" s="1">
        <v>0</v>
      </c>
      <c r="F1290" s="2" t="s">
        <v>1524</v>
      </c>
      <c r="H1290" s="1" t="str">
        <f t="shared" si="20"/>
        <v/>
      </c>
      <c r="K1290" s="1">
        <f>IF(E1290=0,SUMPRODUCT(($A$2:$A$4734=A1290)*($B$2:$B$4734=B1290)*($D$2:$D$4734=D1290)*($E$2:$E$4734=0)),0)</f>
        <v>3</v>
      </c>
      <c r="L1290" s="1">
        <f>IF(E1290=0,SUMPRODUCT(MIN($K$2:$K$4734+((($A$2:$A$4734&lt;&gt;A1290)+($E$2:$E$4734&lt;&gt;0))&gt;0)*1000000)),"")</f>
        <v>3</v>
      </c>
      <c r="M1290" s="1">
        <f>IF(AND(E1290=0,COUNTIFS($A$2:A1290,A1290,$E$2:E1290,0)=1),L1290,0)</f>
        <v>0</v>
      </c>
    </row>
    <row r="1291" spans="1:13" ht="15" customHeight="1">
      <c r="A1291" s="1">
        <v>7289</v>
      </c>
      <c r="B1291" s="1" t="s">
        <v>9</v>
      </c>
      <c r="C1291" s="2" t="s">
        <v>1521</v>
      </c>
      <c r="D1291" s="2" t="s">
        <v>1522</v>
      </c>
      <c r="E1291" s="1">
        <v>0</v>
      </c>
      <c r="F1291" s="2" t="s">
        <v>1525</v>
      </c>
      <c r="H1291" s="1" t="str">
        <f t="shared" si="20"/>
        <v/>
      </c>
      <c r="K1291" s="1">
        <f>IF(E1291=0,SUMPRODUCT(($A$2:$A$4734=A1291)*($B$2:$B$4734=B1291)*($D$2:$D$4734=D1291)*($E$2:$E$4734=0)),0)</f>
        <v>3</v>
      </c>
      <c r="L1291" s="1">
        <f>IF(E1291=0,SUMPRODUCT(MIN($K$2:$K$4734+((($A$2:$A$4734&lt;&gt;A1291)+($E$2:$E$4734&lt;&gt;0))&gt;0)*1000000)),"")</f>
        <v>3</v>
      </c>
      <c r="M1291" s="1">
        <f>IF(AND(E1291=0,COUNTIFS($A$2:A1291,A1291,$E$2:E1291,0)=1),L1291,0)</f>
        <v>0</v>
      </c>
    </row>
    <row r="1292" spans="1:13" ht="15" customHeight="1">
      <c r="A1292" s="1">
        <v>7290</v>
      </c>
      <c r="B1292" s="1" t="s">
        <v>69</v>
      </c>
      <c r="C1292" s="1" t="s">
        <v>1526</v>
      </c>
      <c r="D1292" s="1" t="s">
        <v>1526</v>
      </c>
      <c r="E1292" s="1">
        <v>1</v>
      </c>
      <c r="F1292" s="2" t="s">
        <v>1527</v>
      </c>
      <c r="G1292" s="1">
        <v>1</v>
      </c>
      <c r="H1292" s="1" t="str">
        <f t="shared" si="20"/>
        <v>k7290_1</v>
      </c>
      <c r="K1292" s="1">
        <f>IF(E1292=0,SUMPRODUCT(($A$2:$A$4734=A1292)*($B$2:$B$4734=B1292)*($D$2:$D$4734=D1292)*($E$2:$E$4734=0)),0)</f>
        <v>0</v>
      </c>
      <c r="L1292" s="1" t="str">
        <f>IF(E1292=0,SUMPRODUCT(MIN($K$2:$K$4734+((($A$2:$A$4734&lt;&gt;A1292)+($E$2:$E$4734&lt;&gt;0))&gt;0)*1000000)),"")</f>
        <v/>
      </c>
      <c r="M1292" s="1">
        <f>IF(AND(E1292=0,COUNTIFS($A$2:A1292,A1292,$E$2:E1292,0)=1),L1292,0)</f>
        <v>0</v>
      </c>
    </row>
    <row r="1293" spans="1:13" ht="15" customHeight="1">
      <c r="A1293" s="1">
        <v>7290</v>
      </c>
      <c r="B1293" s="1" t="s">
        <v>69</v>
      </c>
      <c r="C1293" s="1" t="s">
        <v>1526</v>
      </c>
      <c r="D1293" s="1" t="s">
        <v>1526</v>
      </c>
      <c r="E1293" s="1">
        <v>1</v>
      </c>
      <c r="F1293" s="2" t="s">
        <v>1528</v>
      </c>
      <c r="G1293" s="1">
        <v>2</v>
      </c>
      <c r="H1293" s="1" t="str">
        <f t="shared" si="20"/>
        <v>k7290_2</v>
      </c>
      <c r="K1293" s="1">
        <f>IF(E1293=0,SUMPRODUCT(($A$2:$A$4734=A1293)*($B$2:$B$4734=B1293)*($D$2:$D$4734=D1293)*($E$2:$E$4734=0)),0)</f>
        <v>0</v>
      </c>
      <c r="L1293" s="1" t="str">
        <f>IF(E1293=0,SUMPRODUCT(MIN($K$2:$K$4734+((($A$2:$A$4734&lt;&gt;A1293)+($E$2:$E$4734&lt;&gt;0))&gt;0)*1000000)),"")</f>
        <v/>
      </c>
      <c r="M1293" s="1">
        <f>IF(AND(E1293=0,COUNTIFS($A$2:A1293,A1293,$E$2:E1293,0)=1),L1293,0)</f>
        <v>0</v>
      </c>
    </row>
    <row r="1294" spans="1:13" ht="15" customHeight="1">
      <c r="A1294" s="1">
        <v>7290</v>
      </c>
      <c r="B1294" s="1" t="s">
        <v>9</v>
      </c>
      <c r="C1294" s="1" t="s">
        <v>1526</v>
      </c>
      <c r="D1294" s="2" t="s">
        <v>1529</v>
      </c>
      <c r="E1294" s="1">
        <v>1</v>
      </c>
      <c r="F1294" s="2" t="s">
        <v>1530</v>
      </c>
      <c r="G1294" s="1">
        <v>1</v>
      </c>
      <c r="H1294" s="1" t="str">
        <f t="shared" si="20"/>
        <v>k7290_1</v>
      </c>
      <c r="K1294" s="1">
        <f>IF(E1294=0,SUMPRODUCT(($A$2:$A$4734=A1294)*($B$2:$B$4734=B1294)*($D$2:$D$4734=D1294)*($E$2:$E$4734=0)),0)</f>
        <v>0</v>
      </c>
      <c r="L1294" s="1" t="str">
        <f>IF(E1294=0,SUMPRODUCT(MIN($K$2:$K$4734+((($A$2:$A$4734&lt;&gt;A1294)+($E$2:$E$4734&lt;&gt;0))&gt;0)*1000000)),"")</f>
        <v/>
      </c>
      <c r="M1294" s="1">
        <f>IF(AND(E1294=0,COUNTIFS($A$2:A1294,A1294,$E$2:E1294,0)=1),L1294,0)</f>
        <v>0</v>
      </c>
    </row>
    <row r="1295" spans="1:13" ht="15" customHeight="1">
      <c r="A1295" s="1">
        <v>7290</v>
      </c>
      <c r="B1295" s="1" t="s">
        <v>9</v>
      </c>
      <c r="C1295" s="1" t="s">
        <v>1526</v>
      </c>
      <c r="D1295" s="2" t="s">
        <v>1529</v>
      </c>
      <c r="E1295" s="1">
        <v>1</v>
      </c>
      <c r="F1295" s="2" t="s">
        <v>1531</v>
      </c>
      <c r="G1295" s="1">
        <v>2</v>
      </c>
      <c r="H1295" s="1" t="str">
        <f t="shared" si="20"/>
        <v>k7290_2</v>
      </c>
      <c r="K1295" s="1">
        <f>IF(E1295=0,SUMPRODUCT(($A$2:$A$4734=A1295)*($B$2:$B$4734=B1295)*($D$2:$D$4734=D1295)*($E$2:$E$4734=0)),0)</f>
        <v>0</v>
      </c>
      <c r="L1295" s="1" t="str">
        <f>IF(E1295=0,SUMPRODUCT(MIN($K$2:$K$4734+((($A$2:$A$4734&lt;&gt;A1295)+($E$2:$E$4734&lt;&gt;0))&gt;0)*1000000)),"")</f>
        <v/>
      </c>
      <c r="M1295" s="1">
        <f>IF(AND(E1295=0,COUNTIFS($A$2:A1295,A1295,$E$2:E1295,0)=1),L1295,0)</f>
        <v>0</v>
      </c>
    </row>
    <row r="1296" spans="1:13" ht="15" customHeight="1">
      <c r="A1296" s="1">
        <v>7291</v>
      </c>
      <c r="B1296" s="1" t="s">
        <v>9</v>
      </c>
      <c r="C1296" s="2" t="s">
        <v>1532</v>
      </c>
      <c r="D1296" s="2" t="s">
        <v>1533</v>
      </c>
      <c r="E1296" s="1">
        <v>1</v>
      </c>
      <c r="F1296" s="2" t="s">
        <v>1534</v>
      </c>
      <c r="G1296" s="1">
        <v>1</v>
      </c>
      <c r="H1296" s="1" t="str">
        <f t="shared" si="20"/>
        <v>k7291_1</v>
      </c>
      <c r="K1296" s="1">
        <f>IF(E1296=0,SUMPRODUCT(($A$2:$A$4734=A1296)*($B$2:$B$4734=B1296)*($D$2:$D$4734=D1296)*($E$2:$E$4734=0)),0)</f>
        <v>0</v>
      </c>
      <c r="L1296" s="1" t="str">
        <f>IF(E1296=0,SUMPRODUCT(MIN($K$2:$K$4734+((($A$2:$A$4734&lt;&gt;A1296)+($E$2:$E$4734&lt;&gt;0))&gt;0)*1000000)),"")</f>
        <v/>
      </c>
      <c r="M1296" s="1">
        <f>IF(AND(E1296=0,COUNTIFS($A$2:A1296,A1296,$E$2:E1296,0)=1),L1296,0)</f>
        <v>0</v>
      </c>
    </row>
    <row r="1297" spans="1:13" ht="15" customHeight="1">
      <c r="A1297" s="1">
        <v>7291</v>
      </c>
      <c r="B1297" s="1" t="s">
        <v>9</v>
      </c>
      <c r="C1297" s="2" t="s">
        <v>1532</v>
      </c>
      <c r="D1297" s="2" t="s">
        <v>1533</v>
      </c>
      <c r="E1297" s="1">
        <v>1</v>
      </c>
      <c r="F1297" s="2" t="s">
        <v>1535</v>
      </c>
      <c r="G1297" s="1">
        <v>2</v>
      </c>
      <c r="H1297" s="1" t="str">
        <f t="shared" si="20"/>
        <v>k7291_2</v>
      </c>
      <c r="K1297" s="1">
        <f>IF(E1297=0,SUMPRODUCT(($A$2:$A$4734=A1297)*($B$2:$B$4734=B1297)*($D$2:$D$4734=D1297)*($E$2:$E$4734=0)),0)</f>
        <v>0</v>
      </c>
      <c r="L1297" s="1" t="str">
        <f>IF(E1297=0,SUMPRODUCT(MIN($K$2:$K$4734+((($A$2:$A$4734&lt;&gt;A1297)+($E$2:$E$4734&lt;&gt;0))&gt;0)*1000000)),"")</f>
        <v/>
      </c>
      <c r="M1297" s="1">
        <f>IF(AND(E1297=0,COUNTIFS($A$2:A1297,A1297,$E$2:E1297,0)=1),L1297,0)</f>
        <v>0</v>
      </c>
    </row>
    <row r="1298" spans="1:13" ht="15" customHeight="1">
      <c r="A1298" s="1">
        <v>7291</v>
      </c>
      <c r="B1298" s="1" t="s">
        <v>9</v>
      </c>
      <c r="C1298" s="2" t="s">
        <v>1532</v>
      </c>
      <c r="D1298" s="2" t="s">
        <v>1533</v>
      </c>
      <c r="E1298" s="1">
        <v>1</v>
      </c>
      <c r="F1298" s="2" t="s">
        <v>1536</v>
      </c>
      <c r="G1298" s="1">
        <v>3</v>
      </c>
      <c r="H1298" s="1" t="str">
        <f t="shared" si="20"/>
        <v>k7291_3</v>
      </c>
      <c r="K1298" s="1">
        <f>IF(E1298=0,SUMPRODUCT(($A$2:$A$4734=A1298)*($B$2:$B$4734=B1298)*($D$2:$D$4734=D1298)*($E$2:$E$4734=0)),0)</f>
        <v>0</v>
      </c>
      <c r="L1298" s="1" t="str">
        <f>IF(E1298=0,SUMPRODUCT(MIN($K$2:$K$4734+((($A$2:$A$4734&lt;&gt;A1298)+($E$2:$E$4734&lt;&gt;0))&gt;0)*1000000)),"")</f>
        <v/>
      </c>
      <c r="M1298" s="1">
        <f>IF(AND(E1298=0,COUNTIFS($A$2:A1298,A1298,$E$2:E1298,0)=1),L1298,0)</f>
        <v>0</v>
      </c>
    </row>
    <row r="1299" spans="1:13" ht="15" customHeight="1">
      <c r="A1299" s="1">
        <v>7291</v>
      </c>
      <c r="B1299" s="1" t="s">
        <v>9</v>
      </c>
      <c r="C1299" s="2" t="s">
        <v>1532</v>
      </c>
      <c r="D1299" s="2" t="s">
        <v>1533</v>
      </c>
      <c r="E1299" s="1">
        <v>1</v>
      </c>
      <c r="F1299" s="2" t="s">
        <v>1537</v>
      </c>
      <c r="G1299" s="1">
        <v>4</v>
      </c>
      <c r="H1299" s="1" t="str">
        <f t="shared" si="20"/>
        <v>k7291_4</v>
      </c>
      <c r="K1299" s="1">
        <f>IF(E1299=0,SUMPRODUCT(($A$2:$A$4734=A1299)*($B$2:$B$4734=B1299)*($D$2:$D$4734=D1299)*($E$2:$E$4734=0)),0)</f>
        <v>0</v>
      </c>
      <c r="L1299" s="1" t="str">
        <f>IF(E1299=0,SUMPRODUCT(MIN($K$2:$K$4734+((($A$2:$A$4734&lt;&gt;A1299)+($E$2:$E$4734&lt;&gt;0))&gt;0)*1000000)),"")</f>
        <v/>
      </c>
      <c r="M1299" s="1">
        <f>IF(AND(E1299=0,COUNTIFS($A$2:A1299,A1299,$E$2:E1299,0)=1),L1299,0)</f>
        <v>0</v>
      </c>
    </row>
    <row r="1300" spans="1:13" ht="15" customHeight="1">
      <c r="A1300" s="1">
        <v>7291</v>
      </c>
      <c r="B1300" s="1" t="s">
        <v>173</v>
      </c>
      <c r="C1300" s="2" t="s">
        <v>1532</v>
      </c>
      <c r="D1300" s="2" t="s">
        <v>1538</v>
      </c>
      <c r="E1300" s="1">
        <v>1</v>
      </c>
      <c r="F1300" s="2" t="s">
        <v>1539</v>
      </c>
      <c r="G1300" s="1">
        <v>1</v>
      </c>
      <c r="H1300" s="1" t="str">
        <f t="shared" si="20"/>
        <v>k7291_1</v>
      </c>
      <c r="K1300" s="1">
        <f>IF(E1300=0,SUMPRODUCT(($A$2:$A$4734=A1300)*($B$2:$B$4734=B1300)*($D$2:$D$4734=D1300)*($E$2:$E$4734=0)),0)</f>
        <v>0</v>
      </c>
      <c r="L1300" s="1" t="str">
        <f>IF(E1300=0,SUMPRODUCT(MIN($K$2:$K$4734+((($A$2:$A$4734&lt;&gt;A1300)+($E$2:$E$4734&lt;&gt;0))&gt;0)*1000000)),"")</f>
        <v/>
      </c>
      <c r="M1300" s="1">
        <f>IF(AND(E1300=0,COUNTIFS($A$2:A1300,A1300,$E$2:E1300,0)=1),L1300,0)</f>
        <v>0</v>
      </c>
    </row>
    <row r="1301" spans="1:13" ht="15" customHeight="1">
      <c r="A1301" s="1">
        <v>7291</v>
      </c>
      <c r="B1301" s="1" t="s">
        <v>173</v>
      </c>
      <c r="C1301" s="2" t="s">
        <v>1532</v>
      </c>
      <c r="D1301" s="2" t="s">
        <v>1538</v>
      </c>
      <c r="E1301" s="1">
        <v>1</v>
      </c>
      <c r="F1301" s="2" t="s">
        <v>1540</v>
      </c>
      <c r="G1301" s="1">
        <v>2</v>
      </c>
      <c r="H1301" s="1" t="str">
        <f t="shared" si="20"/>
        <v>k7291_2</v>
      </c>
      <c r="K1301" s="1">
        <f>IF(E1301=0,SUMPRODUCT(($A$2:$A$4734=A1301)*($B$2:$B$4734=B1301)*($D$2:$D$4734=D1301)*($E$2:$E$4734=0)),0)</f>
        <v>0</v>
      </c>
      <c r="L1301" s="1" t="str">
        <f>IF(E1301=0,SUMPRODUCT(MIN($K$2:$K$4734+((($A$2:$A$4734&lt;&gt;A1301)+($E$2:$E$4734&lt;&gt;0))&gt;0)*1000000)),"")</f>
        <v/>
      </c>
      <c r="M1301" s="1">
        <f>IF(AND(E1301=0,COUNTIFS($A$2:A1301,A1301,$E$2:E1301,0)=1),L1301,0)</f>
        <v>0</v>
      </c>
    </row>
    <row r="1302" spans="1:13" ht="15" customHeight="1">
      <c r="A1302" s="1">
        <v>7291</v>
      </c>
      <c r="B1302" s="1" t="s">
        <v>173</v>
      </c>
      <c r="C1302" s="2" t="s">
        <v>1532</v>
      </c>
      <c r="D1302" s="2" t="s">
        <v>1538</v>
      </c>
      <c r="E1302" s="1">
        <v>1</v>
      </c>
      <c r="F1302" s="2" t="s">
        <v>1541</v>
      </c>
      <c r="G1302" s="1">
        <v>3</v>
      </c>
      <c r="H1302" s="1" t="str">
        <f t="shared" si="20"/>
        <v>k7291_3</v>
      </c>
      <c r="K1302" s="1">
        <f>IF(E1302=0,SUMPRODUCT(($A$2:$A$4734=A1302)*($B$2:$B$4734=B1302)*($D$2:$D$4734=D1302)*($E$2:$E$4734=0)),0)</f>
        <v>0</v>
      </c>
      <c r="L1302" s="1" t="str">
        <f>IF(E1302=0,SUMPRODUCT(MIN($K$2:$K$4734+((($A$2:$A$4734&lt;&gt;A1302)+($E$2:$E$4734&lt;&gt;0))&gt;0)*1000000)),"")</f>
        <v/>
      </c>
      <c r="M1302" s="1">
        <f>IF(AND(E1302=0,COUNTIFS($A$2:A1302,A1302,$E$2:E1302,0)=1),L1302,0)</f>
        <v>0</v>
      </c>
    </row>
    <row r="1303" spans="1:13" ht="15" customHeight="1">
      <c r="A1303" s="1">
        <v>7291</v>
      </c>
      <c r="B1303" s="1" t="s">
        <v>173</v>
      </c>
      <c r="C1303" s="2" t="s">
        <v>1532</v>
      </c>
      <c r="D1303" s="2" t="s">
        <v>1538</v>
      </c>
      <c r="E1303" s="1">
        <v>1</v>
      </c>
      <c r="F1303" s="2" t="s">
        <v>1542</v>
      </c>
      <c r="G1303" s="1">
        <v>4</v>
      </c>
      <c r="H1303" s="1" t="str">
        <f t="shared" si="20"/>
        <v>k7291_4</v>
      </c>
      <c r="K1303" s="1">
        <f>IF(E1303=0,SUMPRODUCT(($A$2:$A$4734=A1303)*($B$2:$B$4734=B1303)*($D$2:$D$4734=D1303)*($E$2:$E$4734=0)),0)</f>
        <v>0</v>
      </c>
      <c r="L1303" s="1" t="str">
        <f>IF(E1303=0,SUMPRODUCT(MIN($K$2:$K$4734+((($A$2:$A$4734&lt;&gt;A1303)+($E$2:$E$4734&lt;&gt;0))&gt;0)*1000000)),"")</f>
        <v/>
      </c>
      <c r="M1303" s="1">
        <f>IF(AND(E1303=0,COUNTIFS($A$2:A1303,A1303,$E$2:E1303,0)=1),L1303,0)</f>
        <v>0</v>
      </c>
    </row>
    <row r="1304" spans="1:13" ht="15" customHeight="1">
      <c r="A1304" s="1">
        <v>7291</v>
      </c>
      <c r="B1304" s="1" t="s">
        <v>16</v>
      </c>
      <c r="C1304" s="2" t="s">
        <v>1532</v>
      </c>
      <c r="D1304" s="2" t="s">
        <v>1543</v>
      </c>
      <c r="E1304" s="1">
        <v>1</v>
      </c>
      <c r="F1304" s="2" t="s">
        <v>1544</v>
      </c>
      <c r="G1304" s="1">
        <v>1</v>
      </c>
      <c r="H1304" s="1" t="str">
        <f t="shared" si="20"/>
        <v>k7291_1</v>
      </c>
      <c r="K1304" s="1">
        <f>IF(E1304=0,SUMPRODUCT(($A$2:$A$4734=A1304)*($B$2:$B$4734=B1304)*($D$2:$D$4734=D1304)*($E$2:$E$4734=0)),0)</f>
        <v>0</v>
      </c>
      <c r="L1304" s="1" t="str">
        <f>IF(E1304=0,SUMPRODUCT(MIN($K$2:$K$4734+((($A$2:$A$4734&lt;&gt;A1304)+($E$2:$E$4734&lt;&gt;0))&gt;0)*1000000)),"")</f>
        <v/>
      </c>
      <c r="M1304" s="1">
        <f>IF(AND(E1304=0,COUNTIFS($A$2:A1304,A1304,$E$2:E1304,0)=1),L1304,0)</f>
        <v>0</v>
      </c>
    </row>
    <row r="1305" spans="1:13" ht="15" customHeight="1">
      <c r="A1305" s="1">
        <v>7291</v>
      </c>
      <c r="B1305" s="1" t="s">
        <v>16</v>
      </c>
      <c r="C1305" s="2" t="s">
        <v>1532</v>
      </c>
      <c r="D1305" s="2" t="s">
        <v>1543</v>
      </c>
      <c r="E1305" s="1">
        <v>1</v>
      </c>
      <c r="F1305" s="2" t="s">
        <v>1545</v>
      </c>
      <c r="G1305" s="1">
        <v>2</v>
      </c>
      <c r="H1305" s="1" t="str">
        <f t="shared" si="20"/>
        <v>k7291_2</v>
      </c>
      <c r="K1305" s="1">
        <f>IF(E1305=0,SUMPRODUCT(($A$2:$A$4734=A1305)*($B$2:$B$4734=B1305)*($D$2:$D$4734=D1305)*($E$2:$E$4734=0)),0)</f>
        <v>0</v>
      </c>
      <c r="L1305" s="1" t="str">
        <f>IF(E1305=0,SUMPRODUCT(MIN($K$2:$K$4734+((($A$2:$A$4734&lt;&gt;A1305)+($E$2:$E$4734&lt;&gt;0))&gt;0)*1000000)),"")</f>
        <v/>
      </c>
      <c r="M1305" s="1">
        <f>IF(AND(E1305=0,COUNTIFS($A$2:A1305,A1305,$E$2:E1305,0)=1),L1305,0)</f>
        <v>0</v>
      </c>
    </row>
    <row r="1306" spans="1:13" ht="15" customHeight="1">
      <c r="A1306" s="1">
        <v>7291</v>
      </c>
      <c r="B1306" s="1" t="s">
        <v>16</v>
      </c>
      <c r="C1306" s="2" t="s">
        <v>1532</v>
      </c>
      <c r="D1306" s="2" t="s">
        <v>1543</v>
      </c>
      <c r="E1306" s="1">
        <v>1</v>
      </c>
      <c r="F1306" s="2" t="s">
        <v>1546</v>
      </c>
      <c r="G1306" s="1">
        <v>3</v>
      </c>
      <c r="H1306" s="1" t="str">
        <f t="shared" si="20"/>
        <v>k7291_3</v>
      </c>
      <c r="K1306" s="1">
        <f>IF(E1306=0,SUMPRODUCT(($A$2:$A$4734=A1306)*($B$2:$B$4734=B1306)*($D$2:$D$4734=D1306)*($E$2:$E$4734=0)),0)</f>
        <v>0</v>
      </c>
      <c r="L1306" s="1" t="str">
        <f>IF(E1306=0,SUMPRODUCT(MIN($K$2:$K$4734+((($A$2:$A$4734&lt;&gt;A1306)+($E$2:$E$4734&lt;&gt;0))&gt;0)*1000000)),"")</f>
        <v/>
      </c>
      <c r="M1306" s="1">
        <f>IF(AND(E1306=0,COUNTIFS($A$2:A1306,A1306,$E$2:E1306,0)=1),L1306,0)</f>
        <v>0</v>
      </c>
    </row>
    <row r="1307" spans="1:13" ht="15" customHeight="1">
      <c r="A1307" s="1">
        <v>7291</v>
      </c>
      <c r="B1307" s="1" t="s">
        <v>16</v>
      </c>
      <c r="C1307" s="2" t="s">
        <v>1532</v>
      </c>
      <c r="D1307" s="2" t="s">
        <v>1543</v>
      </c>
      <c r="E1307" s="1">
        <v>1</v>
      </c>
      <c r="F1307" s="2" t="s">
        <v>1547</v>
      </c>
      <c r="G1307" s="1">
        <v>4</v>
      </c>
      <c r="H1307" s="1" t="str">
        <f t="shared" si="20"/>
        <v>k7291_4</v>
      </c>
      <c r="K1307" s="1">
        <f>IF(E1307=0,SUMPRODUCT(($A$2:$A$4734=A1307)*($B$2:$B$4734=B1307)*($D$2:$D$4734=D1307)*($E$2:$E$4734=0)),0)</f>
        <v>0</v>
      </c>
      <c r="L1307" s="1" t="str">
        <f>IF(E1307=0,SUMPRODUCT(MIN($K$2:$K$4734+((($A$2:$A$4734&lt;&gt;A1307)+($E$2:$E$4734&lt;&gt;0))&gt;0)*1000000)),"")</f>
        <v/>
      </c>
      <c r="M1307" s="1">
        <f>IF(AND(E1307=0,COUNTIFS($A$2:A1307,A1307,$E$2:E1307,0)=1),L1307,0)</f>
        <v>0</v>
      </c>
    </row>
    <row r="1308" spans="1:13" ht="15" customHeight="1">
      <c r="A1308" s="1">
        <v>7292</v>
      </c>
      <c r="B1308" s="1" t="s">
        <v>9</v>
      </c>
      <c r="C1308" s="2" t="s">
        <v>1548</v>
      </c>
      <c r="D1308" s="2" t="s">
        <v>1549</v>
      </c>
      <c r="E1308" s="1">
        <v>1</v>
      </c>
      <c r="F1308" s="2" t="s">
        <v>1550</v>
      </c>
      <c r="G1308" s="1">
        <v>1</v>
      </c>
      <c r="H1308" s="1" t="str">
        <f t="shared" si="20"/>
        <v>k7292_1</v>
      </c>
      <c r="K1308" s="1">
        <f>IF(E1308=0,SUMPRODUCT(($A$2:$A$4734=A1308)*($B$2:$B$4734=B1308)*($D$2:$D$4734=D1308)*($E$2:$E$4734=0)),0)</f>
        <v>0</v>
      </c>
      <c r="L1308" s="1" t="str">
        <f>IF(E1308=0,SUMPRODUCT(MIN($K$2:$K$4734+((($A$2:$A$4734&lt;&gt;A1308)+($E$2:$E$4734&lt;&gt;0))&gt;0)*1000000)),"")</f>
        <v/>
      </c>
      <c r="M1308" s="1">
        <f>IF(AND(E1308=0,COUNTIFS($A$2:A1308,A1308,$E$2:E1308,0)=1),L1308,0)</f>
        <v>0</v>
      </c>
    </row>
    <row r="1309" spans="1:13" ht="15" customHeight="1">
      <c r="A1309" s="1">
        <v>7292</v>
      </c>
      <c r="B1309" s="1" t="s">
        <v>9</v>
      </c>
      <c r="C1309" s="2" t="s">
        <v>1548</v>
      </c>
      <c r="D1309" s="2" t="s">
        <v>1549</v>
      </c>
      <c r="E1309" s="1">
        <v>1</v>
      </c>
      <c r="F1309" s="2" t="s">
        <v>1551</v>
      </c>
      <c r="G1309" s="1">
        <v>2</v>
      </c>
      <c r="H1309" s="1" t="str">
        <f t="shared" si="20"/>
        <v>k7292_2</v>
      </c>
      <c r="K1309" s="1">
        <f>IF(E1309=0,SUMPRODUCT(($A$2:$A$4734=A1309)*($B$2:$B$4734=B1309)*($D$2:$D$4734=D1309)*($E$2:$E$4734=0)),0)</f>
        <v>0</v>
      </c>
      <c r="L1309" s="1" t="str">
        <f>IF(E1309=0,SUMPRODUCT(MIN($K$2:$K$4734+((($A$2:$A$4734&lt;&gt;A1309)+($E$2:$E$4734&lt;&gt;0))&gt;0)*1000000)),"")</f>
        <v/>
      </c>
      <c r="M1309" s="1">
        <f>IF(AND(E1309=0,COUNTIFS($A$2:A1309,A1309,$E$2:E1309,0)=1),L1309,0)</f>
        <v>0</v>
      </c>
    </row>
    <row r="1310" spans="1:13" ht="15" customHeight="1">
      <c r="A1310" s="1">
        <v>7292</v>
      </c>
      <c r="B1310" s="1" t="s">
        <v>9</v>
      </c>
      <c r="C1310" s="2" t="s">
        <v>1548</v>
      </c>
      <c r="D1310" s="2" t="s">
        <v>1549</v>
      </c>
      <c r="E1310" s="1">
        <v>1</v>
      </c>
      <c r="F1310" s="2" t="s">
        <v>1552</v>
      </c>
      <c r="G1310" s="1">
        <v>3</v>
      </c>
      <c r="H1310" s="1" t="str">
        <f t="shared" si="20"/>
        <v>k7292_3</v>
      </c>
      <c r="K1310" s="1">
        <f>IF(E1310=0,SUMPRODUCT(($A$2:$A$4734=A1310)*($B$2:$B$4734=B1310)*($D$2:$D$4734=D1310)*($E$2:$E$4734=0)),0)</f>
        <v>0</v>
      </c>
      <c r="L1310" s="1" t="str">
        <f>IF(E1310=0,SUMPRODUCT(MIN($K$2:$K$4734+((($A$2:$A$4734&lt;&gt;A1310)+($E$2:$E$4734&lt;&gt;0))&gt;0)*1000000)),"")</f>
        <v/>
      </c>
      <c r="M1310" s="1">
        <f>IF(AND(E1310=0,COUNTIFS($A$2:A1310,A1310,$E$2:E1310,0)=1),L1310,0)</f>
        <v>0</v>
      </c>
    </row>
    <row r="1311" spans="1:13" ht="15" customHeight="1">
      <c r="A1311" s="1">
        <v>7292</v>
      </c>
      <c r="B1311" s="1" t="s">
        <v>9</v>
      </c>
      <c r="C1311" s="2" t="s">
        <v>1548</v>
      </c>
      <c r="D1311" s="2" t="s">
        <v>1549</v>
      </c>
      <c r="E1311" s="1">
        <v>1</v>
      </c>
      <c r="F1311" s="2" t="s">
        <v>1553</v>
      </c>
      <c r="G1311" s="1">
        <v>4</v>
      </c>
      <c r="H1311" s="1" t="str">
        <f t="shared" si="20"/>
        <v>k7292_4</v>
      </c>
      <c r="K1311" s="1">
        <f>IF(E1311=0,SUMPRODUCT(($A$2:$A$4734=A1311)*($B$2:$B$4734=B1311)*($D$2:$D$4734=D1311)*($E$2:$E$4734=0)),0)</f>
        <v>0</v>
      </c>
      <c r="L1311" s="1" t="str">
        <f>IF(E1311=0,SUMPRODUCT(MIN($K$2:$K$4734+((($A$2:$A$4734&lt;&gt;A1311)+($E$2:$E$4734&lt;&gt;0))&gt;0)*1000000)),"")</f>
        <v/>
      </c>
      <c r="M1311" s="1">
        <f>IF(AND(E1311=0,COUNTIFS($A$2:A1311,A1311,$E$2:E1311,0)=1),L1311,0)</f>
        <v>0</v>
      </c>
    </row>
    <row r="1312" spans="1:13" ht="15" customHeight="1">
      <c r="A1312" s="1">
        <v>7292</v>
      </c>
      <c r="B1312" s="1" t="s">
        <v>16</v>
      </c>
      <c r="C1312" s="2" t="s">
        <v>1548</v>
      </c>
      <c r="D1312" s="2" t="s">
        <v>999</v>
      </c>
      <c r="E1312" s="1">
        <v>1</v>
      </c>
      <c r="F1312" s="2" t="s">
        <v>1554</v>
      </c>
      <c r="G1312" s="1">
        <v>1</v>
      </c>
      <c r="H1312" s="1" t="str">
        <f t="shared" si="20"/>
        <v>k7292_1</v>
      </c>
      <c r="K1312" s="1">
        <f>IF(E1312=0,SUMPRODUCT(($A$2:$A$4734=A1312)*($B$2:$B$4734=B1312)*($D$2:$D$4734=D1312)*($E$2:$E$4734=0)),0)</f>
        <v>0</v>
      </c>
      <c r="L1312" s="1" t="str">
        <f>IF(E1312=0,SUMPRODUCT(MIN($K$2:$K$4734+((($A$2:$A$4734&lt;&gt;A1312)+($E$2:$E$4734&lt;&gt;0))&gt;0)*1000000)),"")</f>
        <v/>
      </c>
      <c r="M1312" s="1">
        <f>IF(AND(E1312=0,COUNTIFS($A$2:A1312,A1312,$E$2:E1312,0)=1),L1312,0)</f>
        <v>0</v>
      </c>
    </row>
    <row r="1313" spans="1:13" ht="15" customHeight="1">
      <c r="A1313" s="1">
        <v>7292</v>
      </c>
      <c r="B1313" s="1" t="s">
        <v>16</v>
      </c>
      <c r="C1313" s="2" t="s">
        <v>1548</v>
      </c>
      <c r="D1313" s="2" t="s">
        <v>999</v>
      </c>
      <c r="E1313" s="1">
        <v>1</v>
      </c>
      <c r="F1313" s="2" t="s">
        <v>1555</v>
      </c>
      <c r="G1313" s="1">
        <v>2</v>
      </c>
      <c r="H1313" s="1" t="str">
        <f t="shared" si="20"/>
        <v>k7292_2</v>
      </c>
      <c r="K1313" s="1">
        <f>IF(E1313=0,SUMPRODUCT(($A$2:$A$4734=A1313)*($B$2:$B$4734=B1313)*($D$2:$D$4734=D1313)*($E$2:$E$4734=0)),0)</f>
        <v>0</v>
      </c>
      <c r="L1313" s="1" t="str">
        <f>IF(E1313=0,SUMPRODUCT(MIN($K$2:$K$4734+((($A$2:$A$4734&lt;&gt;A1313)+($E$2:$E$4734&lt;&gt;0))&gt;0)*1000000)),"")</f>
        <v/>
      </c>
      <c r="M1313" s="1">
        <f>IF(AND(E1313=0,COUNTIFS($A$2:A1313,A1313,$E$2:E1313,0)=1),L1313,0)</f>
        <v>0</v>
      </c>
    </row>
    <row r="1314" spans="1:13" ht="15" customHeight="1">
      <c r="A1314" s="1">
        <v>7292</v>
      </c>
      <c r="B1314" s="1" t="s">
        <v>16</v>
      </c>
      <c r="C1314" s="2" t="s">
        <v>1548</v>
      </c>
      <c r="D1314" s="2" t="s">
        <v>999</v>
      </c>
      <c r="E1314" s="1">
        <v>1</v>
      </c>
      <c r="F1314" s="2" t="s">
        <v>1556</v>
      </c>
      <c r="G1314" s="1">
        <v>3</v>
      </c>
      <c r="H1314" s="1" t="str">
        <f t="shared" si="20"/>
        <v>k7292_3</v>
      </c>
      <c r="K1314" s="1">
        <f>IF(E1314=0,SUMPRODUCT(($A$2:$A$4734=A1314)*($B$2:$B$4734=B1314)*($D$2:$D$4734=D1314)*($E$2:$E$4734=0)),0)</f>
        <v>0</v>
      </c>
      <c r="L1314" s="1" t="str">
        <f>IF(E1314=0,SUMPRODUCT(MIN($K$2:$K$4734+((($A$2:$A$4734&lt;&gt;A1314)+($E$2:$E$4734&lt;&gt;0))&gt;0)*1000000)),"")</f>
        <v/>
      </c>
      <c r="M1314" s="1">
        <f>IF(AND(E1314=0,COUNTIFS($A$2:A1314,A1314,$E$2:E1314,0)=1),L1314,0)</f>
        <v>0</v>
      </c>
    </row>
    <row r="1315" spans="1:13" ht="15" customHeight="1">
      <c r="A1315" s="1">
        <v>7292</v>
      </c>
      <c r="B1315" s="1" t="s">
        <v>16</v>
      </c>
      <c r="C1315" s="2" t="s">
        <v>1548</v>
      </c>
      <c r="D1315" s="2" t="s">
        <v>999</v>
      </c>
      <c r="E1315" s="1">
        <v>1</v>
      </c>
      <c r="F1315" s="2" t="s">
        <v>1557</v>
      </c>
      <c r="G1315" s="1">
        <v>4</v>
      </c>
      <c r="H1315" s="1" t="str">
        <f t="shared" si="20"/>
        <v>k7292_4</v>
      </c>
      <c r="K1315" s="1">
        <f>IF(E1315=0,SUMPRODUCT(($A$2:$A$4734=A1315)*($B$2:$B$4734=B1315)*($D$2:$D$4734=D1315)*($E$2:$E$4734=0)),0)</f>
        <v>0</v>
      </c>
      <c r="L1315" s="1" t="str">
        <f>IF(E1315=0,SUMPRODUCT(MIN($K$2:$K$4734+((($A$2:$A$4734&lt;&gt;A1315)+($E$2:$E$4734&lt;&gt;0))&gt;0)*1000000)),"")</f>
        <v/>
      </c>
      <c r="M1315" s="1">
        <f>IF(AND(E1315=0,COUNTIFS($A$2:A1315,A1315,$E$2:E1315,0)=1),L1315,0)</f>
        <v>0</v>
      </c>
    </row>
    <row r="1316" spans="1:13" ht="15" customHeight="1">
      <c r="A1316" s="1">
        <v>7292</v>
      </c>
      <c r="B1316" s="1" t="s">
        <v>173</v>
      </c>
      <c r="C1316" s="2" t="s">
        <v>1548</v>
      </c>
      <c r="D1316" s="2" t="s">
        <v>1548</v>
      </c>
      <c r="E1316" s="1">
        <v>1</v>
      </c>
      <c r="F1316" s="2" t="s">
        <v>1558</v>
      </c>
      <c r="G1316" s="1">
        <v>1</v>
      </c>
      <c r="H1316" s="1" t="str">
        <f t="shared" si="20"/>
        <v>k7292_1</v>
      </c>
      <c r="K1316" s="1">
        <f>IF(E1316=0,SUMPRODUCT(($A$2:$A$4734=A1316)*($B$2:$B$4734=B1316)*($D$2:$D$4734=D1316)*($E$2:$E$4734=0)),0)</f>
        <v>0</v>
      </c>
      <c r="L1316" s="1" t="str">
        <f>IF(E1316=0,SUMPRODUCT(MIN($K$2:$K$4734+((($A$2:$A$4734&lt;&gt;A1316)+($E$2:$E$4734&lt;&gt;0))&gt;0)*1000000)),"")</f>
        <v/>
      </c>
      <c r="M1316" s="1">
        <f>IF(AND(E1316=0,COUNTIFS($A$2:A1316,A1316,$E$2:E1316,0)=1),L1316,0)</f>
        <v>0</v>
      </c>
    </row>
    <row r="1317" spans="1:13" ht="15" customHeight="1">
      <c r="A1317" s="1">
        <v>7292</v>
      </c>
      <c r="B1317" s="1" t="s">
        <v>173</v>
      </c>
      <c r="C1317" s="2" t="s">
        <v>1548</v>
      </c>
      <c r="D1317" s="2" t="s">
        <v>1548</v>
      </c>
      <c r="E1317" s="1">
        <v>1</v>
      </c>
      <c r="F1317" s="2" t="s">
        <v>1559</v>
      </c>
      <c r="G1317" s="1">
        <v>2</v>
      </c>
      <c r="H1317" s="1" t="str">
        <f t="shared" si="20"/>
        <v>k7292_2</v>
      </c>
      <c r="K1317" s="1">
        <f>IF(E1317=0,SUMPRODUCT(($A$2:$A$4734=A1317)*($B$2:$B$4734=B1317)*($D$2:$D$4734=D1317)*($E$2:$E$4734=0)),0)</f>
        <v>0</v>
      </c>
      <c r="L1317" s="1" t="str">
        <f>IF(E1317=0,SUMPRODUCT(MIN($K$2:$K$4734+((($A$2:$A$4734&lt;&gt;A1317)+($E$2:$E$4734&lt;&gt;0))&gt;0)*1000000)),"")</f>
        <v/>
      </c>
      <c r="M1317" s="1">
        <f>IF(AND(E1317=0,COUNTIFS($A$2:A1317,A1317,$E$2:E1317,0)=1),L1317,0)</f>
        <v>0</v>
      </c>
    </row>
    <row r="1318" spans="1:13" ht="15" customHeight="1">
      <c r="A1318" s="1">
        <v>7292</v>
      </c>
      <c r="B1318" s="1" t="s">
        <v>173</v>
      </c>
      <c r="C1318" s="2" t="s">
        <v>1548</v>
      </c>
      <c r="D1318" s="2" t="s">
        <v>1548</v>
      </c>
      <c r="E1318" s="1">
        <v>1</v>
      </c>
      <c r="F1318" s="2" t="s">
        <v>1560</v>
      </c>
      <c r="G1318" s="1">
        <v>3</v>
      </c>
      <c r="H1318" s="1" t="str">
        <f t="shared" si="20"/>
        <v>k7292_3</v>
      </c>
      <c r="K1318" s="1">
        <f>IF(E1318=0,SUMPRODUCT(($A$2:$A$4734=A1318)*($B$2:$B$4734=B1318)*($D$2:$D$4734=D1318)*($E$2:$E$4734=0)),0)</f>
        <v>0</v>
      </c>
      <c r="L1318" s="1" t="str">
        <f>IF(E1318=0,SUMPRODUCT(MIN($K$2:$K$4734+((($A$2:$A$4734&lt;&gt;A1318)+($E$2:$E$4734&lt;&gt;0))&gt;0)*1000000)),"")</f>
        <v/>
      </c>
      <c r="M1318" s="1">
        <f>IF(AND(E1318=0,COUNTIFS($A$2:A1318,A1318,$E$2:E1318,0)=1),L1318,0)</f>
        <v>0</v>
      </c>
    </row>
    <row r="1319" spans="1:13" ht="15" customHeight="1">
      <c r="A1319" s="1">
        <v>7292</v>
      </c>
      <c r="B1319" s="1" t="s">
        <v>173</v>
      </c>
      <c r="C1319" s="2" t="s">
        <v>1548</v>
      </c>
      <c r="D1319" s="2" t="s">
        <v>1548</v>
      </c>
      <c r="E1319" s="1">
        <v>1</v>
      </c>
      <c r="F1319" s="2" t="s">
        <v>1561</v>
      </c>
      <c r="G1319" s="1">
        <v>4</v>
      </c>
      <c r="H1319" s="1" t="str">
        <f t="shared" si="20"/>
        <v>k7292_4</v>
      </c>
      <c r="K1319" s="1">
        <f>IF(E1319=0,SUMPRODUCT(($A$2:$A$4734=A1319)*($B$2:$B$4734=B1319)*($D$2:$D$4734=D1319)*($E$2:$E$4734=0)),0)</f>
        <v>0</v>
      </c>
      <c r="L1319" s="1" t="str">
        <f>IF(E1319=0,SUMPRODUCT(MIN($K$2:$K$4734+((($A$2:$A$4734&lt;&gt;A1319)+($E$2:$E$4734&lt;&gt;0))&gt;0)*1000000)),"")</f>
        <v/>
      </c>
      <c r="M1319" s="1">
        <f>IF(AND(E1319=0,COUNTIFS($A$2:A1319,A1319,$E$2:E1319,0)=1),L1319,0)</f>
        <v>0</v>
      </c>
    </row>
    <row r="1320" spans="1:13" ht="15" customHeight="1">
      <c r="A1320" s="1">
        <v>7293</v>
      </c>
      <c r="B1320" s="1" t="s">
        <v>173</v>
      </c>
      <c r="C1320" s="2" t="s">
        <v>1562</v>
      </c>
      <c r="D1320" s="2" t="s">
        <v>1562</v>
      </c>
      <c r="E1320" s="1">
        <v>1</v>
      </c>
      <c r="F1320" s="2" t="s">
        <v>1563</v>
      </c>
      <c r="G1320" s="1">
        <v>1</v>
      </c>
      <c r="H1320" s="1" t="str">
        <f t="shared" si="20"/>
        <v>k7293_1</v>
      </c>
      <c r="K1320" s="1">
        <f>IF(E1320=0,SUMPRODUCT(($A$2:$A$4734=A1320)*($B$2:$B$4734=B1320)*($D$2:$D$4734=D1320)*($E$2:$E$4734=0)),0)</f>
        <v>0</v>
      </c>
      <c r="L1320" s="1" t="str">
        <f>IF(E1320=0,SUMPRODUCT(MIN($K$2:$K$4734+((($A$2:$A$4734&lt;&gt;A1320)+($E$2:$E$4734&lt;&gt;0))&gt;0)*1000000)),"")</f>
        <v/>
      </c>
      <c r="M1320" s="1">
        <f>IF(AND(E1320=0,COUNTIFS($A$2:A1320,A1320,$E$2:E1320,0)=1),L1320,0)</f>
        <v>0</v>
      </c>
    </row>
    <row r="1321" spans="1:13" ht="15" customHeight="1">
      <c r="A1321" s="1">
        <v>7293</v>
      </c>
      <c r="B1321" s="1" t="s">
        <v>173</v>
      </c>
      <c r="C1321" s="2" t="s">
        <v>1562</v>
      </c>
      <c r="D1321" s="2" t="s">
        <v>1562</v>
      </c>
      <c r="E1321" s="1">
        <v>1</v>
      </c>
      <c r="F1321" s="2" t="s">
        <v>1564</v>
      </c>
      <c r="G1321" s="1">
        <v>2</v>
      </c>
      <c r="H1321" s="1" t="str">
        <f t="shared" ref="H1321:H1384" si="21">IF(OR(E1321&lt;&gt;1,G1321=""),"","k"&amp;A1321&amp;"_"&amp;G1321)</f>
        <v>k7293_2</v>
      </c>
      <c r="K1321" s="1">
        <f>IF(E1321=0,SUMPRODUCT(($A$2:$A$4734=A1321)*($B$2:$B$4734=B1321)*($D$2:$D$4734=D1321)*($E$2:$E$4734=0)),0)</f>
        <v>0</v>
      </c>
      <c r="L1321" s="1" t="str">
        <f>IF(E1321=0,SUMPRODUCT(MIN($K$2:$K$4734+((($A$2:$A$4734&lt;&gt;A1321)+($E$2:$E$4734&lt;&gt;0))&gt;0)*1000000)),"")</f>
        <v/>
      </c>
      <c r="M1321" s="1">
        <f>IF(AND(E1321=0,COUNTIFS($A$2:A1321,A1321,$E$2:E1321,0)=1),L1321,0)</f>
        <v>0</v>
      </c>
    </row>
    <row r="1322" spans="1:13" ht="15" customHeight="1">
      <c r="A1322" s="1">
        <v>7293</v>
      </c>
      <c r="B1322" s="1" t="s">
        <v>173</v>
      </c>
      <c r="C1322" s="2" t="s">
        <v>1562</v>
      </c>
      <c r="D1322" s="2" t="s">
        <v>1562</v>
      </c>
      <c r="E1322" s="1">
        <v>1</v>
      </c>
      <c r="F1322" s="2" t="s">
        <v>1565</v>
      </c>
      <c r="G1322" s="1">
        <v>3</v>
      </c>
      <c r="H1322" s="1" t="str">
        <f t="shared" si="21"/>
        <v>k7293_3</v>
      </c>
      <c r="K1322" s="1">
        <f>IF(E1322=0,SUMPRODUCT(($A$2:$A$4734=A1322)*($B$2:$B$4734=B1322)*($D$2:$D$4734=D1322)*($E$2:$E$4734=0)),0)</f>
        <v>0</v>
      </c>
      <c r="L1322" s="1" t="str">
        <f>IF(E1322=0,SUMPRODUCT(MIN($K$2:$K$4734+((($A$2:$A$4734&lt;&gt;A1322)+($E$2:$E$4734&lt;&gt;0))&gt;0)*1000000)),"")</f>
        <v/>
      </c>
      <c r="M1322" s="1">
        <f>IF(AND(E1322=0,COUNTIFS($A$2:A1322,A1322,$E$2:E1322,0)=1),L1322,0)</f>
        <v>0</v>
      </c>
    </row>
    <row r="1323" spans="1:13" ht="15" customHeight="1">
      <c r="A1323" s="1">
        <v>7293</v>
      </c>
      <c r="B1323" s="1" t="s">
        <v>173</v>
      </c>
      <c r="C1323" s="2" t="s">
        <v>1562</v>
      </c>
      <c r="D1323" s="2" t="s">
        <v>1562</v>
      </c>
      <c r="E1323" s="1">
        <v>1</v>
      </c>
      <c r="F1323" s="2" t="s">
        <v>1566</v>
      </c>
      <c r="G1323" s="1">
        <v>4</v>
      </c>
      <c r="H1323" s="1" t="str">
        <f t="shared" si="21"/>
        <v>k7293_4</v>
      </c>
      <c r="K1323" s="1">
        <f>IF(E1323=0,SUMPRODUCT(($A$2:$A$4734=A1323)*($B$2:$B$4734=B1323)*($D$2:$D$4734=D1323)*($E$2:$E$4734=0)),0)</f>
        <v>0</v>
      </c>
      <c r="L1323" s="1" t="str">
        <f>IF(E1323=0,SUMPRODUCT(MIN($K$2:$K$4734+((($A$2:$A$4734&lt;&gt;A1323)+($E$2:$E$4734&lt;&gt;0))&gt;0)*1000000)),"")</f>
        <v/>
      </c>
      <c r="M1323" s="1">
        <f>IF(AND(E1323=0,COUNTIFS($A$2:A1323,A1323,$E$2:E1323,0)=1),L1323,0)</f>
        <v>0</v>
      </c>
    </row>
    <row r="1324" spans="1:13" ht="15" customHeight="1">
      <c r="A1324" s="1">
        <v>7293</v>
      </c>
      <c r="B1324" s="1" t="s">
        <v>358</v>
      </c>
      <c r="C1324" s="2" t="s">
        <v>1562</v>
      </c>
      <c r="D1324" s="2" t="s">
        <v>1567</v>
      </c>
      <c r="E1324" s="1">
        <v>1</v>
      </c>
      <c r="F1324" s="2" t="s">
        <v>1568</v>
      </c>
      <c r="G1324" s="1">
        <v>1</v>
      </c>
      <c r="H1324" s="1" t="str">
        <f t="shared" si="21"/>
        <v>k7293_1</v>
      </c>
      <c r="K1324" s="1">
        <f>IF(E1324=0,SUMPRODUCT(($A$2:$A$4734=A1324)*($B$2:$B$4734=B1324)*($D$2:$D$4734=D1324)*($E$2:$E$4734=0)),0)</f>
        <v>0</v>
      </c>
      <c r="L1324" s="1" t="str">
        <f>IF(E1324=0,SUMPRODUCT(MIN($K$2:$K$4734+((($A$2:$A$4734&lt;&gt;A1324)+($E$2:$E$4734&lt;&gt;0))&gt;0)*1000000)),"")</f>
        <v/>
      </c>
      <c r="M1324" s="1">
        <f>IF(AND(E1324=0,COUNTIFS($A$2:A1324,A1324,$E$2:E1324,0)=1),L1324,0)</f>
        <v>0</v>
      </c>
    </row>
    <row r="1325" spans="1:13" ht="15" customHeight="1">
      <c r="A1325" s="1">
        <v>7293</v>
      </c>
      <c r="B1325" s="1" t="s">
        <v>358</v>
      </c>
      <c r="C1325" s="2" t="s">
        <v>1562</v>
      </c>
      <c r="D1325" s="2" t="s">
        <v>1567</v>
      </c>
      <c r="E1325" s="1">
        <v>1</v>
      </c>
      <c r="F1325" s="2" t="s">
        <v>1569</v>
      </c>
      <c r="G1325" s="1">
        <v>2</v>
      </c>
      <c r="H1325" s="1" t="str">
        <f t="shared" si="21"/>
        <v>k7293_2</v>
      </c>
      <c r="K1325" s="1">
        <f>IF(E1325=0,SUMPRODUCT(($A$2:$A$4734=A1325)*($B$2:$B$4734=B1325)*($D$2:$D$4734=D1325)*($E$2:$E$4734=0)),0)</f>
        <v>0</v>
      </c>
      <c r="L1325" s="1" t="str">
        <f>IF(E1325=0,SUMPRODUCT(MIN($K$2:$K$4734+((($A$2:$A$4734&lt;&gt;A1325)+($E$2:$E$4734&lt;&gt;0))&gt;0)*1000000)),"")</f>
        <v/>
      </c>
      <c r="M1325" s="1">
        <f>IF(AND(E1325=0,COUNTIFS($A$2:A1325,A1325,$E$2:E1325,0)=1),L1325,0)</f>
        <v>0</v>
      </c>
    </row>
    <row r="1326" spans="1:13" ht="15" customHeight="1">
      <c r="A1326" s="1">
        <v>7293</v>
      </c>
      <c r="B1326" s="1" t="s">
        <v>358</v>
      </c>
      <c r="C1326" s="2" t="s">
        <v>1562</v>
      </c>
      <c r="D1326" s="2" t="s">
        <v>1567</v>
      </c>
      <c r="E1326" s="1">
        <v>1</v>
      </c>
      <c r="F1326" s="2" t="s">
        <v>1570</v>
      </c>
      <c r="G1326" s="1">
        <v>3</v>
      </c>
      <c r="H1326" s="1" t="str">
        <f t="shared" si="21"/>
        <v>k7293_3</v>
      </c>
      <c r="K1326" s="1">
        <f>IF(E1326=0,SUMPRODUCT(($A$2:$A$4734=A1326)*($B$2:$B$4734=B1326)*($D$2:$D$4734=D1326)*($E$2:$E$4734=0)),0)</f>
        <v>0</v>
      </c>
      <c r="L1326" s="1" t="str">
        <f>IF(E1326=0,SUMPRODUCT(MIN($K$2:$K$4734+((($A$2:$A$4734&lt;&gt;A1326)+($E$2:$E$4734&lt;&gt;0))&gt;0)*1000000)),"")</f>
        <v/>
      </c>
      <c r="M1326" s="1">
        <f>IF(AND(E1326=0,COUNTIFS($A$2:A1326,A1326,$E$2:E1326,0)=1),L1326,0)</f>
        <v>0</v>
      </c>
    </row>
    <row r="1327" spans="1:13" ht="15" customHeight="1">
      <c r="A1327" s="1">
        <v>7293</v>
      </c>
      <c r="B1327" s="1" t="s">
        <v>358</v>
      </c>
      <c r="C1327" s="2" t="s">
        <v>1562</v>
      </c>
      <c r="D1327" s="2" t="s">
        <v>1567</v>
      </c>
      <c r="E1327" s="1">
        <v>1</v>
      </c>
      <c r="F1327" s="2" t="s">
        <v>1571</v>
      </c>
      <c r="G1327" s="1">
        <v>4</v>
      </c>
      <c r="H1327" s="1" t="str">
        <f t="shared" si="21"/>
        <v>k7293_4</v>
      </c>
      <c r="K1327" s="1">
        <f>IF(E1327=0,SUMPRODUCT(($A$2:$A$4734=A1327)*($B$2:$B$4734=B1327)*($D$2:$D$4734=D1327)*($E$2:$E$4734=0)),0)</f>
        <v>0</v>
      </c>
      <c r="L1327" s="1" t="str">
        <f>IF(E1327=0,SUMPRODUCT(MIN($K$2:$K$4734+((($A$2:$A$4734&lt;&gt;A1327)+($E$2:$E$4734&lt;&gt;0))&gt;0)*1000000)),"")</f>
        <v/>
      </c>
      <c r="M1327" s="1">
        <f>IF(AND(E1327=0,COUNTIFS($A$2:A1327,A1327,$E$2:E1327,0)=1),L1327,0)</f>
        <v>0</v>
      </c>
    </row>
    <row r="1328" spans="1:13" ht="15" customHeight="1">
      <c r="A1328" s="1">
        <v>7293</v>
      </c>
      <c r="B1328" s="1" t="s">
        <v>9</v>
      </c>
      <c r="C1328" s="2" t="s">
        <v>1562</v>
      </c>
      <c r="D1328" s="2" t="s">
        <v>1572</v>
      </c>
      <c r="E1328" s="1">
        <v>1</v>
      </c>
      <c r="F1328" s="2" t="s">
        <v>1573</v>
      </c>
      <c r="G1328" s="1">
        <v>1</v>
      </c>
      <c r="H1328" s="1" t="str">
        <f t="shared" si="21"/>
        <v>k7293_1</v>
      </c>
      <c r="K1328" s="1">
        <f>IF(E1328=0,SUMPRODUCT(($A$2:$A$4734=A1328)*($B$2:$B$4734=B1328)*($D$2:$D$4734=D1328)*($E$2:$E$4734=0)),0)</f>
        <v>0</v>
      </c>
      <c r="L1328" s="1" t="str">
        <f>IF(E1328=0,SUMPRODUCT(MIN($K$2:$K$4734+((($A$2:$A$4734&lt;&gt;A1328)+($E$2:$E$4734&lt;&gt;0))&gt;0)*1000000)),"")</f>
        <v/>
      </c>
      <c r="M1328" s="1">
        <f>IF(AND(E1328=0,COUNTIFS($A$2:A1328,A1328,$E$2:E1328,0)=1),L1328,0)</f>
        <v>0</v>
      </c>
    </row>
    <row r="1329" spans="1:13" ht="15" customHeight="1">
      <c r="A1329" s="1">
        <v>7293</v>
      </c>
      <c r="B1329" s="1" t="s">
        <v>9</v>
      </c>
      <c r="C1329" s="2" t="s">
        <v>1562</v>
      </c>
      <c r="D1329" s="2" t="s">
        <v>1572</v>
      </c>
      <c r="E1329" s="1">
        <v>1</v>
      </c>
      <c r="F1329" s="2" t="s">
        <v>1574</v>
      </c>
      <c r="G1329" s="1">
        <v>2</v>
      </c>
      <c r="H1329" s="1" t="str">
        <f t="shared" si="21"/>
        <v>k7293_2</v>
      </c>
      <c r="K1329" s="1">
        <f>IF(E1329=0,SUMPRODUCT(($A$2:$A$4734=A1329)*($B$2:$B$4734=B1329)*($D$2:$D$4734=D1329)*($E$2:$E$4734=0)),0)</f>
        <v>0</v>
      </c>
      <c r="L1329" s="1" t="str">
        <f>IF(E1329=0,SUMPRODUCT(MIN($K$2:$K$4734+((($A$2:$A$4734&lt;&gt;A1329)+($E$2:$E$4734&lt;&gt;0))&gt;0)*1000000)),"")</f>
        <v/>
      </c>
      <c r="M1329" s="1">
        <f>IF(AND(E1329=0,COUNTIFS($A$2:A1329,A1329,$E$2:E1329,0)=1),L1329,0)</f>
        <v>0</v>
      </c>
    </row>
    <row r="1330" spans="1:13" ht="15" customHeight="1">
      <c r="A1330" s="1">
        <v>7293</v>
      </c>
      <c r="B1330" s="1" t="s">
        <v>9</v>
      </c>
      <c r="C1330" s="2" t="s">
        <v>1562</v>
      </c>
      <c r="D1330" s="2" t="s">
        <v>1572</v>
      </c>
      <c r="E1330" s="1">
        <v>1</v>
      </c>
      <c r="F1330" s="2" t="s">
        <v>1575</v>
      </c>
      <c r="G1330" s="1">
        <v>3</v>
      </c>
      <c r="H1330" s="1" t="str">
        <f t="shared" si="21"/>
        <v>k7293_3</v>
      </c>
      <c r="K1330" s="1">
        <f>IF(E1330=0,SUMPRODUCT(($A$2:$A$4734=A1330)*($B$2:$B$4734=B1330)*($D$2:$D$4734=D1330)*($E$2:$E$4734=0)),0)</f>
        <v>0</v>
      </c>
      <c r="L1330" s="1" t="str">
        <f>IF(E1330=0,SUMPRODUCT(MIN($K$2:$K$4734+((($A$2:$A$4734&lt;&gt;A1330)+($E$2:$E$4734&lt;&gt;0))&gt;0)*1000000)),"")</f>
        <v/>
      </c>
      <c r="M1330" s="1">
        <f>IF(AND(E1330=0,COUNTIFS($A$2:A1330,A1330,$E$2:E1330,0)=1),L1330,0)</f>
        <v>0</v>
      </c>
    </row>
    <row r="1331" spans="1:13" ht="15" customHeight="1">
      <c r="A1331" s="1">
        <v>7293</v>
      </c>
      <c r="B1331" s="1" t="s">
        <v>9</v>
      </c>
      <c r="C1331" s="2" t="s">
        <v>1562</v>
      </c>
      <c r="D1331" s="2" t="s">
        <v>1572</v>
      </c>
      <c r="E1331" s="1">
        <v>1</v>
      </c>
      <c r="F1331" s="2" t="s">
        <v>1575</v>
      </c>
      <c r="G1331" s="1">
        <v>4</v>
      </c>
      <c r="H1331" s="1" t="str">
        <f t="shared" si="21"/>
        <v>k7293_4</v>
      </c>
      <c r="K1331" s="1">
        <f>IF(E1331=0,SUMPRODUCT(($A$2:$A$4734=A1331)*($B$2:$B$4734=B1331)*($D$2:$D$4734=D1331)*($E$2:$E$4734=0)),0)</f>
        <v>0</v>
      </c>
      <c r="L1331" s="1" t="str">
        <f>IF(E1331=0,SUMPRODUCT(MIN($K$2:$K$4734+((($A$2:$A$4734&lt;&gt;A1331)+($E$2:$E$4734&lt;&gt;0))&gt;0)*1000000)),"")</f>
        <v/>
      </c>
      <c r="M1331" s="1">
        <f>IF(AND(E1331=0,COUNTIFS($A$2:A1331,A1331,$E$2:E1331,0)=1),L1331,0)</f>
        <v>0</v>
      </c>
    </row>
    <row r="1332" spans="1:13" ht="15" customHeight="1">
      <c r="A1332" s="1">
        <v>7294</v>
      </c>
      <c r="B1332" s="1" t="s">
        <v>9</v>
      </c>
      <c r="C1332" s="1" t="s">
        <v>1576</v>
      </c>
      <c r="D1332" s="2" t="s">
        <v>1577</v>
      </c>
      <c r="E1332" s="1">
        <v>1</v>
      </c>
      <c r="F1332" s="2" t="s">
        <v>1578</v>
      </c>
      <c r="G1332" s="1">
        <v>1</v>
      </c>
      <c r="H1332" s="1" t="str">
        <f t="shared" si="21"/>
        <v>k7294_1</v>
      </c>
      <c r="K1332" s="1">
        <f>IF(E1332=0,SUMPRODUCT(($A$2:$A$4734=A1332)*($B$2:$B$4734=B1332)*($D$2:$D$4734=D1332)*($E$2:$E$4734=0)),0)</f>
        <v>0</v>
      </c>
      <c r="L1332" s="1" t="str">
        <f>IF(E1332=0,SUMPRODUCT(MIN($K$2:$K$4734+((($A$2:$A$4734&lt;&gt;A1332)+($E$2:$E$4734&lt;&gt;0))&gt;0)*1000000)),"")</f>
        <v/>
      </c>
      <c r="M1332" s="1">
        <f>IF(AND(E1332=0,COUNTIFS($A$2:A1332,A1332,$E$2:E1332,0)=1),L1332,0)</f>
        <v>0</v>
      </c>
    </row>
    <row r="1333" spans="1:13" ht="15" customHeight="1">
      <c r="A1333" s="1">
        <v>7294</v>
      </c>
      <c r="B1333" s="1" t="s">
        <v>9</v>
      </c>
      <c r="C1333" s="1" t="s">
        <v>1576</v>
      </c>
      <c r="D1333" s="2" t="s">
        <v>1577</v>
      </c>
      <c r="E1333" s="1">
        <v>1</v>
      </c>
      <c r="F1333" s="2" t="s">
        <v>1579</v>
      </c>
      <c r="G1333" s="1">
        <v>2</v>
      </c>
      <c r="H1333" s="1" t="str">
        <f t="shared" si="21"/>
        <v>k7294_2</v>
      </c>
      <c r="K1333" s="1">
        <f>IF(E1333=0,SUMPRODUCT(($A$2:$A$4734=A1333)*($B$2:$B$4734=B1333)*($D$2:$D$4734=D1333)*($E$2:$E$4734=0)),0)</f>
        <v>0</v>
      </c>
      <c r="L1333" s="1" t="str">
        <f>IF(E1333=0,SUMPRODUCT(MIN($K$2:$K$4734+((($A$2:$A$4734&lt;&gt;A1333)+($E$2:$E$4734&lt;&gt;0))&gt;0)*1000000)),"")</f>
        <v/>
      </c>
      <c r="M1333" s="1">
        <f>IF(AND(E1333=0,COUNTIFS($A$2:A1333,A1333,$E$2:E1333,0)=1),L1333,0)</f>
        <v>0</v>
      </c>
    </row>
    <row r="1334" spans="1:13" ht="15" customHeight="1">
      <c r="A1334" s="1">
        <v>7294</v>
      </c>
      <c r="B1334" s="1" t="s">
        <v>9</v>
      </c>
      <c r="C1334" s="1" t="s">
        <v>1576</v>
      </c>
      <c r="D1334" s="2" t="s">
        <v>1577</v>
      </c>
      <c r="E1334" s="1">
        <v>1</v>
      </c>
      <c r="F1334" s="2" t="s">
        <v>1580</v>
      </c>
      <c r="G1334" s="1">
        <v>3</v>
      </c>
      <c r="H1334" s="1" t="str">
        <f t="shared" si="21"/>
        <v>k7294_3</v>
      </c>
      <c r="K1334" s="1">
        <f>IF(E1334=0,SUMPRODUCT(($A$2:$A$4734=A1334)*($B$2:$B$4734=B1334)*($D$2:$D$4734=D1334)*($E$2:$E$4734=0)),0)</f>
        <v>0</v>
      </c>
      <c r="L1334" s="1" t="str">
        <f>IF(E1334=0,SUMPRODUCT(MIN($K$2:$K$4734+((($A$2:$A$4734&lt;&gt;A1334)+($E$2:$E$4734&lt;&gt;0))&gt;0)*1000000)),"")</f>
        <v/>
      </c>
      <c r="M1334" s="1">
        <f>IF(AND(E1334=0,COUNTIFS($A$2:A1334,A1334,$E$2:E1334,0)=1),L1334,0)</f>
        <v>0</v>
      </c>
    </row>
    <row r="1335" spans="1:13" ht="15" customHeight="1">
      <c r="A1335" s="1">
        <v>7294</v>
      </c>
      <c r="B1335" s="1" t="s">
        <v>69</v>
      </c>
      <c r="C1335" s="1" t="s">
        <v>1576</v>
      </c>
      <c r="D1335" s="1" t="s">
        <v>1576</v>
      </c>
      <c r="E1335" s="1">
        <v>1</v>
      </c>
      <c r="F1335" s="2" t="s">
        <v>1581</v>
      </c>
      <c r="G1335" s="1">
        <v>1</v>
      </c>
      <c r="H1335" s="1" t="str">
        <f t="shared" si="21"/>
        <v>k7294_1</v>
      </c>
      <c r="K1335" s="1">
        <f>IF(E1335=0,SUMPRODUCT(($A$2:$A$4734=A1335)*($B$2:$B$4734=B1335)*($D$2:$D$4734=D1335)*($E$2:$E$4734=0)),0)</f>
        <v>0</v>
      </c>
      <c r="L1335" s="1" t="str">
        <f>IF(E1335=0,SUMPRODUCT(MIN($K$2:$K$4734+((($A$2:$A$4734&lt;&gt;A1335)+($E$2:$E$4734&lt;&gt;0))&gt;0)*1000000)),"")</f>
        <v/>
      </c>
      <c r="M1335" s="1">
        <f>IF(AND(E1335=0,COUNTIFS($A$2:A1335,A1335,$E$2:E1335,0)=1),L1335,0)</f>
        <v>0</v>
      </c>
    </row>
    <row r="1336" spans="1:13" ht="15" customHeight="1">
      <c r="A1336" s="1">
        <v>7294</v>
      </c>
      <c r="B1336" s="1" t="s">
        <v>69</v>
      </c>
      <c r="C1336" s="1" t="s">
        <v>1576</v>
      </c>
      <c r="D1336" s="1" t="s">
        <v>1576</v>
      </c>
      <c r="E1336" s="1">
        <v>1</v>
      </c>
      <c r="F1336" s="2" t="s">
        <v>1582</v>
      </c>
      <c r="G1336" s="1">
        <v>2</v>
      </c>
      <c r="H1336" s="1" t="str">
        <f t="shared" si="21"/>
        <v>k7294_2</v>
      </c>
      <c r="K1336" s="1">
        <f>IF(E1336=0,SUMPRODUCT(($A$2:$A$4734=A1336)*($B$2:$B$4734=B1336)*($D$2:$D$4734=D1336)*($E$2:$E$4734=0)),0)</f>
        <v>0</v>
      </c>
      <c r="L1336" s="1" t="str">
        <f>IF(E1336=0,SUMPRODUCT(MIN($K$2:$K$4734+((($A$2:$A$4734&lt;&gt;A1336)+($E$2:$E$4734&lt;&gt;0))&gt;0)*1000000)),"")</f>
        <v/>
      </c>
      <c r="M1336" s="1">
        <f>IF(AND(E1336=0,COUNTIFS($A$2:A1336,A1336,$E$2:E1336,0)=1),L1336,0)</f>
        <v>0</v>
      </c>
    </row>
    <row r="1337" spans="1:13" ht="15" customHeight="1">
      <c r="A1337" s="1">
        <v>7294</v>
      </c>
      <c r="B1337" s="1" t="s">
        <v>69</v>
      </c>
      <c r="C1337" s="1" t="s">
        <v>1576</v>
      </c>
      <c r="D1337" s="1" t="s">
        <v>1576</v>
      </c>
      <c r="E1337" s="1">
        <v>1</v>
      </c>
      <c r="F1337" s="2" t="s">
        <v>1583</v>
      </c>
      <c r="G1337" s="1">
        <v>3</v>
      </c>
      <c r="H1337" s="1" t="str">
        <f t="shared" si="21"/>
        <v>k7294_3</v>
      </c>
      <c r="K1337" s="1">
        <f>IF(E1337=0,SUMPRODUCT(($A$2:$A$4734=A1337)*($B$2:$B$4734=B1337)*($D$2:$D$4734=D1337)*($E$2:$E$4734=0)),0)</f>
        <v>0</v>
      </c>
      <c r="L1337" s="1" t="str">
        <f>IF(E1337=0,SUMPRODUCT(MIN($K$2:$K$4734+((($A$2:$A$4734&lt;&gt;A1337)+($E$2:$E$4734&lt;&gt;0))&gt;0)*1000000)),"")</f>
        <v/>
      </c>
      <c r="M1337" s="1">
        <f>IF(AND(E1337=0,COUNTIFS($A$2:A1337,A1337,$E$2:E1337,0)=1),L1337,0)</f>
        <v>0</v>
      </c>
    </row>
    <row r="1338" spans="1:13" ht="15" customHeight="1">
      <c r="A1338" s="1">
        <v>7295</v>
      </c>
      <c r="B1338" s="1" t="s">
        <v>9</v>
      </c>
      <c r="C1338" s="2" t="s">
        <v>1584</v>
      </c>
      <c r="D1338" s="2" t="s">
        <v>1585</v>
      </c>
      <c r="E1338" s="1">
        <v>1</v>
      </c>
      <c r="F1338" s="2" t="s">
        <v>1586</v>
      </c>
      <c r="G1338" s="1">
        <v>1</v>
      </c>
      <c r="H1338" s="1" t="str">
        <f t="shared" si="21"/>
        <v>k7295_1</v>
      </c>
      <c r="K1338" s="1">
        <f>IF(E1338=0,SUMPRODUCT(($A$2:$A$4734=A1338)*($B$2:$B$4734=B1338)*($D$2:$D$4734=D1338)*($E$2:$E$4734=0)),0)</f>
        <v>0</v>
      </c>
      <c r="L1338" s="1" t="str">
        <f>IF(E1338=0,SUMPRODUCT(MIN($K$2:$K$4734+((($A$2:$A$4734&lt;&gt;A1338)+($E$2:$E$4734&lt;&gt;0))&gt;0)*1000000)),"")</f>
        <v/>
      </c>
      <c r="M1338" s="1">
        <f>IF(AND(E1338=0,COUNTIFS($A$2:A1338,A1338,$E$2:E1338,0)=1),L1338,0)</f>
        <v>0</v>
      </c>
    </row>
    <row r="1339" spans="1:13" ht="15" customHeight="1">
      <c r="A1339" s="1">
        <v>7295</v>
      </c>
      <c r="B1339" s="1" t="s">
        <v>9</v>
      </c>
      <c r="C1339" s="2" t="s">
        <v>1584</v>
      </c>
      <c r="D1339" s="2" t="s">
        <v>1585</v>
      </c>
      <c r="E1339" s="1">
        <v>1</v>
      </c>
      <c r="F1339" s="2" t="s">
        <v>1587</v>
      </c>
      <c r="G1339" s="1">
        <v>2</v>
      </c>
      <c r="H1339" s="1" t="str">
        <f t="shared" si="21"/>
        <v>k7295_2</v>
      </c>
      <c r="K1339" s="1">
        <f>IF(E1339=0,SUMPRODUCT(($A$2:$A$4734=A1339)*($B$2:$B$4734=B1339)*($D$2:$D$4734=D1339)*($E$2:$E$4734=0)),0)</f>
        <v>0</v>
      </c>
      <c r="L1339" s="1" t="str">
        <f>IF(E1339=0,SUMPRODUCT(MIN($K$2:$K$4734+((($A$2:$A$4734&lt;&gt;A1339)+($E$2:$E$4734&lt;&gt;0))&gt;0)*1000000)),"")</f>
        <v/>
      </c>
      <c r="M1339" s="1">
        <f>IF(AND(E1339=0,COUNTIFS($A$2:A1339,A1339,$E$2:E1339,0)=1),L1339,0)</f>
        <v>0</v>
      </c>
    </row>
    <row r="1340" spans="1:13" ht="15" customHeight="1">
      <c r="A1340" s="1">
        <v>7295</v>
      </c>
      <c r="B1340" s="1" t="s">
        <v>9</v>
      </c>
      <c r="C1340" s="2" t="s">
        <v>1584</v>
      </c>
      <c r="D1340" s="2" t="s">
        <v>1585</v>
      </c>
      <c r="E1340" s="1">
        <v>1</v>
      </c>
      <c r="F1340" s="2" t="s">
        <v>1588</v>
      </c>
      <c r="G1340" s="1">
        <v>3</v>
      </c>
      <c r="H1340" s="1" t="str">
        <f t="shared" si="21"/>
        <v>k7295_3</v>
      </c>
      <c r="K1340" s="1">
        <f>IF(E1340=0,SUMPRODUCT(($A$2:$A$4734=A1340)*($B$2:$B$4734=B1340)*($D$2:$D$4734=D1340)*($E$2:$E$4734=0)),0)</f>
        <v>0</v>
      </c>
      <c r="L1340" s="1" t="str">
        <f>IF(E1340=0,SUMPRODUCT(MIN($K$2:$K$4734+((($A$2:$A$4734&lt;&gt;A1340)+($E$2:$E$4734&lt;&gt;0))&gt;0)*1000000)),"")</f>
        <v/>
      </c>
      <c r="M1340" s="1">
        <f>IF(AND(E1340=0,COUNTIFS($A$2:A1340,A1340,$E$2:E1340,0)=1),L1340,0)</f>
        <v>0</v>
      </c>
    </row>
    <row r="1341" spans="1:13" ht="15" customHeight="1">
      <c r="A1341" s="1">
        <v>7295</v>
      </c>
      <c r="B1341" s="1" t="s">
        <v>9</v>
      </c>
      <c r="C1341" s="2" t="s">
        <v>1584</v>
      </c>
      <c r="D1341" s="2" t="s">
        <v>1585</v>
      </c>
      <c r="E1341" s="1">
        <v>1</v>
      </c>
      <c r="F1341" s="2" t="s">
        <v>1589</v>
      </c>
      <c r="G1341" s="1">
        <v>4</v>
      </c>
      <c r="H1341" s="1" t="str">
        <f t="shared" si="21"/>
        <v>k7295_4</v>
      </c>
      <c r="K1341" s="1">
        <f>IF(E1341=0,SUMPRODUCT(($A$2:$A$4734=A1341)*($B$2:$B$4734=B1341)*($D$2:$D$4734=D1341)*($E$2:$E$4734=0)),0)</f>
        <v>0</v>
      </c>
      <c r="L1341" s="1" t="str">
        <f>IF(E1341=0,SUMPRODUCT(MIN($K$2:$K$4734+((($A$2:$A$4734&lt;&gt;A1341)+($E$2:$E$4734&lt;&gt;0))&gt;0)*1000000)),"")</f>
        <v/>
      </c>
      <c r="M1341" s="1">
        <f>IF(AND(E1341=0,COUNTIFS($A$2:A1341,A1341,$E$2:E1341,0)=1),L1341,0)</f>
        <v>0</v>
      </c>
    </row>
    <row r="1342" spans="1:13" ht="15" customHeight="1">
      <c r="A1342" s="1">
        <v>7295</v>
      </c>
      <c r="B1342" s="1" t="s">
        <v>144</v>
      </c>
      <c r="C1342" s="2" t="s">
        <v>1584</v>
      </c>
      <c r="D1342" s="2" t="s">
        <v>1590</v>
      </c>
      <c r="E1342" s="1">
        <v>1</v>
      </c>
      <c r="F1342" s="2" t="s">
        <v>1591</v>
      </c>
      <c r="G1342" s="1">
        <v>1</v>
      </c>
      <c r="H1342" s="1" t="str">
        <f t="shared" si="21"/>
        <v>k7295_1</v>
      </c>
      <c r="K1342" s="1">
        <f>IF(E1342=0,SUMPRODUCT(($A$2:$A$4734=A1342)*($B$2:$B$4734=B1342)*($D$2:$D$4734=D1342)*($E$2:$E$4734=0)),0)</f>
        <v>0</v>
      </c>
      <c r="L1342" s="1" t="str">
        <f>IF(E1342=0,SUMPRODUCT(MIN($K$2:$K$4734+((($A$2:$A$4734&lt;&gt;A1342)+($E$2:$E$4734&lt;&gt;0))&gt;0)*1000000)),"")</f>
        <v/>
      </c>
      <c r="M1342" s="1">
        <f>IF(AND(E1342=0,COUNTIFS($A$2:A1342,A1342,$E$2:E1342,0)=1),L1342,0)</f>
        <v>0</v>
      </c>
    </row>
    <row r="1343" spans="1:13" ht="15" customHeight="1">
      <c r="A1343" s="1">
        <v>7295</v>
      </c>
      <c r="B1343" s="1" t="s">
        <v>144</v>
      </c>
      <c r="C1343" s="2" t="s">
        <v>1584</v>
      </c>
      <c r="D1343" s="2" t="s">
        <v>1590</v>
      </c>
      <c r="E1343" s="1">
        <v>1</v>
      </c>
      <c r="F1343" s="2" t="s">
        <v>1592</v>
      </c>
      <c r="G1343" s="1">
        <v>2</v>
      </c>
      <c r="H1343" s="1" t="str">
        <f t="shared" si="21"/>
        <v>k7295_2</v>
      </c>
      <c r="K1343" s="1">
        <f>IF(E1343=0,SUMPRODUCT(($A$2:$A$4734=A1343)*($B$2:$B$4734=B1343)*($D$2:$D$4734=D1343)*($E$2:$E$4734=0)),0)</f>
        <v>0</v>
      </c>
      <c r="L1343" s="1" t="str">
        <f>IF(E1343=0,SUMPRODUCT(MIN($K$2:$K$4734+((($A$2:$A$4734&lt;&gt;A1343)+($E$2:$E$4734&lt;&gt;0))&gt;0)*1000000)),"")</f>
        <v/>
      </c>
      <c r="M1343" s="1">
        <f>IF(AND(E1343=0,COUNTIFS($A$2:A1343,A1343,$E$2:E1343,0)=1),L1343,0)</f>
        <v>0</v>
      </c>
    </row>
    <row r="1344" spans="1:13" ht="15" customHeight="1">
      <c r="A1344" s="1">
        <v>7295</v>
      </c>
      <c r="B1344" s="1" t="s">
        <v>144</v>
      </c>
      <c r="C1344" s="2" t="s">
        <v>1584</v>
      </c>
      <c r="D1344" s="2" t="s">
        <v>1590</v>
      </c>
      <c r="E1344" s="1">
        <v>1</v>
      </c>
      <c r="F1344" s="2" t="s">
        <v>1593</v>
      </c>
      <c r="G1344" s="1">
        <v>3</v>
      </c>
      <c r="H1344" s="1" t="str">
        <f t="shared" si="21"/>
        <v>k7295_3</v>
      </c>
      <c r="K1344" s="1">
        <f>IF(E1344=0,SUMPRODUCT(($A$2:$A$4734=A1344)*($B$2:$B$4734=B1344)*($D$2:$D$4734=D1344)*($E$2:$E$4734=0)),0)</f>
        <v>0</v>
      </c>
      <c r="L1344" s="1" t="str">
        <f>IF(E1344=0,SUMPRODUCT(MIN($K$2:$K$4734+((($A$2:$A$4734&lt;&gt;A1344)+($E$2:$E$4734&lt;&gt;0))&gt;0)*1000000)),"")</f>
        <v/>
      </c>
      <c r="M1344" s="1">
        <f>IF(AND(E1344=0,COUNTIFS($A$2:A1344,A1344,$E$2:E1344,0)=1),L1344,0)</f>
        <v>0</v>
      </c>
    </row>
    <row r="1345" spans="1:13" ht="15" customHeight="1">
      <c r="A1345" s="1">
        <v>7295</v>
      </c>
      <c r="B1345" s="1" t="s">
        <v>144</v>
      </c>
      <c r="C1345" s="2" t="s">
        <v>1584</v>
      </c>
      <c r="D1345" s="2" t="s">
        <v>1590</v>
      </c>
      <c r="E1345" s="1">
        <v>1</v>
      </c>
      <c r="F1345" s="2" t="s">
        <v>1594</v>
      </c>
      <c r="G1345" s="1">
        <v>4</v>
      </c>
      <c r="H1345" s="1" t="str">
        <f t="shared" si="21"/>
        <v>k7295_4</v>
      </c>
      <c r="K1345" s="1">
        <f>IF(E1345=0,SUMPRODUCT(($A$2:$A$4734=A1345)*($B$2:$B$4734=B1345)*($D$2:$D$4734=D1345)*($E$2:$E$4734=0)),0)</f>
        <v>0</v>
      </c>
      <c r="L1345" s="1" t="str">
        <f>IF(E1345=0,SUMPRODUCT(MIN($K$2:$K$4734+((($A$2:$A$4734&lt;&gt;A1345)+($E$2:$E$4734&lt;&gt;0))&gt;0)*1000000)),"")</f>
        <v/>
      </c>
      <c r="M1345" s="1">
        <f>IF(AND(E1345=0,COUNTIFS($A$2:A1345,A1345,$E$2:E1345,0)=1),L1345,0)</f>
        <v>0</v>
      </c>
    </row>
    <row r="1346" spans="1:13" ht="15" customHeight="1">
      <c r="A1346" s="1">
        <v>7296</v>
      </c>
      <c r="B1346" s="1" t="s">
        <v>9</v>
      </c>
      <c r="C1346" s="1" t="s">
        <v>1595</v>
      </c>
      <c r="D1346" s="2" t="s">
        <v>1596</v>
      </c>
      <c r="E1346" s="1">
        <v>1</v>
      </c>
      <c r="F1346" s="2" t="s">
        <v>1597</v>
      </c>
      <c r="G1346" s="1">
        <v>1</v>
      </c>
      <c r="H1346" s="1" t="str">
        <f t="shared" si="21"/>
        <v>k7296_1</v>
      </c>
      <c r="K1346" s="1">
        <f>IF(E1346=0,SUMPRODUCT(($A$2:$A$4734=A1346)*($B$2:$B$4734=B1346)*($D$2:$D$4734=D1346)*($E$2:$E$4734=0)),0)</f>
        <v>0</v>
      </c>
      <c r="L1346" s="1" t="str">
        <f>IF(E1346=0,SUMPRODUCT(MIN($K$2:$K$4734+((($A$2:$A$4734&lt;&gt;A1346)+($E$2:$E$4734&lt;&gt;0))&gt;0)*1000000)),"")</f>
        <v/>
      </c>
      <c r="M1346" s="1">
        <f>IF(AND(E1346=0,COUNTIFS($A$2:A1346,A1346,$E$2:E1346,0)=1),L1346,0)</f>
        <v>0</v>
      </c>
    </row>
    <row r="1347" spans="1:13" ht="15" customHeight="1">
      <c r="A1347" s="1">
        <v>7296</v>
      </c>
      <c r="B1347" s="1" t="s">
        <v>9</v>
      </c>
      <c r="C1347" s="1" t="s">
        <v>1595</v>
      </c>
      <c r="D1347" s="2" t="s">
        <v>1596</v>
      </c>
      <c r="E1347" s="1">
        <v>1</v>
      </c>
      <c r="F1347" s="2" t="s">
        <v>1598</v>
      </c>
      <c r="G1347" s="1">
        <v>2</v>
      </c>
      <c r="H1347" s="1" t="str">
        <f t="shared" si="21"/>
        <v>k7296_2</v>
      </c>
      <c r="K1347" s="1">
        <f>IF(E1347=0,SUMPRODUCT(($A$2:$A$4734=A1347)*($B$2:$B$4734=B1347)*($D$2:$D$4734=D1347)*($E$2:$E$4734=0)),0)</f>
        <v>0</v>
      </c>
      <c r="L1347" s="1" t="str">
        <f>IF(E1347=0,SUMPRODUCT(MIN($K$2:$K$4734+((($A$2:$A$4734&lt;&gt;A1347)+($E$2:$E$4734&lt;&gt;0))&gt;0)*1000000)),"")</f>
        <v/>
      </c>
      <c r="M1347" s="1">
        <f>IF(AND(E1347=0,COUNTIFS($A$2:A1347,A1347,$E$2:E1347,0)=1),L1347,0)</f>
        <v>0</v>
      </c>
    </row>
    <row r="1348" spans="1:13" ht="15" customHeight="1">
      <c r="A1348" s="1">
        <v>7296</v>
      </c>
      <c r="B1348" s="1" t="s">
        <v>9</v>
      </c>
      <c r="C1348" s="1" t="s">
        <v>1595</v>
      </c>
      <c r="D1348" s="2" t="s">
        <v>1596</v>
      </c>
      <c r="E1348" s="1">
        <v>1</v>
      </c>
      <c r="F1348" s="2" t="s">
        <v>1599</v>
      </c>
      <c r="G1348" s="1">
        <v>3</v>
      </c>
      <c r="H1348" s="1" t="str">
        <f t="shared" si="21"/>
        <v>k7296_3</v>
      </c>
      <c r="K1348" s="1">
        <f>IF(E1348=0,SUMPRODUCT(($A$2:$A$4734=A1348)*($B$2:$B$4734=B1348)*($D$2:$D$4734=D1348)*($E$2:$E$4734=0)),0)</f>
        <v>0</v>
      </c>
      <c r="L1348" s="1" t="str">
        <f>IF(E1348=0,SUMPRODUCT(MIN($K$2:$K$4734+((($A$2:$A$4734&lt;&gt;A1348)+($E$2:$E$4734&lt;&gt;0))&gt;0)*1000000)),"")</f>
        <v/>
      </c>
      <c r="M1348" s="1">
        <f>IF(AND(E1348=0,COUNTIFS($A$2:A1348,A1348,$E$2:E1348,0)=1),L1348,0)</f>
        <v>0</v>
      </c>
    </row>
    <row r="1349" spans="1:13" ht="15" customHeight="1">
      <c r="A1349" s="1">
        <v>7296</v>
      </c>
      <c r="B1349" s="1" t="s">
        <v>9</v>
      </c>
      <c r="C1349" s="1" t="s">
        <v>1595</v>
      </c>
      <c r="D1349" s="2" t="s">
        <v>1596</v>
      </c>
      <c r="E1349" s="1">
        <v>1</v>
      </c>
      <c r="F1349" s="2" t="s">
        <v>1600</v>
      </c>
      <c r="G1349" s="1">
        <v>4</v>
      </c>
      <c r="H1349" s="1" t="str">
        <f t="shared" si="21"/>
        <v>k7296_4</v>
      </c>
      <c r="K1349" s="1">
        <f>IF(E1349=0,SUMPRODUCT(($A$2:$A$4734=A1349)*($B$2:$B$4734=B1349)*($D$2:$D$4734=D1349)*($E$2:$E$4734=0)),0)</f>
        <v>0</v>
      </c>
      <c r="L1349" s="1" t="str">
        <f>IF(E1349=0,SUMPRODUCT(MIN($K$2:$K$4734+((($A$2:$A$4734&lt;&gt;A1349)+($E$2:$E$4734&lt;&gt;0))&gt;0)*1000000)),"")</f>
        <v/>
      </c>
      <c r="M1349" s="1">
        <f>IF(AND(E1349=0,COUNTIFS($A$2:A1349,A1349,$E$2:E1349,0)=1),L1349,0)</f>
        <v>0</v>
      </c>
    </row>
    <row r="1350" spans="1:13" ht="15" customHeight="1">
      <c r="A1350" s="1">
        <v>7296</v>
      </c>
      <c r="B1350" s="1" t="s">
        <v>9</v>
      </c>
      <c r="C1350" s="1" t="s">
        <v>1595</v>
      </c>
      <c r="D1350" s="2" t="s">
        <v>1596</v>
      </c>
      <c r="E1350" s="1">
        <v>1</v>
      </c>
      <c r="F1350" s="2" t="s">
        <v>1601</v>
      </c>
      <c r="G1350" s="1">
        <v>5</v>
      </c>
      <c r="H1350" s="1" t="str">
        <f t="shared" si="21"/>
        <v>k7296_5</v>
      </c>
      <c r="K1350" s="1">
        <f>IF(E1350=0,SUMPRODUCT(($A$2:$A$4734=A1350)*($B$2:$B$4734=B1350)*($D$2:$D$4734=D1350)*($E$2:$E$4734=0)),0)</f>
        <v>0</v>
      </c>
      <c r="L1350" s="1" t="str">
        <f>IF(E1350=0,SUMPRODUCT(MIN($K$2:$K$4734+((($A$2:$A$4734&lt;&gt;A1350)+($E$2:$E$4734&lt;&gt;0))&gt;0)*1000000)),"")</f>
        <v/>
      </c>
      <c r="M1350" s="1">
        <f>IF(AND(E1350=0,COUNTIFS($A$2:A1350,A1350,$E$2:E1350,0)=1),L1350,0)</f>
        <v>0</v>
      </c>
    </row>
    <row r="1351" spans="1:13" ht="15" customHeight="1">
      <c r="A1351" s="1">
        <v>7296</v>
      </c>
      <c r="B1351" s="1" t="s">
        <v>16</v>
      </c>
      <c r="C1351" s="1" t="s">
        <v>1595</v>
      </c>
      <c r="D1351" s="2" t="s">
        <v>1602</v>
      </c>
      <c r="E1351" s="1">
        <v>1</v>
      </c>
      <c r="F1351" s="2" t="s">
        <v>1603</v>
      </c>
      <c r="G1351" s="1">
        <v>1</v>
      </c>
      <c r="H1351" s="1" t="str">
        <f t="shared" si="21"/>
        <v>k7296_1</v>
      </c>
      <c r="K1351" s="1">
        <f>IF(E1351=0,SUMPRODUCT(($A$2:$A$4734=A1351)*($B$2:$B$4734=B1351)*($D$2:$D$4734=D1351)*($E$2:$E$4734=0)),0)</f>
        <v>0</v>
      </c>
      <c r="L1351" s="1" t="str">
        <f>IF(E1351=0,SUMPRODUCT(MIN($K$2:$K$4734+((($A$2:$A$4734&lt;&gt;A1351)+($E$2:$E$4734&lt;&gt;0))&gt;0)*1000000)),"")</f>
        <v/>
      </c>
      <c r="M1351" s="1">
        <f>IF(AND(E1351=0,COUNTIFS($A$2:A1351,A1351,$E$2:E1351,0)=1),L1351,0)</f>
        <v>0</v>
      </c>
    </row>
    <row r="1352" spans="1:13" ht="15" customHeight="1">
      <c r="A1352" s="1">
        <v>7296</v>
      </c>
      <c r="B1352" s="1" t="s">
        <v>16</v>
      </c>
      <c r="C1352" s="1" t="s">
        <v>1595</v>
      </c>
      <c r="D1352" s="2" t="s">
        <v>1602</v>
      </c>
      <c r="E1352" s="1">
        <v>1</v>
      </c>
      <c r="F1352" s="2" t="s">
        <v>1604</v>
      </c>
      <c r="G1352" s="1">
        <v>2</v>
      </c>
      <c r="H1352" s="1" t="str">
        <f t="shared" si="21"/>
        <v>k7296_2</v>
      </c>
      <c r="K1352" s="1">
        <f>IF(E1352=0,SUMPRODUCT(($A$2:$A$4734=A1352)*($B$2:$B$4734=B1352)*($D$2:$D$4734=D1352)*($E$2:$E$4734=0)),0)</f>
        <v>0</v>
      </c>
      <c r="L1352" s="1" t="str">
        <f>IF(E1352=0,SUMPRODUCT(MIN($K$2:$K$4734+((($A$2:$A$4734&lt;&gt;A1352)+($E$2:$E$4734&lt;&gt;0))&gt;0)*1000000)),"")</f>
        <v/>
      </c>
      <c r="M1352" s="1">
        <f>IF(AND(E1352=0,COUNTIFS($A$2:A1352,A1352,$E$2:E1352,0)=1),L1352,0)</f>
        <v>0</v>
      </c>
    </row>
    <row r="1353" spans="1:13" ht="15" customHeight="1">
      <c r="A1353" s="1">
        <v>7296</v>
      </c>
      <c r="B1353" s="1" t="s">
        <v>16</v>
      </c>
      <c r="C1353" s="1" t="s">
        <v>1595</v>
      </c>
      <c r="D1353" s="2" t="s">
        <v>1602</v>
      </c>
      <c r="E1353" s="1">
        <v>1</v>
      </c>
      <c r="F1353" s="2" t="s">
        <v>1605</v>
      </c>
      <c r="G1353" s="1">
        <v>3</v>
      </c>
      <c r="H1353" s="1" t="str">
        <f t="shared" si="21"/>
        <v>k7296_3</v>
      </c>
      <c r="K1353" s="1">
        <f>IF(E1353=0,SUMPRODUCT(($A$2:$A$4734=A1353)*($B$2:$B$4734=B1353)*($D$2:$D$4734=D1353)*($E$2:$E$4734=0)),0)</f>
        <v>0</v>
      </c>
      <c r="L1353" s="1" t="str">
        <f>IF(E1353=0,SUMPRODUCT(MIN($K$2:$K$4734+((($A$2:$A$4734&lt;&gt;A1353)+($E$2:$E$4734&lt;&gt;0))&gt;0)*1000000)),"")</f>
        <v/>
      </c>
      <c r="M1353" s="1">
        <f>IF(AND(E1353=0,COUNTIFS($A$2:A1353,A1353,$E$2:E1353,0)=1),L1353,0)</f>
        <v>0</v>
      </c>
    </row>
    <row r="1354" spans="1:13" ht="15" customHeight="1">
      <c r="A1354" s="1">
        <v>7296</v>
      </c>
      <c r="B1354" s="1" t="s">
        <v>16</v>
      </c>
      <c r="C1354" s="1" t="s">
        <v>1595</v>
      </c>
      <c r="D1354" s="2" t="s">
        <v>1602</v>
      </c>
      <c r="E1354" s="1">
        <v>1</v>
      </c>
      <c r="F1354" s="2" t="s">
        <v>1606</v>
      </c>
      <c r="G1354" s="1">
        <v>4</v>
      </c>
      <c r="H1354" s="1" t="str">
        <f t="shared" si="21"/>
        <v>k7296_4</v>
      </c>
      <c r="K1354" s="1">
        <f>IF(E1354=0,SUMPRODUCT(($A$2:$A$4734=A1354)*($B$2:$B$4734=B1354)*($D$2:$D$4734=D1354)*($E$2:$E$4734=0)),0)</f>
        <v>0</v>
      </c>
      <c r="L1354" s="1" t="str">
        <f>IF(E1354=0,SUMPRODUCT(MIN($K$2:$K$4734+((($A$2:$A$4734&lt;&gt;A1354)+($E$2:$E$4734&lt;&gt;0))&gt;0)*1000000)),"")</f>
        <v/>
      </c>
      <c r="M1354" s="1">
        <f>IF(AND(E1354=0,COUNTIFS($A$2:A1354,A1354,$E$2:E1354,0)=1),L1354,0)</f>
        <v>0</v>
      </c>
    </row>
    <row r="1355" spans="1:13" ht="15" customHeight="1">
      <c r="A1355" s="1">
        <v>7296</v>
      </c>
      <c r="B1355" s="1" t="s">
        <v>16</v>
      </c>
      <c r="C1355" s="1" t="s">
        <v>1595</v>
      </c>
      <c r="D1355" s="2" t="s">
        <v>1602</v>
      </c>
      <c r="E1355" s="1">
        <v>1</v>
      </c>
      <c r="F1355" s="2" t="s">
        <v>1607</v>
      </c>
      <c r="G1355" s="1">
        <v>5</v>
      </c>
      <c r="H1355" s="1" t="str">
        <f t="shared" si="21"/>
        <v>k7296_5</v>
      </c>
      <c r="K1355" s="1">
        <f>IF(E1355=0,SUMPRODUCT(($A$2:$A$4734=A1355)*($B$2:$B$4734=B1355)*($D$2:$D$4734=D1355)*($E$2:$E$4734=0)),0)</f>
        <v>0</v>
      </c>
      <c r="L1355" s="1" t="str">
        <f>IF(E1355=0,SUMPRODUCT(MIN($K$2:$K$4734+((($A$2:$A$4734&lt;&gt;A1355)+($E$2:$E$4734&lt;&gt;0))&gt;0)*1000000)),"")</f>
        <v/>
      </c>
      <c r="M1355" s="1">
        <f>IF(AND(E1355=0,COUNTIFS($A$2:A1355,A1355,$E$2:E1355,0)=1),L1355,0)</f>
        <v>0</v>
      </c>
    </row>
    <row r="1356" spans="1:13" ht="15" customHeight="1">
      <c r="A1356" s="1">
        <v>7296</v>
      </c>
      <c r="B1356" s="1" t="s">
        <v>16</v>
      </c>
      <c r="C1356" s="1" t="s">
        <v>1595</v>
      </c>
      <c r="D1356" s="2" t="s">
        <v>1469</v>
      </c>
      <c r="E1356" s="1">
        <v>1</v>
      </c>
      <c r="F1356" s="2" t="s">
        <v>1608</v>
      </c>
      <c r="G1356" s="1">
        <v>1</v>
      </c>
      <c r="H1356" s="1" t="str">
        <f t="shared" si="21"/>
        <v>k7296_1</v>
      </c>
      <c r="K1356" s="1">
        <f>IF(E1356=0,SUMPRODUCT(($A$2:$A$4734=A1356)*($B$2:$B$4734=B1356)*($D$2:$D$4734=D1356)*($E$2:$E$4734=0)),0)</f>
        <v>0</v>
      </c>
      <c r="L1356" s="1" t="str">
        <f>IF(E1356=0,SUMPRODUCT(MIN($K$2:$K$4734+((($A$2:$A$4734&lt;&gt;A1356)+($E$2:$E$4734&lt;&gt;0))&gt;0)*1000000)),"")</f>
        <v/>
      </c>
      <c r="M1356" s="1">
        <f>IF(AND(E1356=0,COUNTIFS($A$2:A1356,A1356,$E$2:E1356,0)=1),L1356,0)</f>
        <v>0</v>
      </c>
    </row>
    <row r="1357" spans="1:13" ht="15" customHeight="1">
      <c r="A1357" s="1">
        <v>7296</v>
      </c>
      <c r="B1357" s="1" t="s">
        <v>16</v>
      </c>
      <c r="C1357" s="1" t="s">
        <v>1595</v>
      </c>
      <c r="D1357" s="2" t="s">
        <v>1469</v>
      </c>
      <c r="E1357" s="1">
        <v>1</v>
      </c>
      <c r="F1357" s="2" t="s">
        <v>1609</v>
      </c>
      <c r="G1357" s="1">
        <v>2</v>
      </c>
      <c r="H1357" s="1" t="str">
        <f t="shared" si="21"/>
        <v>k7296_2</v>
      </c>
      <c r="K1357" s="1">
        <f>IF(E1357=0,SUMPRODUCT(($A$2:$A$4734=A1357)*($B$2:$B$4734=B1357)*($D$2:$D$4734=D1357)*($E$2:$E$4734=0)),0)</f>
        <v>0</v>
      </c>
      <c r="L1357" s="1" t="str">
        <f>IF(E1357=0,SUMPRODUCT(MIN($K$2:$K$4734+((($A$2:$A$4734&lt;&gt;A1357)+($E$2:$E$4734&lt;&gt;0))&gt;0)*1000000)),"")</f>
        <v/>
      </c>
      <c r="M1357" s="1">
        <f>IF(AND(E1357=0,COUNTIFS($A$2:A1357,A1357,$E$2:E1357,0)=1),L1357,0)</f>
        <v>0</v>
      </c>
    </row>
    <row r="1358" spans="1:13" ht="15" customHeight="1">
      <c r="A1358" s="1">
        <v>7296</v>
      </c>
      <c r="B1358" s="1" t="s">
        <v>16</v>
      </c>
      <c r="C1358" s="1" t="s">
        <v>1595</v>
      </c>
      <c r="D1358" s="2" t="s">
        <v>1469</v>
      </c>
      <c r="E1358" s="1">
        <v>1</v>
      </c>
      <c r="F1358" s="2" t="s">
        <v>1610</v>
      </c>
      <c r="G1358" s="1">
        <v>3</v>
      </c>
      <c r="H1358" s="1" t="str">
        <f t="shared" si="21"/>
        <v>k7296_3</v>
      </c>
      <c r="K1358" s="1">
        <f>IF(E1358=0,SUMPRODUCT(($A$2:$A$4734=A1358)*($B$2:$B$4734=B1358)*($D$2:$D$4734=D1358)*($E$2:$E$4734=0)),0)</f>
        <v>0</v>
      </c>
      <c r="L1358" s="1" t="str">
        <f>IF(E1358=0,SUMPRODUCT(MIN($K$2:$K$4734+((($A$2:$A$4734&lt;&gt;A1358)+($E$2:$E$4734&lt;&gt;0))&gt;0)*1000000)),"")</f>
        <v/>
      </c>
      <c r="M1358" s="1">
        <f>IF(AND(E1358=0,COUNTIFS($A$2:A1358,A1358,$E$2:E1358,0)=1),L1358,0)</f>
        <v>0</v>
      </c>
    </row>
    <row r="1359" spans="1:13" ht="15" customHeight="1">
      <c r="A1359" s="1">
        <v>7296</v>
      </c>
      <c r="B1359" s="1" t="s">
        <v>16</v>
      </c>
      <c r="C1359" s="1" t="s">
        <v>1595</v>
      </c>
      <c r="D1359" s="2" t="s">
        <v>1469</v>
      </c>
      <c r="E1359" s="1">
        <v>1</v>
      </c>
      <c r="F1359" s="2" t="s">
        <v>1611</v>
      </c>
      <c r="G1359" s="1">
        <v>4</v>
      </c>
      <c r="H1359" s="1" t="str">
        <f t="shared" si="21"/>
        <v>k7296_4</v>
      </c>
      <c r="K1359" s="1">
        <f>IF(E1359=0,SUMPRODUCT(($A$2:$A$4734=A1359)*($B$2:$B$4734=B1359)*($D$2:$D$4734=D1359)*($E$2:$E$4734=0)),0)</f>
        <v>0</v>
      </c>
      <c r="L1359" s="1" t="str">
        <f>IF(E1359=0,SUMPRODUCT(MIN($K$2:$K$4734+((($A$2:$A$4734&lt;&gt;A1359)+($E$2:$E$4734&lt;&gt;0))&gt;0)*1000000)),"")</f>
        <v/>
      </c>
      <c r="M1359" s="1">
        <f>IF(AND(E1359=0,COUNTIFS($A$2:A1359,A1359,$E$2:E1359,0)=1),L1359,0)</f>
        <v>0</v>
      </c>
    </row>
    <row r="1360" spans="1:13" ht="15" customHeight="1">
      <c r="A1360" s="1">
        <v>7296</v>
      </c>
      <c r="B1360" s="1" t="s">
        <v>16</v>
      </c>
      <c r="C1360" s="1" t="s">
        <v>1595</v>
      </c>
      <c r="D1360" s="2" t="s">
        <v>1469</v>
      </c>
      <c r="E1360" s="1">
        <v>1</v>
      </c>
      <c r="F1360" s="2" t="s">
        <v>1612</v>
      </c>
      <c r="G1360" s="1">
        <v>5</v>
      </c>
      <c r="H1360" s="1" t="str">
        <f t="shared" si="21"/>
        <v>k7296_5</v>
      </c>
      <c r="K1360" s="1">
        <f>IF(E1360=0,SUMPRODUCT(($A$2:$A$4734=A1360)*($B$2:$B$4734=B1360)*($D$2:$D$4734=D1360)*($E$2:$E$4734=0)),0)</f>
        <v>0</v>
      </c>
      <c r="L1360" s="1" t="str">
        <f>IF(E1360=0,SUMPRODUCT(MIN($K$2:$K$4734+((($A$2:$A$4734&lt;&gt;A1360)+($E$2:$E$4734&lt;&gt;0))&gt;0)*1000000)),"")</f>
        <v/>
      </c>
      <c r="M1360" s="1">
        <f>IF(AND(E1360=0,COUNTIFS($A$2:A1360,A1360,$E$2:E1360,0)=1),L1360,0)</f>
        <v>0</v>
      </c>
    </row>
    <row r="1361" spans="1:13" ht="15" customHeight="1">
      <c r="A1361" s="1">
        <v>7296</v>
      </c>
      <c r="B1361" s="1" t="s">
        <v>69</v>
      </c>
      <c r="C1361" s="1" t="s">
        <v>1595</v>
      </c>
      <c r="D1361" s="2" t="s">
        <v>1613</v>
      </c>
      <c r="E1361" s="1">
        <v>1</v>
      </c>
      <c r="F1361" s="2" t="s">
        <v>1614</v>
      </c>
      <c r="G1361" s="1">
        <v>1</v>
      </c>
      <c r="H1361" s="1" t="str">
        <f t="shared" si="21"/>
        <v>k7296_1</v>
      </c>
      <c r="K1361" s="1">
        <f>IF(E1361=0,SUMPRODUCT(($A$2:$A$4734=A1361)*($B$2:$B$4734=B1361)*($D$2:$D$4734=D1361)*($E$2:$E$4734=0)),0)</f>
        <v>0</v>
      </c>
      <c r="L1361" s="1" t="str">
        <f>IF(E1361=0,SUMPRODUCT(MIN($K$2:$K$4734+((($A$2:$A$4734&lt;&gt;A1361)+($E$2:$E$4734&lt;&gt;0))&gt;0)*1000000)),"")</f>
        <v/>
      </c>
      <c r="M1361" s="1">
        <f>IF(AND(E1361=0,COUNTIFS($A$2:A1361,A1361,$E$2:E1361,0)=1),L1361,0)</f>
        <v>0</v>
      </c>
    </row>
    <row r="1362" spans="1:13" ht="15" customHeight="1">
      <c r="A1362" s="1">
        <v>7296</v>
      </c>
      <c r="B1362" s="1" t="s">
        <v>69</v>
      </c>
      <c r="C1362" s="1" t="s">
        <v>1595</v>
      </c>
      <c r="D1362" s="2" t="s">
        <v>1613</v>
      </c>
      <c r="E1362" s="1">
        <v>1</v>
      </c>
      <c r="F1362" s="2" t="s">
        <v>1615</v>
      </c>
      <c r="G1362" s="1">
        <v>2</v>
      </c>
      <c r="H1362" s="1" t="str">
        <f t="shared" si="21"/>
        <v>k7296_2</v>
      </c>
      <c r="K1362" s="1">
        <f>IF(E1362=0,SUMPRODUCT(($A$2:$A$4734=A1362)*($B$2:$B$4734=B1362)*($D$2:$D$4734=D1362)*($E$2:$E$4734=0)),0)</f>
        <v>0</v>
      </c>
      <c r="L1362" s="1" t="str">
        <f>IF(E1362=0,SUMPRODUCT(MIN($K$2:$K$4734+((($A$2:$A$4734&lt;&gt;A1362)+($E$2:$E$4734&lt;&gt;0))&gt;0)*1000000)),"")</f>
        <v/>
      </c>
      <c r="M1362" s="1">
        <f>IF(AND(E1362=0,COUNTIFS($A$2:A1362,A1362,$E$2:E1362,0)=1),L1362,0)</f>
        <v>0</v>
      </c>
    </row>
    <row r="1363" spans="1:13" ht="15" customHeight="1">
      <c r="A1363" s="1">
        <v>7296</v>
      </c>
      <c r="B1363" s="1" t="s">
        <v>69</v>
      </c>
      <c r="C1363" s="1" t="s">
        <v>1595</v>
      </c>
      <c r="D1363" s="2" t="s">
        <v>1613</v>
      </c>
      <c r="E1363" s="1">
        <v>1</v>
      </c>
      <c r="F1363" s="2" t="s">
        <v>1616</v>
      </c>
      <c r="G1363" s="1">
        <v>3</v>
      </c>
      <c r="H1363" s="1" t="str">
        <f t="shared" si="21"/>
        <v>k7296_3</v>
      </c>
      <c r="K1363" s="1">
        <f>IF(E1363=0,SUMPRODUCT(($A$2:$A$4734=A1363)*($B$2:$B$4734=B1363)*($D$2:$D$4734=D1363)*($E$2:$E$4734=0)),0)</f>
        <v>0</v>
      </c>
      <c r="L1363" s="1" t="str">
        <f>IF(E1363=0,SUMPRODUCT(MIN($K$2:$K$4734+((($A$2:$A$4734&lt;&gt;A1363)+($E$2:$E$4734&lt;&gt;0))&gt;0)*1000000)),"")</f>
        <v/>
      </c>
      <c r="M1363" s="1">
        <f>IF(AND(E1363=0,COUNTIFS($A$2:A1363,A1363,$E$2:E1363,0)=1),L1363,0)</f>
        <v>0</v>
      </c>
    </row>
    <row r="1364" spans="1:13" ht="15" customHeight="1">
      <c r="A1364" s="1">
        <v>7296</v>
      </c>
      <c r="B1364" s="1" t="s">
        <v>69</v>
      </c>
      <c r="C1364" s="1" t="s">
        <v>1595</v>
      </c>
      <c r="D1364" s="2" t="s">
        <v>1613</v>
      </c>
      <c r="E1364" s="1">
        <v>1</v>
      </c>
      <c r="F1364" s="2" t="s">
        <v>1617</v>
      </c>
      <c r="G1364" s="1">
        <v>4</v>
      </c>
      <c r="H1364" s="1" t="str">
        <f t="shared" si="21"/>
        <v>k7296_4</v>
      </c>
      <c r="K1364" s="1">
        <f>IF(E1364=0,SUMPRODUCT(($A$2:$A$4734=A1364)*($B$2:$B$4734=B1364)*($D$2:$D$4734=D1364)*($E$2:$E$4734=0)),0)</f>
        <v>0</v>
      </c>
      <c r="L1364" s="1" t="str">
        <f>IF(E1364=0,SUMPRODUCT(MIN($K$2:$K$4734+((($A$2:$A$4734&lt;&gt;A1364)+($E$2:$E$4734&lt;&gt;0))&gt;0)*1000000)),"")</f>
        <v/>
      </c>
      <c r="M1364" s="1">
        <f>IF(AND(E1364=0,COUNTIFS($A$2:A1364,A1364,$E$2:E1364,0)=1),L1364,0)</f>
        <v>0</v>
      </c>
    </row>
    <row r="1365" spans="1:13" ht="15" customHeight="1">
      <c r="A1365" s="1">
        <v>7296</v>
      </c>
      <c r="B1365" s="1" t="s">
        <v>69</v>
      </c>
      <c r="C1365" s="1" t="s">
        <v>1595</v>
      </c>
      <c r="D1365" s="2" t="s">
        <v>1613</v>
      </c>
      <c r="E1365" s="1">
        <v>1</v>
      </c>
      <c r="F1365" s="2" t="s">
        <v>1618</v>
      </c>
      <c r="G1365" s="1">
        <v>5</v>
      </c>
      <c r="H1365" s="1" t="str">
        <f t="shared" si="21"/>
        <v>k7296_5</v>
      </c>
      <c r="K1365" s="1">
        <f>IF(E1365=0,SUMPRODUCT(($A$2:$A$4734=A1365)*($B$2:$B$4734=B1365)*($D$2:$D$4734=D1365)*($E$2:$E$4734=0)),0)</f>
        <v>0</v>
      </c>
      <c r="L1365" s="1" t="str">
        <f>IF(E1365=0,SUMPRODUCT(MIN($K$2:$K$4734+((($A$2:$A$4734&lt;&gt;A1365)+($E$2:$E$4734&lt;&gt;0))&gt;0)*1000000)),"")</f>
        <v/>
      </c>
      <c r="M1365" s="1">
        <f>IF(AND(E1365=0,COUNTIFS($A$2:A1365,A1365,$E$2:E1365,0)=1),L1365,0)</f>
        <v>0</v>
      </c>
    </row>
    <row r="1366" spans="1:13" ht="15" customHeight="1">
      <c r="A1366" s="1">
        <v>7297</v>
      </c>
      <c r="B1366" s="1" t="s">
        <v>9</v>
      </c>
      <c r="C1366" s="2" t="s">
        <v>1619</v>
      </c>
      <c r="D1366" s="2" t="s">
        <v>1620</v>
      </c>
      <c r="E1366" s="1">
        <v>1</v>
      </c>
      <c r="F1366" s="2" t="s">
        <v>1621</v>
      </c>
      <c r="G1366" s="1">
        <v>1</v>
      </c>
      <c r="H1366" s="1" t="str">
        <f t="shared" si="21"/>
        <v>k7297_1</v>
      </c>
      <c r="K1366" s="1">
        <f>IF(E1366=0,SUMPRODUCT(($A$2:$A$4734=A1366)*($B$2:$B$4734=B1366)*($D$2:$D$4734=D1366)*($E$2:$E$4734=0)),0)</f>
        <v>0</v>
      </c>
      <c r="L1366" s="1" t="str">
        <f>IF(E1366=0,SUMPRODUCT(MIN($K$2:$K$4734+((($A$2:$A$4734&lt;&gt;A1366)+($E$2:$E$4734&lt;&gt;0))&gt;0)*1000000)),"")</f>
        <v/>
      </c>
      <c r="M1366" s="1">
        <f>IF(AND(E1366=0,COUNTIFS($A$2:A1366,A1366,$E$2:E1366,0)=1),L1366,0)</f>
        <v>0</v>
      </c>
    </row>
    <row r="1367" spans="1:13" ht="15" customHeight="1">
      <c r="A1367" s="1">
        <v>7297</v>
      </c>
      <c r="B1367" s="1" t="s">
        <v>9</v>
      </c>
      <c r="C1367" s="2" t="s">
        <v>1619</v>
      </c>
      <c r="D1367" s="2" t="s">
        <v>1620</v>
      </c>
      <c r="E1367" s="1">
        <v>1</v>
      </c>
      <c r="F1367" s="2" t="s">
        <v>1622</v>
      </c>
      <c r="G1367" s="1">
        <v>2</v>
      </c>
      <c r="H1367" s="1" t="str">
        <f t="shared" si="21"/>
        <v>k7297_2</v>
      </c>
      <c r="K1367" s="1">
        <f>IF(E1367=0,SUMPRODUCT(($A$2:$A$4734=A1367)*($B$2:$B$4734=B1367)*($D$2:$D$4734=D1367)*($E$2:$E$4734=0)),0)</f>
        <v>0</v>
      </c>
      <c r="L1367" s="1" t="str">
        <f>IF(E1367=0,SUMPRODUCT(MIN($K$2:$K$4734+((($A$2:$A$4734&lt;&gt;A1367)+($E$2:$E$4734&lt;&gt;0))&gt;0)*1000000)),"")</f>
        <v/>
      </c>
      <c r="M1367" s="1">
        <f>IF(AND(E1367=0,COUNTIFS($A$2:A1367,A1367,$E$2:E1367,0)=1),L1367,0)</f>
        <v>0</v>
      </c>
    </row>
    <row r="1368" spans="1:13" ht="15" customHeight="1">
      <c r="A1368" s="1">
        <v>7297</v>
      </c>
      <c r="B1368" s="1" t="s">
        <v>9</v>
      </c>
      <c r="C1368" s="2" t="s">
        <v>1619</v>
      </c>
      <c r="D1368" s="2" t="s">
        <v>1620</v>
      </c>
      <c r="E1368" s="1">
        <v>1</v>
      </c>
      <c r="F1368" s="2" t="s">
        <v>1623</v>
      </c>
      <c r="G1368" s="1">
        <v>3</v>
      </c>
      <c r="H1368" s="1" t="str">
        <f t="shared" si="21"/>
        <v>k7297_3</v>
      </c>
      <c r="K1368" s="1">
        <f>IF(E1368=0,SUMPRODUCT(($A$2:$A$4734=A1368)*($B$2:$B$4734=B1368)*($D$2:$D$4734=D1368)*($E$2:$E$4734=0)),0)</f>
        <v>0</v>
      </c>
      <c r="L1368" s="1" t="str">
        <f>IF(E1368=0,SUMPRODUCT(MIN($K$2:$K$4734+((($A$2:$A$4734&lt;&gt;A1368)+($E$2:$E$4734&lt;&gt;0))&gt;0)*1000000)),"")</f>
        <v/>
      </c>
      <c r="M1368" s="1">
        <f>IF(AND(E1368=0,COUNTIFS($A$2:A1368,A1368,$E$2:E1368,0)=1),L1368,0)</f>
        <v>0</v>
      </c>
    </row>
    <row r="1369" spans="1:13" ht="15" customHeight="1">
      <c r="A1369" s="1">
        <v>7297</v>
      </c>
      <c r="B1369" s="1" t="s">
        <v>69</v>
      </c>
      <c r="C1369" s="2" t="s">
        <v>1619</v>
      </c>
      <c r="D1369" s="2" t="s">
        <v>1619</v>
      </c>
      <c r="E1369" s="1">
        <v>1</v>
      </c>
      <c r="F1369" s="2" t="s">
        <v>1624</v>
      </c>
      <c r="G1369" s="1">
        <v>1</v>
      </c>
      <c r="H1369" s="1" t="str">
        <f t="shared" si="21"/>
        <v>k7297_1</v>
      </c>
      <c r="K1369" s="1">
        <f>IF(E1369=0,SUMPRODUCT(($A$2:$A$4734=A1369)*($B$2:$B$4734=B1369)*($D$2:$D$4734=D1369)*($E$2:$E$4734=0)),0)</f>
        <v>0</v>
      </c>
      <c r="L1369" s="1" t="str">
        <f>IF(E1369=0,SUMPRODUCT(MIN($K$2:$K$4734+((($A$2:$A$4734&lt;&gt;A1369)+($E$2:$E$4734&lt;&gt;0))&gt;0)*1000000)),"")</f>
        <v/>
      </c>
      <c r="M1369" s="1">
        <f>IF(AND(E1369=0,COUNTIFS($A$2:A1369,A1369,$E$2:E1369,0)=1),L1369,0)</f>
        <v>0</v>
      </c>
    </row>
    <row r="1370" spans="1:13" ht="15" customHeight="1">
      <c r="A1370" s="1">
        <v>7297</v>
      </c>
      <c r="B1370" s="1" t="s">
        <v>69</v>
      </c>
      <c r="C1370" s="2" t="s">
        <v>1619</v>
      </c>
      <c r="D1370" s="2" t="s">
        <v>1619</v>
      </c>
      <c r="E1370" s="1">
        <v>1</v>
      </c>
      <c r="F1370" s="2" t="s">
        <v>1625</v>
      </c>
      <c r="G1370" s="1">
        <v>2</v>
      </c>
      <c r="H1370" s="1" t="str">
        <f t="shared" si="21"/>
        <v>k7297_2</v>
      </c>
      <c r="K1370" s="1">
        <f>IF(E1370=0,SUMPRODUCT(($A$2:$A$4734=A1370)*($B$2:$B$4734=B1370)*($D$2:$D$4734=D1370)*($E$2:$E$4734=0)),0)</f>
        <v>0</v>
      </c>
      <c r="L1370" s="1" t="str">
        <f>IF(E1370=0,SUMPRODUCT(MIN($K$2:$K$4734+((($A$2:$A$4734&lt;&gt;A1370)+($E$2:$E$4734&lt;&gt;0))&gt;0)*1000000)),"")</f>
        <v/>
      </c>
      <c r="M1370" s="1">
        <f>IF(AND(E1370=0,COUNTIFS($A$2:A1370,A1370,$E$2:E1370,0)=1),L1370,0)</f>
        <v>0</v>
      </c>
    </row>
    <row r="1371" spans="1:13" ht="15" customHeight="1">
      <c r="A1371" s="1">
        <v>7297</v>
      </c>
      <c r="B1371" s="1" t="s">
        <v>69</v>
      </c>
      <c r="C1371" s="2" t="s">
        <v>1619</v>
      </c>
      <c r="D1371" s="2" t="s">
        <v>1619</v>
      </c>
      <c r="E1371" s="1">
        <v>1</v>
      </c>
      <c r="F1371" s="2" t="s">
        <v>1626</v>
      </c>
      <c r="G1371" s="1">
        <v>3</v>
      </c>
      <c r="H1371" s="1" t="str">
        <f t="shared" si="21"/>
        <v>k7297_3</v>
      </c>
      <c r="K1371" s="1">
        <f>IF(E1371=0,SUMPRODUCT(($A$2:$A$4734=A1371)*($B$2:$B$4734=B1371)*($D$2:$D$4734=D1371)*($E$2:$E$4734=0)),0)</f>
        <v>0</v>
      </c>
      <c r="L1371" s="1" t="str">
        <f>IF(E1371=0,SUMPRODUCT(MIN($K$2:$K$4734+((($A$2:$A$4734&lt;&gt;A1371)+($E$2:$E$4734&lt;&gt;0))&gt;0)*1000000)),"")</f>
        <v/>
      </c>
      <c r="M1371" s="1">
        <f>IF(AND(E1371=0,COUNTIFS($A$2:A1371,A1371,$E$2:E1371,0)=1),L1371,0)</f>
        <v>0</v>
      </c>
    </row>
    <row r="1372" spans="1:13" ht="15" customHeight="1">
      <c r="A1372" s="1">
        <v>7298</v>
      </c>
      <c r="B1372" s="1" t="s">
        <v>173</v>
      </c>
      <c r="C1372" s="2" t="s">
        <v>1627</v>
      </c>
      <c r="D1372" s="2" t="s">
        <v>1628</v>
      </c>
      <c r="E1372" s="1">
        <v>1</v>
      </c>
      <c r="F1372" s="2" t="s">
        <v>1629</v>
      </c>
      <c r="G1372" s="1">
        <v>1</v>
      </c>
      <c r="H1372" s="1" t="str">
        <f t="shared" si="21"/>
        <v>k7298_1</v>
      </c>
      <c r="K1372" s="1">
        <f>IF(E1372=0,SUMPRODUCT(($A$2:$A$4734=A1372)*($B$2:$B$4734=B1372)*($D$2:$D$4734=D1372)*($E$2:$E$4734=0)),0)</f>
        <v>0</v>
      </c>
      <c r="L1372" s="1" t="str">
        <f>IF(E1372=0,SUMPRODUCT(MIN($K$2:$K$4734+((($A$2:$A$4734&lt;&gt;A1372)+($E$2:$E$4734&lt;&gt;0))&gt;0)*1000000)),"")</f>
        <v/>
      </c>
      <c r="M1372" s="1">
        <f>IF(AND(E1372=0,COUNTIFS($A$2:A1372,A1372,$E$2:E1372,0)=1),L1372,0)</f>
        <v>0</v>
      </c>
    </row>
    <row r="1373" spans="1:13" ht="15" customHeight="1">
      <c r="A1373" s="1">
        <v>7298</v>
      </c>
      <c r="B1373" s="1" t="s">
        <v>173</v>
      </c>
      <c r="C1373" s="2" t="s">
        <v>1627</v>
      </c>
      <c r="D1373" s="2" t="s">
        <v>1628</v>
      </c>
      <c r="E1373" s="1">
        <v>1</v>
      </c>
      <c r="F1373" s="2" t="s">
        <v>1630</v>
      </c>
      <c r="G1373" s="1">
        <v>2</v>
      </c>
      <c r="H1373" s="1" t="str">
        <f t="shared" si="21"/>
        <v>k7298_2</v>
      </c>
      <c r="K1373" s="1">
        <f>IF(E1373=0,SUMPRODUCT(($A$2:$A$4734=A1373)*($B$2:$B$4734=B1373)*($D$2:$D$4734=D1373)*($E$2:$E$4734=0)),0)</f>
        <v>0</v>
      </c>
      <c r="L1373" s="1" t="str">
        <f>IF(E1373=0,SUMPRODUCT(MIN($K$2:$K$4734+((($A$2:$A$4734&lt;&gt;A1373)+($E$2:$E$4734&lt;&gt;0))&gt;0)*1000000)),"")</f>
        <v/>
      </c>
      <c r="M1373" s="1">
        <f>IF(AND(E1373=0,COUNTIFS($A$2:A1373,A1373,$E$2:E1373,0)=1),L1373,0)</f>
        <v>0</v>
      </c>
    </row>
    <row r="1374" spans="1:13" ht="15" customHeight="1">
      <c r="A1374" s="1">
        <v>7298</v>
      </c>
      <c r="B1374" s="1" t="s">
        <v>173</v>
      </c>
      <c r="C1374" s="2" t="s">
        <v>1627</v>
      </c>
      <c r="D1374" s="2" t="s">
        <v>1628</v>
      </c>
      <c r="E1374" s="1">
        <v>1</v>
      </c>
      <c r="F1374" s="2" t="s">
        <v>1631</v>
      </c>
      <c r="G1374" s="1">
        <v>3</v>
      </c>
      <c r="H1374" s="1" t="str">
        <f t="shared" si="21"/>
        <v>k7298_3</v>
      </c>
      <c r="K1374" s="1">
        <f>IF(E1374=0,SUMPRODUCT(($A$2:$A$4734=A1374)*($B$2:$B$4734=B1374)*($D$2:$D$4734=D1374)*($E$2:$E$4734=0)),0)</f>
        <v>0</v>
      </c>
      <c r="L1374" s="1" t="str">
        <f>IF(E1374=0,SUMPRODUCT(MIN($K$2:$K$4734+((($A$2:$A$4734&lt;&gt;A1374)+($E$2:$E$4734&lt;&gt;0))&gt;0)*1000000)),"")</f>
        <v/>
      </c>
      <c r="M1374" s="1">
        <f>IF(AND(E1374=0,COUNTIFS($A$2:A1374,A1374,$E$2:E1374,0)=1),L1374,0)</f>
        <v>0</v>
      </c>
    </row>
    <row r="1375" spans="1:13" ht="15" customHeight="1">
      <c r="A1375" s="1">
        <v>7298</v>
      </c>
      <c r="B1375" s="1" t="s">
        <v>173</v>
      </c>
      <c r="C1375" s="2" t="s">
        <v>1627</v>
      </c>
      <c r="D1375" s="2" t="s">
        <v>1628</v>
      </c>
      <c r="E1375" s="1">
        <v>1</v>
      </c>
      <c r="F1375" s="2" t="s">
        <v>1632</v>
      </c>
      <c r="G1375" s="1">
        <v>4</v>
      </c>
      <c r="H1375" s="1" t="str">
        <f t="shared" si="21"/>
        <v>k7298_4</v>
      </c>
      <c r="K1375" s="1">
        <f>IF(E1375=0,SUMPRODUCT(($A$2:$A$4734=A1375)*($B$2:$B$4734=B1375)*($D$2:$D$4734=D1375)*($E$2:$E$4734=0)),0)</f>
        <v>0</v>
      </c>
      <c r="L1375" s="1" t="str">
        <f>IF(E1375=0,SUMPRODUCT(MIN($K$2:$K$4734+((($A$2:$A$4734&lt;&gt;A1375)+($E$2:$E$4734&lt;&gt;0))&gt;0)*1000000)),"")</f>
        <v/>
      </c>
      <c r="M1375" s="1">
        <f>IF(AND(E1375=0,COUNTIFS($A$2:A1375,A1375,$E$2:E1375,0)=1),L1375,0)</f>
        <v>0</v>
      </c>
    </row>
    <row r="1376" spans="1:13" ht="15" customHeight="1">
      <c r="A1376" s="1">
        <v>7298</v>
      </c>
      <c r="B1376" s="1" t="s">
        <v>173</v>
      </c>
      <c r="C1376" s="2" t="s">
        <v>1627</v>
      </c>
      <c r="D1376" s="2" t="s">
        <v>1628</v>
      </c>
      <c r="E1376" s="1">
        <v>1</v>
      </c>
      <c r="F1376" s="2" t="s">
        <v>1633</v>
      </c>
      <c r="G1376" s="1">
        <v>5</v>
      </c>
      <c r="H1376" s="1" t="str">
        <f t="shared" si="21"/>
        <v>k7298_5</v>
      </c>
      <c r="K1376" s="1">
        <f>IF(E1376=0,SUMPRODUCT(($A$2:$A$4734=A1376)*($B$2:$B$4734=B1376)*($D$2:$D$4734=D1376)*($E$2:$E$4734=0)),0)</f>
        <v>0</v>
      </c>
      <c r="L1376" s="1" t="str">
        <f>IF(E1376=0,SUMPRODUCT(MIN($K$2:$K$4734+((($A$2:$A$4734&lt;&gt;A1376)+($E$2:$E$4734&lt;&gt;0))&gt;0)*1000000)),"")</f>
        <v/>
      </c>
      <c r="M1376" s="1">
        <f>IF(AND(E1376=0,COUNTIFS($A$2:A1376,A1376,$E$2:E1376,0)=1),L1376,0)</f>
        <v>0</v>
      </c>
    </row>
    <row r="1377" spans="1:13" ht="15" customHeight="1">
      <c r="A1377" s="1">
        <v>7300</v>
      </c>
      <c r="B1377" s="1" t="s">
        <v>95</v>
      </c>
      <c r="C1377" s="2" t="s">
        <v>1634</v>
      </c>
      <c r="D1377" s="2" t="s">
        <v>1635</v>
      </c>
      <c r="E1377" s="1">
        <v>1</v>
      </c>
      <c r="F1377" s="2" t="s">
        <v>1636</v>
      </c>
      <c r="G1377" s="1">
        <v>1</v>
      </c>
      <c r="H1377" s="1" t="str">
        <f t="shared" si="21"/>
        <v>k7300_1</v>
      </c>
      <c r="K1377" s="1">
        <f>IF(E1377=0,SUMPRODUCT(($A$2:$A$4734=A1377)*($B$2:$B$4734=B1377)*($D$2:$D$4734=D1377)*($E$2:$E$4734=0)),0)</f>
        <v>0</v>
      </c>
      <c r="L1377" s="1" t="str">
        <f>IF(E1377=0,SUMPRODUCT(MIN($K$2:$K$4734+((($A$2:$A$4734&lt;&gt;A1377)+($E$2:$E$4734&lt;&gt;0))&gt;0)*1000000)),"")</f>
        <v/>
      </c>
      <c r="M1377" s="1">
        <f>IF(AND(E1377=0,COUNTIFS($A$2:A1377,A1377,$E$2:E1377,0)=1),L1377,0)</f>
        <v>0</v>
      </c>
    </row>
    <row r="1378" spans="1:13" ht="15" customHeight="1">
      <c r="A1378" s="1">
        <v>7300</v>
      </c>
      <c r="B1378" s="1" t="s">
        <v>95</v>
      </c>
      <c r="C1378" s="2" t="s">
        <v>1634</v>
      </c>
      <c r="D1378" s="2" t="s">
        <v>1635</v>
      </c>
      <c r="E1378" s="1">
        <v>1</v>
      </c>
      <c r="F1378" s="2" t="s">
        <v>1637</v>
      </c>
      <c r="G1378" s="1">
        <v>2</v>
      </c>
      <c r="H1378" s="1" t="str">
        <f t="shared" si="21"/>
        <v>k7300_2</v>
      </c>
      <c r="K1378" s="1">
        <f>IF(E1378=0,SUMPRODUCT(($A$2:$A$4734=A1378)*($B$2:$B$4734=B1378)*($D$2:$D$4734=D1378)*($E$2:$E$4734=0)),0)</f>
        <v>0</v>
      </c>
      <c r="L1378" s="1" t="str">
        <f>IF(E1378=0,SUMPRODUCT(MIN($K$2:$K$4734+((($A$2:$A$4734&lt;&gt;A1378)+($E$2:$E$4734&lt;&gt;0))&gt;0)*1000000)),"")</f>
        <v/>
      </c>
      <c r="M1378" s="1">
        <f>IF(AND(E1378=0,COUNTIFS($A$2:A1378,A1378,$E$2:E1378,0)=1),L1378,0)</f>
        <v>0</v>
      </c>
    </row>
    <row r="1379" spans="1:13" ht="15" customHeight="1">
      <c r="A1379" s="1">
        <v>7300</v>
      </c>
      <c r="B1379" s="1" t="s">
        <v>95</v>
      </c>
      <c r="C1379" s="2" t="s">
        <v>1634</v>
      </c>
      <c r="D1379" s="2" t="s">
        <v>1635</v>
      </c>
      <c r="E1379" s="1">
        <v>1</v>
      </c>
      <c r="F1379" s="2" t="s">
        <v>1638</v>
      </c>
      <c r="G1379" s="1">
        <v>3</v>
      </c>
      <c r="H1379" s="1" t="str">
        <f t="shared" si="21"/>
        <v>k7300_3</v>
      </c>
      <c r="K1379" s="1">
        <f>IF(E1379=0,SUMPRODUCT(($A$2:$A$4734=A1379)*($B$2:$B$4734=B1379)*($D$2:$D$4734=D1379)*($E$2:$E$4734=0)),0)</f>
        <v>0</v>
      </c>
      <c r="L1379" s="1" t="str">
        <f>IF(E1379=0,SUMPRODUCT(MIN($K$2:$K$4734+((($A$2:$A$4734&lt;&gt;A1379)+($E$2:$E$4734&lt;&gt;0))&gt;0)*1000000)),"")</f>
        <v/>
      </c>
      <c r="M1379" s="1">
        <f>IF(AND(E1379=0,COUNTIFS($A$2:A1379,A1379,$E$2:E1379,0)=1),L1379,0)</f>
        <v>0</v>
      </c>
    </row>
    <row r="1380" spans="1:13" ht="15" customHeight="1">
      <c r="A1380" s="1">
        <v>7300</v>
      </c>
      <c r="B1380" s="1" t="s">
        <v>95</v>
      </c>
      <c r="C1380" s="2" t="s">
        <v>1634</v>
      </c>
      <c r="D1380" s="2" t="s">
        <v>1635</v>
      </c>
      <c r="E1380" s="1">
        <v>1</v>
      </c>
      <c r="F1380" s="2" t="s">
        <v>1276</v>
      </c>
      <c r="G1380" s="1">
        <v>4</v>
      </c>
      <c r="H1380" s="1" t="str">
        <f t="shared" si="21"/>
        <v>k7300_4</v>
      </c>
      <c r="K1380" s="1">
        <f>IF(E1380=0,SUMPRODUCT(($A$2:$A$4734=A1380)*($B$2:$B$4734=B1380)*($D$2:$D$4734=D1380)*($E$2:$E$4734=0)),0)</f>
        <v>0</v>
      </c>
      <c r="L1380" s="1" t="str">
        <f>IF(E1380=0,SUMPRODUCT(MIN($K$2:$K$4734+((($A$2:$A$4734&lt;&gt;A1380)+($E$2:$E$4734&lt;&gt;0))&gt;0)*1000000)),"")</f>
        <v/>
      </c>
      <c r="M1380" s="1">
        <f>IF(AND(E1380=0,COUNTIFS($A$2:A1380,A1380,$E$2:E1380,0)=1),L1380,0)</f>
        <v>0</v>
      </c>
    </row>
    <row r="1381" spans="1:13" ht="15" customHeight="1">
      <c r="A1381" s="1">
        <v>7300</v>
      </c>
      <c r="B1381" s="1" t="s">
        <v>95</v>
      </c>
      <c r="C1381" s="2" t="s">
        <v>1634</v>
      </c>
      <c r="D1381" s="2" t="s">
        <v>1635</v>
      </c>
      <c r="E1381" s="1">
        <v>1</v>
      </c>
      <c r="F1381" s="2" t="s">
        <v>1639</v>
      </c>
      <c r="G1381" s="1">
        <v>5</v>
      </c>
      <c r="H1381" s="1" t="str">
        <f t="shared" si="21"/>
        <v>k7300_5</v>
      </c>
      <c r="K1381" s="1">
        <f>IF(E1381=0,SUMPRODUCT(($A$2:$A$4734=A1381)*($B$2:$B$4734=B1381)*($D$2:$D$4734=D1381)*($E$2:$E$4734=0)),0)</f>
        <v>0</v>
      </c>
      <c r="L1381" s="1" t="str">
        <f>IF(E1381=0,SUMPRODUCT(MIN($K$2:$K$4734+((($A$2:$A$4734&lt;&gt;A1381)+($E$2:$E$4734&lt;&gt;0))&gt;0)*1000000)),"")</f>
        <v/>
      </c>
      <c r="M1381" s="1">
        <f>IF(AND(E1381=0,COUNTIFS($A$2:A1381,A1381,$E$2:E1381,0)=1),L1381,0)</f>
        <v>0</v>
      </c>
    </row>
    <row r="1382" spans="1:13" ht="15" customHeight="1">
      <c r="A1382" s="1">
        <v>7300</v>
      </c>
      <c r="B1382" s="1" t="s">
        <v>9</v>
      </c>
      <c r="C1382" s="2" t="s">
        <v>1634</v>
      </c>
      <c r="D1382" s="2" t="s">
        <v>1640</v>
      </c>
      <c r="E1382" s="1">
        <v>1</v>
      </c>
      <c r="F1382" s="2" t="s">
        <v>1641</v>
      </c>
      <c r="G1382" s="1">
        <v>1</v>
      </c>
      <c r="H1382" s="1" t="str">
        <f t="shared" si="21"/>
        <v>k7300_1</v>
      </c>
      <c r="K1382" s="1">
        <f>IF(E1382=0,SUMPRODUCT(($A$2:$A$4734=A1382)*($B$2:$B$4734=B1382)*($D$2:$D$4734=D1382)*($E$2:$E$4734=0)),0)</f>
        <v>0</v>
      </c>
      <c r="L1382" s="1" t="str">
        <f>IF(E1382=0,SUMPRODUCT(MIN($K$2:$K$4734+((($A$2:$A$4734&lt;&gt;A1382)+($E$2:$E$4734&lt;&gt;0))&gt;0)*1000000)),"")</f>
        <v/>
      </c>
      <c r="M1382" s="1">
        <f>IF(AND(E1382=0,COUNTIFS($A$2:A1382,A1382,$E$2:E1382,0)=1),L1382,0)</f>
        <v>0</v>
      </c>
    </row>
    <row r="1383" spans="1:13" ht="15" customHeight="1">
      <c r="A1383" s="1">
        <v>7300</v>
      </c>
      <c r="B1383" s="1" t="s">
        <v>9</v>
      </c>
      <c r="C1383" s="2" t="s">
        <v>1634</v>
      </c>
      <c r="D1383" s="2" t="s">
        <v>1640</v>
      </c>
      <c r="E1383" s="1">
        <v>1</v>
      </c>
      <c r="F1383" s="2" t="s">
        <v>1641</v>
      </c>
      <c r="G1383" s="1">
        <v>2</v>
      </c>
      <c r="H1383" s="1" t="str">
        <f t="shared" si="21"/>
        <v>k7300_2</v>
      </c>
      <c r="K1383" s="1">
        <f>IF(E1383=0,SUMPRODUCT(($A$2:$A$4734=A1383)*($B$2:$B$4734=B1383)*($D$2:$D$4734=D1383)*($E$2:$E$4734=0)),0)</f>
        <v>0</v>
      </c>
      <c r="L1383" s="1" t="str">
        <f>IF(E1383=0,SUMPRODUCT(MIN($K$2:$K$4734+((($A$2:$A$4734&lt;&gt;A1383)+($E$2:$E$4734&lt;&gt;0))&gt;0)*1000000)),"")</f>
        <v/>
      </c>
      <c r="M1383" s="1">
        <f>IF(AND(E1383=0,COUNTIFS($A$2:A1383,A1383,$E$2:E1383,0)=1),L1383,0)</f>
        <v>0</v>
      </c>
    </row>
    <row r="1384" spans="1:13" ht="15" customHeight="1">
      <c r="A1384" s="1">
        <v>7300</v>
      </c>
      <c r="B1384" s="1" t="s">
        <v>9</v>
      </c>
      <c r="C1384" s="2" t="s">
        <v>1634</v>
      </c>
      <c r="D1384" s="2" t="s">
        <v>1640</v>
      </c>
      <c r="E1384" s="1">
        <v>1</v>
      </c>
      <c r="F1384" s="2" t="s">
        <v>1642</v>
      </c>
      <c r="G1384" s="1">
        <v>3</v>
      </c>
      <c r="H1384" s="1" t="str">
        <f t="shared" si="21"/>
        <v>k7300_3</v>
      </c>
      <c r="K1384" s="1">
        <f>IF(E1384=0,SUMPRODUCT(($A$2:$A$4734=A1384)*($B$2:$B$4734=B1384)*($D$2:$D$4734=D1384)*($E$2:$E$4734=0)),0)</f>
        <v>0</v>
      </c>
      <c r="L1384" s="1" t="str">
        <f>IF(E1384=0,SUMPRODUCT(MIN($K$2:$K$4734+((($A$2:$A$4734&lt;&gt;A1384)+($E$2:$E$4734&lt;&gt;0))&gt;0)*1000000)),"")</f>
        <v/>
      </c>
      <c r="M1384" s="1">
        <f>IF(AND(E1384=0,COUNTIFS($A$2:A1384,A1384,$E$2:E1384,0)=1),L1384,0)</f>
        <v>0</v>
      </c>
    </row>
    <row r="1385" spans="1:13" ht="15" customHeight="1">
      <c r="A1385" s="1">
        <v>7300</v>
      </c>
      <c r="B1385" s="1" t="s">
        <v>9</v>
      </c>
      <c r="C1385" s="2" t="s">
        <v>1634</v>
      </c>
      <c r="D1385" s="2" t="s">
        <v>1640</v>
      </c>
      <c r="E1385" s="1">
        <v>1</v>
      </c>
      <c r="F1385" s="2" t="s">
        <v>1643</v>
      </c>
      <c r="G1385" s="1">
        <v>4</v>
      </c>
      <c r="H1385" s="1" t="str">
        <f t="shared" ref="H1385:H1445" si="22">IF(OR(E1385&lt;&gt;1,G1385=""),"","k"&amp;A1385&amp;"_"&amp;G1385)</f>
        <v>k7300_4</v>
      </c>
      <c r="K1385" s="1">
        <f>IF(E1385=0,SUMPRODUCT(($A$2:$A$4734=A1385)*($B$2:$B$4734=B1385)*($D$2:$D$4734=D1385)*($E$2:$E$4734=0)),0)</f>
        <v>0</v>
      </c>
      <c r="L1385" s="1" t="str">
        <f>IF(E1385=0,SUMPRODUCT(MIN($K$2:$K$4734+((($A$2:$A$4734&lt;&gt;A1385)+($E$2:$E$4734&lt;&gt;0))&gt;0)*1000000)),"")</f>
        <v/>
      </c>
      <c r="M1385" s="1">
        <f>IF(AND(E1385=0,COUNTIFS($A$2:A1385,A1385,$E$2:E1385,0)=1),L1385,0)</f>
        <v>0</v>
      </c>
    </row>
    <row r="1386" spans="1:13" ht="15" customHeight="1">
      <c r="A1386" s="1">
        <v>7300</v>
      </c>
      <c r="B1386" s="1" t="s">
        <v>9</v>
      </c>
      <c r="C1386" s="2" t="s">
        <v>1634</v>
      </c>
      <c r="D1386" s="2" t="s">
        <v>1640</v>
      </c>
      <c r="E1386" s="1">
        <v>1</v>
      </c>
      <c r="F1386" s="2" t="s">
        <v>1643</v>
      </c>
      <c r="G1386" s="1">
        <v>5</v>
      </c>
      <c r="H1386" s="1" t="str">
        <f t="shared" si="22"/>
        <v>k7300_5</v>
      </c>
      <c r="K1386" s="1">
        <f>IF(E1386=0,SUMPRODUCT(($A$2:$A$4734=A1386)*($B$2:$B$4734=B1386)*($D$2:$D$4734=D1386)*($E$2:$E$4734=0)),0)</f>
        <v>0</v>
      </c>
      <c r="L1386" s="1" t="str">
        <f>IF(E1386=0,SUMPRODUCT(MIN($K$2:$K$4734+((($A$2:$A$4734&lt;&gt;A1386)+($E$2:$E$4734&lt;&gt;0))&gt;0)*1000000)),"")</f>
        <v/>
      </c>
      <c r="M1386" s="1">
        <f>IF(AND(E1386=0,COUNTIFS($A$2:A1386,A1386,$E$2:E1386,0)=1),L1386,0)</f>
        <v>0</v>
      </c>
    </row>
    <row r="1387" spans="1:13" ht="15" customHeight="1">
      <c r="A1387" s="1">
        <v>7300</v>
      </c>
      <c r="B1387" s="1" t="s">
        <v>1644</v>
      </c>
      <c r="C1387" s="2" t="s">
        <v>1634</v>
      </c>
      <c r="D1387" s="2" t="s">
        <v>1645</v>
      </c>
      <c r="E1387" s="1">
        <v>1</v>
      </c>
      <c r="F1387" s="2" t="s">
        <v>1646</v>
      </c>
      <c r="G1387" s="1">
        <v>1</v>
      </c>
      <c r="H1387" s="1" t="str">
        <f t="shared" si="22"/>
        <v>k7300_1</v>
      </c>
      <c r="K1387" s="1">
        <f>IF(E1387=0,SUMPRODUCT(($A$2:$A$4734=A1387)*($B$2:$B$4734=B1387)*($D$2:$D$4734=D1387)*($E$2:$E$4734=0)),0)</f>
        <v>0</v>
      </c>
      <c r="L1387" s="1" t="str">
        <f>IF(E1387=0,SUMPRODUCT(MIN($K$2:$K$4734+((($A$2:$A$4734&lt;&gt;A1387)+($E$2:$E$4734&lt;&gt;0))&gt;0)*1000000)),"")</f>
        <v/>
      </c>
      <c r="M1387" s="1">
        <f>IF(AND(E1387=0,COUNTIFS($A$2:A1387,A1387,$E$2:E1387,0)=1),L1387,0)</f>
        <v>0</v>
      </c>
    </row>
    <row r="1388" spans="1:13" ht="15" customHeight="1">
      <c r="A1388" s="1">
        <v>7300</v>
      </c>
      <c r="B1388" s="1" t="s">
        <v>1644</v>
      </c>
      <c r="C1388" s="2" t="s">
        <v>1634</v>
      </c>
      <c r="D1388" s="2" t="s">
        <v>1645</v>
      </c>
      <c r="E1388" s="1">
        <v>1</v>
      </c>
      <c r="F1388" s="2" t="s">
        <v>1646</v>
      </c>
      <c r="G1388" s="1">
        <v>2</v>
      </c>
      <c r="H1388" s="1" t="str">
        <f t="shared" si="22"/>
        <v>k7300_2</v>
      </c>
      <c r="K1388" s="1">
        <f>IF(E1388=0,SUMPRODUCT(($A$2:$A$4734=A1388)*($B$2:$B$4734=B1388)*($D$2:$D$4734=D1388)*($E$2:$E$4734=0)),0)</f>
        <v>0</v>
      </c>
      <c r="L1388" s="1" t="str">
        <f>IF(E1388=0,SUMPRODUCT(MIN($K$2:$K$4734+((($A$2:$A$4734&lt;&gt;A1388)+($E$2:$E$4734&lt;&gt;0))&gt;0)*1000000)),"")</f>
        <v/>
      </c>
      <c r="M1388" s="1">
        <f>IF(AND(E1388=0,COUNTIFS($A$2:A1388,A1388,$E$2:E1388,0)=1),L1388,0)</f>
        <v>0</v>
      </c>
    </row>
    <row r="1389" spans="1:13" ht="15" customHeight="1">
      <c r="A1389" s="1">
        <v>7300</v>
      </c>
      <c r="B1389" s="1" t="s">
        <v>1644</v>
      </c>
      <c r="C1389" s="2" t="s">
        <v>1634</v>
      </c>
      <c r="D1389" s="2" t="s">
        <v>1645</v>
      </c>
      <c r="E1389" s="1">
        <v>1</v>
      </c>
      <c r="F1389" s="2" t="s">
        <v>1646</v>
      </c>
      <c r="G1389" s="1">
        <v>3</v>
      </c>
      <c r="H1389" s="1" t="str">
        <f t="shared" si="22"/>
        <v>k7300_3</v>
      </c>
      <c r="K1389" s="1">
        <f>IF(E1389=0,SUMPRODUCT(($A$2:$A$4734=A1389)*($B$2:$B$4734=B1389)*($D$2:$D$4734=D1389)*($E$2:$E$4734=0)),0)</f>
        <v>0</v>
      </c>
      <c r="L1389" s="1" t="str">
        <f>IF(E1389=0,SUMPRODUCT(MIN($K$2:$K$4734+((($A$2:$A$4734&lt;&gt;A1389)+($E$2:$E$4734&lt;&gt;0))&gt;0)*1000000)),"")</f>
        <v/>
      </c>
      <c r="M1389" s="1">
        <f>IF(AND(E1389=0,COUNTIFS($A$2:A1389,A1389,$E$2:E1389,0)=1),L1389,0)</f>
        <v>0</v>
      </c>
    </row>
    <row r="1390" spans="1:13" ht="15" customHeight="1">
      <c r="A1390" s="1">
        <v>7300</v>
      </c>
      <c r="B1390" s="1" t="s">
        <v>1644</v>
      </c>
      <c r="C1390" s="2" t="s">
        <v>1634</v>
      </c>
      <c r="D1390" s="2" t="s">
        <v>1645</v>
      </c>
      <c r="E1390" s="1">
        <v>1</v>
      </c>
      <c r="F1390" s="2" t="s">
        <v>1646</v>
      </c>
      <c r="G1390" s="1">
        <v>4</v>
      </c>
      <c r="H1390" s="1" t="str">
        <f t="shared" si="22"/>
        <v>k7300_4</v>
      </c>
      <c r="K1390" s="1">
        <f>IF(E1390=0,SUMPRODUCT(($A$2:$A$4734=A1390)*($B$2:$B$4734=B1390)*($D$2:$D$4734=D1390)*($E$2:$E$4734=0)),0)</f>
        <v>0</v>
      </c>
      <c r="L1390" s="1" t="str">
        <f>IF(E1390=0,SUMPRODUCT(MIN($K$2:$K$4734+((($A$2:$A$4734&lt;&gt;A1390)+($E$2:$E$4734&lt;&gt;0))&gt;0)*1000000)),"")</f>
        <v/>
      </c>
      <c r="M1390" s="1">
        <f>IF(AND(E1390=0,COUNTIFS($A$2:A1390,A1390,$E$2:E1390,0)=1),L1390,0)</f>
        <v>0</v>
      </c>
    </row>
    <row r="1391" spans="1:13" ht="15" customHeight="1">
      <c r="A1391" s="1">
        <v>7300</v>
      </c>
      <c r="B1391" s="1" t="s">
        <v>1644</v>
      </c>
      <c r="C1391" s="2" t="s">
        <v>1634</v>
      </c>
      <c r="D1391" s="2" t="s">
        <v>1645</v>
      </c>
      <c r="E1391" s="1">
        <v>1</v>
      </c>
      <c r="F1391" s="2" t="s">
        <v>1646</v>
      </c>
      <c r="G1391" s="1">
        <v>5</v>
      </c>
      <c r="H1391" s="1" t="str">
        <f t="shared" si="22"/>
        <v>k7300_5</v>
      </c>
      <c r="K1391" s="1">
        <f>IF(E1391=0,SUMPRODUCT(($A$2:$A$4734=A1391)*($B$2:$B$4734=B1391)*($D$2:$D$4734=D1391)*($E$2:$E$4734=0)),0)</f>
        <v>0</v>
      </c>
      <c r="L1391" s="1" t="str">
        <f>IF(E1391=0,SUMPRODUCT(MIN($K$2:$K$4734+((($A$2:$A$4734&lt;&gt;A1391)+($E$2:$E$4734&lt;&gt;0))&gt;0)*1000000)),"")</f>
        <v/>
      </c>
      <c r="M1391" s="1">
        <f>IF(AND(E1391=0,COUNTIFS($A$2:A1391,A1391,$E$2:E1391,0)=1),L1391,0)</f>
        <v>0</v>
      </c>
    </row>
    <row r="1392" spans="1:13" ht="15" customHeight="1">
      <c r="A1392" s="1">
        <v>7300</v>
      </c>
      <c r="B1392" s="1" t="s">
        <v>9</v>
      </c>
      <c r="C1392" s="2" t="s">
        <v>1634</v>
      </c>
      <c r="D1392" s="2" t="s">
        <v>1635</v>
      </c>
      <c r="E1392" s="1">
        <v>1</v>
      </c>
      <c r="F1392" s="2" t="s">
        <v>1647</v>
      </c>
      <c r="G1392" s="1">
        <v>1</v>
      </c>
      <c r="H1392" s="1" t="str">
        <f t="shared" si="22"/>
        <v>k7300_1</v>
      </c>
      <c r="K1392" s="1">
        <f>IF(E1392=0,SUMPRODUCT(($A$2:$A$4734=A1392)*($B$2:$B$4734=B1392)*($D$2:$D$4734=D1392)*($E$2:$E$4734=0)),0)</f>
        <v>0</v>
      </c>
      <c r="L1392" s="1" t="str">
        <f>IF(E1392=0,SUMPRODUCT(MIN($K$2:$K$4734+((($A$2:$A$4734&lt;&gt;A1392)+($E$2:$E$4734&lt;&gt;0))&gt;0)*1000000)),"")</f>
        <v/>
      </c>
      <c r="M1392" s="1">
        <f>IF(AND(E1392=0,COUNTIFS($A$2:A1392,A1392,$E$2:E1392,0)=1),L1392,0)</f>
        <v>0</v>
      </c>
    </row>
    <row r="1393" spans="1:13" ht="15" customHeight="1">
      <c r="A1393" s="1">
        <v>7300</v>
      </c>
      <c r="B1393" s="1" t="s">
        <v>9</v>
      </c>
      <c r="C1393" s="2" t="s">
        <v>1634</v>
      </c>
      <c r="D1393" s="2" t="s">
        <v>1635</v>
      </c>
      <c r="E1393" s="1">
        <v>1</v>
      </c>
      <c r="F1393" s="2" t="s">
        <v>1648</v>
      </c>
      <c r="G1393" s="1">
        <v>2</v>
      </c>
      <c r="H1393" s="1" t="str">
        <f t="shared" si="22"/>
        <v>k7300_2</v>
      </c>
      <c r="K1393" s="1">
        <f>IF(E1393=0,SUMPRODUCT(($A$2:$A$4734=A1393)*($B$2:$B$4734=B1393)*($D$2:$D$4734=D1393)*($E$2:$E$4734=0)),0)</f>
        <v>0</v>
      </c>
      <c r="L1393" s="1" t="str">
        <f>IF(E1393=0,SUMPRODUCT(MIN($K$2:$K$4734+((($A$2:$A$4734&lt;&gt;A1393)+($E$2:$E$4734&lt;&gt;0))&gt;0)*1000000)),"")</f>
        <v/>
      </c>
      <c r="M1393" s="1">
        <f>IF(AND(E1393=0,COUNTIFS($A$2:A1393,A1393,$E$2:E1393,0)=1),L1393,0)</f>
        <v>0</v>
      </c>
    </row>
    <row r="1394" spans="1:13" ht="15" customHeight="1">
      <c r="A1394" s="1">
        <v>7300</v>
      </c>
      <c r="B1394" s="1" t="s">
        <v>9</v>
      </c>
      <c r="C1394" s="2" t="s">
        <v>1634</v>
      </c>
      <c r="D1394" s="2" t="s">
        <v>1635</v>
      </c>
      <c r="E1394" s="1">
        <v>1</v>
      </c>
      <c r="F1394" s="2" t="s">
        <v>1275</v>
      </c>
      <c r="G1394" s="1">
        <v>3</v>
      </c>
      <c r="H1394" s="1" t="str">
        <f t="shared" si="22"/>
        <v>k7300_3</v>
      </c>
      <c r="K1394" s="1">
        <f>IF(E1394=0,SUMPRODUCT(($A$2:$A$4734=A1394)*($B$2:$B$4734=B1394)*($D$2:$D$4734=D1394)*($E$2:$E$4734=0)),0)</f>
        <v>0</v>
      </c>
      <c r="L1394" s="1" t="str">
        <f>IF(E1394=0,SUMPRODUCT(MIN($K$2:$K$4734+((($A$2:$A$4734&lt;&gt;A1394)+($E$2:$E$4734&lt;&gt;0))&gt;0)*1000000)),"")</f>
        <v/>
      </c>
      <c r="M1394" s="1">
        <f>IF(AND(E1394=0,COUNTIFS($A$2:A1394,A1394,$E$2:E1394,0)=1),L1394,0)</f>
        <v>0</v>
      </c>
    </row>
    <row r="1395" spans="1:13" ht="15" customHeight="1">
      <c r="A1395" s="1">
        <v>7300</v>
      </c>
      <c r="B1395" s="1" t="s">
        <v>9</v>
      </c>
      <c r="C1395" s="2" t="s">
        <v>1634</v>
      </c>
      <c r="D1395" s="2" t="s">
        <v>1635</v>
      </c>
      <c r="E1395" s="1">
        <v>1</v>
      </c>
      <c r="F1395" s="2" t="s">
        <v>1275</v>
      </c>
      <c r="G1395" s="1">
        <v>4</v>
      </c>
      <c r="H1395" s="1" t="str">
        <f t="shared" si="22"/>
        <v>k7300_4</v>
      </c>
      <c r="K1395" s="1">
        <f>IF(E1395=0,SUMPRODUCT(($A$2:$A$4734=A1395)*($B$2:$B$4734=B1395)*($D$2:$D$4734=D1395)*($E$2:$E$4734=0)),0)</f>
        <v>0</v>
      </c>
      <c r="L1395" s="1" t="str">
        <f>IF(E1395=0,SUMPRODUCT(MIN($K$2:$K$4734+((($A$2:$A$4734&lt;&gt;A1395)+($E$2:$E$4734&lt;&gt;0))&gt;0)*1000000)),"")</f>
        <v/>
      </c>
      <c r="M1395" s="1">
        <f>IF(AND(E1395=0,COUNTIFS($A$2:A1395,A1395,$E$2:E1395,0)=1),L1395,0)</f>
        <v>0</v>
      </c>
    </row>
    <row r="1396" spans="1:13" ht="15" customHeight="1">
      <c r="A1396" s="1">
        <v>7300</v>
      </c>
      <c r="B1396" s="1" t="s">
        <v>9</v>
      </c>
      <c r="C1396" s="2" t="s">
        <v>1634</v>
      </c>
      <c r="D1396" s="2" t="s">
        <v>1635</v>
      </c>
      <c r="E1396" s="1">
        <v>1</v>
      </c>
      <c r="F1396" s="2" t="s">
        <v>1276</v>
      </c>
      <c r="G1396" s="1">
        <v>5</v>
      </c>
      <c r="H1396" s="1" t="str">
        <f t="shared" si="22"/>
        <v>k7300_5</v>
      </c>
      <c r="K1396" s="1">
        <f>IF(E1396=0,SUMPRODUCT(($A$2:$A$4734=A1396)*($B$2:$B$4734=B1396)*($D$2:$D$4734=D1396)*($E$2:$E$4734=0)),0)</f>
        <v>0</v>
      </c>
      <c r="L1396" s="1" t="str">
        <f>IF(E1396=0,SUMPRODUCT(MIN($K$2:$K$4734+((($A$2:$A$4734&lt;&gt;A1396)+($E$2:$E$4734&lt;&gt;0))&gt;0)*1000000)),"")</f>
        <v/>
      </c>
      <c r="M1396" s="1">
        <f>IF(AND(E1396=0,COUNTIFS($A$2:A1396,A1396,$E$2:E1396,0)=1),L1396,0)</f>
        <v>0</v>
      </c>
    </row>
    <row r="1397" spans="1:13" ht="15" customHeight="1">
      <c r="A1397" s="1">
        <v>7300</v>
      </c>
      <c r="B1397" s="1" t="s">
        <v>95</v>
      </c>
      <c r="C1397" s="2" t="s">
        <v>1634</v>
      </c>
      <c r="D1397" s="2" t="s">
        <v>1649</v>
      </c>
      <c r="E1397" s="1">
        <v>1</v>
      </c>
      <c r="F1397" s="2" t="s">
        <v>1650</v>
      </c>
      <c r="G1397" s="1">
        <v>1</v>
      </c>
      <c r="H1397" s="1" t="str">
        <f t="shared" si="22"/>
        <v>k7300_1</v>
      </c>
      <c r="K1397" s="1">
        <f>IF(E1397=0,SUMPRODUCT(($A$2:$A$4734=A1397)*($B$2:$B$4734=B1397)*($D$2:$D$4734=D1397)*($E$2:$E$4734=0)),0)</f>
        <v>0</v>
      </c>
      <c r="L1397" s="1" t="str">
        <f>IF(E1397=0,SUMPRODUCT(MIN($K$2:$K$4734+((($A$2:$A$4734&lt;&gt;A1397)+($E$2:$E$4734&lt;&gt;0))&gt;0)*1000000)),"")</f>
        <v/>
      </c>
      <c r="M1397" s="1">
        <f>IF(AND(E1397=0,COUNTIFS($A$2:A1397,A1397,$E$2:E1397,0)=1),L1397,0)</f>
        <v>0</v>
      </c>
    </row>
    <row r="1398" spans="1:13" ht="15" customHeight="1">
      <c r="A1398" s="1">
        <v>7300</v>
      </c>
      <c r="B1398" s="1" t="s">
        <v>95</v>
      </c>
      <c r="C1398" s="2" t="s">
        <v>1634</v>
      </c>
      <c r="D1398" s="2" t="s">
        <v>1649</v>
      </c>
      <c r="E1398" s="1">
        <v>1</v>
      </c>
      <c r="F1398" s="2" t="s">
        <v>1651</v>
      </c>
      <c r="G1398" s="1">
        <v>2</v>
      </c>
      <c r="H1398" s="1" t="str">
        <f t="shared" si="22"/>
        <v>k7300_2</v>
      </c>
      <c r="K1398" s="1">
        <f>IF(E1398=0,SUMPRODUCT(($A$2:$A$4734=A1398)*($B$2:$B$4734=B1398)*($D$2:$D$4734=D1398)*($E$2:$E$4734=0)),0)</f>
        <v>0</v>
      </c>
      <c r="L1398" s="1" t="str">
        <f>IF(E1398=0,SUMPRODUCT(MIN($K$2:$K$4734+((($A$2:$A$4734&lt;&gt;A1398)+($E$2:$E$4734&lt;&gt;0))&gt;0)*1000000)),"")</f>
        <v/>
      </c>
      <c r="M1398" s="1">
        <f>IF(AND(E1398=0,COUNTIFS($A$2:A1398,A1398,$E$2:E1398,0)=1),L1398,0)</f>
        <v>0</v>
      </c>
    </row>
    <row r="1399" spans="1:13" ht="15" customHeight="1">
      <c r="A1399" s="1">
        <v>7300</v>
      </c>
      <c r="B1399" s="1" t="s">
        <v>95</v>
      </c>
      <c r="C1399" s="2" t="s">
        <v>1634</v>
      </c>
      <c r="D1399" s="2" t="s">
        <v>1649</v>
      </c>
      <c r="E1399" s="1">
        <v>1</v>
      </c>
      <c r="F1399" s="2" t="s">
        <v>1652</v>
      </c>
      <c r="G1399" s="1">
        <v>3</v>
      </c>
      <c r="H1399" s="1" t="str">
        <f t="shared" si="22"/>
        <v>k7300_3</v>
      </c>
      <c r="K1399" s="1">
        <f>IF(E1399=0,SUMPRODUCT(($A$2:$A$4734=A1399)*($B$2:$B$4734=B1399)*($D$2:$D$4734=D1399)*($E$2:$E$4734=0)),0)</f>
        <v>0</v>
      </c>
      <c r="L1399" s="1" t="str">
        <f>IF(E1399=0,SUMPRODUCT(MIN($K$2:$K$4734+((($A$2:$A$4734&lt;&gt;A1399)+($E$2:$E$4734&lt;&gt;0))&gt;0)*1000000)),"")</f>
        <v/>
      </c>
      <c r="M1399" s="1">
        <f>IF(AND(E1399=0,COUNTIFS($A$2:A1399,A1399,$E$2:E1399,0)=1),L1399,0)</f>
        <v>0</v>
      </c>
    </row>
    <row r="1400" spans="1:13" ht="15" customHeight="1">
      <c r="A1400" s="1">
        <v>7300</v>
      </c>
      <c r="B1400" s="1" t="s">
        <v>95</v>
      </c>
      <c r="C1400" s="2" t="s">
        <v>1634</v>
      </c>
      <c r="D1400" s="2" t="s">
        <v>1649</v>
      </c>
      <c r="E1400" s="1">
        <v>1</v>
      </c>
      <c r="F1400" s="2" t="s">
        <v>1653</v>
      </c>
      <c r="G1400" s="1">
        <v>4</v>
      </c>
      <c r="H1400" s="1" t="str">
        <f t="shared" si="22"/>
        <v>k7300_4</v>
      </c>
      <c r="K1400" s="1">
        <f>IF(E1400=0,SUMPRODUCT(($A$2:$A$4734=A1400)*($B$2:$B$4734=B1400)*($D$2:$D$4734=D1400)*($E$2:$E$4734=0)),0)</f>
        <v>0</v>
      </c>
      <c r="L1400" s="1" t="str">
        <f>IF(E1400=0,SUMPRODUCT(MIN($K$2:$K$4734+((($A$2:$A$4734&lt;&gt;A1400)+($E$2:$E$4734&lt;&gt;0))&gt;0)*1000000)),"")</f>
        <v/>
      </c>
      <c r="M1400" s="1">
        <f>IF(AND(E1400=0,COUNTIFS($A$2:A1400,A1400,$E$2:E1400,0)=1),L1400,0)</f>
        <v>0</v>
      </c>
    </row>
    <row r="1401" spans="1:13" ht="15" customHeight="1">
      <c r="A1401" s="1">
        <v>7300</v>
      </c>
      <c r="B1401" s="1" t="s">
        <v>95</v>
      </c>
      <c r="C1401" s="2" t="s">
        <v>1634</v>
      </c>
      <c r="D1401" s="2" t="s">
        <v>1649</v>
      </c>
      <c r="E1401" s="1">
        <v>1</v>
      </c>
      <c r="F1401" s="2" t="s">
        <v>1654</v>
      </c>
      <c r="G1401" s="1">
        <v>5</v>
      </c>
      <c r="H1401" s="1" t="str">
        <f t="shared" si="22"/>
        <v>k7300_5</v>
      </c>
      <c r="K1401" s="1">
        <f>IF(E1401=0,SUMPRODUCT(($A$2:$A$4734=A1401)*($B$2:$B$4734=B1401)*($D$2:$D$4734=D1401)*($E$2:$E$4734=0)),0)</f>
        <v>0</v>
      </c>
      <c r="L1401" s="1" t="str">
        <f>IF(E1401=0,SUMPRODUCT(MIN($K$2:$K$4734+((($A$2:$A$4734&lt;&gt;A1401)+($E$2:$E$4734&lt;&gt;0))&gt;0)*1000000)),"")</f>
        <v/>
      </c>
      <c r="M1401" s="1">
        <f>IF(AND(E1401=0,COUNTIFS($A$2:A1401,A1401,$E$2:E1401,0)=1),L1401,0)</f>
        <v>0</v>
      </c>
    </row>
    <row r="1402" spans="1:13" ht="15" customHeight="1">
      <c r="A1402" s="1">
        <v>7301</v>
      </c>
      <c r="B1402" s="1" t="s">
        <v>161</v>
      </c>
      <c r="C1402" s="2" t="s">
        <v>1655</v>
      </c>
      <c r="D1402" s="2" t="s">
        <v>1656</v>
      </c>
      <c r="E1402" s="1">
        <v>1</v>
      </c>
      <c r="F1402" s="2" t="s">
        <v>1657</v>
      </c>
      <c r="G1402" s="1">
        <v>1</v>
      </c>
      <c r="H1402" s="1" t="str">
        <f t="shared" si="22"/>
        <v>k7301_1</v>
      </c>
      <c r="K1402" s="1">
        <f>IF(E1402=0,SUMPRODUCT(($A$2:$A$4734=A1402)*($B$2:$B$4734=B1402)*($D$2:$D$4734=D1402)*($E$2:$E$4734=0)),0)</f>
        <v>0</v>
      </c>
      <c r="L1402" s="1" t="str">
        <f>IF(E1402=0,SUMPRODUCT(MIN($K$2:$K$4734+((($A$2:$A$4734&lt;&gt;A1402)+($E$2:$E$4734&lt;&gt;0))&gt;0)*1000000)),"")</f>
        <v/>
      </c>
      <c r="M1402" s="1">
        <f>IF(AND(E1402=0,COUNTIFS($A$2:A1402,A1402,$E$2:E1402,0)=1),L1402,0)</f>
        <v>0</v>
      </c>
    </row>
    <row r="1403" spans="1:13" ht="15" customHeight="1">
      <c r="A1403" s="1">
        <v>7301</v>
      </c>
      <c r="B1403" s="1" t="s">
        <v>161</v>
      </c>
      <c r="C1403" s="2" t="s">
        <v>1655</v>
      </c>
      <c r="D1403" s="2" t="s">
        <v>1656</v>
      </c>
      <c r="E1403" s="1">
        <v>1</v>
      </c>
      <c r="F1403" s="2" t="s">
        <v>1658</v>
      </c>
      <c r="G1403" s="1">
        <v>2</v>
      </c>
      <c r="H1403" s="1" t="str">
        <f t="shared" si="22"/>
        <v>k7301_2</v>
      </c>
      <c r="K1403" s="1">
        <f>IF(E1403=0,SUMPRODUCT(($A$2:$A$4734=A1403)*($B$2:$B$4734=B1403)*($D$2:$D$4734=D1403)*($E$2:$E$4734=0)),0)</f>
        <v>0</v>
      </c>
      <c r="L1403" s="1" t="str">
        <f>IF(E1403=0,SUMPRODUCT(MIN($K$2:$K$4734+((($A$2:$A$4734&lt;&gt;A1403)+($E$2:$E$4734&lt;&gt;0))&gt;0)*1000000)),"")</f>
        <v/>
      </c>
      <c r="M1403" s="1">
        <f>IF(AND(E1403=0,COUNTIFS($A$2:A1403,A1403,$E$2:E1403,0)=1),L1403,0)</f>
        <v>0</v>
      </c>
    </row>
    <row r="1404" spans="1:13" ht="15" customHeight="1">
      <c r="A1404" s="1">
        <v>7301</v>
      </c>
      <c r="B1404" s="1" t="s">
        <v>161</v>
      </c>
      <c r="C1404" s="2" t="s">
        <v>1655</v>
      </c>
      <c r="D1404" s="2" t="s">
        <v>1656</v>
      </c>
      <c r="E1404" s="1">
        <v>1</v>
      </c>
      <c r="F1404" s="2" t="s">
        <v>1659</v>
      </c>
      <c r="G1404" s="1">
        <v>3</v>
      </c>
      <c r="H1404" s="1" t="str">
        <f t="shared" si="22"/>
        <v>k7301_3</v>
      </c>
      <c r="K1404" s="1">
        <f>IF(E1404=0,SUMPRODUCT(($A$2:$A$4734=A1404)*($B$2:$B$4734=B1404)*($D$2:$D$4734=D1404)*($E$2:$E$4734=0)),0)</f>
        <v>0</v>
      </c>
      <c r="L1404" s="1" t="str">
        <f>IF(E1404=0,SUMPRODUCT(MIN($K$2:$K$4734+((($A$2:$A$4734&lt;&gt;A1404)+($E$2:$E$4734&lt;&gt;0))&gt;0)*1000000)),"")</f>
        <v/>
      </c>
      <c r="M1404" s="1">
        <f>IF(AND(E1404=0,COUNTIFS($A$2:A1404,A1404,$E$2:E1404,0)=1),L1404,0)</f>
        <v>0</v>
      </c>
    </row>
    <row r="1405" spans="1:13" ht="15" customHeight="1">
      <c r="A1405" s="1">
        <v>7301</v>
      </c>
      <c r="B1405" s="1" t="s">
        <v>161</v>
      </c>
      <c r="C1405" s="2" t="s">
        <v>1655</v>
      </c>
      <c r="D1405" s="2" t="s">
        <v>1656</v>
      </c>
      <c r="E1405" s="1">
        <v>1</v>
      </c>
      <c r="F1405" s="2" t="s">
        <v>1660</v>
      </c>
      <c r="G1405" s="1">
        <v>4</v>
      </c>
      <c r="H1405" s="1" t="str">
        <f t="shared" si="22"/>
        <v>k7301_4</v>
      </c>
      <c r="K1405" s="1">
        <f>IF(E1405=0,SUMPRODUCT(($A$2:$A$4734=A1405)*($B$2:$B$4734=B1405)*($D$2:$D$4734=D1405)*($E$2:$E$4734=0)),0)</f>
        <v>0</v>
      </c>
      <c r="L1405" s="1" t="str">
        <f>IF(E1405=0,SUMPRODUCT(MIN($K$2:$K$4734+((($A$2:$A$4734&lt;&gt;A1405)+($E$2:$E$4734&lt;&gt;0))&gt;0)*1000000)),"")</f>
        <v/>
      </c>
      <c r="M1405" s="1">
        <f>IF(AND(E1405=0,COUNTIFS($A$2:A1405,A1405,$E$2:E1405,0)=1),L1405,0)</f>
        <v>0</v>
      </c>
    </row>
    <row r="1406" spans="1:13" ht="15" customHeight="1">
      <c r="A1406" s="1">
        <v>7301</v>
      </c>
      <c r="B1406" s="1" t="s">
        <v>161</v>
      </c>
      <c r="C1406" s="2" t="s">
        <v>1655</v>
      </c>
      <c r="D1406" s="2" t="s">
        <v>1656</v>
      </c>
      <c r="E1406" s="1">
        <v>1</v>
      </c>
      <c r="F1406" s="2" t="s">
        <v>1661</v>
      </c>
      <c r="G1406" s="1">
        <v>5</v>
      </c>
      <c r="H1406" s="1" t="str">
        <f t="shared" si="22"/>
        <v>k7301_5</v>
      </c>
      <c r="K1406" s="1">
        <f>IF(E1406=0,SUMPRODUCT(($A$2:$A$4734=A1406)*($B$2:$B$4734=B1406)*($D$2:$D$4734=D1406)*($E$2:$E$4734=0)),0)</f>
        <v>0</v>
      </c>
      <c r="L1406" s="1" t="str">
        <f>IF(E1406=0,SUMPRODUCT(MIN($K$2:$K$4734+((($A$2:$A$4734&lt;&gt;A1406)+($E$2:$E$4734&lt;&gt;0))&gt;0)*1000000)),"")</f>
        <v/>
      </c>
      <c r="M1406" s="1">
        <f>IF(AND(E1406=0,COUNTIFS($A$2:A1406,A1406,$E$2:E1406,0)=1),L1406,0)</f>
        <v>0</v>
      </c>
    </row>
    <row r="1407" spans="1:13" ht="15" customHeight="1">
      <c r="A1407" s="1">
        <v>7301</v>
      </c>
      <c r="B1407" s="1" t="s">
        <v>161</v>
      </c>
      <c r="C1407" s="2" t="s">
        <v>1655</v>
      </c>
      <c r="D1407" s="2" t="s">
        <v>1656</v>
      </c>
      <c r="E1407" s="1">
        <v>1</v>
      </c>
      <c r="F1407" s="2" t="s">
        <v>1662</v>
      </c>
      <c r="G1407" s="1">
        <v>6</v>
      </c>
      <c r="H1407" s="1" t="str">
        <f t="shared" si="22"/>
        <v>k7301_6</v>
      </c>
      <c r="K1407" s="1">
        <f>IF(E1407=0,SUMPRODUCT(($A$2:$A$4734=A1407)*($B$2:$B$4734=B1407)*($D$2:$D$4734=D1407)*($E$2:$E$4734=0)),0)</f>
        <v>0</v>
      </c>
      <c r="L1407" s="1" t="str">
        <f>IF(E1407=0,SUMPRODUCT(MIN($K$2:$K$4734+((($A$2:$A$4734&lt;&gt;A1407)+($E$2:$E$4734&lt;&gt;0))&gt;0)*1000000)),"")</f>
        <v/>
      </c>
      <c r="M1407" s="1">
        <f>IF(AND(E1407=0,COUNTIFS($A$2:A1407,A1407,$E$2:E1407,0)=1),L1407,0)</f>
        <v>0</v>
      </c>
    </row>
    <row r="1408" spans="1:13" ht="15" customHeight="1">
      <c r="A1408" s="1">
        <v>7301</v>
      </c>
      <c r="B1408" s="1" t="s">
        <v>167</v>
      </c>
      <c r="C1408" s="2" t="s">
        <v>1655</v>
      </c>
      <c r="D1408" s="2" t="s">
        <v>1663</v>
      </c>
      <c r="E1408" s="1">
        <v>1</v>
      </c>
      <c r="F1408" s="2" t="s">
        <v>1664</v>
      </c>
      <c r="G1408" s="1">
        <v>1</v>
      </c>
      <c r="H1408" s="1" t="str">
        <f t="shared" si="22"/>
        <v>k7301_1</v>
      </c>
      <c r="K1408" s="1">
        <f>IF(E1408=0,SUMPRODUCT(($A$2:$A$4734=A1408)*($B$2:$B$4734=B1408)*($D$2:$D$4734=D1408)*($E$2:$E$4734=0)),0)</f>
        <v>0</v>
      </c>
      <c r="L1408" s="1" t="str">
        <f>IF(E1408=0,SUMPRODUCT(MIN($K$2:$K$4734+((($A$2:$A$4734&lt;&gt;A1408)+($E$2:$E$4734&lt;&gt;0))&gt;0)*1000000)),"")</f>
        <v/>
      </c>
      <c r="M1408" s="1">
        <f>IF(AND(E1408=0,COUNTIFS($A$2:A1408,A1408,$E$2:E1408,0)=1),L1408,0)</f>
        <v>0</v>
      </c>
    </row>
    <row r="1409" spans="1:13" ht="15" customHeight="1">
      <c r="A1409" s="1">
        <v>7301</v>
      </c>
      <c r="B1409" s="1" t="s">
        <v>167</v>
      </c>
      <c r="C1409" s="2" t="s">
        <v>1655</v>
      </c>
      <c r="D1409" s="2" t="s">
        <v>1663</v>
      </c>
      <c r="E1409" s="1">
        <v>1</v>
      </c>
      <c r="F1409" s="2" t="s">
        <v>1665</v>
      </c>
      <c r="G1409" s="1">
        <v>2</v>
      </c>
      <c r="H1409" s="1" t="str">
        <f t="shared" si="22"/>
        <v>k7301_2</v>
      </c>
      <c r="K1409" s="1">
        <f>IF(E1409=0,SUMPRODUCT(($A$2:$A$4734=A1409)*($B$2:$B$4734=B1409)*($D$2:$D$4734=D1409)*($E$2:$E$4734=0)),0)</f>
        <v>0</v>
      </c>
      <c r="L1409" s="1" t="str">
        <f>IF(E1409=0,SUMPRODUCT(MIN($K$2:$K$4734+((($A$2:$A$4734&lt;&gt;A1409)+($E$2:$E$4734&lt;&gt;0))&gt;0)*1000000)),"")</f>
        <v/>
      </c>
      <c r="M1409" s="1">
        <f>IF(AND(E1409=0,COUNTIFS($A$2:A1409,A1409,$E$2:E1409,0)=1),L1409,0)</f>
        <v>0</v>
      </c>
    </row>
    <row r="1410" spans="1:13" ht="15" customHeight="1">
      <c r="A1410" s="1">
        <v>7301</v>
      </c>
      <c r="B1410" s="1" t="s">
        <v>167</v>
      </c>
      <c r="C1410" s="2" t="s">
        <v>1655</v>
      </c>
      <c r="D1410" s="2" t="s">
        <v>1663</v>
      </c>
      <c r="E1410" s="1">
        <v>1</v>
      </c>
      <c r="F1410" s="2" t="s">
        <v>1666</v>
      </c>
      <c r="G1410" s="1">
        <v>3</v>
      </c>
      <c r="H1410" s="1" t="str">
        <f t="shared" si="22"/>
        <v>k7301_3</v>
      </c>
      <c r="K1410" s="1">
        <f>IF(E1410=0,SUMPRODUCT(($A$2:$A$4734=A1410)*($B$2:$B$4734=B1410)*($D$2:$D$4734=D1410)*($E$2:$E$4734=0)),0)</f>
        <v>0</v>
      </c>
      <c r="L1410" s="1" t="str">
        <f>IF(E1410=0,SUMPRODUCT(MIN($K$2:$K$4734+((($A$2:$A$4734&lt;&gt;A1410)+($E$2:$E$4734&lt;&gt;0))&gt;0)*1000000)),"")</f>
        <v/>
      </c>
      <c r="M1410" s="1">
        <f>IF(AND(E1410=0,COUNTIFS($A$2:A1410,A1410,$E$2:E1410,0)=1),L1410,0)</f>
        <v>0</v>
      </c>
    </row>
    <row r="1411" spans="1:13" ht="15" customHeight="1">
      <c r="A1411" s="1">
        <v>7301</v>
      </c>
      <c r="B1411" s="1" t="s">
        <v>167</v>
      </c>
      <c r="C1411" s="2" t="s">
        <v>1655</v>
      </c>
      <c r="D1411" s="2" t="s">
        <v>1663</v>
      </c>
      <c r="E1411" s="1">
        <v>1</v>
      </c>
      <c r="F1411" s="2" t="s">
        <v>1667</v>
      </c>
      <c r="G1411" s="1">
        <v>4</v>
      </c>
      <c r="H1411" s="1" t="str">
        <f t="shared" si="22"/>
        <v>k7301_4</v>
      </c>
      <c r="K1411" s="1">
        <f>IF(E1411=0,SUMPRODUCT(($A$2:$A$4734=A1411)*($B$2:$B$4734=B1411)*($D$2:$D$4734=D1411)*($E$2:$E$4734=0)),0)</f>
        <v>0</v>
      </c>
      <c r="L1411" s="1" t="str">
        <f>IF(E1411=0,SUMPRODUCT(MIN($K$2:$K$4734+((($A$2:$A$4734&lt;&gt;A1411)+($E$2:$E$4734&lt;&gt;0))&gt;0)*1000000)),"")</f>
        <v/>
      </c>
      <c r="M1411" s="1">
        <f>IF(AND(E1411=0,COUNTIFS($A$2:A1411,A1411,$E$2:E1411,0)=1),L1411,0)</f>
        <v>0</v>
      </c>
    </row>
    <row r="1412" spans="1:13" ht="15" customHeight="1">
      <c r="A1412" s="1">
        <v>7301</v>
      </c>
      <c r="B1412" s="1" t="s">
        <v>167</v>
      </c>
      <c r="C1412" s="2" t="s">
        <v>1655</v>
      </c>
      <c r="D1412" s="2" t="s">
        <v>1663</v>
      </c>
      <c r="E1412" s="1">
        <v>1</v>
      </c>
      <c r="F1412" s="2" t="s">
        <v>1666</v>
      </c>
      <c r="G1412" s="1">
        <v>5</v>
      </c>
      <c r="H1412" s="1" t="str">
        <f t="shared" si="22"/>
        <v>k7301_5</v>
      </c>
      <c r="K1412" s="1">
        <f>IF(E1412=0,SUMPRODUCT(($A$2:$A$4734=A1412)*($B$2:$B$4734=B1412)*($D$2:$D$4734=D1412)*($E$2:$E$4734=0)),0)</f>
        <v>0</v>
      </c>
      <c r="L1412" s="1" t="str">
        <f>IF(E1412=0,SUMPRODUCT(MIN($K$2:$K$4734+((($A$2:$A$4734&lt;&gt;A1412)+($E$2:$E$4734&lt;&gt;0))&gt;0)*1000000)),"")</f>
        <v/>
      </c>
      <c r="M1412" s="1">
        <f>IF(AND(E1412=0,COUNTIFS($A$2:A1412,A1412,$E$2:E1412,0)=1),L1412,0)</f>
        <v>0</v>
      </c>
    </row>
    <row r="1413" spans="1:13" ht="15" customHeight="1">
      <c r="A1413" s="1">
        <v>7301</v>
      </c>
      <c r="B1413" s="1" t="s">
        <v>167</v>
      </c>
      <c r="C1413" s="2" t="s">
        <v>1655</v>
      </c>
      <c r="D1413" s="2" t="s">
        <v>1663</v>
      </c>
      <c r="E1413" s="1">
        <v>1</v>
      </c>
      <c r="F1413" s="2" t="s">
        <v>1667</v>
      </c>
      <c r="G1413" s="1">
        <v>6</v>
      </c>
      <c r="H1413" s="1" t="str">
        <f t="shared" si="22"/>
        <v>k7301_6</v>
      </c>
      <c r="K1413" s="1">
        <f>IF(E1413=0,SUMPRODUCT(($A$2:$A$4734=A1413)*($B$2:$B$4734=B1413)*($D$2:$D$4734=D1413)*($E$2:$E$4734=0)),0)</f>
        <v>0</v>
      </c>
      <c r="L1413" s="1" t="str">
        <f>IF(E1413=0,SUMPRODUCT(MIN($K$2:$K$4734+((($A$2:$A$4734&lt;&gt;A1413)+($E$2:$E$4734&lt;&gt;0))&gt;0)*1000000)),"")</f>
        <v/>
      </c>
      <c r="M1413" s="1">
        <f>IF(AND(E1413=0,COUNTIFS($A$2:A1413,A1413,$E$2:E1413,0)=1),L1413,0)</f>
        <v>0</v>
      </c>
    </row>
    <row r="1414" spans="1:13" ht="15" customHeight="1">
      <c r="A1414" s="1">
        <v>7302</v>
      </c>
      <c r="B1414" s="1" t="s">
        <v>16</v>
      </c>
      <c r="C1414" s="2" t="s">
        <v>1668</v>
      </c>
      <c r="D1414" s="2" t="s">
        <v>1669</v>
      </c>
      <c r="E1414" s="1">
        <v>0</v>
      </c>
      <c r="F1414" s="2" t="s">
        <v>1670</v>
      </c>
      <c r="H1414" s="1" t="str">
        <f t="shared" si="22"/>
        <v/>
      </c>
      <c r="K1414" s="1">
        <f>IF(E1414=0,SUMPRODUCT(($A$2:$A$4734=A1414)*($B$2:$B$4734=B1414)*($D$2:$D$4734=D1414)*($E$2:$E$4734=0)),0)</f>
        <v>2</v>
      </c>
      <c r="L1414" s="1">
        <f>IF(E1414=0,SUMPRODUCT(MIN($K$2:$K$4734+((($A$2:$A$4734&lt;&gt;A1414)+($E$2:$E$4734&lt;&gt;0))&gt;0)*1000000)),"")</f>
        <v>2</v>
      </c>
      <c r="M1414" s="1">
        <f>IF(AND(E1414=0,COUNTIFS($A$2:A1414,A1414,$E$2:E1414,0)=1),L1414,0)</f>
        <v>2</v>
      </c>
    </row>
    <row r="1415" spans="1:13" ht="15" customHeight="1">
      <c r="A1415" s="1">
        <v>7302</v>
      </c>
      <c r="B1415" s="1" t="s">
        <v>16</v>
      </c>
      <c r="C1415" s="2" t="s">
        <v>1668</v>
      </c>
      <c r="D1415" s="2" t="s">
        <v>1669</v>
      </c>
      <c r="E1415" s="1">
        <v>0</v>
      </c>
      <c r="F1415" s="2" t="s">
        <v>1671</v>
      </c>
      <c r="H1415" s="1" t="str">
        <f t="shared" si="22"/>
        <v/>
      </c>
      <c r="K1415" s="1">
        <f>IF(E1415=0,SUMPRODUCT(($A$2:$A$4734=A1415)*($B$2:$B$4734=B1415)*($D$2:$D$4734=D1415)*($E$2:$E$4734=0)),0)</f>
        <v>2</v>
      </c>
      <c r="L1415" s="1">
        <f>IF(E1415=0,SUMPRODUCT(MIN($K$2:$K$4734+((($A$2:$A$4734&lt;&gt;A1415)+($E$2:$E$4734&lt;&gt;0))&gt;0)*1000000)),"")</f>
        <v>2</v>
      </c>
      <c r="M1415" s="1">
        <f>IF(AND(E1415=0,COUNTIFS($A$2:A1415,A1415,$E$2:E1415,0)=1),L1415,0)</f>
        <v>0</v>
      </c>
    </row>
    <row r="1416" spans="1:13" ht="15" customHeight="1">
      <c r="A1416" s="1">
        <v>7303</v>
      </c>
      <c r="B1416" s="1" t="s">
        <v>9</v>
      </c>
      <c r="C1416" s="2" t="s">
        <v>1672</v>
      </c>
      <c r="D1416" s="2" t="s">
        <v>1673</v>
      </c>
      <c r="E1416" s="1">
        <v>0</v>
      </c>
      <c r="F1416" s="2" t="s">
        <v>1674</v>
      </c>
      <c r="H1416" s="1" t="str">
        <f t="shared" si="22"/>
        <v/>
      </c>
      <c r="K1416" s="1">
        <f>IF(E1416=0,SUMPRODUCT(($A$2:$A$4734=A1416)*($B$2:$B$4734=B1416)*($D$2:$D$4734=D1416)*($E$2:$E$4734=0)),0)</f>
        <v>4</v>
      </c>
      <c r="L1416" s="1">
        <f>IF(E1416=0,SUMPRODUCT(MIN($K$2:$K$4734+((($A$2:$A$4734&lt;&gt;A1416)+($E$2:$E$4734&lt;&gt;0))&gt;0)*1000000)),"")</f>
        <v>2</v>
      </c>
      <c r="M1416" s="1">
        <f>IF(AND(E1416=0,COUNTIFS($A$2:A1416,A1416,$E$2:E1416,0)=1),L1416,0)</f>
        <v>2</v>
      </c>
    </row>
    <row r="1417" spans="1:13" ht="15" customHeight="1">
      <c r="A1417" s="1">
        <v>7303</v>
      </c>
      <c r="B1417" s="1" t="s">
        <v>9</v>
      </c>
      <c r="C1417" s="2" t="s">
        <v>1672</v>
      </c>
      <c r="D1417" s="2" t="s">
        <v>1673</v>
      </c>
      <c r="E1417" s="1">
        <v>0</v>
      </c>
      <c r="F1417" s="2" t="s">
        <v>1675</v>
      </c>
      <c r="H1417" s="1" t="str">
        <f t="shared" si="22"/>
        <v/>
      </c>
      <c r="K1417" s="1">
        <f>IF(E1417=0,SUMPRODUCT(($A$2:$A$4734=A1417)*($B$2:$B$4734=B1417)*($D$2:$D$4734=D1417)*($E$2:$E$4734=0)),0)</f>
        <v>4</v>
      </c>
      <c r="L1417" s="1">
        <f>IF(E1417=0,SUMPRODUCT(MIN($K$2:$K$4734+((($A$2:$A$4734&lt;&gt;A1417)+($E$2:$E$4734&lt;&gt;0))&gt;0)*1000000)),"")</f>
        <v>2</v>
      </c>
      <c r="M1417" s="1">
        <f>IF(AND(E1417=0,COUNTIFS($A$2:A1417,A1417,$E$2:E1417,0)=1),L1417,0)</f>
        <v>0</v>
      </c>
    </row>
    <row r="1418" spans="1:13" ht="15" customHeight="1">
      <c r="A1418" s="1">
        <v>7303</v>
      </c>
      <c r="B1418" s="1" t="s">
        <v>9</v>
      </c>
      <c r="C1418" s="2" t="s">
        <v>1672</v>
      </c>
      <c r="D1418" s="2" t="s">
        <v>1673</v>
      </c>
      <c r="E1418" s="1">
        <v>0</v>
      </c>
      <c r="F1418" s="2" t="s">
        <v>1676</v>
      </c>
      <c r="H1418" s="1" t="str">
        <f t="shared" si="22"/>
        <v/>
      </c>
      <c r="K1418" s="1">
        <f>IF(E1418=0,SUMPRODUCT(($A$2:$A$4734=A1418)*($B$2:$B$4734=B1418)*($D$2:$D$4734=D1418)*($E$2:$E$4734=0)),0)</f>
        <v>4</v>
      </c>
      <c r="L1418" s="1">
        <f>IF(E1418=0,SUMPRODUCT(MIN($K$2:$K$4734+((($A$2:$A$4734&lt;&gt;A1418)+($E$2:$E$4734&lt;&gt;0))&gt;0)*1000000)),"")</f>
        <v>2</v>
      </c>
      <c r="M1418" s="1">
        <f>IF(AND(E1418=0,COUNTIFS($A$2:A1418,A1418,$E$2:E1418,0)=1),L1418,0)</f>
        <v>0</v>
      </c>
    </row>
    <row r="1419" spans="1:13" ht="15" customHeight="1">
      <c r="A1419" s="1">
        <v>7303</v>
      </c>
      <c r="B1419" s="1" t="s">
        <v>9</v>
      </c>
      <c r="C1419" s="2" t="s">
        <v>1672</v>
      </c>
      <c r="D1419" s="2" t="s">
        <v>1673</v>
      </c>
      <c r="E1419" s="1">
        <v>0</v>
      </c>
      <c r="F1419" s="2" t="s">
        <v>1677</v>
      </c>
      <c r="H1419" s="1" t="str">
        <f t="shared" si="22"/>
        <v/>
      </c>
      <c r="K1419" s="1">
        <f>IF(E1419=0,SUMPRODUCT(($A$2:$A$4734=A1419)*($B$2:$B$4734=B1419)*($D$2:$D$4734=D1419)*($E$2:$E$4734=0)),0)</f>
        <v>4</v>
      </c>
      <c r="L1419" s="1">
        <f>IF(E1419=0,SUMPRODUCT(MIN($K$2:$K$4734+((($A$2:$A$4734&lt;&gt;A1419)+($E$2:$E$4734&lt;&gt;0))&gt;0)*1000000)),"")</f>
        <v>2</v>
      </c>
      <c r="M1419" s="1">
        <f>IF(AND(E1419=0,COUNTIFS($A$2:A1419,A1419,$E$2:E1419,0)=1),L1419,0)</f>
        <v>0</v>
      </c>
    </row>
    <row r="1420" spans="1:13" ht="15" customHeight="1">
      <c r="A1420" s="1">
        <v>7303</v>
      </c>
      <c r="B1420" s="1" t="s">
        <v>9</v>
      </c>
      <c r="C1420" s="2" t="s">
        <v>1672</v>
      </c>
      <c r="D1420" s="2" t="s">
        <v>1678</v>
      </c>
      <c r="E1420" s="1">
        <v>0</v>
      </c>
      <c r="F1420" s="2" t="s">
        <v>1679</v>
      </c>
      <c r="H1420" s="1" t="str">
        <f t="shared" si="22"/>
        <v/>
      </c>
      <c r="K1420" s="1">
        <f>IF(E1420=0,SUMPRODUCT(($A$2:$A$4734=A1420)*($B$2:$B$4734=B1420)*($D$2:$D$4734=D1420)*($E$2:$E$4734=0)),0)</f>
        <v>2</v>
      </c>
      <c r="L1420" s="1">
        <f>IF(E1420=0,SUMPRODUCT(MIN($K$2:$K$4734+((($A$2:$A$4734&lt;&gt;A1420)+($E$2:$E$4734&lt;&gt;0))&gt;0)*1000000)),"")</f>
        <v>2</v>
      </c>
      <c r="M1420" s="1">
        <f>IF(AND(E1420=0,COUNTIFS($A$2:A1420,A1420,$E$2:E1420,0)=1),L1420,0)</f>
        <v>0</v>
      </c>
    </row>
    <row r="1421" spans="1:13" ht="15" customHeight="1">
      <c r="A1421" s="1">
        <v>7303</v>
      </c>
      <c r="B1421" s="1" t="s">
        <v>9</v>
      </c>
      <c r="C1421" s="2" t="s">
        <v>1672</v>
      </c>
      <c r="D1421" s="2" t="s">
        <v>1678</v>
      </c>
      <c r="E1421" s="1">
        <v>0</v>
      </c>
      <c r="F1421" s="2" t="s">
        <v>1680</v>
      </c>
      <c r="H1421" s="1" t="str">
        <f t="shared" si="22"/>
        <v/>
      </c>
      <c r="K1421" s="1">
        <f>IF(E1421=0,SUMPRODUCT(($A$2:$A$4734=A1421)*($B$2:$B$4734=B1421)*($D$2:$D$4734=D1421)*($E$2:$E$4734=0)),0)</f>
        <v>2</v>
      </c>
      <c r="L1421" s="1">
        <f>IF(E1421=0,SUMPRODUCT(MIN($K$2:$K$4734+((($A$2:$A$4734&lt;&gt;A1421)+($E$2:$E$4734&lt;&gt;0))&gt;0)*1000000)),"")</f>
        <v>2</v>
      </c>
      <c r="M1421" s="1">
        <f>IF(AND(E1421=0,COUNTIFS($A$2:A1421,A1421,$E$2:E1421,0)=1),L1421,0)</f>
        <v>0</v>
      </c>
    </row>
    <row r="1422" spans="1:13" ht="15" customHeight="1">
      <c r="A1422" s="1">
        <v>7304</v>
      </c>
      <c r="B1422" s="1" t="s">
        <v>16</v>
      </c>
      <c r="C1422" s="2" t="s">
        <v>1681</v>
      </c>
      <c r="D1422" s="2" t="s">
        <v>999</v>
      </c>
      <c r="E1422" s="1">
        <v>1</v>
      </c>
      <c r="F1422" s="2" t="s">
        <v>1682</v>
      </c>
      <c r="G1422" s="1">
        <v>1</v>
      </c>
      <c r="H1422" s="1" t="str">
        <f t="shared" si="22"/>
        <v>k7304_1</v>
      </c>
      <c r="K1422" s="1">
        <f>IF(E1422=0,SUMPRODUCT(($A$2:$A$4734=A1422)*($B$2:$B$4734=B1422)*($D$2:$D$4734=D1422)*($E$2:$E$4734=0)),0)</f>
        <v>0</v>
      </c>
      <c r="L1422" s="1" t="str">
        <f>IF(E1422=0,SUMPRODUCT(MIN($K$2:$K$4734+((($A$2:$A$4734&lt;&gt;A1422)+($E$2:$E$4734&lt;&gt;0))&gt;0)*1000000)),"")</f>
        <v/>
      </c>
      <c r="M1422" s="1">
        <f>IF(AND(E1422=0,COUNTIFS($A$2:A1422,A1422,$E$2:E1422,0)=1),L1422,0)</f>
        <v>0</v>
      </c>
    </row>
    <row r="1423" spans="1:13" ht="15" customHeight="1">
      <c r="A1423" s="1">
        <v>7304</v>
      </c>
      <c r="B1423" s="1" t="s">
        <v>16</v>
      </c>
      <c r="C1423" s="2" t="s">
        <v>1681</v>
      </c>
      <c r="D1423" s="2" t="s">
        <v>999</v>
      </c>
      <c r="E1423" s="1">
        <v>1</v>
      </c>
      <c r="F1423" s="2" t="s">
        <v>1001</v>
      </c>
      <c r="G1423" s="1">
        <v>2</v>
      </c>
      <c r="H1423" s="1" t="str">
        <f t="shared" si="22"/>
        <v>k7304_2</v>
      </c>
      <c r="K1423" s="1">
        <f>IF(E1423=0,SUMPRODUCT(($A$2:$A$4734=A1423)*($B$2:$B$4734=B1423)*($D$2:$D$4734=D1423)*($E$2:$E$4734=0)),0)</f>
        <v>0</v>
      </c>
      <c r="L1423" s="1" t="str">
        <f>IF(E1423=0,SUMPRODUCT(MIN($K$2:$K$4734+((($A$2:$A$4734&lt;&gt;A1423)+($E$2:$E$4734&lt;&gt;0))&gt;0)*1000000)),"")</f>
        <v/>
      </c>
      <c r="M1423" s="1">
        <f>IF(AND(E1423=0,COUNTIFS($A$2:A1423,A1423,$E$2:E1423,0)=1),L1423,0)</f>
        <v>0</v>
      </c>
    </row>
    <row r="1424" spans="1:13" ht="15" customHeight="1">
      <c r="A1424" s="1">
        <v>7304</v>
      </c>
      <c r="B1424" s="1" t="s">
        <v>16</v>
      </c>
      <c r="C1424" s="2" t="s">
        <v>1681</v>
      </c>
      <c r="D1424" s="2" t="s">
        <v>999</v>
      </c>
      <c r="E1424" s="1">
        <v>1</v>
      </c>
      <c r="F1424" s="2" t="s">
        <v>1683</v>
      </c>
      <c r="G1424" s="1">
        <v>3</v>
      </c>
      <c r="H1424" s="1" t="str">
        <f t="shared" si="22"/>
        <v>k7304_3</v>
      </c>
      <c r="K1424" s="1">
        <f>IF(E1424=0,SUMPRODUCT(($A$2:$A$4734=A1424)*($B$2:$B$4734=B1424)*($D$2:$D$4734=D1424)*($E$2:$E$4734=0)),0)</f>
        <v>0</v>
      </c>
      <c r="L1424" s="1" t="str">
        <f>IF(E1424=0,SUMPRODUCT(MIN($K$2:$K$4734+((($A$2:$A$4734&lt;&gt;A1424)+($E$2:$E$4734&lt;&gt;0))&gt;0)*1000000)),"")</f>
        <v/>
      </c>
      <c r="M1424" s="1">
        <f>IF(AND(E1424=0,COUNTIFS($A$2:A1424,A1424,$E$2:E1424,0)=1),L1424,0)</f>
        <v>0</v>
      </c>
    </row>
    <row r="1425" spans="1:13" ht="15" customHeight="1">
      <c r="A1425" s="1">
        <v>7304</v>
      </c>
      <c r="B1425" s="1" t="s">
        <v>16</v>
      </c>
      <c r="C1425" s="2" t="s">
        <v>1681</v>
      </c>
      <c r="D1425" s="2" t="s">
        <v>999</v>
      </c>
      <c r="E1425" s="1">
        <v>1</v>
      </c>
      <c r="F1425" s="2" t="s">
        <v>1684</v>
      </c>
      <c r="G1425" s="1">
        <v>4</v>
      </c>
      <c r="H1425" s="1" t="str">
        <f t="shared" si="22"/>
        <v>k7304_4</v>
      </c>
      <c r="K1425" s="1">
        <f>IF(E1425=0,SUMPRODUCT(($A$2:$A$4734=A1425)*($B$2:$B$4734=B1425)*($D$2:$D$4734=D1425)*($E$2:$E$4734=0)),0)</f>
        <v>0</v>
      </c>
      <c r="L1425" s="1" t="str">
        <f>IF(E1425=0,SUMPRODUCT(MIN($K$2:$K$4734+((($A$2:$A$4734&lt;&gt;A1425)+($E$2:$E$4734&lt;&gt;0))&gt;0)*1000000)),"")</f>
        <v/>
      </c>
      <c r="M1425" s="1">
        <f>IF(AND(E1425=0,COUNTIFS($A$2:A1425,A1425,$E$2:E1425,0)=1),L1425,0)</f>
        <v>0</v>
      </c>
    </row>
    <row r="1426" spans="1:13" ht="15" customHeight="1">
      <c r="A1426" s="1">
        <v>7304</v>
      </c>
      <c r="B1426" s="1" t="s">
        <v>69</v>
      </c>
      <c r="C1426" s="2" t="s">
        <v>1681</v>
      </c>
      <c r="D1426" s="2" t="s">
        <v>1681</v>
      </c>
      <c r="E1426" s="1">
        <v>1</v>
      </c>
      <c r="F1426" s="2" t="s">
        <v>1685</v>
      </c>
      <c r="G1426" s="1">
        <v>1</v>
      </c>
      <c r="H1426" s="1" t="str">
        <f t="shared" si="22"/>
        <v>k7304_1</v>
      </c>
      <c r="K1426" s="1">
        <f>IF(E1426=0,SUMPRODUCT(($A$2:$A$4734=A1426)*($B$2:$B$4734=B1426)*($D$2:$D$4734=D1426)*($E$2:$E$4734=0)),0)</f>
        <v>0</v>
      </c>
      <c r="L1426" s="1" t="str">
        <f>IF(E1426=0,SUMPRODUCT(MIN($K$2:$K$4734+((($A$2:$A$4734&lt;&gt;A1426)+($E$2:$E$4734&lt;&gt;0))&gt;0)*1000000)),"")</f>
        <v/>
      </c>
      <c r="M1426" s="1">
        <f>IF(AND(E1426=0,COUNTIFS($A$2:A1426,A1426,$E$2:E1426,0)=1),L1426,0)</f>
        <v>0</v>
      </c>
    </row>
    <row r="1427" spans="1:13" ht="15" customHeight="1">
      <c r="A1427" s="1">
        <v>7304</v>
      </c>
      <c r="B1427" s="1" t="s">
        <v>69</v>
      </c>
      <c r="C1427" s="2" t="s">
        <v>1681</v>
      </c>
      <c r="D1427" s="2" t="s">
        <v>1681</v>
      </c>
      <c r="E1427" s="1">
        <v>1</v>
      </c>
      <c r="F1427" s="2" t="s">
        <v>1686</v>
      </c>
      <c r="G1427" s="1">
        <v>2</v>
      </c>
      <c r="H1427" s="1" t="str">
        <f t="shared" si="22"/>
        <v>k7304_2</v>
      </c>
      <c r="K1427" s="1">
        <f>IF(E1427=0,SUMPRODUCT(($A$2:$A$4734=A1427)*($B$2:$B$4734=B1427)*($D$2:$D$4734=D1427)*($E$2:$E$4734=0)),0)</f>
        <v>0</v>
      </c>
      <c r="L1427" s="1" t="str">
        <f>IF(E1427=0,SUMPRODUCT(MIN($K$2:$K$4734+((($A$2:$A$4734&lt;&gt;A1427)+($E$2:$E$4734&lt;&gt;0))&gt;0)*1000000)),"")</f>
        <v/>
      </c>
      <c r="M1427" s="1">
        <f>IF(AND(E1427=0,COUNTIFS($A$2:A1427,A1427,$E$2:E1427,0)=1),L1427,0)</f>
        <v>0</v>
      </c>
    </row>
    <row r="1428" spans="1:13" ht="15" customHeight="1">
      <c r="A1428" s="1">
        <v>7304</v>
      </c>
      <c r="B1428" s="1" t="s">
        <v>69</v>
      </c>
      <c r="C1428" s="2" t="s">
        <v>1681</v>
      </c>
      <c r="D1428" s="2" t="s">
        <v>1681</v>
      </c>
      <c r="E1428" s="1">
        <v>1</v>
      </c>
      <c r="F1428" s="2" t="s">
        <v>1687</v>
      </c>
      <c r="G1428" s="1">
        <v>3</v>
      </c>
      <c r="H1428" s="1" t="str">
        <f t="shared" si="22"/>
        <v>k7304_3</v>
      </c>
      <c r="K1428" s="1">
        <f>IF(E1428=0,SUMPRODUCT(($A$2:$A$4734=A1428)*($B$2:$B$4734=B1428)*($D$2:$D$4734=D1428)*($E$2:$E$4734=0)),0)</f>
        <v>0</v>
      </c>
      <c r="L1428" s="1" t="str">
        <f>IF(E1428=0,SUMPRODUCT(MIN($K$2:$K$4734+((($A$2:$A$4734&lt;&gt;A1428)+($E$2:$E$4734&lt;&gt;0))&gt;0)*1000000)),"")</f>
        <v/>
      </c>
      <c r="M1428" s="1">
        <f>IF(AND(E1428=0,COUNTIFS($A$2:A1428,A1428,$E$2:E1428,0)=1),L1428,0)</f>
        <v>0</v>
      </c>
    </row>
    <row r="1429" spans="1:13" ht="15" customHeight="1">
      <c r="A1429" s="1">
        <v>7304</v>
      </c>
      <c r="B1429" s="1" t="s">
        <v>69</v>
      </c>
      <c r="C1429" s="2" t="s">
        <v>1681</v>
      </c>
      <c r="D1429" s="2" t="s">
        <v>1681</v>
      </c>
      <c r="E1429" s="1">
        <v>1</v>
      </c>
      <c r="F1429" s="2" t="s">
        <v>1688</v>
      </c>
      <c r="G1429" s="1">
        <v>4</v>
      </c>
      <c r="H1429" s="1" t="str">
        <f t="shared" si="22"/>
        <v>k7304_4</v>
      </c>
      <c r="K1429" s="1">
        <f>IF(E1429=0,SUMPRODUCT(($A$2:$A$4734=A1429)*($B$2:$B$4734=B1429)*($D$2:$D$4734=D1429)*($E$2:$E$4734=0)),0)</f>
        <v>0</v>
      </c>
      <c r="L1429" s="1" t="str">
        <f>IF(E1429=0,SUMPRODUCT(MIN($K$2:$K$4734+((($A$2:$A$4734&lt;&gt;A1429)+($E$2:$E$4734&lt;&gt;0))&gt;0)*1000000)),"")</f>
        <v/>
      </c>
      <c r="M1429" s="1">
        <f>IF(AND(E1429=0,COUNTIFS($A$2:A1429,A1429,$E$2:E1429,0)=1),L1429,0)</f>
        <v>0</v>
      </c>
    </row>
    <row r="1430" spans="1:13" ht="15" customHeight="1">
      <c r="A1430" s="1">
        <v>7304</v>
      </c>
      <c r="B1430" s="1" t="s">
        <v>9</v>
      </c>
      <c r="C1430" s="2" t="s">
        <v>1681</v>
      </c>
      <c r="D1430" s="2" t="s">
        <v>1689</v>
      </c>
      <c r="E1430" s="1">
        <v>1</v>
      </c>
      <c r="F1430" s="2" t="s">
        <v>1690</v>
      </c>
      <c r="G1430" s="1">
        <v>1</v>
      </c>
      <c r="H1430" s="1" t="str">
        <f t="shared" si="22"/>
        <v>k7304_1</v>
      </c>
      <c r="K1430" s="1">
        <f>IF(E1430=0,SUMPRODUCT(($A$2:$A$4734=A1430)*($B$2:$B$4734=B1430)*($D$2:$D$4734=D1430)*($E$2:$E$4734=0)),0)</f>
        <v>0</v>
      </c>
      <c r="L1430" s="1" t="str">
        <f>IF(E1430=0,SUMPRODUCT(MIN($K$2:$K$4734+((($A$2:$A$4734&lt;&gt;A1430)+($E$2:$E$4734&lt;&gt;0))&gt;0)*1000000)),"")</f>
        <v/>
      </c>
      <c r="M1430" s="1">
        <f>IF(AND(E1430=0,COUNTIFS($A$2:A1430,A1430,$E$2:E1430,0)=1),L1430,0)</f>
        <v>0</v>
      </c>
    </row>
    <row r="1431" spans="1:13" ht="15" customHeight="1">
      <c r="A1431" s="1">
        <v>7304</v>
      </c>
      <c r="B1431" s="1" t="s">
        <v>9</v>
      </c>
      <c r="C1431" s="2" t="s">
        <v>1681</v>
      </c>
      <c r="D1431" s="2" t="s">
        <v>1689</v>
      </c>
      <c r="E1431" s="1">
        <v>1</v>
      </c>
      <c r="F1431" s="2" t="s">
        <v>1691</v>
      </c>
      <c r="G1431" s="1">
        <v>2</v>
      </c>
      <c r="H1431" s="1" t="str">
        <f t="shared" si="22"/>
        <v>k7304_2</v>
      </c>
      <c r="K1431" s="1">
        <f>IF(E1431=0,SUMPRODUCT(($A$2:$A$4734=A1431)*($B$2:$B$4734=B1431)*($D$2:$D$4734=D1431)*($E$2:$E$4734=0)),0)</f>
        <v>0</v>
      </c>
      <c r="L1431" s="1" t="str">
        <f>IF(E1431=0,SUMPRODUCT(MIN($K$2:$K$4734+((($A$2:$A$4734&lt;&gt;A1431)+($E$2:$E$4734&lt;&gt;0))&gt;0)*1000000)),"")</f>
        <v/>
      </c>
      <c r="M1431" s="1">
        <f>IF(AND(E1431=0,COUNTIFS($A$2:A1431,A1431,$E$2:E1431,0)=1),L1431,0)</f>
        <v>0</v>
      </c>
    </row>
    <row r="1432" spans="1:13" ht="15" customHeight="1">
      <c r="A1432" s="1">
        <v>7304</v>
      </c>
      <c r="B1432" s="1" t="s">
        <v>9</v>
      </c>
      <c r="C1432" s="2" t="s">
        <v>1681</v>
      </c>
      <c r="D1432" s="2" t="s">
        <v>1689</v>
      </c>
      <c r="E1432" s="1">
        <v>1</v>
      </c>
      <c r="F1432" s="2" t="s">
        <v>1692</v>
      </c>
      <c r="G1432" s="1">
        <v>3</v>
      </c>
      <c r="H1432" s="1" t="str">
        <f t="shared" si="22"/>
        <v>k7304_3</v>
      </c>
      <c r="K1432" s="1">
        <f>IF(E1432=0,SUMPRODUCT(($A$2:$A$4734=A1432)*($B$2:$B$4734=B1432)*($D$2:$D$4734=D1432)*($E$2:$E$4734=0)),0)</f>
        <v>0</v>
      </c>
      <c r="L1432" s="1" t="str">
        <f>IF(E1432=0,SUMPRODUCT(MIN($K$2:$K$4734+((($A$2:$A$4734&lt;&gt;A1432)+($E$2:$E$4734&lt;&gt;0))&gt;0)*1000000)),"")</f>
        <v/>
      </c>
      <c r="M1432" s="1">
        <f>IF(AND(E1432=0,COUNTIFS($A$2:A1432,A1432,$E$2:E1432,0)=1),L1432,0)</f>
        <v>0</v>
      </c>
    </row>
    <row r="1433" spans="1:13" ht="15" customHeight="1">
      <c r="A1433" s="1">
        <v>7304</v>
      </c>
      <c r="B1433" s="1" t="s">
        <v>9</v>
      </c>
      <c r="C1433" s="2" t="s">
        <v>1681</v>
      </c>
      <c r="D1433" s="2" t="s">
        <v>1689</v>
      </c>
      <c r="E1433" s="1">
        <v>1</v>
      </c>
      <c r="F1433" s="2" t="s">
        <v>1693</v>
      </c>
      <c r="G1433" s="1">
        <v>4</v>
      </c>
      <c r="H1433" s="1" t="str">
        <f t="shared" si="22"/>
        <v>k7304_4</v>
      </c>
      <c r="K1433" s="1">
        <f>IF(E1433=0,SUMPRODUCT(($A$2:$A$4734=A1433)*($B$2:$B$4734=B1433)*($D$2:$D$4734=D1433)*($E$2:$E$4734=0)),0)</f>
        <v>0</v>
      </c>
      <c r="L1433" s="1" t="str">
        <f>IF(E1433=0,SUMPRODUCT(MIN($K$2:$K$4734+((($A$2:$A$4734&lt;&gt;A1433)+($E$2:$E$4734&lt;&gt;0))&gt;0)*1000000)),"")</f>
        <v/>
      </c>
      <c r="M1433" s="1">
        <f>IF(AND(E1433=0,COUNTIFS($A$2:A1433,A1433,$E$2:E1433,0)=1),L1433,0)</f>
        <v>0</v>
      </c>
    </row>
    <row r="1434" spans="1:13" ht="15" customHeight="1">
      <c r="A1434" s="1">
        <v>7305</v>
      </c>
      <c r="B1434" s="1" t="s">
        <v>95</v>
      </c>
      <c r="C1434" s="2" t="s">
        <v>1694</v>
      </c>
      <c r="D1434" s="2" t="s">
        <v>1695</v>
      </c>
      <c r="E1434" s="1">
        <v>1</v>
      </c>
      <c r="F1434" s="2" t="s">
        <v>1696</v>
      </c>
      <c r="G1434" s="1">
        <v>1</v>
      </c>
      <c r="H1434" s="1" t="str">
        <f t="shared" si="22"/>
        <v>k7305_1</v>
      </c>
      <c r="K1434" s="1">
        <f>IF(E1434=0,SUMPRODUCT(($A$2:$A$4734=A1434)*($B$2:$B$4734=B1434)*($D$2:$D$4734=D1434)*($E$2:$E$4734=0)),0)</f>
        <v>0</v>
      </c>
      <c r="L1434" s="1" t="str">
        <f>IF(E1434=0,SUMPRODUCT(MIN($K$2:$K$4734+((($A$2:$A$4734&lt;&gt;A1434)+($E$2:$E$4734&lt;&gt;0))&gt;0)*1000000)),"")</f>
        <v/>
      </c>
      <c r="M1434" s="1">
        <f>IF(AND(E1434=0,COUNTIFS($A$2:A1434,A1434,$E$2:E1434,0)=1),L1434,0)</f>
        <v>0</v>
      </c>
    </row>
    <row r="1435" spans="1:13" ht="15" customHeight="1">
      <c r="A1435" s="1">
        <v>7305</v>
      </c>
      <c r="B1435" s="1" t="s">
        <v>95</v>
      </c>
      <c r="C1435" s="2" t="s">
        <v>1694</v>
      </c>
      <c r="D1435" s="2" t="s">
        <v>1695</v>
      </c>
      <c r="E1435" s="1">
        <v>1</v>
      </c>
      <c r="F1435" s="2" t="s">
        <v>1697</v>
      </c>
      <c r="G1435" s="1">
        <v>2</v>
      </c>
      <c r="H1435" s="1" t="str">
        <f t="shared" si="22"/>
        <v>k7305_2</v>
      </c>
      <c r="K1435" s="1">
        <f>IF(E1435=0,SUMPRODUCT(($A$2:$A$4734=A1435)*($B$2:$B$4734=B1435)*($D$2:$D$4734=D1435)*($E$2:$E$4734=0)),0)</f>
        <v>0</v>
      </c>
      <c r="L1435" s="1" t="str">
        <f>IF(E1435=0,SUMPRODUCT(MIN($K$2:$K$4734+((($A$2:$A$4734&lt;&gt;A1435)+($E$2:$E$4734&lt;&gt;0))&gt;0)*1000000)),"")</f>
        <v/>
      </c>
      <c r="M1435" s="1">
        <f>IF(AND(E1435=0,COUNTIFS($A$2:A1435,A1435,$E$2:E1435,0)=1),L1435,0)</f>
        <v>0</v>
      </c>
    </row>
    <row r="1436" spans="1:13" ht="15" customHeight="1">
      <c r="A1436" s="1">
        <v>7305</v>
      </c>
      <c r="B1436" s="1" t="s">
        <v>95</v>
      </c>
      <c r="C1436" s="2" t="s">
        <v>1694</v>
      </c>
      <c r="D1436" s="2" t="s">
        <v>1695</v>
      </c>
      <c r="E1436" s="1">
        <v>1</v>
      </c>
      <c r="F1436" s="2" t="s">
        <v>1698</v>
      </c>
      <c r="G1436" s="1">
        <v>3</v>
      </c>
      <c r="H1436" s="1" t="str">
        <f t="shared" si="22"/>
        <v>k7305_3</v>
      </c>
      <c r="K1436" s="1">
        <f>IF(E1436=0,SUMPRODUCT(($A$2:$A$4734=A1436)*($B$2:$B$4734=B1436)*($D$2:$D$4734=D1436)*($E$2:$E$4734=0)),0)</f>
        <v>0</v>
      </c>
      <c r="L1436" s="1" t="str">
        <f>IF(E1436=0,SUMPRODUCT(MIN($K$2:$K$4734+((($A$2:$A$4734&lt;&gt;A1436)+($E$2:$E$4734&lt;&gt;0))&gt;0)*1000000)),"")</f>
        <v/>
      </c>
      <c r="M1436" s="1">
        <f>IF(AND(E1436=0,COUNTIFS($A$2:A1436,A1436,$E$2:E1436,0)=1),L1436,0)</f>
        <v>0</v>
      </c>
    </row>
    <row r="1437" spans="1:13" ht="15" customHeight="1">
      <c r="A1437" s="1">
        <v>7305</v>
      </c>
      <c r="B1437" s="1" t="s">
        <v>95</v>
      </c>
      <c r="C1437" s="2" t="s">
        <v>1694</v>
      </c>
      <c r="D1437" s="2" t="s">
        <v>1695</v>
      </c>
      <c r="E1437" s="1">
        <v>1</v>
      </c>
      <c r="F1437" s="2" t="s">
        <v>1699</v>
      </c>
      <c r="G1437" s="1">
        <v>4</v>
      </c>
      <c r="H1437" s="1" t="str">
        <f t="shared" si="22"/>
        <v>k7305_4</v>
      </c>
      <c r="K1437" s="1">
        <f>IF(E1437=0,SUMPRODUCT(($A$2:$A$4734=A1437)*($B$2:$B$4734=B1437)*($D$2:$D$4734=D1437)*($E$2:$E$4734=0)),0)</f>
        <v>0</v>
      </c>
      <c r="L1437" s="1" t="str">
        <f>IF(E1437=0,SUMPRODUCT(MIN($K$2:$K$4734+((($A$2:$A$4734&lt;&gt;A1437)+($E$2:$E$4734&lt;&gt;0))&gt;0)*1000000)),"")</f>
        <v/>
      </c>
      <c r="M1437" s="1">
        <f>IF(AND(E1437=0,COUNTIFS($A$2:A1437,A1437,$E$2:E1437,0)=1),L1437,0)</f>
        <v>0</v>
      </c>
    </row>
    <row r="1438" spans="1:13" ht="15" customHeight="1">
      <c r="A1438" s="1">
        <v>7305</v>
      </c>
      <c r="B1438" s="1" t="s">
        <v>95</v>
      </c>
      <c r="C1438" s="2" t="s">
        <v>1694</v>
      </c>
      <c r="D1438" s="2" t="s">
        <v>1695</v>
      </c>
      <c r="E1438" s="1">
        <v>1</v>
      </c>
      <c r="F1438" s="2" t="s">
        <v>1699</v>
      </c>
      <c r="G1438" s="1">
        <v>5</v>
      </c>
      <c r="H1438" s="1" t="str">
        <f t="shared" si="22"/>
        <v>k7305_5</v>
      </c>
      <c r="K1438" s="1">
        <f>IF(E1438=0,SUMPRODUCT(($A$2:$A$4734=A1438)*($B$2:$B$4734=B1438)*($D$2:$D$4734=D1438)*($E$2:$E$4734=0)),0)</f>
        <v>0</v>
      </c>
      <c r="L1438" s="1" t="str">
        <f>IF(E1438=0,SUMPRODUCT(MIN($K$2:$K$4734+((($A$2:$A$4734&lt;&gt;A1438)+($E$2:$E$4734&lt;&gt;0))&gt;0)*1000000)),"")</f>
        <v/>
      </c>
      <c r="M1438" s="1">
        <f>IF(AND(E1438=0,COUNTIFS($A$2:A1438,A1438,$E$2:E1438,0)=1),L1438,0)</f>
        <v>0</v>
      </c>
    </row>
    <row r="1439" spans="1:13" ht="15" customHeight="1">
      <c r="A1439" s="1">
        <v>7305</v>
      </c>
      <c r="B1439" s="1" t="s">
        <v>95</v>
      </c>
      <c r="C1439" s="2" t="s">
        <v>1694</v>
      </c>
      <c r="D1439" s="2" t="s">
        <v>1695</v>
      </c>
      <c r="E1439" s="1">
        <v>1</v>
      </c>
      <c r="F1439" s="2" t="s">
        <v>1697</v>
      </c>
      <c r="G1439" s="1">
        <v>6</v>
      </c>
      <c r="H1439" s="1" t="str">
        <f t="shared" si="22"/>
        <v>k7305_6</v>
      </c>
      <c r="K1439" s="1">
        <f>IF(E1439=0,SUMPRODUCT(($A$2:$A$4734=A1439)*($B$2:$B$4734=B1439)*($D$2:$D$4734=D1439)*($E$2:$E$4734=0)),0)</f>
        <v>0</v>
      </c>
      <c r="L1439" s="1" t="str">
        <f>IF(E1439=0,SUMPRODUCT(MIN($K$2:$K$4734+((($A$2:$A$4734&lt;&gt;A1439)+($E$2:$E$4734&lt;&gt;0))&gt;0)*1000000)),"")</f>
        <v/>
      </c>
      <c r="M1439" s="1">
        <f>IF(AND(E1439=0,COUNTIFS($A$2:A1439,A1439,$E$2:E1439,0)=1),L1439,0)</f>
        <v>0</v>
      </c>
    </row>
    <row r="1440" spans="1:13" ht="15" customHeight="1">
      <c r="A1440" s="1">
        <v>7305</v>
      </c>
      <c r="B1440" s="1" t="s">
        <v>95</v>
      </c>
      <c r="C1440" s="2" t="s">
        <v>1694</v>
      </c>
      <c r="D1440" s="2" t="s">
        <v>1695</v>
      </c>
      <c r="E1440" s="1">
        <v>1</v>
      </c>
      <c r="F1440" s="2" t="s">
        <v>1698</v>
      </c>
      <c r="G1440" s="1">
        <v>7</v>
      </c>
      <c r="H1440" s="1" t="str">
        <f t="shared" si="22"/>
        <v>k7305_7</v>
      </c>
      <c r="K1440" s="1">
        <f>IF(E1440=0,SUMPRODUCT(($A$2:$A$4734=A1440)*($B$2:$B$4734=B1440)*($D$2:$D$4734=D1440)*($E$2:$E$4734=0)),0)</f>
        <v>0</v>
      </c>
      <c r="L1440" s="1" t="str">
        <f>IF(E1440=0,SUMPRODUCT(MIN($K$2:$K$4734+((($A$2:$A$4734&lt;&gt;A1440)+($E$2:$E$4734&lt;&gt;0))&gt;0)*1000000)),"")</f>
        <v/>
      </c>
      <c r="M1440" s="1">
        <f>IF(AND(E1440=0,COUNTIFS($A$2:A1440,A1440,$E$2:E1440,0)=1),L1440,0)</f>
        <v>0</v>
      </c>
    </row>
    <row r="1441" spans="1:13" ht="15" customHeight="1">
      <c r="A1441" s="1">
        <v>7305</v>
      </c>
      <c r="B1441" s="1" t="s">
        <v>95</v>
      </c>
      <c r="C1441" s="2" t="s">
        <v>1694</v>
      </c>
      <c r="D1441" s="2" t="s">
        <v>1695</v>
      </c>
      <c r="E1441" s="1">
        <v>1</v>
      </c>
      <c r="F1441" s="2" t="s">
        <v>1699</v>
      </c>
      <c r="G1441" s="1">
        <v>8</v>
      </c>
      <c r="H1441" s="1" t="str">
        <f t="shared" si="22"/>
        <v>k7305_8</v>
      </c>
      <c r="K1441" s="1">
        <f>IF(E1441=0,SUMPRODUCT(($A$2:$A$4734=A1441)*($B$2:$B$4734=B1441)*($D$2:$D$4734=D1441)*($E$2:$E$4734=0)),0)</f>
        <v>0</v>
      </c>
      <c r="L1441" s="1" t="str">
        <f>IF(E1441=0,SUMPRODUCT(MIN($K$2:$K$4734+((($A$2:$A$4734&lt;&gt;A1441)+($E$2:$E$4734&lt;&gt;0))&gt;0)*1000000)),"")</f>
        <v/>
      </c>
      <c r="M1441" s="1">
        <f>IF(AND(E1441=0,COUNTIFS($A$2:A1441,A1441,$E$2:E1441,0)=1),L1441,0)</f>
        <v>0</v>
      </c>
    </row>
    <row r="1442" spans="1:13" ht="15" customHeight="1">
      <c r="A1442" s="1">
        <v>7305</v>
      </c>
      <c r="B1442" s="1" t="s">
        <v>95</v>
      </c>
      <c r="C1442" s="2" t="s">
        <v>1694</v>
      </c>
      <c r="D1442" s="2" t="s">
        <v>1695</v>
      </c>
      <c r="E1442" s="1">
        <v>1</v>
      </c>
      <c r="F1442" s="2" t="s">
        <v>1699</v>
      </c>
      <c r="G1442" s="1">
        <v>9</v>
      </c>
      <c r="H1442" s="1" t="str">
        <f t="shared" si="22"/>
        <v>k7305_9</v>
      </c>
      <c r="K1442" s="1">
        <f>IF(E1442=0,SUMPRODUCT(($A$2:$A$4734=A1442)*($B$2:$B$4734=B1442)*($D$2:$D$4734=D1442)*($E$2:$E$4734=0)),0)</f>
        <v>0</v>
      </c>
      <c r="L1442" s="1" t="str">
        <f>IF(E1442=0,SUMPRODUCT(MIN($K$2:$K$4734+((($A$2:$A$4734&lt;&gt;A1442)+($E$2:$E$4734&lt;&gt;0))&gt;0)*1000000)),"")</f>
        <v/>
      </c>
      <c r="M1442" s="1">
        <f>IF(AND(E1442=0,COUNTIFS($A$2:A1442,A1442,$E$2:E1442,0)=1),L1442,0)</f>
        <v>0</v>
      </c>
    </row>
    <row r="1443" spans="1:13" ht="15" customHeight="1">
      <c r="A1443" s="1">
        <v>7306</v>
      </c>
      <c r="B1443" s="1" t="s">
        <v>69</v>
      </c>
      <c r="C1443" s="2" t="s">
        <v>1700</v>
      </c>
      <c r="D1443" s="2" t="s">
        <v>1701</v>
      </c>
      <c r="E1443" s="1">
        <v>1</v>
      </c>
      <c r="F1443" s="2" t="s">
        <v>1702</v>
      </c>
      <c r="G1443" s="1">
        <v>1</v>
      </c>
      <c r="H1443" s="1" t="str">
        <f t="shared" si="22"/>
        <v>k7306_1</v>
      </c>
      <c r="K1443" s="1">
        <f>IF(E1443=0,SUMPRODUCT(($A$2:$A$4734=A1443)*($B$2:$B$4734=B1443)*($D$2:$D$4734=D1443)*($E$2:$E$4734=0)),0)</f>
        <v>0</v>
      </c>
      <c r="L1443" s="1" t="str">
        <f>IF(E1443=0,SUMPRODUCT(MIN($K$2:$K$4734+((($A$2:$A$4734&lt;&gt;A1443)+($E$2:$E$4734&lt;&gt;0))&gt;0)*1000000)),"")</f>
        <v/>
      </c>
      <c r="M1443" s="1">
        <f>IF(AND(E1443=0,COUNTIFS($A$2:A1443,A1443,$E$2:E1443,0)=1),L1443,0)</f>
        <v>0</v>
      </c>
    </row>
    <row r="1444" spans="1:13" ht="15" customHeight="1">
      <c r="A1444" s="1">
        <v>7306</v>
      </c>
      <c r="B1444" s="1" t="s">
        <v>69</v>
      </c>
      <c r="C1444" s="2" t="s">
        <v>1700</v>
      </c>
      <c r="D1444" s="2" t="s">
        <v>1701</v>
      </c>
      <c r="E1444" s="1">
        <v>1</v>
      </c>
      <c r="F1444" s="2" t="s">
        <v>1703</v>
      </c>
      <c r="G1444" s="1">
        <v>2</v>
      </c>
      <c r="H1444" s="1" t="str">
        <f t="shared" si="22"/>
        <v>k7306_2</v>
      </c>
      <c r="K1444" s="1">
        <f>IF(E1444=0,SUMPRODUCT(($A$2:$A$4734=A1444)*($B$2:$B$4734=B1444)*($D$2:$D$4734=D1444)*($E$2:$E$4734=0)),0)</f>
        <v>0</v>
      </c>
      <c r="L1444" s="1" t="str">
        <f>IF(E1444=0,SUMPRODUCT(MIN($K$2:$K$4734+((($A$2:$A$4734&lt;&gt;A1444)+($E$2:$E$4734&lt;&gt;0))&gt;0)*1000000)),"")</f>
        <v/>
      </c>
      <c r="M1444" s="1">
        <f>IF(AND(E1444=0,COUNTIFS($A$2:A1444,A1444,$E$2:E1444,0)=1),L1444,0)</f>
        <v>0</v>
      </c>
    </row>
    <row r="1445" spans="1:13" ht="15" customHeight="1">
      <c r="A1445" s="1">
        <v>7306</v>
      </c>
      <c r="B1445" s="1" t="s">
        <v>69</v>
      </c>
      <c r="C1445" s="2" t="s">
        <v>1700</v>
      </c>
      <c r="D1445" s="2" t="s">
        <v>1701</v>
      </c>
      <c r="E1445" s="1">
        <v>1</v>
      </c>
      <c r="F1445" s="2" t="s">
        <v>1704</v>
      </c>
      <c r="G1445" s="1">
        <v>3</v>
      </c>
      <c r="H1445" s="1" t="str">
        <f t="shared" si="22"/>
        <v>k7306_3</v>
      </c>
      <c r="K1445" s="1">
        <f>IF(E1445=0,SUMPRODUCT(($A$2:$A$4734=A1445)*($B$2:$B$4734=B1445)*($D$2:$D$4734=D1445)*($E$2:$E$4734=0)),0)</f>
        <v>0</v>
      </c>
      <c r="L1445" s="1" t="str">
        <f>IF(E1445=0,SUMPRODUCT(MIN($K$2:$K$4734+((($A$2:$A$4734&lt;&gt;A1445)+($E$2:$E$4734&lt;&gt;0))&gt;0)*1000000)),"")</f>
        <v/>
      </c>
      <c r="M1445" s="1">
        <f>IF(AND(E1445=0,COUNTIFS($A$2:A1445,A1445,$E$2:E1445,0)=1),L1445,0)</f>
        <v>0</v>
      </c>
    </row>
    <row r="1446" spans="1:13" ht="15" customHeight="1">
      <c r="A1446" s="1">
        <v>7306</v>
      </c>
      <c r="B1446" s="1" t="s">
        <v>69</v>
      </c>
      <c r="C1446" s="2" t="s">
        <v>1700</v>
      </c>
      <c r="D1446" s="2" t="s">
        <v>1701</v>
      </c>
      <c r="E1446" s="1">
        <v>1</v>
      </c>
      <c r="F1446" s="2" t="s">
        <v>1705</v>
      </c>
      <c r="G1446" s="1">
        <v>4</v>
      </c>
      <c r="H1446" s="1" t="str">
        <f t="shared" ref="H1446:H1509" si="23">IF(OR(E1446&lt;&gt;1,G1446=""),"","k"&amp;A1446&amp;"_"&amp;G1446)</f>
        <v>k7306_4</v>
      </c>
      <c r="K1446" s="1">
        <f>IF(E1446=0,SUMPRODUCT(($A$2:$A$4734=A1446)*($B$2:$B$4734=B1446)*($D$2:$D$4734=D1446)*($E$2:$E$4734=0)),0)</f>
        <v>0</v>
      </c>
      <c r="L1446" s="1" t="str">
        <f>IF(E1446=0,SUMPRODUCT(MIN($K$2:$K$4734+((($A$2:$A$4734&lt;&gt;A1446)+($E$2:$E$4734&lt;&gt;0))&gt;0)*1000000)),"")</f>
        <v/>
      </c>
      <c r="M1446" s="1">
        <f>IF(AND(E1446=0,COUNTIFS($A$2:A1446,A1446,$E$2:E1446,0)=1),L1446,0)</f>
        <v>0</v>
      </c>
    </row>
    <row r="1447" spans="1:13" ht="15" customHeight="1">
      <c r="A1447" s="1">
        <v>7306</v>
      </c>
      <c r="B1447" s="1" t="s">
        <v>69</v>
      </c>
      <c r="C1447" s="2" t="s">
        <v>1700</v>
      </c>
      <c r="D1447" s="2" t="s">
        <v>1701</v>
      </c>
      <c r="E1447" s="1">
        <v>1</v>
      </c>
      <c r="F1447" s="2" t="s">
        <v>1706</v>
      </c>
      <c r="G1447" s="1">
        <v>5</v>
      </c>
      <c r="H1447" s="1" t="str">
        <f t="shared" si="23"/>
        <v>k7306_5</v>
      </c>
      <c r="K1447" s="1">
        <f>IF(E1447=0,SUMPRODUCT(($A$2:$A$4734=A1447)*($B$2:$B$4734=B1447)*($D$2:$D$4734=D1447)*($E$2:$E$4734=0)),0)</f>
        <v>0</v>
      </c>
      <c r="L1447" s="1" t="str">
        <f>IF(E1447=0,SUMPRODUCT(MIN($K$2:$K$4734+((($A$2:$A$4734&lt;&gt;A1447)+($E$2:$E$4734&lt;&gt;0))&gt;0)*1000000)),"")</f>
        <v/>
      </c>
      <c r="M1447" s="1">
        <f>IF(AND(E1447=0,COUNTIFS($A$2:A1447,A1447,$E$2:E1447,0)=1),L1447,0)</f>
        <v>0</v>
      </c>
    </row>
    <row r="1448" spans="1:13" ht="15" customHeight="1">
      <c r="A1448" s="1">
        <v>7306</v>
      </c>
      <c r="B1448" s="1" t="s">
        <v>69</v>
      </c>
      <c r="C1448" s="2" t="s">
        <v>1700</v>
      </c>
      <c r="D1448" s="2" t="s">
        <v>1701</v>
      </c>
      <c r="E1448" s="1">
        <v>1</v>
      </c>
      <c r="F1448" s="2" t="s">
        <v>1706</v>
      </c>
      <c r="G1448" s="1">
        <v>6</v>
      </c>
      <c r="H1448" s="1" t="str">
        <f t="shared" si="23"/>
        <v>k7306_6</v>
      </c>
      <c r="K1448" s="1">
        <f>IF(E1448=0,SUMPRODUCT(($A$2:$A$4734=A1448)*($B$2:$B$4734=B1448)*($D$2:$D$4734=D1448)*($E$2:$E$4734=0)),0)</f>
        <v>0</v>
      </c>
      <c r="L1448" s="1" t="str">
        <f>IF(E1448=0,SUMPRODUCT(MIN($K$2:$K$4734+((($A$2:$A$4734&lt;&gt;A1448)+($E$2:$E$4734&lt;&gt;0))&gt;0)*1000000)),"")</f>
        <v/>
      </c>
      <c r="M1448" s="1">
        <f>IF(AND(E1448=0,COUNTIFS($A$2:A1448,A1448,$E$2:E1448,0)=1),L1448,0)</f>
        <v>0</v>
      </c>
    </row>
    <row r="1449" spans="1:13" ht="15" customHeight="1">
      <c r="A1449" s="1">
        <v>7306</v>
      </c>
      <c r="B1449" s="1" t="s">
        <v>9</v>
      </c>
      <c r="C1449" s="2" t="s">
        <v>1700</v>
      </c>
      <c r="D1449" s="2" t="s">
        <v>1707</v>
      </c>
      <c r="E1449" s="1">
        <v>1</v>
      </c>
      <c r="F1449" s="2" t="s">
        <v>1708</v>
      </c>
      <c r="G1449" s="1">
        <v>1</v>
      </c>
      <c r="H1449" s="1" t="str">
        <f t="shared" si="23"/>
        <v>k7306_1</v>
      </c>
      <c r="K1449" s="1">
        <f>IF(E1449=0,SUMPRODUCT(($A$2:$A$4734=A1449)*($B$2:$B$4734=B1449)*($D$2:$D$4734=D1449)*($E$2:$E$4734=0)),0)</f>
        <v>0</v>
      </c>
      <c r="L1449" s="1" t="str">
        <f>IF(E1449=0,SUMPRODUCT(MIN($K$2:$K$4734+((($A$2:$A$4734&lt;&gt;A1449)+($E$2:$E$4734&lt;&gt;0))&gt;0)*1000000)),"")</f>
        <v/>
      </c>
      <c r="M1449" s="1">
        <f>IF(AND(E1449=0,COUNTIFS($A$2:A1449,A1449,$E$2:E1449,0)=1),L1449,0)</f>
        <v>0</v>
      </c>
    </row>
    <row r="1450" spans="1:13" ht="15" customHeight="1">
      <c r="A1450" s="1">
        <v>7306</v>
      </c>
      <c r="B1450" s="1" t="s">
        <v>9</v>
      </c>
      <c r="C1450" s="2" t="s">
        <v>1700</v>
      </c>
      <c r="D1450" s="2" t="s">
        <v>1707</v>
      </c>
      <c r="E1450" s="1">
        <v>1</v>
      </c>
      <c r="F1450" s="2" t="s">
        <v>1709</v>
      </c>
      <c r="G1450" s="1">
        <v>2</v>
      </c>
      <c r="H1450" s="1" t="str">
        <f t="shared" si="23"/>
        <v>k7306_2</v>
      </c>
      <c r="K1450" s="1">
        <f>IF(E1450=0,SUMPRODUCT(($A$2:$A$4734=A1450)*($B$2:$B$4734=B1450)*($D$2:$D$4734=D1450)*($E$2:$E$4734=0)),0)</f>
        <v>0</v>
      </c>
      <c r="L1450" s="1" t="str">
        <f>IF(E1450=0,SUMPRODUCT(MIN($K$2:$K$4734+((($A$2:$A$4734&lt;&gt;A1450)+($E$2:$E$4734&lt;&gt;0))&gt;0)*1000000)),"")</f>
        <v/>
      </c>
      <c r="M1450" s="1">
        <f>IF(AND(E1450=0,COUNTIFS($A$2:A1450,A1450,$E$2:E1450,0)=1),L1450,0)</f>
        <v>0</v>
      </c>
    </row>
    <row r="1451" spans="1:13" ht="15" customHeight="1">
      <c r="A1451" s="1">
        <v>7306</v>
      </c>
      <c r="B1451" s="1" t="s">
        <v>9</v>
      </c>
      <c r="C1451" s="2" t="s">
        <v>1700</v>
      </c>
      <c r="D1451" s="2" t="s">
        <v>1707</v>
      </c>
      <c r="E1451" s="1">
        <v>1</v>
      </c>
      <c r="F1451" s="2" t="s">
        <v>1710</v>
      </c>
      <c r="G1451" s="1">
        <v>3</v>
      </c>
      <c r="H1451" s="1" t="str">
        <f t="shared" si="23"/>
        <v>k7306_3</v>
      </c>
      <c r="K1451" s="1">
        <f>IF(E1451=0,SUMPRODUCT(($A$2:$A$4734=A1451)*($B$2:$B$4734=B1451)*($D$2:$D$4734=D1451)*($E$2:$E$4734=0)),0)</f>
        <v>0</v>
      </c>
      <c r="L1451" s="1" t="str">
        <f>IF(E1451=0,SUMPRODUCT(MIN($K$2:$K$4734+((($A$2:$A$4734&lt;&gt;A1451)+($E$2:$E$4734&lt;&gt;0))&gt;0)*1000000)),"")</f>
        <v/>
      </c>
      <c r="M1451" s="1">
        <f>IF(AND(E1451=0,COUNTIFS($A$2:A1451,A1451,$E$2:E1451,0)=1),L1451,0)</f>
        <v>0</v>
      </c>
    </row>
    <row r="1452" spans="1:13" ht="15" customHeight="1">
      <c r="A1452" s="1">
        <v>7306</v>
      </c>
      <c r="B1452" s="1" t="s">
        <v>9</v>
      </c>
      <c r="C1452" s="2" t="s">
        <v>1700</v>
      </c>
      <c r="D1452" s="2" t="s">
        <v>1707</v>
      </c>
      <c r="E1452" s="1">
        <v>1</v>
      </c>
      <c r="F1452" s="2" t="s">
        <v>1711</v>
      </c>
      <c r="G1452" s="1">
        <v>4</v>
      </c>
      <c r="H1452" s="1" t="str">
        <f t="shared" si="23"/>
        <v>k7306_4</v>
      </c>
      <c r="K1452" s="1">
        <f>IF(E1452=0,SUMPRODUCT(($A$2:$A$4734=A1452)*($B$2:$B$4734=B1452)*($D$2:$D$4734=D1452)*($E$2:$E$4734=0)),0)</f>
        <v>0</v>
      </c>
      <c r="L1452" s="1" t="str">
        <f>IF(E1452=0,SUMPRODUCT(MIN($K$2:$K$4734+((($A$2:$A$4734&lt;&gt;A1452)+($E$2:$E$4734&lt;&gt;0))&gt;0)*1000000)),"")</f>
        <v/>
      </c>
      <c r="M1452" s="1">
        <f>IF(AND(E1452=0,COUNTIFS($A$2:A1452,A1452,$E$2:E1452,0)=1),L1452,0)</f>
        <v>0</v>
      </c>
    </row>
    <row r="1453" spans="1:13" ht="15" customHeight="1">
      <c r="A1453" s="1">
        <v>7306</v>
      </c>
      <c r="B1453" s="1" t="s">
        <v>9</v>
      </c>
      <c r="C1453" s="2" t="s">
        <v>1700</v>
      </c>
      <c r="D1453" s="2" t="s">
        <v>1707</v>
      </c>
      <c r="E1453" s="1">
        <v>1</v>
      </c>
      <c r="F1453" s="2" t="s">
        <v>1712</v>
      </c>
      <c r="G1453" s="1">
        <v>5</v>
      </c>
      <c r="H1453" s="1" t="str">
        <f t="shared" si="23"/>
        <v>k7306_5</v>
      </c>
      <c r="K1453" s="1">
        <f>IF(E1453=0,SUMPRODUCT(($A$2:$A$4734=A1453)*($B$2:$B$4734=B1453)*($D$2:$D$4734=D1453)*($E$2:$E$4734=0)),0)</f>
        <v>0</v>
      </c>
      <c r="L1453" s="1" t="str">
        <f>IF(E1453=0,SUMPRODUCT(MIN($K$2:$K$4734+((($A$2:$A$4734&lt;&gt;A1453)+($E$2:$E$4734&lt;&gt;0))&gt;0)*1000000)),"")</f>
        <v/>
      </c>
      <c r="M1453" s="1">
        <f>IF(AND(E1453=0,COUNTIFS($A$2:A1453,A1453,$E$2:E1453,0)=1),L1453,0)</f>
        <v>0</v>
      </c>
    </row>
    <row r="1454" spans="1:13" ht="15" customHeight="1">
      <c r="A1454" s="1">
        <v>7306</v>
      </c>
      <c r="B1454" s="1" t="s">
        <v>9</v>
      </c>
      <c r="C1454" s="2" t="s">
        <v>1700</v>
      </c>
      <c r="D1454" s="2" t="s">
        <v>1707</v>
      </c>
      <c r="E1454" s="1">
        <v>1</v>
      </c>
      <c r="F1454" s="2" t="s">
        <v>1713</v>
      </c>
      <c r="G1454" s="1">
        <v>6</v>
      </c>
      <c r="H1454" s="1" t="str">
        <f t="shared" si="23"/>
        <v>k7306_6</v>
      </c>
      <c r="K1454" s="1">
        <f>IF(E1454=0,SUMPRODUCT(($A$2:$A$4734=A1454)*($B$2:$B$4734=B1454)*($D$2:$D$4734=D1454)*($E$2:$E$4734=0)),0)</f>
        <v>0</v>
      </c>
      <c r="L1454" s="1" t="str">
        <f>IF(E1454=0,SUMPRODUCT(MIN($K$2:$K$4734+((($A$2:$A$4734&lt;&gt;A1454)+($E$2:$E$4734&lt;&gt;0))&gt;0)*1000000)),"")</f>
        <v/>
      </c>
      <c r="M1454" s="1">
        <f>IF(AND(E1454=0,COUNTIFS($A$2:A1454,A1454,$E$2:E1454,0)=1),L1454,0)</f>
        <v>0</v>
      </c>
    </row>
    <row r="1455" spans="1:13" ht="15" customHeight="1">
      <c r="A1455" s="1">
        <v>7307</v>
      </c>
      <c r="B1455" s="1" t="s">
        <v>393</v>
      </c>
      <c r="C1455" s="2" t="s">
        <v>1714</v>
      </c>
      <c r="D1455" s="2" t="s">
        <v>1714</v>
      </c>
      <c r="E1455" s="1">
        <v>1</v>
      </c>
      <c r="F1455" s="2" t="s">
        <v>1715</v>
      </c>
      <c r="G1455" s="1">
        <v>1</v>
      </c>
      <c r="H1455" s="1" t="str">
        <f t="shared" si="23"/>
        <v>k7307_1</v>
      </c>
      <c r="K1455" s="1">
        <f>IF(E1455=0,SUMPRODUCT(($A$2:$A$4734=A1455)*($B$2:$B$4734=B1455)*($D$2:$D$4734=D1455)*($E$2:$E$4734=0)),0)</f>
        <v>0</v>
      </c>
      <c r="L1455" s="1" t="str">
        <f>IF(E1455=0,SUMPRODUCT(MIN($K$2:$K$4734+((($A$2:$A$4734&lt;&gt;A1455)+($E$2:$E$4734&lt;&gt;0))&gt;0)*1000000)),"")</f>
        <v/>
      </c>
      <c r="M1455" s="1">
        <f>IF(AND(E1455=0,COUNTIFS($A$2:A1455,A1455,$E$2:E1455,0)=1),L1455,0)</f>
        <v>0</v>
      </c>
    </row>
    <row r="1456" spans="1:13" ht="15" customHeight="1">
      <c r="A1456" s="1">
        <v>7307</v>
      </c>
      <c r="B1456" s="1" t="s">
        <v>393</v>
      </c>
      <c r="C1456" s="2" t="s">
        <v>1714</v>
      </c>
      <c r="D1456" s="2" t="s">
        <v>1714</v>
      </c>
      <c r="E1456" s="1">
        <v>1</v>
      </c>
      <c r="F1456" s="2" t="s">
        <v>1716</v>
      </c>
      <c r="G1456" s="1">
        <v>2</v>
      </c>
      <c r="H1456" s="1" t="str">
        <f t="shared" si="23"/>
        <v>k7307_2</v>
      </c>
      <c r="K1456" s="1">
        <f>IF(E1456=0,SUMPRODUCT(($A$2:$A$4734=A1456)*($B$2:$B$4734=B1456)*($D$2:$D$4734=D1456)*($E$2:$E$4734=0)),0)</f>
        <v>0</v>
      </c>
      <c r="L1456" s="1" t="str">
        <f>IF(E1456=0,SUMPRODUCT(MIN($K$2:$K$4734+((($A$2:$A$4734&lt;&gt;A1456)+($E$2:$E$4734&lt;&gt;0))&gt;0)*1000000)),"")</f>
        <v/>
      </c>
      <c r="M1456" s="1">
        <f>IF(AND(E1456=0,COUNTIFS($A$2:A1456,A1456,$E$2:E1456,0)=1),L1456,0)</f>
        <v>0</v>
      </c>
    </row>
    <row r="1457" spans="1:13" ht="15" customHeight="1">
      <c r="A1457" s="1">
        <v>7307</v>
      </c>
      <c r="B1457" s="1" t="s">
        <v>393</v>
      </c>
      <c r="C1457" s="2" t="s">
        <v>1714</v>
      </c>
      <c r="D1457" s="2" t="s">
        <v>1714</v>
      </c>
      <c r="E1457" s="1">
        <v>1</v>
      </c>
      <c r="F1457" s="2" t="s">
        <v>1717</v>
      </c>
      <c r="G1457" s="1">
        <v>3</v>
      </c>
      <c r="H1457" s="1" t="str">
        <f t="shared" si="23"/>
        <v>k7307_3</v>
      </c>
      <c r="K1457" s="1">
        <f>IF(E1457=0,SUMPRODUCT(($A$2:$A$4734=A1457)*($B$2:$B$4734=B1457)*($D$2:$D$4734=D1457)*($E$2:$E$4734=0)),0)</f>
        <v>0</v>
      </c>
      <c r="L1457" s="1" t="str">
        <f>IF(E1457=0,SUMPRODUCT(MIN($K$2:$K$4734+((($A$2:$A$4734&lt;&gt;A1457)+($E$2:$E$4734&lt;&gt;0))&gt;0)*1000000)),"")</f>
        <v/>
      </c>
      <c r="M1457" s="1">
        <f>IF(AND(E1457=0,COUNTIFS($A$2:A1457,A1457,$E$2:E1457,0)=1),L1457,0)</f>
        <v>0</v>
      </c>
    </row>
    <row r="1458" spans="1:13" ht="15" customHeight="1">
      <c r="A1458" s="1">
        <v>7307</v>
      </c>
      <c r="B1458" s="1" t="s">
        <v>393</v>
      </c>
      <c r="C1458" s="2" t="s">
        <v>1714</v>
      </c>
      <c r="D1458" s="2" t="s">
        <v>1714</v>
      </c>
      <c r="E1458" s="1">
        <v>1</v>
      </c>
      <c r="F1458" s="2" t="s">
        <v>1718</v>
      </c>
      <c r="G1458" s="1">
        <v>4</v>
      </c>
      <c r="H1458" s="1" t="str">
        <f t="shared" si="23"/>
        <v>k7307_4</v>
      </c>
      <c r="K1458" s="1">
        <f>IF(E1458=0,SUMPRODUCT(($A$2:$A$4734=A1458)*($B$2:$B$4734=B1458)*($D$2:$D$4734=D1458)*($E$2:$E$4734=0)),0)</f>
        <v>0</v>
      </c>
      <c r="L1458" s="1" t="str">
        <f>IF(E1458=0,SUMPRODUCT(MIN($K$2:$K$4734+((($A$2:$A$4734&lt;&gt;A1458)+($E$2:$E$4734&lt;&gt;0))&gt;0)*1000000)),"")</f>
        <v/>
      </c>
      <c r="M1458" s="1">
        <f>IF(AND(E1458=0,COUNTIFS($A$2:A1458,A1458,$E$2:E1458,0)=1),L1458,0)</f>
        <v>0</v>
      </c>
    </row>
    <row r="1459" spans="1:13" ht="15" customHeight="1">
      <c r="A1459" s="1">
        <v>7307</v>
      </c>
      <c r="B1459" s="1" t="s">
        <v>393</v>
      </c>
      <c r="C1459" s="2" t="s">
        <v>1714</v>
      </c>
      <c r="D1459" s="2" t="s">
        <v>1714</v>
      </c>
      <c r="E1459" s="1">
        <v>1</v>
      </c>
      <c r="F1459" s="2" t="s">
        <v>1715</v>
      </c>
      <c r="G1459" s="1">
        <v>5</v>
      </c>
      <c r="H1459" s="1" t="str">
        <f t="shared" si="23"/>
        <v>k7307_5</v>
      </c>
      <c r="K1459" s="1">
        <f>IF(E1459=0,SUMPRODUCT(($A$2:$A$4734=A1459)*($B$2:$B$4734=B1459)*($D$2:$D$4734=D1459)*($E$2:$E$4734=0)),0)</f>
        <v>0</v>
      </c>
      <c r="L1459" s="1" t="str">
        <f>IF(E1459=0,SUMPRODUCT(MIN($K$2:$K$4734+((($A$2:$A$4734&lt;&gt;A1459)+($E$2:$E$4734&lt;&gt;0))&gt;0)*1000000)),"")</f>
        <v/>
      </c>
      <c r="M1459" s="1">
        <f>IF(AND(E1459=0,COUNTIFS($A$2:A1459,A1459,$E$2:E1459,0)=1),L1459,0)</f>
        <v>0</v>
      </c>
    </row>
    <row r="1460" spans="1:13" ht="15" customHeight="1">
      <c r="A1460" s="1">
        <v>7307</v>
      </c>
      <c r="B1460" s="1" t="s">
        <v>393</v>
      </c>
      <c r="C1460" s="2" t="s">
        <v>1714</v>
      </c>
      <c r="D1460" s="2" t="s">
        <v>1714</v>
      </c>
      <c r="E1460" s="1">
        <v>1</v>
      </c>
      <c r="F1460" s="2" t="s">
        <v>1716</v>
      </c>
      <c r="G1460" s="1">
        <v>6</v>
      </c>
      <c r="H1460" s="1" t="str">
        <f t="shared" si="23"/>
        <v>k7307_6</v>
      </c>
      <c r="K1460" s="1">
        <f>IF(E1460=0,SUMPRODUCT(($A$2:$A$4734=A1460)*($B$2:$B$4734=B1460)*($D$2:$D$4734=D1460)*($E$2:$E$4734=0)),0)</f>
        <v>0</v>
      </c>
      <c r="L1460" s="1" t="str">
        <f>IF(E1460=0,SUMPRODUCT(MIN($K$2:$K$4734+((($A$2:$A$4734&lt;&gt;A1460)+($E$2:$E$4734&lt;&gt;0))&gt;0)*1000000)),"")</f>
        <v/>
      </c>
      <c r="M1460" s="1">
        <f>IF(AND(E1460=0,COUNTIFS($A$2:A1460,A1460,$E$2:E1460,0)=1),L1460,0)</f>
        <v>0</v>
      </c>
    </row>
    <row r="1461" spans="1:13" ht="15" customHeight="1">
      <c r="A1461" s="1">
        <v>7307</v>
      </c>
      <c r="B1461" s="1" t="s">
        <v>393</v>
      </c>
      <c r="C1461" s="2" t="s">
        <v>1714</v>
      </c>
      <c r="D1461" s="2" t="s">
        <v>1714</v>
      </c>
      <c r="E1461" s="1">
        <v>1</v>
      </c>
      <c r="F1461" s="2" t="s">
        <v>1717</v>
      </c>
      <c r="G1461" s="1">
        <v>7</v>
      </c>
      <c r="H1461" s="1" t="str">
        <f t="shared" si="23"/>
        <v>k7307_7</v>
      </c>
      <c r="K1461" s="1">
        <f>IF(E1461=0,SUMPRODUCT(($A$2:$A$4734=A1461)*($B$2:$B$4734=B1461)*($D$2:$D$4734=D1461)*($E$2:$E$4734=0)),0)</f>
        <v>0</v>
      </c>
      <c r="L1461" s="1" t="str">
        <f>IF(E1461=0,SUMPRODUCT(MIN($K$2:$K$4734+((($A$2:$A$4734&lt;&gt;A1461)+($E$2:$E$4734&lt;&gt;0))&gt;0)*1000000)),"")</f>
        <v/>
      </c>
      <c r="M1461" s="1">
        <f>IF(AND(E1461=0,COUNTIFS($A$2:A1461,A1461,$E$2:E1461,0)=1),L1461,0)</f>
        <v>0</v>
      </c>
    </row>
    <row r="1462" spans="1:13" ht="15" customHeight="1">
      <c r="A1462" s="1">
        <v>7307</v>
      </c>
      <c r="B1462" s="1" t="s">
        <v>393</v>
      </c>
      <c r="C1462" s="2" t="s">
        <v>1714</v>
      </c>
      <c r="D1462" s="2" t="s">
        <v>1714</v>
      </c>
      <c r="E1462" s="1">
        <v>1</v>
      </c>
      <c r="F1462" s="2" t="s">
        <v>1718</v>
      </c>
      <c r="G1462" s="1">
        <v>8</v>
      </c>
      <c r="H1462" s="1" t="str">
        <f t="shared" si="23"/>
        <v>k7307_8</v>
      </c>
      <c r="K1462" s="1">
        <f>IF(E1462=0,SUMPRODUCT(($A$2:$A$4734=A1462)*($B$2:$B$4734=B1462)*($D$2:$D$4734=D1462)*($E$2:$E$4734=0)),0)</f>
        <v>0</v>
      </c>
      <c r="L1462" s="1" t="str">
        <f>IF(E1462=0,SUMPRODUCT(MIN($K$2:$K$4734+((($A$2:$A$4734&lt;&gt;A1462)+($E$2:$E$4734&lt;&gt;0))&gt;0)*1000000)),"")</f>
        <v/>
      </c>
      <c r="M1462" s="1">
        <f>IF(AND(E1462=0,COUNTIFS($A$2:A1462,A1462,$E$2:E1462,0)=1),L1462,0)</f>
        <v>0</v>
      </c>
    </row>
    <row r="1463" spans="1:13" ht="15" customHeight="1">
      <c r="A1463" s="1">
        <v>7309</v>
      </c>
      <c r="B1463" s="1" t="s">
        <v>95</v>
      </c>
      <c r="C1463" s="2" t="s">
        <v>1719</v>
      </c>
      <c r="D1463" s="2" t="s">
        <v>1720</v>
      </c>
      <c r="E1463" s="1">
        <v>1</v>
      </c>
      <c r="F1463" s="2" t="s">
        <v>1721</v>
      </c>
      <c r="G1463" s="1">
        <v>1</v>
      </c>
      <c r="H1463" s="1" t="str">
        <f t="shared" si="23"/>
        <v>k7309_1</v>
      </c>
      <c r="K1463" s="1">
        <f>IF(E1463=0,SUMPRODUCT(($A$2:$A$4734=A1463)*($B$2:$B$4734=B1463)*($D$2:$D$4734=D1463)*($E$2:$E$4734=0)),0)</f>
        <v>0</v>
      </c>
      <c r="L1463" s="1" t="str">
        <f>IF(E1463=0,SUMPRODUCT(MIN($K$2:$K$4734+((($A$2:$A$4734&lt;&gt;A1463)+($E$2:$E$4734&lt;&gt;0))&gt;0)*1000000)),"")</f>
        <v/>
      </c>
      <c r="M1463" s="1">
        <f>IF(AND(E1463=0,COUNTIFS($A$2:A1463,A1463,$E$2:E1463,0)=1),L1463,0)</f>
        <v>0</v>
      </c>
    </row>
    <row r="1464" spans="1:13" ht="15" customHeight="1">
      <c r="A1464" s="1">
        <v>7309</v>
      </c>
      <c r="B1464" s="1" t="s">
        <v>95</v>
      </c>
      <c r="C1464" s="2" t="s">
        <v>1719</v>
      </c>
      <c r="D1464" s="2" t="s">
        <v>1720</v>
      </c>
      <c r="E1464" s="1">
        <v>1</v>
      </c>
      <c r="F1464" s="2" t="s">
        <v>1722</v>
      </c>
      <c r="G1464" s="1">
        <v>2</v>
      </c>
      <c r="H1464" s="1" t="str">
        <f t="shared" si="23"/>
        <v>k7309_2</v>
      </c>
      <c r="K1464" s="1">
        <f>IF(E1464=0,SUMPRODUCT(($A$2:$A$4734=A1464)*($B$2:$B$4734=B1464)*($D$2:$D$4734=D1464)*($E$2:$E$4734=0)),0)</f>
        <v>0</v>
      </c>
      <c r="L1464" s="1" t="str">
        <f>IF(E1464=0,SUMPRODUCT(MIN($K$2:$K$4734+((($A$2:$A$4734&lt;&gt;A1464)+($E$2:$E$4734&lt;&gt;0))&gt;0)*1000000)),"")</f>
        <v/>
      </c>
      <c r="M1464" s="1">
        <f>IF(AND(E1464=0,COUNTIFS($A$2:A1464,A1464,$E$2:E1464,0)=1),L1464,0)</f>
        <v>0</v>
      </c>
    </row>
    <row r="1465" spans="1:13" ht="15" customHeight="1">
      <c r="A1465" s="1">
        <v>7309</v>
      </c>
      <c r="B1465" s="1" t="s">
        <v>95</v>
      </c>
      <c r="C1465" s="2" t="s">
        <v>1719</v>
      </c>
      <c r="D1465" s="2" t="s">
        <v>1720</v>
      </c>
      <c r="E1465" s="1">
        <v>1</v>
      </c>
      <c r="F1465" s="2" t="s">
        <v>1723</v>
      </c>
      <c r="G1465" s="1">
        <v>3</v>
      </c>
      <c r="H1465" s="1" t="str">
        <f t="shared" si="23"/>
        <v>k7309_3</v>
      </c>
      <c r="K1465" s="1">
        <f>IF(E1465=0,SUMPRODUCT(($A$2:$A$4734=A1465)*($B$2:$B$4734=B1465)*($D$2:$D$4734=D1465)*($E$2:$E$4734=0)),0)</f>
        <v>0</v>
      </c>
      <c r="L1465" s="1" t="str">
        <f>IF(E1465=0,SUMPRODUCT(MIN($K$2:$K$4734+((($A$2:$A$4734&lt;&gt;A1465)+($E$2:$E$4734&lt;&gt;0))&gt;0)*1000000)),"")</f>
        <v/>
      </c>
      <c r="M1465" s="1">
        <f>IF(AND(E1465=0,COUNTIFS($A$2:A1465,A1465,$E$2:E1465,0)=1),L1465,0)</f>
        <v>0</v>
      </c>
    </row>
    <row r="1466" spans="1:13" ht="15" customHeight="1">
      <c r="A1466" s="1">
        <v>7309</v>
      </c>
      <c r="B1466" s="1" t="s">
        <v>95</v>
      </c>
      <c r="C1466" s="2" t="s">
        <v>1719</v>
      </c>
      <c r="D1466" s="2" t="s">
        <v>1720</v>
      </c>
      <c r="E1466" s="1">
        <v>1</v>
      </c>
      <c r="F1466" s="2" t="s">
        <v>1724</v>
      </c>
      <c r="G1466" s="1">
        <v>4</v>
      </c>
      <c r="H1466" s="1" t="str">
        <f t="shared" si="23"/>
        <v>k7309_4</v>
      </c>
      <c r="K1466" s="1">
        <f>IF(E1466=0,SUMPRODUCT(($A$2:$A$4734=A1466)*($B$2:$B$4734=B1466)*($D$2:$D$4734=D1466)*($E$2:$E$4734=0)),0)</f>
        <v>0</v>
      </c>
      <c r="L1466" s="1" t="str">
        <f>IF(E1466=0,SUMPRODUCT(MIN($K$2:$K$4734+((($A$2:$A$4734&lt;&gt;A1466)+($E$2:$E$4734&lt;&gt;0))&gt;0)*1000000)),"")</f>
        <v/>
      </c>
      <c r="M1466" s="1">
        <f>IF(AND(E1466=0,COUNTIFS($A$2:A1466,A1466,$E$2:E1466,0)=1),L1466,0)</f>
        <v>0</v>
      </c>
    </row>
    <row r="1467" spans="1:13" ht="15" customHeight="1">
      <c r="A1467" s="1">
        <v>7309</v>
      </c>
      <c r="B1467" s="1" t="s">
        <v>95</v>
      </c>
      <c r="C1467" s="2" t="s">
        <v>1719</v>
      </c>
      <c r="D1467" s="2" t="s">
        <v>1720</v>
      </c>
      <c r="E1467" s="1">
        <v>1</v>
      </c>
      <c r="F1467" s="2" t="s">
        <v>1725</v>
      </c>
      <c r="G1467" s="1">
        <v>5</v>
      </c>
      <c r="H1467" s="1" t="str">
        <f t="shared" si="23"/>
        <v>k7309_5</v>
      </c>
      <c r="K1467" s="1">
        <f>IF(E1467=0,SUMPRODUCT(($A$2:$A$4734=A1467)*($B$2:$B$4734=B1467)*($D$2:$D$4734=D1467)*($E$2:$E$4734=0)),0)</f>
        <v>0</v>
      </c>
      <c r="L1467" s="1" t="str">
        <f>IF(E1467=0,SUMPRODUCT(MIN($K$2:$K$4734+((($A$2:$A$4734&lt;&gt;A1467)+($E$2:$E$4734&lt;&gt;0))&gt;0)*1000000)),"")</f>
        <v/>
      </c>
      <c r="M1467" s="1">
        <f>IF(AND(E1467=0,COUNTIFS($A$2:A1467,A1467,$E$2:E1467,0)=1),L1467,0)</f>
        <v>0</v>
      </c>
    </row>
    <row r="1468" spans="1:13" ht="15" customHeight="1">
      <c r="A1468" s="1">
        <v>7309</v>
      </c>
      <c r="B1468" s="1" t="s">
        <v>95</v>
      </c>
      <c r="C1468" s="2" t="s">
        <v>1719</v>
      </c>
      <c r="D1468" s="2" t="s">
        <v>1720</v>
      </c>
      <c r="E1468" s="1">
        <v>1</v>
      </c>
      <c r="F1468" s="2" t="s">
        <v>1726</v>
      </c>
      <c r="G1468" s="1">
        <v>6</v>
      </c>
      <c r="H1468" s="1" t="str">
        <f t="shared" si="23"/>
        <v>k7309_6</v>
      </c>
      <c r="K1468" s="1">
        <f>IF(E1468=0,SUMPRODUCT(($A$2:$A$4734=A1468)*($B$2:$B$4734=B1468)*($D$2:$D$4734=D1468)*($E$2:$E$4734=0)),0)</f>
        <v>0</v>
      </c>
      <c r="L1468" s="1" t="str">
        <f>IF(E1468=0,SUMPRODUCT(MIN($K$2:$K$4734+((($A$2:$A$4734&lt;&gt;A1468)+($E$2:$E$4734&lt;&gt;0))&gt;0)*1000000)),"")</f>
        <v/>
      </c>
      <c r="M1468" s="1">
        <f>IF(AND(E1468=0,COUNTIFS($A$2:A1468,A1468,$E$2:E1468,0)=1),L1468,0)</f>
        <v>0</v>
      </c>
    </row>
    <row r="1469" spans="1:13" ht="15" customHeight="1">
      <c r="A1469" s="1">
        <v>7309</v>
      </c>
      <c r="B1469" s="1" t="s">
        <v>144</v>
      </c>
      <c r="C1469" s="2" t="s">
        <v>1719</v>
      </c>
      <c r="D1469" s="2" t="s">
        <v>1720</v>
      </c>
      <c r="E1469" s="1">
        <v>1</v>
      </c>
      <c r="F1469" s="2" t="s">
        <v>1727</v>
      </c>
      <c r="G1469" s="1">
        <v>1</v>
      </c>
      <c r="H1469" s="1" t="str">
        <f t="shared" si="23"/>
        <v>k7309_1</v>
      </c>
      <c r="K1469" s="1">
        <f>IF(E1469=0,SUMPRODUCT(($A$2:$A$4734=A1469)*($B$2:$B$4734=B1469)*($D$2:$D$4734=D1469)*($E$2:$E$4734=0)),0)</f>
        <v>0</v>
      </c>
      <c r="L1469" s="1" t="str">
        <f>IF(E1469=0,SUMPRODUCT(MIN($K$2:$K$4734+((($A$2:$A$4734&lt;&gt;A1469)+($E$2:$E$4734&lt;&gt;0))&gt;0)*1000000)),"")</f>
        <v/>
      </c>
      <c r="M1469" s="1">
        <f>IF(AND(E1469=0,COUNTIFS($A$2:A1469,A1469,$E$2:E1469,0)=1),L1469,0)</f>
        <v>0</v>
      </c>
    </row>
    <row r="1470" spans="1:13" ht="15" customHeight="1">
      <c r="A1470" s="1">
        <v>7309</v>
      </c>
      <c r="B1470" s="1" t="s">
        <v>144</v>
      </c>
      <c r="C1470" s="2" t="s">
        <v>1719</v>
      </c>
      <c r="D1470" s="2" t="s">
        <v>1720</v>
      </c>
      <c r="E1470" s="1">
        <v>1</v>
      </c>
      <c r="F1470" s="2" t="s">
        <v>1727</v>
      </c>
      <c r="G1470" s="1">
        <v>2</v>
      </c>
      <c r="H1470" s="1" t="str">
        <f t="shared" si="23"/>
        <v>k7309_2</v>
      </c>
      <c r="K1470" s="1">
        <f>IF(E1470=0,SUMPRODUCT(($A$2:$A$4734=A1470)*($B$2:$B$4734=B1470)*($D$2:$D$4734=D1470)*($E$2:$E$4734=0)),0)</f>
        <v>0</v>
      </c>
      <c r="L1470" s="1" t="str">
        <f>IF(E1470=0,SUMPRODUCT(MIN($K$2:$K$4734+((($A$2:$A$4734&lt;&gt;A1470)+($E$2:$E$4734&lt;&gt;0))&gt;0)*1000000)),"")</f>
        <v/>
      </c>
      <c r="M1470" s="1">
        <f>IF(AND(E1470=0,COUNTIFS($A$2:A1470,A1470,$E$2:E1470,0)=1),L1470,0)</f>
        <v>0</v>
      </c>
    </row>
    <row r="1471" spans="1:13" ht="15" customHeight="1">
      <c r="A1471" s="1">
        <v>7309</v>
      </c>
      <c r="B1471" s="1" t="s">
        <v>144</v>
      </c>
      <c r="C1471" s="2" t="s">
        <v>1719</v>
      </c>
      <c r="D1471" s="2" t="s">
        <v>1720</v>
      </c>
      <c r="E1471" s="1">
        <v>1</v>
      </c>
      <c r="F1471" s="2" t="s">
        <v>1728</v>
      </c>
      <c r="G1471" s="1">
        <v>3</v>
      </c>
      <c r="H1471" s="1" t="str">
        <f t="shared" si="23"/>
        <v>k7309_3</v>
      </c>
      <c r="K1471" s="1">
        <f>IF(E1471=0,SUMPRODUCT(($A$2:$A$4734=A1471)*($B$2:$B$4734=B1471)*($D$2:$D$4734=D1471)*($E$2:$E$4734=0)),0)</f>
        <v>0</v>
      </c>
      <c r="L1471" s="1" t="str">
        <f>IF(E1471=0,SUMPRODUCT(MIN($K$2:$K$4734+((($A$2:$A$4734&lt;&gt;A1471)+($E$2:$E$4734&lt;&gt;0))&gt;0)*1000000)),"")</f>
        <v/>
      </c>
      <c r="M1471" s="1">
        <f>IF(AND(E1471=0,COUNTIFS($A$2:A1471,A1471,$E$2:E1471,0)=1),L1471,0)</f>
        <v>0</v>
      </c>
    </row>
    <row r="1472" spans="1:13" ht="15" customHeight="1">
      <c r="A1472" s="1">
        <v>7309</v>
      </c>
      <c r="B1472" s="1" t="s">
        <v>144</v>
      </c>
      <c r="C1472" s="2" t="s">
        <v>1719</v>
      </c>
      <c r="D1472" s="2" t="s">
        <v>1720</v>
      </c>
      <c r="E1472" s="1">
        <v>1</v>
      </c>
      <c r="F1472" s="2" t="s">
        <v>1729</v>
      </c>
      <c r="G1472" s="1">
        <v>4</v>
      </c>
      <c r="H1472" s="1" t="str">
        <f t="shared" si="23"/>
        <v>k7309_4</v>
      </c>
      <c r="K1472" s="1">
        <f>IF(E1472=0,SUMPRODUCT(($A$2:$A$4734=A1472)*($B$2:$B$4734=B1472)*($D$2:$D$4734=D1472)*($E$2:$E$4734=0)),0)</f>
        <v>0</v>
      </c>
      <c r="L1472" s="1" t="str">
        <f>IF(E1472=0,SUMPRODUCT(MIN($K$2:$K$4734+((($A$2:$A$4734&lt;&gt;A1472)+($E$2:$E$4734&lt;&gt;0))&gt;0)*1000000)),"")</f>
        <v/>
      </c>
      <c r="M1472" s="1">
        <f>IF(AND(E1472=0,COUNTIFS($A$2:A1472,A1472,$E$2:E1472,0)=1),L1472,0)</f>
        <v>0</v>
      </c>
    </row>
    <row r="1473" spans="1:13" ht="15" customHeight="1">
      <c r="A1473" s="1">
        <v>7309</v>
      </c>
      <c r="B1473" s="1" t="s">
        <v>144</v>
      </c>
      <c r="C1473" s="2" t="s">
        <v>1719</v>
      </c>
      <c r="D1473" s="2" t="s">
        <v>1720</v>
      </c>
      <c r="E1473" s="1">
        <v>1</v>
      </c>
      <c r="F1473" s="2" t="s">
        <v>1730</v>
      </c>
      <c r="G1473" s="1">
        <v>5</v>
      </c>
      <c r="H1473" s="1" t="str">
        <f t="shared" si="23"/>
        <v>k7309_5</v>
      </c>
      <c r="K1473" s="1">
        <f>IF(E1473=0,SUMPRODUCT(($A$2:$A$4734=A1473)*($B$2:$B$4734=B1473)*($D$2:$D$4734=D1473)*($E$2:$E$4734=0)),0)</f>
        <v>0</v>
      </c>
      <c r="L1473" s="1" t="str">
        <f>IF(E1473=0,SUMPRODUCT(MIN($K$2:$K$4734+((($A$2:$A$4734&lt;&gt;A1473)+($E$2:$E$4734&lt;&gt;0))&gt;0)*1000000)),"")</f>
        <v/>
      </c>
      <c r="M1473" s="1">
        <f>IF(AND(E1473=0,COUNTIFS($A$2:A1473,A1473,$E$2:E1473,0)=1),L1473,0)</f>
        <v>0</v>
      </c>
    </row>
    <row r="1474" spans="1:13" ht="15" customHeight="1">
      <c r="A1474" s="1">
        <v>7309</v>
      </c>
      <c r="B1474" s="1" t="s">
        <v>144</v>
      </c>
      <c r="C1474" s="2" t="s">
        <v>1719</v>
      </c>
      <c r="D1474" s="2" t="s">
        <v>1720</v>
      </c>
      <c r="E1474" s="1">
        <v>1</v>
      </c>
      <c r="F1474" s="2" t="s">
        <v>1731</v>
      </c>
      <c r="G1474" s="1">
        <v>6</v>
      </c>
      <c r="H1474" s="1" t="str">
        <f t="shared" si="23"/>
        <v>k7309_6</v>
      </c>
      <c r="K1474" s="1">
        <f>IF(E1474=0,SUMPRODUCT(($A$2:$A$4734=A1474)*($B$2:$B$4734=B1474)*($D$2:$D$4734=D1474)*($E$2:$E$4734=0)),0)</f>
        <v>0</v>
      </c>
      <c r="L1474" s="1" t="str">
        <f>IF(E1474=0,SUMPRODUCT(MIN($K$2:$K$4734+((($A$2:$A$4734&lt;&gt;A1474)+($E$2:$E$4734&lt;&gt;0))&gt;0)*1000000)),"")</f>
        <v/>
      </c>
      <c r="M1474" s="1">
        <f>IF(AND(E1474=0,COUNTIFS($A$2:A1474,A1474,$E$2:E1474,0)=1),L1474,0)</f>
        <v>0</v>
      </c>
    </row>
    <row r="1475" spans="1:13" ht="15" customHeight="1">
      <c r="A1475" s="1">
        <v>7309</v>
      </c>
      <c r="B1475" s="1" t="s">
        <v>1644</v>
      </c>
      <c r="C1475" s="2" t="s">
        <v>1719</v>
      </c>
      <c r="D1475" s="2" t="s">
        <v>1732</v>
      </c>
      <c r="E1475" s="1">
        <v>1</v>
      </c>
      <c r="F1475" s="2" t="s">
        <v>1733</v>
      </c>
      <c r="G1475" s="1">
        <v>1</v>
      </c>
      <c r="H1475" s="1" t="str">
        <f t="shared" si="23"/>
        <v>k7309_1</v>
      </c>
      <c r="K1475" s="1">
        <f>IF(E1475=0,SUMPRODUCT(($A$2:$A$4734=A1475)*($B$2:$B$4734=B1475)*($D$2:$D$4734=D1475)*($E$2:$E$4734=0)),0)</f>
        <v>0</v>
      </c>
      <c r="L1475" s="1" t="str">
        <f>IF(E1475=0,SUMPRODUCT(MIN($K$2:$K$4734+((($A$2:$A$4734&lt;&gt;A1475)+($E$2:$E$4734&lt;&gt;0))&gt;0)*1000000)),"")</f>
        <v/>
      </c>
      <c r="M1475" s="1">
        <f>IF(AND(E1475=0,COUNTIFS($A$2:A1475,A1475,$E$2:E1475,0)=1),L1475,0)</f>
        <v>0</v>
      </c>
    </row>
    <row r="1476" spans="1:13" ht="15" customHeight="1">
      <c r="A1476" s="1">
        <v>7309</v>
      </c>
      <c r="B1476" s="1" t="s">
        <v>1644</v>
      </c>
      <c r="C1476" s="2" t="s">
        <v>1719</v>
      </c>
      <c r="D1476" s="2" t="s">
        <v>1732</v>
      </c>
      <c r="E1476" s="1">
        <v>1</v>
      </c>
      <c r="F1476" s="2" t="s">
        <v>1734</v>
      </c>
      <c r="G1476" s="1">
        <v>2</v>
      </c>
      <c r="H1476" s="1" t="str">
        <f t="shared" si="23"/>
        <v>k7309_2</v>
      </c>
      <c r="K1476" s="1">
        <f>IF(E1476=0,SUMPRODUCT(($A$2:$A$4734=A1476)*($B$2:$B$4734=B1476)*($D$2:$D$4734=D1476)*($E$2:$E$4734=0)),0)</f>
        <v>0</v>
      </c>
      <c r="L1476" s="1" t="str">
        <f>IF(E1476=0,SUMPRODUCT(MIN($K$2:$K$4734+((($A$2:$A$4734&lt;&gt;A1476)+($E$2:$E$4734&lt;&gt;0))&gt;0)*1000000)),"")</f>
        <v/>
      </c>
      <c r="M1476" s="1">
        <f>IF(AND(E1476=0,COUNTIFS($A$2:A1476,A1476,$E$2:E1476,0)=1),L1476,0)</f>
        <v>0</v>
      </c>
    </row>
    <row r="1477" spans="1:13" ht="15" customHeight="1">
      <c r="A1477" s="1">
        <v>7309</v>
      </c>
      <c r="B1477" s="1" t="s">
        <v>1644</v>
      </c>
      <c r="C1477" s="2" t="s">
        <v>1719</v>
      </c>
      <c r="D1477" s="2" t="s">
        <v>1732</v>
      </c>
      <c r="E1477" s="1">
        <v>1</v>
      </c>
      <c r="F1477" s="2" t="s">
        <v>1735</v>
      </c>
      <c r="G1477" s="1">
        <v>3</v>
      </c>
      <c r="H1477" s="1" t="str">
        <f t="shared" si="23"/>
        <v>k7309_3</v>
      </c>
      <c r="K1477" s="1">
        <f>IF(E1477=0,SUMPRODUCT(($A$2:$A$4734=A1477)*($B$2:$B$4734=B1477)*($D$2:$D$4734=D1477)*($E$2:$E$4734=0)),0)</f>
        <v>0</v>
      </c>
      <c r="L1477" s="1" t="str">
        <f>IF(E1477=0,SUMPRODUCT(MIN($K$2:$K$4734+((($A$2:$A$4734&lt;&gt;A1477)+($E$2:$E$4734&lt;&gt;0))&gt;0)*1000000)),"")</f>
        <v/>
      </c>
      <c r="M1477" s="1">
        <f>IF(AND(E1477=0,COUNTIFS($A$2:A1477,A1477,$E$2:E1477,0)=1),L1477,0)</f>
        <v>0</v>
      </c>
    </row>
    <row r="1478" spans="1:13" ht="15" customHeight="1">
      <c r="A1478" s="1">
        <v>7309</v>
      </c>
      <c r="B1478" s="1" t="s">
        <v>1644</v>
      </c>
      <c r="C1478" s="2" t="s">
        <v>1719</v>
      </c>
      <c r="D1478" s="2" t="s">
        <v>1732</v>
      </c>
      <c r="E1478" s="1">
        <v>1</v>
      </c>
      <c r="F1478" s="2" t="s">
        <v>1736</v>
      </c>
      <c r="G1478" s="1">
        <v>4</v>
      </c>
      <c r="H1478" s="1" t="str">
        <f t="shared" si="23"/>
        <v>k7309_4</v>
      </c>
      <c r="K1478" s="1">
        <f>IF(E1478=0,SUMPRODUCT(($A$2:$A$4734=A1478)*($B$2:$B$4734=B1478)*($D$2:$D$4734=D1478)*($E$2:$E$4734=0)),0)</f>
        <v>0</v>
      </c>
      <c r="L1478" s="1" t="str">
        <f>IF(E1478=0,SUMPRODUCT(MIN($K$2:$K$4734+((($A$2:$A$4734&lt;&gt;A1478)+($E$2:$E$4734&lt;&gt;0))&gt;0)*1000000)),"")</f>
        <v/>
      </c>
      <c r="M1478" s="1">
        <f>IF(AND(E1478=0,COUNTIFS($A$2:A1478,A1478,$E$2:E1478,0)=1),L1478,0)</f>
        <v>0</v>
      </c>
    </row>
    <row r="1479" spans="1:13" ht="15" customHeight="1">
      <c r="A1479" s="1">
        <v>7309</v>
      </c>
      <c r="B1479" s="1" t="s">
        <v>1644</v>
      </c>
      <c r="C1479" s="2" t="s">
        <v>1719</v>
      </c>
      <c r="D1479" s="2" t="s">
        <v>1732</v>
      </c>
      <c r="E1479" s="1">
        <v>1</v>
      </c>
      <c r="F1479" s="2" t="s">
        <v>1737</v>
      </c>
      <c r="G1479" s="1">
        <v>5</v>
      </c>
      <c r="H1479" s="1" t="str">
        <f t="shared" si="23"/>
        <v>k7309_5</v>
      </c>
      <c r="K1479" s="1">
        <f>IF(E1479=0,SUMPRODUCT(($A$2:$A$4734=A1479)*($B$2:$B$4734=B1479)*($D$2:$D$4734=D1479)*($E$2:$E$4734=0)),0)</f>
        <v>0</v>
      </c>
      <c r="L1479" s="1" t="str">
        <f>IF(E1479=0,SUMPRODUCT(MIN($K$2:$K$4734+((($A$2:$A$4734&lt;&gt;A1479)+($E$2:$E$4734&lt;&gt;0))&gt;0)*1000000)),"")</f>
        <v/>
      </c>
      <c r="M1479" s="1">
        <f>IF(AND(E1479=0,COUNTIFS($A$2:A1479,A1479,$E$2:E1479,0)=1),L1479,0)</f>
        <v>0</v>
      </c>
    </row>
    <row r="1480" spans="1:13" ht="15" customHeight="1">
      <c r="A1480" s="1">
        <v>7309</v>
      </c>
      <c r="B1480" s="1" t="s">
        <v>1644</v>
      </c>
      <c r="C1480" s="2" t="s">
        <v>1719</v>
      </c>
      <c r="D1480" s="2" t="s">
        <v>1732</v>
      </c>
      <c r="E1480" s="1">
        <v>1</v>
      </c>
      <c r="F1480" s="2" t="s">
        <v>1738</v>
      </c>
      <c r="G1480" s="1">
        <v>6</v>
      </c>
      <c r="H1480" s="1" t="str">
        <f t="shared" si="23"/>
        <v>k7309_6</v>
      </c>
      <c r="K1480" s="1">
        <f>IF(E1480=0,SUMPRODUCT(($A$2:$A$4734=A1480)*($B$2:$B$4734=B1480)*($D$2:$D$4734=D1480)*($E$2:$E$4734=0)),0)</f>
        <v>0</v>
      </c>
      <c r="L1480" s="1" t="str">
        <f>IF(E1480=0,SUMPRODUCT(MIN($K$2:$K$4734+((($A$2:$A$4734&lt;&gt;A1480)+($E$2:$E$4734&lt;&gt;0))&gt;0)*1000000)),"")</f>
        <v/>
      </c>
      <c r="M1480" s="1">
        <f>IF(AND(E1480=0,COUNTIFS($A$2:A1480,A1480,$E$2:E1480,0)=1),L1480,0)</f>
        <v>0</v>
      </c>
    </row>
    <row r="1481" spans="1:13" ht="15" customHeight="1">
      <c r="A1481" s="1">
        <v>7310</v>
      </c>
      <c r="B1481" s="1" t="s">
        <v>9</v>
      </c>
      <c r="C1481" s="2" t="s">
        <v>1739</v>
      </c>
      <c r="D1481" s="2" t="s">
        <v>405</v>
      </c>
      <c r="E1481" s="1">
        <v>1</v>
      </c>
      <c r="F1481" s="2" t="s">
        <v>1740</v>
      </c>
      <c r="G1481" s="1">
        <v>1</v>
      </c>
      <c r="H1481" s="1" t="str">
        <f t="shared" si="23"/>
        <v>k7310_1</v>
      </c>
      <c r="K1481" s="1">
        <f>IF(E1481=0,SUMPRODUCT(($A$2:$A$4734=A1481)*($B$2:$B$4734=B1481)*($D$2:$D$4734=D1481)*($E$2:$E$4734=0)),0)</f>
        <v>0</v>
      </c>
      <c r="L1481" s="1" t="str">
        <f>IF(E1481=0,SUMPRODUCT(MIN($K$2:$K$4734+((($A$2:$A$4734&lt;&gt;A1481)+($E$2:$E$4734&lt;&gt;0))&gt;0)*1000000)),"")</f>
        <v/>
      </c>
      <c r="M1481" s="1">
        <f>IF(AND(E1481=0,COUNTIFS($A$2:A1481,A1481,$E$2:E1481,0)=1),L1481,0)</f>
        <v>0</v>
      </c>
    </row>
    <row r="1482" spans="1:13" ht="15" customHeight="1">
      <c r="A1482" s="1">
        <v>7310</v>
      </c>
      <c r="B1482" s="1" t="s">
        <v>9</v>
      </c>
      <c r="C1482" s="2" t="s">
        <v>1739</v>
      </c>
      <c r="D1482" s="2" t="s">
        <v>405</v>
      </c>
      <c r="E1482" s="1">
        <v>1</v>
      </c>
      <c r="F1482" s="2" t="s">
        <v>1741</v>
      </c>
      <c r="G1482" s="1">
        <v>2</v>
      </c>
      <c r="H1482" s="1" t="str">
        <f t="shared" si="23"/>
        <v>k7310_2</v>
      </c>
      <c r="K1482" s="1">
        <f>IF(E1482=0,SUMPRODUCT(($A$2:$A$4734=A1482)*($B$2:$B$4734=B1482)*($D$2:$D$4734=D1482)*($E$2:$E$4734=0)),0)</f>
        <v>0</v>
      </c>
      <c r="L1482" s="1" t="str">
        <f>IF(E1482=0,SUMPRODUCT(MIN($K$2:$K$4734+((($A$2:$A$4734&lt;&gt;A1482)+($E$2:$E$4734&lt;&gt;0))&gt;0)*1000000)),"")</f>
        <v/>
      </c>
      <c r="M1482" s="1">
        <f>IF(AND(E1482=0,COUNTIFS($A$2:A1482,A1482,$E$2:E1482,0)=1),L1482,0)</f>
        <v>0</v>
      </c>
    </row>
    <row r="1483" spans="1:13" ht="15" customHeight="1">
      <c r="A1483" s="1">
        <v>7310</v>
      </c>
      <c r="B1483" s="1" t="s">
        <v>9</v>
      </c>
      <c r="C1483" s="2" t="s">
        <v>1739</v>
      </c>
      <c r="D1483" s="2" t="s">
        <v>405</v>
      </c>
      <c r="E1483" s="1">
        <v>1</v>
      </c>
      <c r="F1483" s="2" t="s">
        <v>1742</v>
      </c>
      <c r="G1483" s="1">
        <v>3</v>
      </c>
      <c r="H1483" s="1" t="str">
        <f t="shared" si="23"/>
        <v>k7310_3</v>
      </c>
      <c r="K1483" s="1">
        <f>IF(E1483=0,SUMPRODUCT(($A$2:$A$4734=A1483)*($B$2:$B$4734=B1483)*($D$2:$D$4734=D1483)*($E$2:$E$4734=0)),0)</f>
        <v>0</v>
      </c>
      <c r="L1483" s="1" t="str">
        <f>IF(E1483=0,SUMPRODUCT(MIN($K$2:$K$4734+((($A$2:$A$4734&lt;&gt;A1483)+($E$2:$E$4734&lt;&gt;0))&gt;0)*1000000)),"")</f>
        <v/>
      </c>
      <c r="M1483" s="1">
        <f>IF(AND(E1483=0,COUNTIFS($A$2:A1483,A1483,$E$2:E1483,0)=1),L1483,0)</f>
        <v>0</v>
      </c>
    </row>
    <row r="1484" spans="1:13" ht="15" customHeight="1">
      <c r="A1484" s="1">
        <v>7310</v>
      </c>
      <c r="B1484" s="1" t="s">
        <v>9</v>
      </c>
      <c r="C1484" s="2" t="s">
        <v>1739</v>
      </c>
      <c r="D1484" s="2" t="s">
        <v>405</v>
      </c>
      <c r="E1484" s="1">
        <v>1</v>
      </c>
      <c r="F1484" s="2" t="s">
        <v>1742</v>
      </c>
      <c r="G1484" s="1">
        <v>4</v>
      </c>
      <c r="H1484" s="1" t="str">
        <f t="shared" si="23"/>
        <v>k7310_4</v>
      </c>
      <c r="K1484" s="1">
        <f>IF(E1484=0,SUMPRODUCT(($A$2:$A$4734=A1484)*($B$2:$B$4734=B1484)*($D$2:$D$4734=D1484)*($E$2:$E$4734=0)),0)</f>
        <v>0</v>
      </c>
      <c r="L1484" s="1" t="str">
        <f>IF(E1484=0,SUMPRODUCT(MIN($K$2:$K$4734+((($A$2:$A$4734&lt;&gt;A1484)+($E$2:$E$4734&lt;&gt;0))&gt;0)*1000000)),"")</f>
        <v/>
      </c>
      <c r="M1484" s="1">
        <f>IF(AND(E1484=0,COUNTIFS($A$2:A1484,A1484,$E$2:E1484,0)=1),L1484,0)</f>
        <v>0</v>
      </c>
    </row>
    <row r="1485" spans="1:13" ht="15" customHeight="1">
      <c r="A1485" s="1">
        <v>7310</v>
      </c>
      <c r="B1485" s="1" t="s">
        <v>9</v>
      </c>
      <c r="C1485" s="2" t="s">
        <v>1739</v>
      </c>
      <c r="D1485" s="2" t="s">
        <v>405</v>
      </c>
      <c r="E1485" s="1">
        <v>1</v>
      </c>
      <c r="F1485" s="2" t="s">
        <v>1743</v>
      </c>
      <c r="G1485" s="1">
        <v>5</v>
      </c>
      <c r="H1485" s="1" t="str">
        <f t="shared" si="23"/>
        <v>k7310_5</v>
      </c>
      <c r="K1485" s="1">
        <f>IF(E1485=0,SUMPRODUCT(($A$2:$A$4734=A1485)*($B$2:$B$4734=B1485)*($D$2:$D$4734=D1485)*($E$2:$E$4734=0)),0)</f>
        <v>0</v>
      </c>
      <c r="L1485" s="1" t="str">
        <f>IF(E1485=0,SUMPRODUCT(MIN($K$2:$K$4734+((($A$2:$A$4734&lt;&gt;A1485)+($E$2:$E$4734&lt;&gt;0))&gt;0)*1000000)),"")</f>
        <v/>
      </c>
      <c r="M1485" s="1">
        <f>IF(AND(E1485=0,COUNTIFS($A$2:A1485,A1485,$E$2:E1485,0)=1),L1485,0)</f>
        <v>0</v>
      </c>
    </row>
    <row r="1486" spans="1:13" ht="15" customHeight="1">
      <c r="A1486" s="1">
        <v>7310</v>
      </c>
      <c r="B1486" s="1" t="s">
        <v>16</v>
      </c>
      <c r="C1486" s="2" t="s">
        <v>1739</v>
      </c>
      <c r="D1486" s="2" t="s">
        <v>405</v>
      </c>
      <c r="E1486" s="1">
        <v>1</v>
      </c>
      <c r="F1486" s="2" t="s">
        <v>1744</v>
      </c>
      <c r="G1486" s="1">
        <v>1</v>
      </c>
      <c r="H1486" s="1" t="str">
        <f t="shared" si="23"/>
        <v>k7310_1</v>
      </c>
      <c r="K1486" s="1">
        <f>IF(E1486=0,SUMPRODUCT(($A$2:$A$4734=A1486)*($B$2:$B$4734=B1486)*($D$2:$D$4734=D1486)*($E$2:$E$4734=0)),0)</f>
        <v>0</v>
      </c>
      <c r="L1486" s="1" t="str">
        <f>IF(E1486=0,SUMPRODUCT(MIN($K$2:$K$4734+((($A$2:$A$4734&lt;&gt;A1486)+($E$2:$E$4734&lt;&gt;0))&gt;0)*1000000)),"")</f>
        <v/>
      </c>
      <c r="M1486" s="1">
        <f>IF(AND(E1486=0,COUNTIFS($A$2:A1486,A1486,$E$2:E1486,0)=1),L1486,0)</f>
        <v>0</v>
      </c>
    </row>
    <row r="1487" spans="1:13" ht="15" customHeight="1">
      <c r="A1487" s="1">
        <v>7310</v>
      </c>
      <c r="B1487" s="1" t="s">
        <v>16</v>
      </c>
      <c r="C1487" s="2" t="s">
        <v>1739</v>
      </c>
      <c r="D1487" s="2" t="s">
        <v>405</v>
      </c>
      <c r="E1487" s="1">
        <v>1</v>
      </c>
      <c r="F1487" s="2" t="s">
        <v>1745</v>
      </c>
      <c r="G1487" s="1">
        <v>2</v>
      </c>
      <c r="H1487" s="1" t="str">
        <f t="shared" si="23"/>
        <v>k7310_2</v>
      </c>
      <c r="K1487" s="1">
        <f>IF(E1487=0,SUMPRODUCT(($A$2:$A$4734=A1487)*($B$2:$B$4734=B1487)*($D$2:$D$4734=D1487)*($E$2:$E$4734=0)),0)</f>
        <v>0</v>
      </c>
      <c r="L1487" s="1" t="str">
        <f>IF(E1487=0,SUMPRODUCT(MIN($K$2:$K$4734+((($A$2:$A$4734&lt;&gt;A1487)+($E$2:$E$4734&lt;&gt;0))&gt;0)*1000000)),"")</f>
        <v/>
      </c>
      <c r="M1487" s="1">
        <f>IF(AND(E1487=0,COUNTIFS($A$2:A1487,A1487,$E$2:E1487,0)=1),L1487,0)</f>
        <v>0</v>
      </c>
    </row>
    <row r="1488" spans="1:13" ht="15" customHeight="1">
      <c r="A1488" s="1">
        <v>7310</v>
      </c>
      <c r="B1488" s="1" t="s">
        <v>16</v>
      </c>
      <c r="C1488" s="2" t="s">
        <v>1739</v>
      </c>
      <c r="D1488" s="2" t="s">
        <v>405</v>
      </c>
      <c r="E1488" s="1">
        <v>1</v>
      </c>
      <c r="F1488" s="2" t="s">
        <v>1746</v>
      </c>
      <c r="G1488" s="1">
        <v>3</v>
      </c>
      <c r="H1488" s="1" t="str">
        <f t="shared" si="23"/>
        <v>k7310_3</v>
      </c>
      <c r="K1488" s="1">
        <f>IF(E1488=0,SUMPRODUCT(($A$2:$A$4734=A1488)*($B$2:$B$4734=B1488)*($D$2:$D$4734=D1488)*($E$2:$E$4734=0)),0)</f>
        <v>0</v>
      </c>
      <c r="L1488" s="1" t="str">
        <f>IF(E1488=0,SUMPRODUCT(MIN($K$2:$K$4734+((($A$2:$A$4734&lt;&gt;A1488)+($E$2:$E$4734&lt;&gt;0))&gt;0)*1000000)),"")</f>
        <v/>
      </c>
      <c r="M1488" s="1">
        <f>IF(AND(E1488=0,COUNTIFS($A$2:A1488,A1488,$E$2:E1488,0)=1),L1488,0)</f>
        <v>0</v>
      </c>
    </row>
    <row r="1489" spans="1:13" ht="15" customHeight="1">
      <c r="A1489" s="1">
        <v>7310</v>
      </c>
      <c r="B1489" s="1" t="s">
        <v>16</v>
      </c>
      <c r="C1489" s="2" t="s">
        <v>1739</v>
      </c>
      <c r="D1489" s="2" t="s">
        <v>405</v>
      </c>
      <c r="E1489" s="1">
        <v>1</v>
      </c>
      <c r="F1489" s="2" t="s">
        <v>1747</v>
      </c>
      <c r="G1489" s="1">
        <v>4</v>
      </c>
      <c r="H1489" s="1" t="str">
        <f t="shared" si="23"/>
        <v>k7310_4</v>
      </c>
      <c r="K1489" s="1">
        <f>IF(E1489=0,SUMPRODUCT(($A$2:$A$4734=A1489)*($B$2:$B$4734=B1489)*($D$2:$D$4734=D1489)*($E$2:$E$4734=0)),0)</f>
        <v>0</v>
      </c>
      <c r="L1489" s="1" t="str">
        <f>IF(E1489=0,SUMPRODUCT(MIN($K$2:$K$4734+((($A$2:$A$4734&lt;&gt;A1489)+($E$2:$E$4734&lt;&gt;0))&gt;0)*1000000)),"")</f>
        <v/>
      </c>
      <c r="M1489" s="1">
        <f>IF(AND(E1489=0,COUNTIFS($A$2:A1489,A1489,$E$2:E1489,0)=1),L1489,0)</f>
        <v>0</v>
      </c>
    </row>
    <row r="1490" spans="1:13" ht="15" customHeight="1">
      <c r="A1490" s="1">
        <v>7310</v>
      </c>
      <c r="B1490" s="1" t="s">
        <v>16</v>
      </c>
      <c r="C1490" s="2" t="s">
        <v>1739</v>
      </c>
      <c r="D1490" s="2" t="s">
        <v>405</v>
      </c>
      <c r="E1490" s="1">
        <v>1</v>
      </c>
      <c r="F1490" s="2" t="s">
        <v>1748</v>
      </c>
      <c r="G1490" s="1">
        <v>5</v>
      </c>
      <c r="H1490" s="1" t="str">
        <f t="shared" si="23"/>
        <v>k7310_5</v>
      </c>
      <c r="K1490" s="1">
        <f>IF(E1490=0,SUMPRODUCT(($A$2:$A$4734=A1490)*($B$2:$B$4734=B1490)*($D$2:$D$4734=D1490)*($E$2:$E$4734=0)),0)</f>
        <v>0</v>
      </c>
      <c r="L1490" s="1" t="str">
        <f>IF(E1490=0,SUMPRODUCT(MIN($K$2:$K$4734+((($A$2:$A$4734&lt;&gt;A1490)+($E$2:$E$4734&lt;&gt;0))&gt;0)*1000000)),"")</f>
        <v/>
      </c>
      <c r="M1490" s="1">
        <f>IF(AND(E1490=0,COUNTIFS($A$2:A1490,A1490,$E$2:E1490,0)=1),L1490,0)</f>
        <v>0</v>
      </c>
    </row>
    <row r="1491" spans="1:13" ht="15" customHeight="1">
      <c r="A1491" s="1">
        <v>7310</v>
      </c>
      <c r="B1491" s="1" t="s">
        <v>167</v>
      </c>
      <c r="C1491" s="2" t="s">
        <v>1739</v>
      </c>
      <c r="D1491" s="2" t="s">
        <v>1749</v>
      </c>
      <c r="E1491" s="1">
        <v>1</v>
      </c>
      <c r="F1491" s="2" t="s">
        <v>1750</v>
      </c>
      <c r="G1491" s="1">
        <v>1</v>
      </c>
      <c r="H1491" s="1" t="str">
        <f t="shared" si="23"/>
        <v>k7310_1</v>
      </c>
      <c r="K1491" s="1">
        <f>IF(E1491=0,SUMPRODUCT(($A$2:$A$4734=A1491)*($B$2:$B$4734=B1491)*($D$2:$D$4734=D1491)*($E$2:$E$4734=0)),0)</f>
        <v>0</v>
      </c>
      <c r="L1491" s="1" t="str">
        <f>IF(E1491=0,SUMPRODUCT(MIN($K$2:$K$4734+((($A$2:$A$4734&lt;&gt;A1491)+($E$2:$E$4734&lt;&gt;0))&gt;0)*1000000)),"")</f>
        <v/>
      </c>
      <c r="M1491" s="1">
        <f>IF(AND(E1491=0,COUNTIFS($A$2:A1491,A1491,$E$2:E1491,0)=1),L1491,0)</f>
        <v>0</v>
      </c>
    </row>
    <row r="1492" spans="1:13" ht="15" customHeight="1">
      <c r="A1492" s="1">
        <v>7310</v>
      </c>
      <c r="B1492" s="1" t="s">
        <v>167</v>
      </c>
      <c r="C1492" s="2" t="s">
        <v>1739</v>
      </c>
      <c r="D1492" s="2" t="s">
        <v>1749</v>
      </c>
      <c r="E1492" s="1">
        <v>1</v>
      </c>
      <c r="F1492" s="2" t="s">
        <v>1751</v>
      </c>
      <c r="G1492" s="1">
        <v>2</v>
      </c>
      <c r="H1492" s="1" t="str">
        <f t="shared" si="23"/>
        <v>k7310_2</v>
      </c>
      <c r="K1492" s="1">
        <f>IF(E1492=0,SUMPRODUCT(($A$2:$A$4734=A1492)*($B$2:$B$4734=B1492)*($D$2:$D$4734=D1492)*($E$2:$E$4734=0)),0)</f>
        <v>0</v>
      </c>
      <c r="L1492" s="1" t="str">
        <f>IF(E1492=0,SUMPRODUCT(MIN($K$2:$K$4734+((($A$2:$A$4734&lt;&gt;A1492)+($E$2:$E$4734&lt;&gt;0))&gt;0)*1000000)),"")</f>
        <v/>
      </c>
      <c r="M1492" s="1">
        <f>IF(AND(E1492=0,COUNTIFS($A$2:A1492,A1492,$E$2:E1492,0)=1),L1492,0)</f>
        <v>0</v>
      </c>
    </row>
    <row r="1493" spans="1:13" ht="15" customHeight="1">
      <c r="A1493" s="1">
        <v>7310</v>
      </c>
      <c r="B1493" s="1" t="s">
        <v>167</v>
      </c>
      <c r="C1493" s="2" t="s">
        <v>1739</v>
      </c>
      <c r="D1493" s="2" t="s">
        <v>1749</v>
      </c>
      <c r="E1493" s="1">
        <v>1</v>
      </c>
      <c r="F1493" s="2" t="s">
        <v>1752</v>
      </c>
      <c r="G1493" s="1">
        <v>3</v>
      </c>
      <c r="H1493" s="1" t="str">
        <f t="shared" si="23"/>
        <v>k7310_3</v>
      </c>
      <c r="K1493" s="1">
        <f>IF(E1493=0,SUMPRODUCT(($A$2:$A$4734=A1493)*($B$2:$B$4734=B1493)*($D$2:$D$4734=D1493)*($E$2:$E$4734=0)),0)</f>
        <v>0</v>
      </c>
      <c r="L1493" s="1" t="str">
        <f>IF(E1493=0,SUMPRODUCT(MIN($K$2:$K$4734+((($A$2:$A$4734&lt;&gt;A1493)+($E$2:$E$4734&lt;&gt;0))&gt;0)*1000000)),"")</f>
        <v/>
      </c>
      <c r="M1493" s="1">
        <f>IF(AND(E1493=0,COUNTIFS($A$2:A1493,A1493,$E$2:E1493,0)=1),L1493,0)</f>
        <v>0</v>
      </c>
    </row>
    <row r="1494" spans="1:13" ht="15" customHeight="1">
      <c r="A1494" s="1">
        <v>7310</v>
      </c>
      <c r="B1494" s="1" t="s">
        <v>167</v>
      </c>
      <c r="C1494" s="2" t="s">
        <v>1739</v>
      </c>
      <c r="D1494" s="2" t="s">
        <v>1749</v>
      </c>
      <c r="E1494" s="1">
        <v>1</v>
      </c>
      <c r="F1494" s="2" t="s">
        <v>1753</v>
      </c>
      <c r="G1494" s="1">
        <v>4</v>
      </c>
      <c r="H1494" s="1" t="str">
        <f t="shared" si="23"/>
        <v>k7310_4</v>
      </c>
      <c r="K1494" s="1">
        <f>IF(E1494=0,SUMPRODUCT(($A$2:$A$4734=A1494)*($B$2:$B$4734=B1494)*($D$2:$D$4734=D1494)*($E$2:$E$4734=0)),0)</f>
        <v>0</v>
      </c>
      <c r="L1494" s="1" t="str">
        <f>IF(E1494=0,SUMPRODUCT(MIN($K$2:$K$4734+((($A$2:$A$4734&lt;&gt;A1494)+($E$2:$E$4734&lt;&gt;0))&gt;0)*1000000)),"")</f>
        <v/>
      </c>
      <c r="M1494" s="1">
        <f>IF(AND(E1494=0,COUNTIFS($A$2:A1494,A1494,$E$2:E1494,0)=1),L1494,0)</f>
        <v>0</v>
      </c>
    </row>
    <row r="1495" spans="1:13" ht="15" customHeight="1">
      <c r="A1495" s="1">
        <v>7310</v>
      </c>
      <c r="B1495" s="1" t="s">
        <v>167</v>
      </c>
      <c r="C1495" s="2" t="s">
        <v>1739</v>
      </c>
      <c r="D1495" s="2" t="s">
        <v>1749</v>
      </c>
      <c r="E1495" s="1">
        <v>1</v>
      </c>
      <c r="F1495" s="2" t="s">
        <v>1753</v>
      </c>
      <c r="G1495" s="1">
        <v>5</v>
      </c>
      <c r="H1495" s="1" t="str">
        <f t="shared" si="23"/>
        <v>k7310_5</v>
      </c>
      <c r="K1495" s="1">
        <f>IF(E1495=0,SUMPRODUCT(($A$2:$A$4734=A1495)*($B$2:$B$4734=B1495)*($D$2:$D$4734=D1495)*($E$2:$E$4734=0)),0)</f>
        <v>0</v>
      </c>
      <c r="L1495" s="1" t="str">
        <f>IF(E1495=0,SUMPRODUCT(MIN($K$2:$K$4734+((($A$2:$A$4734&lt;&gt;A1495)+($E$2:$E$4734&lt;&gt;0))&gt;0)*1000000)),"")</f>
        <v/>
      </c>
      <c r="M1495" s="1">
        <f>IF(AND(E1495=0,COUNTIFS($A$2:A1495,A1495,$E$2:E1495,0)=1),L1495,0)</f>
        <v>0</v>
      </c>
    </row>
    <row r="1496" spans="1:13" ht="15" customHeight="1">
      <c r="A1496" s="1">
        <v>7310</v>
      </c>
      <c r="B1496" s="1" t="s">
        <v>95</v>
      </c>
      <c r="C1496" s="2" t="s">
        <v>1739</v>
      </c>
      <c r="D1496" s="2" t="s">
        <v>1754</v>
      </c>
      <c r="E1496" s="1">
        <v>1</v>
      </c>
      <c r="F1496" s="2" t="s">
        <v>1755</v>
      </c>
      <c r="G1496" s="1">
        <v>1</v>
      </c>
      <c r="H1496" s="1" t="str">
        <f t="shared" si="23"/>
        <v>k7310_1</v>
      </c>
      <c r="K1496" s="1">
        <f>IF(E1496=0,SUMPRODUCT(($A$2:$A$4734=A1496)*($B$2:$B$4734=B1496)*($D$2:$D$4734=D1496)*($E$2:$E$4734=0)),0)</f>
        <v>0</v>
      </c>
      <c r="L1496" s="1" t="str">
        <f>IF(E1496=0,SUMPRODUCT(MIN($K$2:$K$4734+((($A$2:$A$4734&lt;&gt;A1496)+($E$2:$E$4734&lt;&gt;0))&gt;0)*1000000)),"")</f>
        <v/>
      </c>
      <c r="M1496" s="1">
        <f>IF(AND(E1496=0,COUNTIFS($A$2:A1496,A1496,$E$2:E1496,0)=1),L1496,0)</f>
        <v>0</v>
      </c>
    </row>
    <row r="1497" spans="1:13" ht="15" customHeight="1">
      <c r="A1497" s="1">
        <v>7310</v>
      </c>
      <c r="B1497" s="1" t="s">
        <v>95</v>
      </c>
      <c r="C1497" s="2" t="s">
        <v>1739</v>
      </c>
      <c r="D1497" s="2" t="s">
        <v>1754</v>
      </c>
      <c r="E1497" s="1">
        <v>1</v>
      </c>
      <c r="F1497" s="2" t="s">
        <v>1756</v>
      </c>
      <c r="G1497" s="1">
        <v>2</v>
      </c>
      <c r="H1497" s="1" t="str">
        <f t="shared" si="23"/>
        <v>k7310_2</v>
      </c>
      <c r="K1497" s="1">
        <f>IF(E1497=0,SUMPRODUCT(($A$2:$A$4734=A1497)*($B$2:$B$4734=B1497)*($D$2:$D$4734=D1497)*($E$2:$E$4734=0)),0)</f>
        <v>0</v>
      </c>
      <c r="L1497" s="1" t="str">
        <f>IF(E1497=0,SUMPRODUCT(MIN($K$2:$K$4734+((($A$2:$A$4734&lt;&gt;A1497)+($E$2:$E$4734&lt;&gt;0))&gt;0)*1000000)),"")</f>
        <v/>
      </c>
      <c r="M1497" s="1">
        <f>IF(AND(E1497=0,COUNTIFS($A$2:A1497,A1497,$E$2:E1497,0)=1),L1497,0)</f>
        <v>0</v>
      </c>
    </row>
    <row r="1498" spans="1:13" ht="15" customHeight="1">
      <c r="A1498" s="1">
        <v>7310</v>
      </c>
      <c r="B1498" s="1" t="s">
        <v>95</v>
      </c>
      <c r="C1498" s="2" t="s">
        <v>1739</v>
      </c>
      <c r="D1498" s="2" t="s">
        <v>1754</v>
      </c>
      <c r="E1498" s="1">
        <v>1</v>
      </c>
      <c r="F1498" s="2" t="s">
        <v>1757</v>
      </c>
      <c r="G1498" s="1">
        <v>3</v>
      </c>
      <c r="H1498" s="1" t="str">
        <f t="shared" si="23"/>
        <v>k7310_3</v>
      </c>
      <c r="K1498" s="1">
        <f>IF(E1498=0,SUMPRODUCT(($A$2:$A$4734=A1498)*($B$2:$B$4734=B1498)*($D$2:$D$4734=D1498)*($E$2:$E$4734=0)),0)</f>
        <v>0</v>
      </c>
      <c r="L1498" s="1" t="str">
        <f>IF(E1498=0,SUMPRODUCT(MIN($K$2:$K$4734+((($A$2:$A$4734&lt;&gt;A1498)+($E$2:$E$4734&lt;&gt;0))&gt;0)*1000000)),"")</f>
        <v/>
      </c>
      <c r="M1498" s="1">
        <f>IF(AND(E1498=0,COUNTIFS($A$2:A1498,A1498,$E$2:E1498,0)=1),L1498,0)</f>
        <v>0</v>
      </c>
    </row>
    <row r="1499" spans="1:13" ht="15" customHeight="1">
      <c r="A1499" s="1">
        <v>7310</v>
      </c>
      <c r="B1499" s="1" t="s">
        <v>95</v>
      </c>
      <c r="C1499" s="2" t="s">
        <v>1739</v>
      </c>
      <c r="D1499" s="2" t="s">
        <v>1754</v>
      </c>
      <c r="E1499" s="1">
        <v>1</v>
      </c>
      <c r="F1499" s="2" t="s">
        <v>1758</v>
      </c>
      <c r="G1499" s="1">
        <v>4</v>
      </c>
      <c r="H1499" s="1" t="str">
        <f t="shared" si="23"/>
        <v>k7310_4</v>
      </c>
      <c r="K1499" s="1">
        <f>IF(E1499=0,SUMPRODUCT(($A$2:$A$4734=A1499)*($B$2:$B$4734=B1499)*($D$2:$D$4734=D1499)*($E$2:$E$4734=0)),0)</f>
        <v>0</v>
      </c>
      <c r="L1499" s="1" t="str">
        <f>IF(E1499=0,SUMPRODUCT(MIN($K$2:$K$4734+((($A$2:$A$4734&lt;&gt;A1499)+($E$2:$E$4734&lt;&gt;0))&gt;0)*1000000)),"")</f>
        <v/>
      </c>
      <c r="M1499" s="1">
        <f>IF(AND(E1499=0,COUNTIFS($A$2:A1499,A1499,$E$2:E1499,0)=1),L1499,0)</f>
        <v>0</v>
      </c>
    </row>
    <row r="1500" spans="1:13" ht="15" customHeight="1">
      <c r="A1500" s="1">
        <v>7310</v>
      </c>
      <c r="B1500" s="1" t="s">
        <v>95</v>
      </c>
      <c r="C1500" s="2" t="s">
        <v>1739</v>
      </c>
      <c r="D1500" s="2" t="s">
        <v>1754</v>
      </c>
      <c r="E1500" s="1">
        <v>1</v>
      </c>
      <c r="F1500" s="2" t="s">
        <v>1759</v>
      </c>
      <c r="G1500" s="1">
        <v>5</v>
      </c>
      <c r="H1500" s="1" t="str">
        <f t="shared" si="23"/>
        <v>k7310_5</v>
      </c>
      <c r="K1500" s="1">
        <f>IF(E1500=0,SUMPRODUCT(($A$2:$A$4734=A1500)*($B$2:$B$4734=B1500)*($D$2:$D$4734=D1500)*($E$2:$E$4734=0)),0)</f>
        <v>0</v>
      </c>
      <c r="L1500" s="1" t="str">
        <f>IF(E1500=0,SUMPRODUCT(MIN($K$2:$K$4734+((($A$2:$A$4734&lt;&gt;A1500)+($E$2:$E$4734&lt;&gt;0))&gt;0)*1000000)),"")</f>
        <v/>
      </c>
      <c r="M1500" s="1">
        <f>IF(AND(E1500=0,COUNTIFS($A$2:A1500,A1500,$E$2:E1500,0)=1),L1500,0)</f>
        <v>0</v>
      </c>
    </row>
    <row r="1501" spans="1:13" ht="15" customHeight="1">
      <c r="A1501" s="1">
        <v>7310</v>
      </c>
      <c r="B1501" s="1" t="s">
        <v>9</v>
      </c>
      <c r="C1501" s="2" t="s">
        <v>1739</v>
      </c>
      <c r="D1501" s="2" t="s">
        <v>1754</v>
      </c>
      <c r="E1501" s="1">
        <v>1</v>
      </c>
      <c r="F1501" s="2" t="s">
        <v>1760</v>
      </c>
      <c r="G1501" s="1">
        <v>1</v>
      </c>
      <c r="H1501" s="1" t="str">
        <f t="shared" si="23"/>
        <v>k7310_1</v>
      </c>
      <c r="K1501" s="1">
        <f>IF(E1501=0,SUMPRODUCT(($A$2:$A$4734=A1501)*($B$2:$B$4734=B1501)*($D$2:$D$4734=D1501)*($E$2:$E$4734=0)),0)</f>
        <v>0</v>
      </c>
      <c r="L1501" s="1" t="str">
        <f>IF(E1501=0,SUMPRODUCT(MIN($K$2:$K$4734+((($A$2:$A$4734&lt;&gt;A1501)+($E$2:$E$4734&lt;&gt;0))&gt;0)*1000000)),"")</f>
        <v/>
      </c>
      <c r="M1501" s="1">
        <f>IF(AND(E1501=0,COUNTIFS($A$2:A1501,A1501,$E$2:E1501,0)=1),L1501,0)</f>
        <v>0</v>
      </c>
    </row>
    <row r="1502" spans="1:13" ht="15" customHeight="1">
      <c r="A1502" s="1">
        <v>7310</v>
      </c>
      <c r="B1502" s="1" t="s">
        <v>9</v>
      </c>
      <c r="C1502" s="2" t="s">
        <v>1739</v>
      </c>
      <c r="D1502" s="2" t="s">
        <v>1754</v>
      </c>
      <c r="E1502" s="1">
        <v>1</v>
      </c>
      <c r="F1502" s="2" t="s">
        <v>1761</v>
      </c>
      <c r="G1502" s="1">
        <v>2</v>
      </c>
      <c r="H1502" s="1" t="str">
        <f t="shared" si="23"/>
        <v>k7310_2</v>
      </c>
      <c r="K1502" s="1">
        <f>IF(E1502=0,SUMPRODUCT(($A$2:$A$4734=A1502)*($B$2:$B$4734=B1502)*($D$2:$D$4734=D1502)*($E$2:$E$4734=0)),0)</f>
        <v>0</v>
      </c>
      <c r="L1502" s="1" t="str">
        <f>IF(E1502=0,SUMPRODUCT(MIN($K$2:$K$4734+((($A$2:$A$4734&lt;&gt;A1502)+($E$2:$E$4734&lt;&gt;0))&gt;0)*1000000)),"")</f>
        <v/>
      </c>
      <c r="M1502" s="1">
        <f>IF(AND(E1502=0,COUNTIFS($A$2:A1502,A1502,$E$2:E1502,0)=1),L1502,0)</f>
        <v>0</v>
      </c>
    </row>
    <row r="1503" spans="1:13" ht="15" customHeight="1">
      <c r="A1503" s="1">
        <v>7310</v>
      </c>
      <c r="B1503" s="1" t="s">
        <v>9</v>
      </c>
      <c r="C1503" s="2" t="s">
        <v>1739</v>
      </c>
      <c r="D1503" s="2" t="s">
        <v>1754</v>
      </c>
      <c r="E1503" s="1">
        <v>1</v>
      </c>
      <c r="F1503" s="2" t="s">
        <v>1762</v>
      </c>
      <c r="G1503" s="1">
        <v>3</v>
      </c>
      <c r="H1503" s="1" t="str">
        <f t="shared" si="23"/>
        <v>k7310_3</v>
      </c>
      <c r="K1503" s="1">
        <f>IF(E1503=0,SUMPRODUCT(($A$2:$A$4734=A1503)*($B$2:$B$4734=B1503)*($D$2:$D$4734=D1503)*($E$2:$E$4734=0)),0)</f>
        <v>0</v>
      </c>
      <c r="L1503" s="1" t="str">
        <f>IF(E1503=0,SUMPRODUCT(MIN($K$2:$K$4734+((($A$2:$A$4734&lt;&gt;A1503)+($E$2:$E$4734&lt;&gt;0))&gt;0)*1000000)),"")</f>
        <v/>
      </c>
      <c r="M1503" s="1">
        <f>IF(AND(E1503=0,COUNTIFS($A$2:A1503,A1503,$E$2:E1503,0)=1),L1503,0)</f>
        <v>0</v>
      </c>
    </row>
    <row r="1504" spans="1:13" ht="15" customHeight="1">
      <c r="A1504" s="1">
        <v>7310</v>
      </c>
      <c r="B1504" s="1" t="s">
        <v>9</v>
      </c>
      <c r="C1504" s="2" t="s">
        <v>1739</v>
      </c>
      <c r="D1504" s="2" t="s">
        <v>1754</v>
      </c>
      <c r="E1504" s="1">
        <v>1</v>
      </c>
      <c r="F1504" s="2" t="s">
        <v>1763</v>
      </c>
      <c r="G1504" s="1">
        <v>4</v>
      </c>
      <c r="H1504" s="1" t="str">
        <f t="shared" si="23"/>
        <v>k7310_4</v>
      </c>
      <c r="K1504" s="1">
        <f>IF(E1504=0,SUMPRODUCT(($A$2:$A$4734=A1504)*($B$2:$B$4734=B1504)*($D$2:$D$4734=D1504)*($E$2:$E$4734=0)),0)</f>
        <v>0</v>
      </c>
      <c r="L1504" s="1" t="str">
        <f>IF(E1504=0,SUMPRODUCT(MIN($K$2:$K$4734+((($A$2:$A$4734&lt;&gt;A1504)+($E$2:$E$4734&lt;&gt;0))&gt;0)*1000000)),"")</f>
        <v/>
      </c>
      <c r="M1504" s="1">
        <f>IF(AND(E1504=0,COUNTIFS($A$2:A1504,A1504,$E$2:E1504,0)=1),L1504,0)</f>
        <v>0</v>
      </c>
    </row>
    <row r="1505" spans="1:13" ht="15" customHeight="1">
      <c r="A1505" s="1">
        <v>7310</v>
      </c>
      <c r="B1505" s="1" t="s">
        <v>9</v>
      </c>
      <c r="C1505" s="2" t="s">
        <v>1739</v>
      </c>
      <c r="D1505" s="2" t="s">
        <v>1754</v>
      </c>
      <c r="E1505" s="1">
        <v>1</v>
      </c>
      <c r="F1505" s="2" t="s">
        <v>1763</v>
      </c>
      <c r="G1505" s="1">
        <v>5</v>
      </c>
      <c r="H1505" s="1" t="str">
        <f t="shared" si="23"/>
        <v>k7310_5</v>
      </c>
      <c r="K1505" s="1">
        <f>IF(E1505=0,SUMPRODUCT(($A$2:$A$4734=A1505)*($B$2:$B$4734=B1505)*($D$2:$D$4734=D1505)*($E$2:$E$4734=0)),0)</f>
        <v>0</v>
      </c>
      <c r="L1505" s="1" t="str">
        <f>IF(E1505=0,SUMPRODUCT(MIN($K$2:$K$4734+((($A$2:$A$4734&lt;&gt;A1505)+($E$2:$E$4734&lt;&gt;0))&gt;0)*1000000)),"")</f>
        <v/>
      </c>
      <c r="M1505" s="1">
        <f>IF(AND(E1505=0,COUNTIFS($A$2:A1505,A1505,$E$2:E1505,0)=1),L1505,0)</f>
        <v>0</v>
      </c>
    </row>
    <row r="1506" spans="1:13" ht="15" customHeight="1">
      <c r="A1506" s="1">
        <v>7310</v>
      </c>
      <c r="B1506" s="1" t="s">
        <v>69</v>
      </c>
      <c r="C1506" s="2" t="s">
        <v>1739</v>
      </c>
      <c r="D1506" s="2" t="s">
        <v>1764</v>
      </c>
      <c r="E1506" s="1">
        <v>1</v>
      </c>
      <c r="F1506" s="2" t="s">
        <v>1765</v>
      </c>
      <c r="G1506" s="1">
        <v>1</v>
      </c>
      <c r="H1506" s="1" t="str">
        <f t="shared" si="23"/>
        <v>k7310_1</v>
      </c>
      <c r="K1506" s="1">
        <f>IF(E1506=0,SUMPRODUCT(($A$2:$A$4734=A1506)*($B$2:$B$4734=B1506)*($D$2:$D$4734=D1506)*($E$2:$E$4734=0)),0)</f>
        <v>0</v>
      </c>
      <c r="L1506" s="1" t="str">
        <f>IF(E1506=0,SUMPRODUCT(MIN($K$2:$K$4734+((($A$2:$A$4734&lt;&gt;A1506)+($E$2:$E$4734&lt;&gt;0))&gt;0)*1000000)),"")</f>
        <v/>
      </c>
      <c r="M1506" s="1">
        <f>IF(AND(E1506=0,COUNTIFS($A$2:A1506,A1506,$E$2:E1506,0)=1),L1506,0)</f>
        <v>0</v>
      </c>
    </row>
    <row r="1507" spans="1:13" ht="15" customHeight="1">
      <c r="A1507" s="1">
        <v>7310</v>
      </c>
      <c r="B1507" s="1" t="s">
        <v>69</v>
      </c>
      <c r="C1507" s="2" t="s">
        <v>1739</v>
      </c>
      <c r="D1507" s="2" t="s">
        <v>1764</v>
      </c>
      <c r="E1507" s="1">
        <v>1</v>
      </c>
      <c r="F1507" s="2" t="s">
        <v>1766</v>
      </c>
      <c r="G1507" s="1">
        <v>2</v>
      </c>
      <c r="H1507" s="1" t="str">
        <f t="shared" si="23"/>
        <v>k7310_2</v>
      </c>
      <c r="K1507" s="1">
        <f>IF(E1507=0,SUMPRODUCT(($A$2:$A$4734=A1507)*($B$2:$B$4734=B1507)*($D$2:$D$4734=D1507)*($E$2:$E$4734=0)),0)</f>
        <v>0</v>
      </c>
      <c r="L1507" s="1" t="str">
        <f>IF(E1507=0,SUMPRODUCT(MIN($K$2:$K$4734+((($A$2:$A$4734&lt;&gt;A1507)+($E$2:$E$4734&lt;&gt;0))&gt;0)*1000000)),"")</f>
        <v/>
      </c>
      <c r="M1507" s="1">
        <f>IF(AND(E1507=0,COUNTIFS($A$2:A1507,A1507,$E$2:E1507,0)=1),L1507,0)</f>
        <v>0</v>
      </c>
    </row>
    <row r="1508" spans="1:13" ht="15" customHeight="1">
      <c r="A1508" s="1">
        <v>7310</v>
      </c>
      <c r="B1508" s="1" t="s">
        <v>69</v>
      </c>
      <c r="C1508" s="2" t="s">
        <v>1739</v>
      </c>
      <c r="D1508" s="2" t="s">
        <v>1764</v>
      </c>
      <c r="E1508" s="1">
        <v>1</v>
      </c>
      <c r="F1508" s="2" t="s">
        <v>1767</v>
      </c>
      <c r="G1508" s="1">
        <v>3</v>
      </c>
      <c r="H1508" s="1" t="str">
        <f t="shared" si="23"/>
        <v>k7310_3</v>
      </c>
      <c r="K1508" s="1">
        <f>IF(E1508=0,SUMPRODUCT(($A$2:$A$4734=A1508)*($B$2:$B$4734=B1508)*($D$2:$D$4734=D1508)*($E$2:$E$4734=0)),0)</f>
        <v>0</v>
      </c>
      <c r="L1508" s="1" t="str">
        <f>IF(E1508=0,SUMPRODUCT(MIN($K$2:$K$4734+((($A$2:$A$4734&lt;&gt;A1508)+($E$2:$E$4734&lt;&gt;0))&gt;0)*1000000)),"")</f>
        <v/>
      </c>
      <c r="M1508" s="1">
        <f>IF(AND(E1508=0,COUNTIFS($A$2:A1508,A1508,$E$2:E1508,0)=1),L1508,0)</f>
        <v>0</v>
      </c>
    </row>
    <row r="1509" spans="1:13" ht="15" customHeight="1">
      <c r="A1509" s="1">
        <v>7310</v>
      </c>
      <c r="B1509" s="1" t="s">
        <v>69</v>
      </c>
      <c r="C1509" s="2" t="s">
        <v>1739</v>
      </c>
      <c r="D1509" s="2" t="s">
        <v>1764</v>
      </c>
      <c r="E1509" s="1">
        <v>1</v>
      </c>
      <c r="F1509" s="2" t="s">
        <v>1768</v>
      </c>
      <c r="G1509" s="1">
        <v>4</v>
      </c>
      <c r="H1509" s="1" t="str">
        <f t="shared" si="23"/>
        <v>k7310_4</v>
      </c>
      <c r="K1509" s="1">
        <f>IF(E1509=0,SUMPRODUCT(($A$2:$A$4734=A1509)*($B$2:$B$4734=B1509)*($D$2:$D$4734=D1509)*($E$2:$E$4734=0)),0)</f>
        <v>0</v>
      </c>
      <c r="L1509" s="1" t="str">
        <f>IF(E1509=0,SUMPRODUCT(MIN($K$2:$K$4734+((($A$2:$A$4734&lt;&gt;A1509)+($E$2:$E$4734&lt;&gt;0))&gt;0)*1000000)),"")</f>
        <v/>
      </c>
      <c r="M1509" s="1">
        <f>IF(AND(E1509=0,COUNTIFS($A$2:A1509,A1509,$E$2:E1509,0)=1),L1509,0)</f>
        <v>0</v>
      </c>
    </row>
    <row r="1510" spans="1:13" ht="15" customHeight="1">
      <c r="A1510" s="1">
        <v>7310</v>
      </c>
      <c r="B1510" s="1" t="s">
        <v>69</v>
      </c>
      <c r="C1510" s="2" t="s">
        <v>1739</v>
      </c>
      <c r="D1510" s="2" t="s">
        <v>1764</v>
      </c>
      <c r="E1510" s="1">
        <v>1</v>
      </c>
      <c r="F1510" s="2" t="s">
        <v>1769</v>
      </c>
      <c r="G1510" s="1">
        <v>5</v>
      </c>
      <c r="H1510" s="1" t="str">
        <f t="shared" ref="H1510:H1573" si="24">IF(OR(E1510&lt;&gt;1,G1510=""),"","k"&amp;A1510&amp;"_"&amp;G1510)</f>
        <v>k7310_5</v>
      </c>
      <c r="K1510" s="1">
        <f>IF(E1510=0,SUMPRODUCT(($A$2:$A$4734=A1510)*($B$2:$B$4734=B1510)*($D$2:$D$4734=D1510)*($E$2:$E$4734=0)),0)</f>
        <v>0</v>
      </c>
      <c r="L1510" s="1" t="str">
        <f>IF(E1510=0,SUMPRODUCT(MIN($K$2:$K$4734+((($A$2:$A$4734&lt;&gt;A1510)+($E$2:$E$4734&lt;&gt;0))&gt;0)*1000000)),"")</f>
        <v/>
      </c>
      <c r="M1510" s="1">
        <f>IF(AND(E1510=0,COUNTIFS($A$2:A1510,A1510,$E$2:E1510,0)=1),L1510,0)</f>
        <v>0</v>
      </c>
    </row>
    <row r="1511" spans="1:13" ht="15" customHeight="1">
      <c r="A1511" s="1">
        <v>7311</v>
      </c>
      <c r="B1511" s="1" t="s">
        <v>16</v>
      </c>
      <c r="C1511" s="2" t="s">
        <v>1770</v>
      </c>
      <c r="D1511" s="2" t="s">
        <v>1771</v>
      </c>
      <c r="E1511" s="1">
        <v>0</v>
      </c>
      <c r="F1511" s="2" t="s">
        <v>1772</v>
      </c>
      <c r="H1511" s="1" t="str">
        <f t="shared" si="24"/>
        <v/>
      </c>
      <c r="K1511" s="1">
        <f>IF(E1511=0,SUMPRODUCT(($A$2:$A$4734=A1511)*($B$2:$B$4734=B1511)*($D$2:$D$4734=D1511)*($E$2:$E$4734=0)),0)</f>
        <v>4</v>
      </c>
      <c r="L1511" s="1">
        <f>IF(E1511=0,SUMPRODUCT(MIN($K$2:$K$4734+((($A$2:$A$4734&lt;&gt;A1511)+($E$2:$E$4734&lt;&gt;0))&gt;0)*1000000)),"")</f>
        <v>4</v>
      </c>
      <c r="M1511" s="1">
        <f>IF(AND(E1511=0,COUNTIFS($A$2:A1511,A1511,$E$2:E1511,0)=1),L1511,0)</f>
        <v>4</v>
      </c>
    </row>
    <row r="1512" spans="1:13" ht="15" customHeight="1">
      <c r="A1512" s="1">
        <v>7311</v>
      </c>
      <c r="B1512" s="1" t="s">
        <v>16</v>
      </c>
      <c r="C1512" s="2" t="s">
        <v>1770</v>
      </c>
      <c r="D1512" s="2" t="s">
        <v>1771</v>
      </c>
      <c r="E1512" s="1">
        <v>0</v>
      </c>
      <c r="F1512" s="2" t="s">
        <v>1773</v>
      </c>
      <c r="H1512" s="1" t="str">
        <f t="shared" si="24"/>
        <v/>
      </c>
      <c r="K1512" s="1">
        <f>IF(E1512=0,SUMPRODUCT(($A$2:$A$4734=A1512)*($B$2:$B$4734=B1512)*($D$2:$D$4734=D1512)*($E$2:$E$4734=0)),0)</f>
        <v>4</v>
      </c>
      <c r="L1512" s="1">
        <f>IF(E1512=0,SUMPRODUCT(MIN($K$2:$K$4734+((($A$2:$A$4734&lt;&gt;A1512)+($E$2:$E$4734&lt;&gt;0))&gt;0)*1000000)),"")</f>
        <v>4</v>
      </c>
      <c r="M1512" s="1">
        <f>IF(AND(E1512=0,COUNTIFS($A$2:A1512,A1512,$E$2:E1512,0)=1),L1512,0)</f>
        <v>0</v>
      </c>
    </row>
    <row r="1513" spans="1:13" ht="15" customHeight="1">
      <c r="A1513" s="1">
        <v>7311</v>
      </c>
      <c r="B1513" s="1" t="s">
        <v>16</v>
      </c>
      <c r="C1513" s="2" t="s">
        <v>1770</v>
      </c>
      <c r="D1513" s="2" t="s">
        <v>1771</v>
      </c>
      <c r="E1513" s="1">
        <v>0</v>
      </c>
      <c r="F1513" s="2" t="s">
        <v>1774</v>
      </c>
      <c r="H1513" s="1" t="str">
        <f t="shared" si="24"/>
        <v/>
      </c>
      <c r="K1513" s="1">
        <f>IF(E1513=0,SUMPRODUCT(($A$2:$A$4734=A1513)*($B$2:$B$4734=B1513)*($D$2:$D$4734=D1513)*($E$2:$E$4734=0)),0)</f>
        <v>4</v>
      </c>
      <c r="L1513" s="1">
        <f>IF(E1513=0,SUMPRODUCT(MIN($K$2:$K$4734+((($A$2:$A$4734&lt;&gt;A1513)+($E$2:$E$4734&lt;&gt;0))&gt;0)*1000000)),"")</f>
        <v>4</v>
      </c>
      <c r="M1513" s="1">
        <f>IF(AND(E1513=0,COUNTIFS($A$2:A1513,A1513,$E$2:E1513,0)=1),L1513,0)</f>
        <v>0</v>
      </c>
    </row>
    <row r="1514" spans="1:13" ht="15" customHeight="1">
      <c r="A1514" s="1">
        <v>7311</v>
      </c>
      <c r="B1514" s="1" t="s">
        <v>16</v>
      </c>
      <c r="C1514" s="2" t="s">
        <v>1770</v>
      </c>
      <c r="D1514" s="2" t="s">
        <v>1771</v>
      </c>
      <c r="E1514" s="1">
        <v>0</v>
      </c>
      <c r="F1514" s="2" t="s">
        <v>1775</v>
      </c>
      <c r="H1514" s="1" t="str">
        <f t="shared" si="24"/>
        <v/>
      </c>
      <c r="K1514" s="1">
        <f>IF(E1514=0,SUMPRODUCT(($A$2:$A$4734=A1514)*($B$2:$B$4734=B1514)*($D$2:$D$4734=D1514)*($E$2:$E$4734=0)),0)</f>
        <v>4</v>
      </c>
      <c r="L1514" s="1">
        <f>IF(E1514=0,SUMPRODUCT(MIN($K$2:$K$4734+((($A$2:$A$4734&lt;&gt;A1514)+($E$2:$E$4734&lt;&gt;0))&gt;0)*1000000)),"")</f>
        <v>4</v>
      </c>
      <c r="M1514" s="1">
        <f>IF(AND(E1514=0,COUNTIFS($A$2:A1514,A1514,$E$2:E1514,0)=1),L1514,0)</f>
        <v>0</v>
      </c>
    </row>
    <row r="1515" spans="1:13" ht="15" customHeight="1">
      <c r="A1515" s="1">
        <v>7311</v>
      </c>
      <c r="B1515" s="1" t="s">
        <v>9</v>
      </c>
      <c r="C1515" s="2" t="s">
        <v>1770</v>
      </c>
      <c r="D1515" s="2" t="s">
        <v>1776</v>
      </c>
      <c r="E1515" s="1">
        <v>0</v>
      </c>
      <c r="F1515" s="2" t="s">
        <v>1777</v>
      </c>
      <c r="H1515" s="1" t="str">
        <f t="shared" si="24"/>
        <v/>
      </c>
      <c r="K1515" s="1">
        <f>IF(E1515=0,SUMPRODUCT(($A$2:$A$4734=A1515)*($B$2:$B$4734=B1515)*($D$2:$D$4734=D1515)*($E$2:$E$4734=0)),0)</f>
        <v>5</v>
      </c>
      <c r="L1515" s="1">
        <f>IF(E1515=0,SUMPRODUCT(MIN($K$2:$K$4734+((($A$2:$A$4734&lt;&gt;A1515)+($E$2:$E$4734&lt;&gt;0))&gt;0)*1000000)),"")</f>
        <v>4</v>
      </c>
      <c r="M1515" s="1">
        <f>IF(AND(E1515=0,COUNTIFS($A$2:A1515,A1515,$E$2:E1515,0)=1),L1515,0)</f>
        <v>0</v>
      </c>
    </row>
    <row r="1516" spans="1:13" ht="15" customHeight="1">
      <c r="A1516" s="1">
        <v>7311</v>
      </c>
      <c r="B1516" s="1" t="s">
        <v>9</v>
      </c>
      <c r="C1516" s="2" t="s">
        <v>1770</v>
      </c>
      <c r="D1516" s="2" t="s">
        <v>1776</v>
      </c>
      <c r="E1516" s="1">
        <v>0</v>
      </c>
      <c r="F1516" s="2" t="s">
        <v>1778</v>
      </c>
      <c r="H1516" s="1" t="str">
        <f t="shared" si="24"/>
        <v/>
      </c>
      <c r="K1516" s="1">
        <f>IF(E1516=0,SUMPRODUCT(($A$2:$A$4734=A1516)*($B$2:$B$4734=B1516)*($D$2:$D$4734=D1516)*($E$2:$E$4734=0)),0)</f>
        <v>5</v>
      </c>
      <c r="L1516" s="1">
        <f>IF(E1516=0,SUMPRODUCT(MIN($K$2:$K$4734+((($A$2:$A$4734&lt;&gt;A1516)+($E$2:$E$4734&lt;&gt;0))&gt;0)*1000000)),"")</f>
        <v>4</v>
      </c>
      <c r="M1516" s="1">
        <f>IF(AND(E1516=0,COUNTIFS($A$2:A1516,A1516,$E$2:E1516,0)=1),L1516,0)</f>
        <v>0</v>
      </c>
    </row>
    <row r="1517" spans="1:13" ht="15" customHeight="1">
      <c r="A1517" s="1">
        <v>7311</v>
      </c>
      <c r="B1517" s="1" t="s">
        <v>9</v>
      </c>
      <c r="C1517" s="2" t="s">
        <v>1770</v>
      </c>
      <c r="D1517" s="2" t="s">
        <v>1776</v>
      </c>
      <c r="E1517" s="1">
        <v>0</v>
      </c>
      <c r="F1517" s="2" t="s">
        <v>1779</v>
      </c>
      <c r="H1517" s="1" t="str">
        <f t="shared" si="24"/>
        <v/>
      </c>
      <c r="K1517" s="1">
        <f>IF(E1517=0,SUMPRODUCT(($A$2:$A$4734=A1517)*($B$2:$B$4734=B1517)*($D$2:$D$4734=D1517)*($E$2:$E$4734=0)),0)</f>
        <v>5</v>
      </c>
      <c r="L1517" s="1">
        <f>IF(E1517=0,SUMPRODUCT(MIN($K$2:$K$4734+((($A$2:$A$4734&lt;&gt;A1517)+($E$2:$E$4734&lt;&gt;0))&gt;0)*1000000)),"")</f>
        <v>4</v>
      </c>
      <c r="M1517" s="1">
        <f>IF(AND(E1517=0,COUNTIFS($A$2:A1517,A1517,$E$2:E1517,0)=1),L1517,0)</f>
        <v>0</v>
      </c>
    </row>
    <row r="1518" spans="1:13" ht="15" customHeight="1">
      <c r="A1518" s="1">
        <v>7311</v>
      </c>
      <c r="B1518" s="1" t="s">
        <v>9</v>
      </c>
      <c r="C1518" s="2" t="s">
        <v>1770</v>
      </c>
      <c r="D1518" s="2" t="s">
        <v>1776</v>
      </c>
      <c r="E1518" s="1">
        <v>0</v>
      </c>
      <c r="F1518" s="2" t="s">
        <v>1780</v>
      </c>
      <c r="H1518" s="1" t="str">
        <f t="shared" si="24"/>
        <v/>
      </c>
      <c r="K1518" s="1">
        <f>IF(E1518=0,SUMPRODUCT(($A$2:$A$4734=A1518)*($B$2:$B$4734=B1518)*($D$2:$D$4734=D1518)*($E$2:$E$4734=0)),0)</f>
        <v>5</v>
      </c>
      <c r="L1518" s="1">
        <f>IF(E1518=0,SUMPRODUCT(MIN($K$2:$K$4734+((($A$2:$A$4734&lt;&gt;A1518)+($E$2:$E$4734&lt;&gt;0))&gt;0)*1000000)),"")</f>
        <v>4</v>
      </c>
      <c r="M1518" s="1">
        <f>IF(AND(E1518=0,COUNTIFS($A$2:A1518,A1518,$E$2:E1518,0)=1),L1518,0)</f>
        <v>0</v>
      </c>
    </row>
    <row r="1519" spans="1:13" ht="15" customHeight="1">
      <c r="A1519" s="1">
        <v>7311</v>
      </c>
      <c r="B1519" s="1" t="s">
        <v>9</v>
      </c>
      <c r="C1519" s="2" t="s">
        <v>1770</v>
      </c>
      <c r="D1519" s="2" t="s">
        <v>1776</v>
      </c>
      <c r="E1519" s="1">
        <v>0</v>
      </c>
      <c r="F1519" s="2" t="s">
        <v>1781</v>
      </c>
      <c r="H1519" s="1" t="str">
        <f t="shared" si="24"/>
        <v/>
      </c>
      <c r="K1519" s="1">
        <f>IF(E1519=0,SUMPRODUCT(($A$2:$A$4734=A1519)*($B$2:$B$4734=B1519)*($D$2:$D$4734=D1519)*($E$2:$E$4734=0)),0)</f>
        <v>5</v>
      </c>
      <c r="L1519" s="1">
        <f>IF(E1519=0,SUMPRODUCT(MIN($K$2:$K$4734+((($A$2:$A$4734&lt;&gt;A1519)+($E$2:$E$4734&lt;&gt;0))&gt;0)*1000000)),"")</f>
        <v>4</v>
      </c>
      <c r="M1519" s="1">
        <f>IF(AND(E1519=0,COUNTIFS($A$2:A1519,A1519,$E$2:E1519,0)=1),L1519,0)</f>
        <v>0</v>
      </c>
    </row>
    <row r="1520" spans="1:13" ht="15" customHeight="1">
      <c r="A1520" s="1">
        <v>7311</v>
      </c>
      <c r="B1520" s="1" t="s">
        <v>16</v>
      </c>
      <c r="C1520" s="2" t="s">
        <v>1770</v>
      </c>
      <c r="D1520" s="2" t="s">
        <v>1782</v>
      </c>
      <c r="E1520" s="1">
        <v>0</v>
      </c>
      <c r="F1520" s="2" t="s">
        <v>1783</v>
      </c>
      <c r="H1520" s="1" t="str">
        <f t="shared" si="24"/>
        <v/>
      </c>
      <c r="K1520" s="1">
        <f>IF(E1520=0,SUMPRODUCT(($A$2:$A$4734=A1520)*($B$2:$B$4734=B1520)*($D$2:$D$4734=D1520)*($E$2:$E$4734=0)),0)</f>
        <v>5</v>
      </c>
      <c r="L1520" s="1">
        <f>IF(E1520=0,SUMPRODUCT(MIN($K$2:$K$4734+((($A$2:$A$4734&lt;&gt;A1520)+($E$2:$E$4734&lt;&gt;0))&gt;0)*1000000)),"")</f>
        <v>4</v>
      </c>
      <c r="M1520" s="1">
        <f>IF(AND(E1520=0,COUNTIFS($A$2:A1520,A1520,$E$2:E1520,0)=1),L1520,0)</f>
        <v>0</v>
      </c>
    </row>
    <row r="1521" spans="1:13" ht="15" customHeight="1">
      <c r="A1521" s="1">
        <v>7311</v>
      </c>
      <c r="B1521" s="1" t="s">
        <v>16</v>
      </c>
      <c r="C1521" s="2" t="s">
        <v>1770</v>
      </c>
      <c r="D1521" s="2" t="s">
        <v>1782</v>
      </c>
      <c r="E1521" s="1">
        <v>0</v>
      </c>
      <c r="F1521" s="2" t="s">
        <v>1784</v>
      </c>
      <c r="H1521" s="1" t="str">
        <f t="shared" si="24"/>
        <v/>
      </c>
      <c r="K1521" s="1">
        <f>IF(E1521=0,SUMPRODUCT(($A$2:$A$4734=A1521)*($B$2:$B$4734=B1521)*($D$2:$D$4734=D1521)*($E$2:$E$4734=0)),0)</f>
        <v>5</v>
      </c>
      <c r="L1521" s="1">
        <f>IF(E1521=0,SUMPRODUCT(MIN($K$2:$K$4734+((($A$2:$A$4734&lt;&gt;A1521)+($E$2:$E$4734&lt;&gt;0))&gt;0)*1000000)),"")</f>
        <v>4</v>
      </c>
      <c r="M1521" s="1">
        <f>IF(AND(E1521=0,COUNTIFS($A$2:A1521,A1521,$E$2:E1521,0)=1),L1521,0)</f>
        <v>0</v>
      </c>
    </row>
    <row r="1522" spans="1:13" ht="15" customHeight="1">
      <c r="A1522" s="1">
        <v>7311</v>
      </c>
      <c r="B1522" s="1" t="s">
        <v>16</v>
      </c>
      <c r="C1522" s="2" t="s">
        <v>1770</v>
      </c>
      <c r="D1522" s="2" t="s">
        <v>1782</v>
      </c>
      <c r="E1522" s="1">
        <v>0</v>
      </c>
      <c r="F1522" s="2" t="s">
        <v>1785</v>
      </c>
      <c r="H1522" s="1" t="str">
        <f t="shared" si="24"/>
        <v/>
      </c>
      <c r="K1522" s="1">
        <f>IF(E1522=0,SUMPRODUCT(($A$2:$A$4734=A1522)*($B$2:$B$4734=B1522)*($D$2:$D$4734=D1522)*($E$2:$E$4734=0)),0)</f>
        <v>5</v>
      </c>
      <c r="L1522" s="1">
        <f>IF(E1522=0,SUMPRODUCT(MIN($K$2:$K$4734+((($A$2:$A$4734&lt;&gt;A1522)+($E$2:$E$4734&lt;&gt;0))&gt;0)*1000000)),"")</f>
        <v>4</v>
      </c>
      <c r="M1522" s="1">
        <f>IF(AND(E1522=0,COUNTIFS($A$2:A1522,A1522,$E$2:E1522,0)=1),L1522,0)</f>
        <v>0</v>
      </c>
    </row>
    <row r="1523" spans="1:13" ht="15" customHeight="1">
      <c r="A1523" s="1">
        <v>7311</v>
      </c>
      <c r="B1523" s="1" t="s">
        <v>16</v>
      </c>
      <c r="C1523" s="2" t="s">
        <v>1770</v>
      </c>
      <c r="D1523" s="2" t="s">
        <v>1782</v>
      </c>
      <c r="E1523" s="1">
        <v>0</v>
      </c>
      <c r="F1523" s="2" t="s">
        <v>1786</v>
      </c>
      <c r="H1523" s="1" t="str">
        <f t="shared" si="24"/>
        <v/>
      </c>
      <c r="K1523" s="1">
        <f>IF(E1523=0,SUMPRODUCT(($A$2:$A$4734=A1523)*($B$2:$B$4734=B1523)*($D$2:$D$4734=D1523)*($E$2:$E$4734=0)),0)</f>
        <v>5</v>
      </c>
      <c r="L1523" s="1">
        <f>IF(E1523=0,SUMPRODUCT(MIN($K$2:$K$4734+((($A$2:$A$4734&lt;&gt;A1523)+($E$2:$E$4734&lt;&gt;0))&gt;0)*1000000)),"")</f>
        <v>4</v>
      </c>
      <c r="M1523" s="1">
        <f>IF(AND(E1523=0,COUNTIFS($A$2:A1523,A1523,$E$2:E1523,0)=1),L1523,0)</f>
        <v>0</v>
      </c>
    </row>
    <row r="1524" spans="1:13" ht="15" customHeight="1">
      <c r="A1524" s="1">
        <v>7311</v>
      </c>
      <c r="B1524" s="1" t="s">
        <v>16</v>
      </c>
      <c r="C1524" s="2" t="s">
        <v>1770</v>
      </c>
      <c r="D1524" s="2" t="s">
        <v>1782</v>
      </c>
      <c r="E1524" s="1">
        <v>0</v>
      </c>
      <c r="F1524" s="2" t="s">
        <v>1787</v>
      </c>
      <c r="H1524" s="1" t="str">
        <f t="shared" si="24"/>
        <v/>
      </c>
      <c r="K1524" s="1">
        <f>IF(E1524=0,SUMPRODUCT(($A$2:$A$4734=A1524)*($B$2:$B$4734=B1524)*($D$2:$D$4734=D1524)*($E$2:$E$4734=0)),0)</f>
        <v>5</v>
      </c>
      <c r="L1524" s="1">
        <f>IF(E1524=0,SUMPRODUCT(MIN($K$2:$K$4734+((($A$2:$A$4734&lt;&gt;A1524)+($E$2:$E$4734&lt;&gt;0))&gt;0)*1000000)),"")</f>
        <v>4</v>
      </c>
      <c r="M1524" s="1">
        <f>IF(AND(E1524=0,COUNTIFS($A$2:A1524,A1524,$E$2:E1524,0)=1),L1524,0)</f>
        <v>0</v>
      </c>
    </row>
    <row r="1525" spans="1:13" ht="15" customHeight="1">
      <c r="A1525" s="1">
        <v>7313</v>
      </c>
      <c r="B1525" s="1" t="s">
        <v>16</v>
      </c>
      <c r="C1525" s="2" t="s">
        <v>1788</v>
      </c>
      <c r="D1525" s="2" t="s">
        <v>1789</v>
      </c>
      <c r="E1525" s="1">
        <v>1</v>
      </c>
      <c r="F1525" s="2" t="s">
        <v>1790</v>
      </c>
      <c r="G1525" s="1">
        <v>1</v>
      </c>
      <c r="H1525" s="1" t="str">
        <f t="shared" si="24"/>
        <v>k7313_1</v>
      </c>
      <c r="K1525" s="1">
        <f>IF(E1525=0,SUMPRODUCT(($A$2:$A$4734=A1525)*($B$2:$B$4734=B1525)*($D$2:$D$4734=D1525)*($E$2:$E$4734=0)),0)</f>
        <v>0</v>
      </c>
      <c r="L1525" s="1" t="str">
        <f>IF(E1525=0,SUMPRODUCT(MIN($K$2:$K$4734+((($A$2:$A$4734&lt;&gt;A1525)+($E$2:$E$4734&lt;&gt;0))&gt;0)*1000000)),"")</f>
        <v/>
      </c>
      <c r="M1525" s="1">
        <f>IF(AND(E1525=0,COUNTIFS($A$2:A1525,A1525,$E$2:E1525,0)=1),L1525,0)</f>
        <v>0</v>
      </c>
    </row>
    <row r="1526" spans="1:13" ht="15" customHeight="1">
      <c r="A1526" s="1">
        <v>7313</v>
      </c>
      <c r="B1526" s="1" t="s">
        <v>16</v>
      </c>
      <c r="C1526" s="2" t="s">
        <v>1788</v>
      </c>
      <c r="D1526" s="2" t="s">
        <v>1789</v>
      </c>
      <c r="E1526" s="1">
        <v>1</v>
      </c>
      <c r="F1526" s="2" t="s">
        <v>1791</v>
      </c>
      <c r="G1526" s="1">
        <v>2</v>
      </c>
      <c r="H1526" s="1" t="str">
        <f t="shared" si="24"/>
        <v>k7313_2</v>
      </c>
      <c r="K1526" s="1">
        <f>IF(E1526=0,SUMPRODUCT(($A$2:$A$4734=A1526)*($B$2:$B$4734=B1526)*($D$2:$D$4734=D1526)*($E$2:$E$4734=0)),0)</f>
        <v>0</v>
      </c>
      <c r="L1526" s="1" t="str">
        <f>IF(E1526=0,SUMPRODUCT(MIN($K$2:$K$4734+((($A$2:$A$4734&lt;&gt;A1526)+($E$2:$E$4734&lt;&gt;0))&gt;0)*1000000)),"")</f>
        <v/>
      </c>
      <c r="M1526" s="1">
        <f>IF(AND(E1526=0,COUNTIFS($A$2:A1526,A1526,$E$2:E1526,0)=1),L1526,0)</f>
        <v>0</v>
      </c>
    </row>
    <row r="1527" spans="1:13" ht="15" customHeight="1">
      <c r="A1527" s="1">
        <v>7313</v>
      </c>
      <c r="B1527" s="1" t="s">
        <v>16</v>
      </c>
      <c r="C1527" s="2" t="s">
        <v>1788</v>
      </c>
      <c r="D1527" s="2" t="s">
        <v>1789</v>
      </c>
      <c r="E1527" s="1">
        <v>1</v>
      </c>
      <c r="F1527" s="2" t="s">
        <v>1792</v>
      </c>
      <c r="G1527" s="1">
        <v>3</v>
      </c>
      <c r="H1527" s="1" t="str">
        <f t="shared" si="24"/>
        <v>k7313_3</v>
      </c>
      <c r="K1527" s="1">
        <f>IF(E1527=0,SUMPRODUCT(($A$2:$A$4734=A1527)*($B$2:$B$4734=B1527)*($D$2:$D$4734=D1527)*($E$2:$E$4734=0)),0)</f>
        <v>0</v>
      </c>
      <c r="L1527" s="1" t="str">
        <f>IF(E1527=0,SUMPRODUCT(MIN($K$2:$K$4734+((($A$2:$A$4734&lt;&gt;A1527)+($E$2:$E$4734&lt;&gt;0))&gt;0)*1000000)),"")</f>
        <v/>
      </c>
      <c r="M1527" s="1">
        <f>IF(AND(E1527=0,COUNTIFS($A$2:A1527,A1527,$E$2:E1527,0)=1),L1527,0)</f>
        <v>0</v>
      </c>
    </row>
    <row r="1528" spans="1:13" ht="15" customHeight="1">
      <c r="A1528" s="1">
        <v>7313</v>
      </c>
      <c r="B1528" s="1" t="s">
        <v>16</v>
      </c>
      <c r="C1528" s="2" t="s">
        <v>1788</v>
      </c>
      <c r="D1528" s="2" t="s">
        <v>1789</v>
      </c>
      <c r="E1528" s="1">
        <v>1</v>
      </c>
      <c r="F1528" s="2" t="s">
        <v>1793</v>
      </c>
      <c r="G1528" s="1">
        <v>4</v>
      </c>
      <c r="H1528" s="1" t="str">
        <f t="shared" si="24"/>
        <v>k7313_4</v>
      </c>
      <c r="K1528" s="1">
        <f>IF(E1528=0,SUMPRODUCT(($A$2:$A$4734=A1528)*($B$2:$B$4734=B1528)*($D$2:$D$4734=D1528)*($E$2:$E$4734=0)),0)</f>
        <v>0</v>
      </c>
      <c r="L1528" s="1" t="str">
        <f>IF(E1528=0,SUMPRODUCT(MIN($K$2:$K$4734+((($A$2:$A$4734&lt;&gt;A1528)+($E$2:$E$4734&lt;&gt;0))&gt;0)*1000000)),"")</f>
        <v/>
      </c>
      <c r="M1528" s="1">
        <f>IF(AND(E1528=0,COUNTIFS($A$2:A1528,A1528,$E$2:E1528,0)=1),L1528,0)</f>
        <v>0</v>
      </c>
    </row>
    <row r="1529" spans="1:13" ht="15" customHeight="1">
      <c r="A1529" s="1">
        <v>7313</v>
      </c>
      <c r="B1529" s="1" t="s">
        <v>16</v>
      </c>
      <c r="C1529" s="2" t="s">
        <v>1788</v>
      </c>
      <c r="D1529" s="2" t="s">
        <v>1789</v>
      </c>
      <c r="E1529" s="1">
        <v>1</v>
      </c>
      <c r="F1529" s="2" t="s">
        <v>1793</v>
      </c>
      <c r="G1529" s="1">
        <v>5</v>
      </c>
      <c r="H1529" s="1" t="str">
        <f t="shared" si="24"/>
        <v>k7313_5</v>
      </c>
      <c r="K1529" s="1">
        <f>IF(E1529=0,SUMPRODUCT(($A$2:$A$4734=A1529)*($B$2:$B$4734=B1529)*($D$2:$D$4734=D1529)*($E$2:$E$4734=0)),0)</f>
        <v>0</v>
      </c>
      <c r="L1529" s="1" t="str">
        <f>IF(E1529=0,SUMPRODUCT(MIN($K$2:$K$4734+((($A$2:$A$4734&lt;&gt;A1529)+($E$2:$E$4734&lt;&gt;0))&gt;0)*1000000)),"")</f>
        <v/>
      </c>
      <c r="M1529" s="1">
        <f>IF(AND(E1529=0,COUNTIFS($A$2:A1529,A1529,$E$2:E1529,0)=1),L1529,0)</f>
        <v>0</v>
      </c>
    </row>
    <row r="1530" spans="1:13" ht="15" customHeight="1">
      <c r="A1530" s="1">
        <v>7313</v>
      </c>
      <c r="B1530" s="1" t="s">
        <v>16</v>
      </c>
      <c r="C1530" s="2" t="s">
        <v>1788</v>
      </c>
      <c r="D1530" s="2" t="s">
        <v>1380</v>
      </c>
      <c r="E1530" s="1">
        <v>1</v>
      </c>
      <c r="F1530" s="2" t="s">
        <v>1794</v>
      </c>
      <c r="G1530" s="1">
        <v>1</v>
      </c>
      <c r="H1530" s="1" t="str">
        <f t="shared" si="24"/>
        <v>k7313_1</v>
      </c>
      <c r="K1530" s="1">
        <f>IF(E1530=0,SUMPRODUCT(($A$2:$A$4734=A1530)*($B$2:$B$4734=B1530)*($D$2:$D$4734=D1530)*($E$2:$E$4734=0)),0)</f>
        <v>0</v>
      </c>
      <c r="L1530" s="1" t="str">
        <f>IF(E1530=0,SUMPRODUCT(MIN($K$2:$K$4734+((($A$2:$A$4734&lt;&gt;A1530)+($E$2:$E$4734&lt;&gt;0))&gt;0)*1000000)),"")</f>
        <v/>
      </c>
      <c r="M1530" s="1">
        <f>IF(AND(E1530=0,COUNTIFS($A$2:A1530,A1530,$E$2:E1530,0)=1),L1530,0)</f>
        <v>0</v>
      </c>
    </row>
    <row r="1531" spans="1:13" ht="15" customHeight="1">
      <c r="A1531" s="1">
        <v>7313</v>
      </c>
      <c r="B1531" s="1" t="s">
        <v>16</v>
      </c>
      <c r="C1531" s="2" t="s">
        <v>1788</v>
      </c>
      <c r="D1531" s="2" t="s">
        <v>1380</v>
      </c>
      <c r="E1531" s="1">
        <v>1</v>
      </c>
      <c r="F1531" s="2" t="s">
        <v>1795</v>
      </c>
      <c r="G1531" s="1">
        <v>2</v>
      </c>
      <c r="H1531" s="1" t="str">
        <f t="shared" si="24"/>
        <v>k7313_2</v>
      </c>
      <c r="K1531" s="1">
        <f>IF(E1531=0,SUMPRODUCT(($A$2:$A$4734=A1531)*($B$2:$B$4734=B1531)*($D$2:$D$4734=D1531)*($E$2:$E$4734=0)),0)</f>
        <v>0</v>
      </c>
      <c r="L1531" s="1" t="str">
        <f>IF(E1531=0,SUMPRODUCT(MIN($K$2:$K$4734+((($A$2:$A$4734&lt;&gt;A1531)+($E$2:$E$4734&lt;&gt;0))&gt;0)*1000000)),"")</f>
        <v/>
      </c>
      <c r="M1531" s="1">
        <f>IF(AND(E1531=0,COUNTIFS($A$2:A1531,A1531,$E$2:E1531,0)=1),L1531,0)</f>
        <v>0</v>
      </c>
    </row>
    <row r="1532" spans="1:13" ht="15" customHeight="1">
      <c r="A1532" s="1">
        <v>7313</v>
      </c>
      <c r="B1532" s="1" t="s">
        <v>16</v>
      </c>
      <c r="C1532" s="2" t="s">
        <v>1788</v>
      </c>
      <c r="D1532" s="2" t="s">
        <v>1380</v>
      </c>
      <c r="E1532" s="1">
        <v>1</v>
      </c>
      <c r="F1532" s="2" t="s">
        <v>1796</v>
      </c>
      <c r="G1532" s="1">
        <v>3</v>
      </c>
      <c r="H1532" s="1" t="str">
        <f t="shared" si="24"/>
        <v>k7313_3</v>
      </c>
      <c r="K1532" s="1">
        <f>IF(E1532=0,SUMPRODUCT(($A$2:$A$4734=A1532)*($B$2:$B$4734=B1532)*($D$2:$D$4734=D1532)*($E$2:$E$4734=0)),0)</f>
        <v>0</v>
      </c>
      <c r="L1532" s="1" t="str">
        <f>IF(E1532=0,SUMPRODUCT(MIN($K$2:$K$4734+((($A$2:$A$4734&lt;&gt;A1532)+($E$2:$E$4734&lt;&gt;0))&gt;0)*1000000)),"")</f>
        <v/>
      </c>
      <c r="M1532" s="1">
        <f>IF(AND(E1532=0,COUNTIFS($A$2:A1532,A1532,$E$2:E1532,0)=1),L1532,0)</f>
        <v>0</v>
      </c>
    </row>
    <row r="1533" spans="1:13" ht="15" customHeight="1">
      <c r="A1533" s="1">
        <v>7313</v>
      </c>
      <c r="B1533" s="1" t="s">
        <v>16</v>
      </c>
      <c r="C1533" s="2" t="s">
        <v>1788</v>
      </c>
      <c r="D1533" s="2" t="s">
        <v>1380</v>
      </c>
      <c r="E1533" s="1">
        <v>1</v>
      </c>
      <c r="F1533" s="2" t="s">
        <v>1797</v>
      </c>
      <c r="G1533" s="1">
        <v>4</v>
      </c>
      <c r="H1533" s="1" t="str">
        <f t="shared" si="24"/>
        <v>k7313_4</v>
      </c>
      <c r="K1533" s="1">
        <f>IF(E1533=0,SUMPRODUCT(($A$2:$A$4734=A1533)*($B$2:$B$4734=B1533)*($D$2:$D$4734=D1533)*($E$2:$E$4734=0)),0)</f>
        <v>0</v>
      </c>
      <c r="L1533" s="1" t="str">
        <f>IF(E1533=0,SUMPRODUCT(MIN($K$2:$K$4734+((($A$2:$A$4734&lt;&gt;A1533)+($E$2:$E$4734&lt;&gt;0))&gt;0)*1000000)),"")</f>
        <v/>
      </c>
      <c r="M1533" s="1">
        <f>IF(AND(E1533=0,COUNTIFS($A$2:A1533,A1533,$E$2:E1533,0)=1),L1533,0)</f>
        <v>0</v>
      </c>
    </row>
    <row r="1534" spans="1:13" ht="15" customHeight="1">
      <c r="A1534" s="1">
        <v>7313</v>
      </c>
      <c r="B1534" s="1" t="s">
        <v>16</v>
      </c>
      <c r="C1534" s="2" t="s">
        <v>1788</v>
      </c>
      <c r="D1534" s="2" t="s">
        <v>1380</v>
      </c>
      <c r="E1534" s="1">
        <v>1</v>
      </c>
      <c r="F1534" s="2" t="s">
        <v>1798</v>
      </c>
      <c r="G1534" s="1">
        <v>5</v>
      </c>
      <c r="H1534" s="1" t="str">
        <f t="shared" si="24"/>
        <v>k7313_5</v>
      </c>
      <c r="K1534" s="1">
        <f>IF(E1534=0,SUMPRODUCT(($A$2:$A$4734=A1534)*($B$2:$B$4734=B1534)*($D$2:$D$4734=D1534)*($E$2:$E$4734=0)),0)</f>
        <v>0</v>
      </c>
      <c r="L1534" s="1" t="str">
        <f>IF(E1534=0,SUMPRODUCT(MIN($K$2:$K$4734+((($A$2:$A$4734&lt;&gt;A1534)+($E$2:$E$4734&lt;&gt;0))&gt;0)*1000000)),"")</f>
        <v/>
      </c>
      <c r="M1534" s="1">
        <f>IF(AND(E1534=0,COUNTIFS($A$2:A1534,A1534,$E$2:E1534,0)=1),L1534,0)</f>
        <v>0</v>
      </c>
    </row>
    <row r="1535" spans="1:13" ht="15" customHeight="1">
      <c r="A1535" s="1">
        <v>7313</v>
      </c>
      <c r="B1535" s="1" t="s">
        <v>69</v>
      </c>
      <c r="C1535" s="2" t="s">
        <v>1788</v>
      </c>
      <c r="D1535" s="2" t="s">
        <v>1799</v>
      </c>
      <c r="E1535" s="1">
        <v>1</v>
      </c>
      <c r="F1535" s="2" t="s">
        <v>1800</v>
      </c>
      <c r="G1535" s="1">
        <v>1</v>
      </c>
      <c r="H1535" s="1" t="str">
        <f t="shared" si="24"/>
        <v>k7313_1</v>
      </c>
      <c r="K1535" s="1">
        <f>IF(E1535=0,SUMPRODUCT(($A$2:$A$4734=A1535)*($B$2:$B$4734=B1535)*($D$2:$D$4734=D1535)*($E$2:$E$4734=0)),0)</f>
        <v>0</v>
      </c>
      <c r="L1535" s="1" t="str">
        <f>IF(E1535=0,SUMPRODUCT(MIN($K$2:$K$4734+((($A$2:$A$4734&lt;&gt;A1535)+($E$2:$E$4734&lt;&gt;0))&gt;0)*1000000)),"")</f>
        <v/>
      </c>
      <c r="M1535" s="1">
        <f>IF(AND(E1535=0,COUNTIFS($A$2:A1535,A1535,$E$2:E1535,0)=1),L1535,0)</f>
        <v>0</v>
      </c>
    </row>
    <row r="1536" spans="1:13" ht="15" customHeight="1">
      <c r="A1536" s="1">
        <v>7313</v>
      </c>
      <c r="B1536" s="1" t="s">
        <v>69</v>
      </c>
      <c r="C1536" s="2" t="s">
        <v>1788</v>
      </c>
      <c r="D1536" s="2" t="s">
        <v>1799</v>
      </c>
      <c r="E1536" s="1">
        <v>1</v>
      </c>
      <c r="F1536" s="2" t="s">
        <v>1801</v>
      </c>
      <c r="G1536" s="1">
        <v>2</v>
      </c>
      <c r="H1536" s="1" t="str">
        <f t="shared" si="24"/>
        <v>k7313_2</v>
      </c>
      <c r="K1536" s="1">
        <f>IF(E1536=0,SUMPRODUCT(($A$2:$A$4734=A1536)*($B$2:$B$4734=B1536)*($D$2:$D$4734=D1536)*($E$2:$E$4734=0)),0)</f>
        <v>0</v>
      </c>
      <c r="L1536" s="1" t="str">
        <f>IF(E1536=0,SUMPRODUCT(MIN($K$2:$K$4734+((($A$2:$A$4734&lt;&gt;A1536)+($E$2:$E$4734&lt;&gt;0))&gt;0)*1000000)),"")</f>
        <v/>
      </c>
      <c r="M1536" s="1">
        <f>IF(AND(E1536=0,COUNTIFS($A$2:A1536,A1536,$E$2:E1536,0)=1),L1536,0)</f>
        <v>0</v>
      </c>
    </row>
    <row r="1537" spans="1:13" ht="15" customHeight="1">
      <c r="A1537" s="1">
        <v>7313</v>
      </c>
      <c r="B1537" s="1" t="s">
        <v>69</v>
      </c>
      <c r="C1537" s="2" t="s">
        <v>1788</v>
      </c>
      <c r="D1537" s="2" t="s">
        <v>1799</v>
      </c>
      <c r="E1537" s="1">
        <v>1</v>
      </c>
      <c r="F1537" s="2" t="s">
        <v>1802</v>
      </c>
      <c r="G1537" s="1">
        <v>3</v>
      </c>
      <c r="H1537" s="1" t="str">
        <f t="shared" si="24"/>
        <v>k7313_3</v>
      </c>
      <c r="K1537" s="1">
        <f>IF(E1537=0,SUMPRODUCT(($A$2:$A$4734=A1537)*($B$2:$B$4734=B1537)*($D$2:$D$4734=D1537)*($E$2:$E$4734=0)),0)</f>
        <v>0</v>
      </c>
      <c r="L1537" s="1" t="str">
        <f>IF(E1537=0,SUMPRODUCT(MIN($K$2:$K$4734+((($A$2:$A$4734&lt;&gt;A1537)+($E$2:$E$4734&lt;&gt;0))&gt;0)*1000000)),"")</f>
        <v/>
      </c>
      <c r="M1537" s="1">
        <f>IF(AND(E1537=0,COUNTIFS($A$2:A1537,A1537,$E$2:E1537,0)=1),L1537,0)</f>
        <v>0</v>
      </c>
    </row>
    <row r="1538" spans="1:13" ht="15" customHeight="1">
      <c r="A1538" s="1">
        <v>7313</v>
      </c>
      <c r="B1538" s="1" t="s">
        <v>69</v>
      </c>
      <c r="C1538" s="2" t="s">
        <v>1788</v>
      </c>
      <c r="D1538" s="2" t="s">
        <v>1799</v>
      </c>
      <c r="E1538" s="1">
        <v>1</v>
      </c>
      <c r="F1538" s="2" t="s">
        <v>1803</v>
      </c>
      <c r="G1538" s="1">
        <v>4</v>
      </c>
      <c r="H1538" s="1" t="str">
        <f t="shared" si="24"/>
        <v>k7313_4</v>
      </c>
      <c r="K1538" s="1">
        <f>IF(E1538=0,SUMPRODUCT(($A$2:$A$4734=A1538)*($B$2:$B$4734=B1538)*($D$2:$D$4734=D1538)*($E$2:$E$4734=0)),0)</f>
        <v>0</v>
      </c>
      <c r="L1538" s="1" t="str">
        <f>IF(E1538=0,SUMPRODUCT(MIN($K$2:$K$4734+((($A$2:$A$4734&lt;&gt;A1538)+($E$2:$E$4734&lt;&gt;0))&gt;0)*1000000)),"")</f>
        <v/>
      </c>
      <c r="M1538" s="1">
        <f>IF(AND(E1538=0,COUNTIFS($A$2:A1538,A1538,$E$2:E1538,0)=1),L1538,0)</f>
        <v>0</v>
      </c>
    </row>
    <row r="1539" spans="1:13" ht="15" customHeight="1">
      <c r="A1539" s="1">
        <v>7313</v>
      </c>
      <c r="B1539" s="1" t="s">
        <v>69</v>
      </c>
      <c r="C1539" s="2" t="s">
        <v>1788</v>
      </c>
      <c r="D1539" s="2" t="s">
        <v>1799</v>
      </c>
      <c r="E1539" s="1">
        <v>1</v>
      </c>
      <c r="F1539" s="2" t="s">
        <v>1804</v>
      </c>
      <c r="G1539" s="1">
        <v>5</v>
      </c>
      <c r="H1539" s="1" t="str">
        <f t="shared" si="24"/>
        <v>k7313_5</v>
      </c>
      <c r="K1539" s="1">
        <f>IF(E1539=0,SUMPRODUCT(($A$2:$A$4734=A1539)*($B$2:$B$4734=B1539)*($D$2:$D$4734=D1539)*($E$2:$E$4734=0)),0)</f>
        <v>0</v>
      </c>
      <c r="L1539" s="1" t="str">
        <f>IF(E1539=0,SUMPRODUCT(MIN($K$2:$K$4734+((($A$2:$A$4734&lt;&gt;A1539)+($E$2:$E$4734&lt;&gt;0))&gt;0)*1000000)),"")</f>
        <v/>
      </c>
      <c r="M1539" s="1">
        <f>IF(AND(E1539=0,COUNTIFS($A$2:A1539,A1539,$E$2:E1539,0)=1),L1539,0)</f>
        <v>0</v>
      </c>
    </row>
    <row r="1540" spans="1:13" ht="15" customHeight="1">
      <c r="A1540" s="1">
        <v>7314</v>
      </c>
      <c r="B1540" s="1" t="s">
        <v>9</v>
      </c>
      <c r="C1540" s="2" t="s">
        <v>1805</v>
      </c>
      <c r="D1540" s="2" t="s">
        <v>1806</v>
      </c>
      <c r="E1540" s="1">
        <v>1</v>
      </c>
      <c r="F1540" s="2" t="s">
        <v>1807</v>
      </c>
      <c r="G1540" s="1">
        <v>1</v>
      </c>
      <c r="H1540" s="1" t="str">
        <f t="shared" si="24"/>
        <v>k7314_1</v>
      </c>
      <c r="K1540" s="1">
        <f>IF(E1540=0,SUMPRODUCT(($A$2:$A$4734=A1540)*($B$2:$B$4734=B1540)*($D$2:$D$4734=D1540)*($E$2:$E$4734=0)),0)</f>
        <v>0</v>
      </c>
      <c r="L1540" s="1" t="str">
        <f>IF(E1540=0,SUMPRODUCT(MIN($K$2:$K$4734+((($A$2:$A$4734&lt;&gt;A1540)+($E$2:$E$4734&lt;&gt;0))&gt;0)*1000000)),"")</f>
        <v/>
      </c>
      <c r="M1540" s="1">
        <f>IF(AND(E1540=0,COUNTIFS($A$2:A1540,A1540,$E$2:E1540,0)=1),L1540,0)</f>
        <v>0</v>
      </c>
    </row>
    <row r="1541" spans="1:13" ht="15" customHeight="1">
      <c r="A1541" s="1">
        <v>7314</v>
      </c>
      <c r="B1541" s="1" t="s">
        <v>9</v>
      </c>
      <c r="C1541" s="2" t="s">
        <v>1805</v>
      </c>
      <c r="D1541" s="2" t="s">
        <v>1806</v>
      </c>
      <c r="E1541" s="1">
        <v>1</v>
      </c>
      <c r="F1541" s="2" t="s">
        <v>1808</v>
      </c>
      <c r="G1541" s="1">
        <v>2</v>
      </c>
      <c r="H1541" s="1" t="str">
        <f t="shared" si="24"/>
        <v>k7314_2</v>
      </c>
      <c r="K1541" s="1">
        <f>IF(E1541=0,SUMPRODUCT(($A$2:$A$4734=A1541)*($B$2:$B$4734=B1541)*($D$2:$D$4734=D1541)*($E$2:$E$4734=0)),0)</f>
        <v>0</v>
      </c>
      <c r="L1541" s="1" t="str">
        <f>IF(E1541=0,SUMPRODUCT(MIN($K$2:$K$4734+((($A$2:$A$4734&lt;&gt;A1541)+($E$2:$E$4734&lt;&gt;0))&gt;0)*1000000)),"")</f>
        <v/>
      </c>
      <c r="M1541" s="1">
        <f>IF(AND(E1541=0,COUNTIFS($A$2:A1541,A1541,$E$2:E1541,0)=1),L1541,0)</f>
        <v>0</v>
      </c>
    </row>
    <row r="1542" spans="1:13" ht="15" customHeight="1">
      <c r="A1542" s="1">
        <v>7314</v>
      </c>
      <c r="B1542" s="1" t="s">
        <v>9</v>
      </c>
      <c r="C1542" s="2" t="s">
        <v>1805</v>
      </c>
      <c r="D1542" s="2" t="s">
        <v>1806</v>
      </c>
      <c r="E1542" s="1">
        <v>1</v>
      </c>
      <c r="F1542" s="2" t="s">
        <v>1808</v>
      </c>
      <c r="G1542" s="1">
        <v>3</v>
      </c>
      <c r="H1542" s="1" t="str">
        <f t="shared" si="24"/>
        <v>k7314_3</v>
      </c>
      <c r="K1542" s="1">
        <f>IF(E1542=0,SUMPRODUCT(($A$2:$A$4734=A1542)*($B$2:$B$4734=B1542)*($D$2:$D$4734=D1542)*($E$2:$E$4734=0)),0)</f>
        <v>0</v>
      </c>
      <c r="L1542" s="1" t="str">
        <f>IF(E1542=0,SUMPRODUCT(MIN($K$2:$K$4734+((($A$2:$A$4734&lt;&gt;A1542)+($E$2:$E$4734&lt;&gt;0))&gt;0)*1000000)),"")</f>
        <v/>
      </c>
      <c r="M1542" s="1">
        <f>IF(AND(E1542=0,COUNTIFS($A$2:A1542,A1542,$E$2:E1542,0)=1),L1542,0)</f>
        <v>0</v>
      </c>
    </row>
    <row r="1543" spans="1:13" ht="15" customHeight="1">
      <c r="A1543" s="1">
        <v>7314</v>
      </c>
      <c r="B1543" s="1" t="s">
        <v>9</v>
      </c>
      <c r="C1543" s="2" t="s">
        <v>1805</v>
      </c>
      <c r="D1543" s="2" t="s">
        <v>1806</v>
      </c>
      <c r="E1543" s="1">
        <v>1</v>
      </c>
      <c r="F1543" s="2" t="s">
        <v>1809</v>
      </c>
      <c r="G1543" s="1">
        <v>4</v>
      </c>
      <c r="H1543" s="1" t="str">
        <f t="shared" si="24"/>
        <v>k7314_4</v>
      </c>
      <c r="K1543" s="1">
        <f>IF(E1543=0,SUMPRODUCT(($A$2:$A$4734=A1543)*($B$2:$B$4734=B1543)*($D$2:$D$4734=D1543)*($E$2:$E$4734=0)),0)</f>
        <v>0</v>
      </c>
      <c r="L1543" s="1" t="str">
        <f>IF(E1543=0,SUMPRODUCT(MIN($K$2:$K$4734+((($A$2:$A$4734&lt;&gt;A1543)+($E$2:$E$4734&lt;&gt;0))&gt;0)*1000000)),"")</f>
        <v/>
      </c>
      <c r="M1543" s="1">
        <f>IF(AND(E1543=0,COUNTIFS($A$2:A1543,A1543,$E$2:E1543,0)=1),L1543,0)</f>
        <v>0</v>
      </c>
    </row>
    <row r="1544" spans="1:13" ht="15" customHeight="1">
      <c r="A1544" s="1">
        <v>7314</v>
      </c>
      <c r="B1544" s="1" t="s">
        <v>9</v>
      </c>
      <c r="C1544" s="2" t="s">
        <v>1805</v>
      </c>
      <c r="D1544" s="2" t="s">
        <v>1806</v>
      </c>
      <c r="E1544" s="1">
        <v>1</v>
      </c>
      <c r="F1544" s="2" t="s">
        <v>1810</v>
      </c>
      <c r="G1544" s="1">
        <v>5</v>
      </c>
      <c r="H1544" s="1" t="str">
        <f t="shared" si="24"/>
        <v>k7314_5</v>
      </c>
      <c r="K1544" s="1">
        <f>IF(E1544=0,SUMPRODUCT(($A$2:$A$4734=A1544)*($B$2:$B$4734=B1544)*($D$2:$D$4734=D1544)*($E$2:$E$4734=0)),0)</f>
        <v>0</v>
      </c>
      <c r="L1544" s="1" t="str">
        <f>IF(E1544=0,SUMPRODUCT(MIN($K$2:$K$4734+((($A$2:$A$4734&lt;&gt;A1544)+($E$2:$E$4734&lt;&gt;0))&gt;0)*1000000)),"")</f>
        <v/>
      </c>
      <c r="M1544" s="1">
        <f>IF(AND(E1544=0,COUNTIFS($A$2:A1544,A1544,$E$2:E1544,0)=1),L1544,0)</f>
        <v>0</v>
      </c>
    </row>
    <row r="1545" spans="1:13" ht="15" customHeight="1">
      <c r="A1545" s="1">
        <v>7314</v>
      </c>
      <c r="B1545" s="1" t="s">
        <v>16</v>
      </c>
      <c r="C1545" s="2" t="s">
        <v>1805</v>
      </c>
      <c r="D1545" s="2" t="s">
        <v>1811</v>
      </c>
      <c r="E1545" s="1">
        <v>1</v>
      </c>
      <c r="F1545" s="2" t="s">
        <v>1812</v>
      </c>
      <c r="G1545" s="1">
        <v>1</v>
      </c>
      <c r="H1545" s="1" t="str">
        <f t="shared" si="24"/>
        <v>k7314_1</v>
      </c>
      <c r="K1545" s="1">
        <f>IF(E1545=0,SUMPRODUCT(($A$2:$A$4734=A1545)*($B$2:$B$4734=B1545)*($D$2:$D$4734=D1545)*($E$2:$E$4734=0)),0)</f>
        <v>0</v>
      </c>
      <c r="L1545" s="1" t="str">
        <f>IF(E1545=0,SUMPRODUCT(MIN($K$2:$K$4734+((($A$2:$A$4734&lt;&gt;A1545)+($E$2:$E$4734&lt;&gt;0))&gt;0)*1000000)),"")</f>
        <v/>
      </c>
      <c r="M1545" s="1">
        <f>IF(AND(E1545=0,COUNTIFS($A$2:A1545,A1545,$E$2:E1545,0)=1),L1545,0)</f>
        <v>0</v>
      </c>
    </row>
    <row r="1546" spans="1:13" ht="15" customHeight="1">
      <c r="A1546" s="1">
        <v>7314</v>
      </c>
      <c r="B1546" s="1" t="s">
        <v>16</v>
      </c>
      <c r="C1546" s="2" t="s">
        <v>1805</v>
      </c>
      <c r="D1546" s="2" t="s">
        <v>1811</v>
      </c>
      <c r="E1546" s="1">
        <v>1</v>
      </c>
      <c r="F1546" s="2" t="s">
        <v>1813</v>
      </c>
      <c r="G1546" s="1">
        <v>2</v>
      </c>
      <c r="H1546" s="1" t="str">
        <f t="shared" si="24"/>
        <v>k7314_2</v>
      </c>
      <c r="K1546" s="1">
        <f>IF(E1546=0,SUMPRODUCT(($A$2:$A$4734=A1546)*($B$2:$B$4734=B1546)*($D$2:$D$4734=D1546)*($E$2:$E$4734=0)),0)</f>
        <v>0</v>
      </c>
      <c r="L1546" s="1" t="str">
        <f>IF(E1546=0,SUMPRODUCT(MIN($K$2:$K$4734+((($A$2:$A$4734&lt;&gt;A1546)+($E$2:$E$4734&lt;&gt;0))&gt;0)*1000000)),"")</f>
        <v/>
      </c>
      <c r="M1546" s="1">
        <f>IF(AND(E1546=0,COUNTIFS($A$2:A1546,A1546,$E$2:E1546,0)=1),L1546,0)</f>
        <v>0</v>
      </c>
    </row>
    <row r="1547" spans="1:13" ht="15" customHeight="1">
      <c r="A1547" s="1">
        <v>7314</v>
      </c>
      <c r="B1547" s="1" t="s">
        <v>16</v>
      </c>
      <c r="C1547" s="2" t="s">
        <v>1805</v>
      </c>
      <c r="D1547" s="2" t="s">
        <v>1811</v>
      </c>
      <c r="E1547" s="1">
        <v>1</v>
      </c>
      <c r="F1547" s="2" t="s">
        <v>1813</v>
      </c>
      <c r="G1547" s="1">
        <v>3</v>
      </c>
      <c r="H1547" s="1" t="str">
        <f t="shared" si="24"/>
        <v>k7314_3</v>
      </c>
      <c r="K1547" s="1">
        <f>IF(E1547=0,SUMPRODUCT(($A$2:$A$4734=A1547)*($B$2:$B$4734=B1547)*($D$2:$D$4734=D1547)*($E$2:$E$4734=0)),0)</f>
        <v>0</v>
      </c>
      <c r="L1547" s="1" t="str">
        <f>IF(E1547=0,SUMPRODUCT(MIN($K$2:$K$4734+((($A$2:$A$4734&lt;&gt;A1547)+($E$2:$E$4734&lt;&gt;0))&gt;0)*1000000)),"")</f>
        <v/>
      </c>
      <c r="M1547" s="1">
        <f>IF(AND(E1547=0,COUNTIFS($A$2:A1547,A1547,$E$2:E1547,0)=1),L1547,0)</f>
        <v>0</v>
      </c>
    </row>
    <row r="1548" spans="1:13" ht="15" customHeight="1">
      <c r="A1548" s="1">
        <v>7314</v>
      </c>
      <c r="B1548" s="1" t="s">
        <v>16</v>
      </c>
      <c r="C1548" s="2" t="s">
        <v>1805</v>
      </c>
      <c r="D1548" s="2" t="s">
        <v>1811</v>
      </c>
      <c r="E1548" s="1">
        <v>1</v>
      </c>
      <c r="F1548" s="2" t="s">
        <v>1814</v>
      </c>
      <c r="G1548" s="1">
        <v>4</v>
      </c>
      <c r="H1548" s="1" t="str">
        <f t="shared" si="24"/>
        <v>k7314_4</v>
      </c>
      <c r="K1548" s="1">
        <f>IF(E1548=0,SUMPRODUCT(($A$2:$A$4734=A1548)*($B$2:$B$4734=B1548)*($D$2:$D$4734=D1548)*($E$2:$E$4734=0)),0)</f>
        <v>0</v>
      </c>
      <c r="L1548" s="1" t="str">
        <f>IF(E1548=0,SUMPRODUCT(MIN($K$2:$K$4734+((($A$2:$A$4734&lt;&gt;A1548)+($E$2:$E$4734&lt;&gt;0))&gt;0)*1000000)),"")</f>
        <v/>
      </c>
      <c r="M1548" s="1">
        <f>IF(AND(E1548=0,COUNTIFS($A$2:A1548,A1548,$E$2:E1548,0)=1),L1548,0)</f>
        <v>0</v>
      </c>
    </row>
    <row r="1549" spans="1:13" ht="15" customHeight="1">
      <c r="A1549" s="1">
        <v>7314</v>
      </c>
      <c r="B1549" s="1" t="s">
        <v>16</v>
      </c>
      <c r="C1549" s="2" t="s">
        <v>1805</v>
      </c>
      <c r="D1549" s="2" t="s">
        <v>1811</v>
      </c>
      <c r="E1549" s="1">
        <v>1</v>
      </c>
      <c r="F1549" s="2" t="s">
        <v>1815</v>
      </c>
      <c r="G1549" s="1">
        <v>5</v>
      </c>
      <c r="H1549" s="1" t="str">
        <f t="shared" si="24"/>
        <v>k7314_5</v>
      </c>
      <c r="K1549" s="1">
        <f>IF(E1549=0,SUMPRODUCT(($A$2:$A$4734=A1549)*($B$2:$B$4734=B1549)*($D$2:$D$4734=D1549)*($E$2:$E$4734=0)),0)</f>
        <v>0</v>
      </c>
      <c r="L1549" s="1" t="str">
        <f>IF(E1549=0,SUMPRODUCT(MIN($K$2:$K$4734+((($A$2:$A$4734&lt;&gt;A1549)+($E$2:$E$4734&lt;&gt;0))&gt;0)*1000000)),"")</f>
        <v/>
      </c>
      <c r="M1549" s="1">
        <f>IF(AND(E1549=0,COUNTIFS($A$2:A1549,A1549,$E$2:E1549,0)=1),L1549,0)</f>
        <v>0</v>
      </c>
    </row>
    <row r="1550" spans="1:13" ht="15" customHeight="1">
      <c r="A1550" s="1">
        <v>7314</v>
      </c>
      <c r="B1550" s="1" t="s">
        <v>173</v>
      </c>
      <c r="C1550" s="2" t="s">
        <v>1805</v>
      </c>
      <c r="D1550" s="2" t="s">
        <v>1805</v>
      </c>
      <c r="E1550" s="1">
        <v>1</v>
      </c>
      <c r="F1550" s="2" t="s">
        <v>1816</v>
      </c>
      <c r="G1550" s="1">
        <v>1</v>
      </c>
      <c r="H1550" s="1" t="str">
        <f t="shared" si="24"/>
        <v>k7314_1</v>
      </c>
      <c r="K1550" s="1">
        <f>IF(E1550=0,SUMPRODUCT(($A$2:$A$4734=A1550)*($B$2:$B$4734=B1550)*($D$2:$D$4734=D1550)*($E$2:$E$4734=0)),0)</f>
        <v>0</v>
      </c>
      <c r="L1550" s="1" t="str">
        <f>IF(E1550=0,SUMPRODUCT(MIN($K$2:$K$4734+((($A$2:$A$4734&lt;&gt;A1550)+($E$2:$E$4734&lt;&gt;0))&gt;0)*1000000)),"")</f>
        <v/>
      </c>
      <c r="M1550" s="1">
        <f>IF(AND(E1550=0,COUNTIFS($A$2:A1550,A1550,$E$2:E1550,0)=1),L1550,0)</f>
        <v>0</v>
      </c>
    </row>
    <row r="1551" spans="1:13" ht="15" customHeight="1">
      <c r="A1551" s="1">
        <v>7314</v>
      </c>
      <c r="B1551" s="1" t="s">
        <v>173</v>
      </c>
      <c r="C1551" s="2" t="s">
        <v>1805</v>
      </c>
      <c r="D1551" s="2" t="s">
        <v>1805</v>
      </c>
      <c r="E1551" s="1">
        <v>1</v>
      </c>
      <c r="F1551" s="2" t="s">
        <v>1817</v>
      </c>
      <c r="G1551" s="1">
        <v>2</v>
      </c>
      <c r="H1551" s="1" t="str">
        <f t="shared" si="24"/>
        <v>k7314_2</v>
      </c>
      <c r="K1551" s="1">
        <f>IF(E1551=0,SUMPRODUCT(($A$2:$A$4734=A1551)*($B$2:$B$4734=B1551)*($D$2:$D$4734=D1551)*($E$2:$E$4734=0)),0)</f>
        <v>0</v>
      </c>
      <c r="L1551" s="1" t="str">
        <f>IF(E1551=0,SUMPRODUCT(MIN($K$2:$K$4734+((($A$2:$A$4734&lt;&gt;A1551)+($E$2:$E$4734&lt;&gt;0))&gt;0)*1000000)),"")</f>
        <v/>
      </c>
      <c r="M1551" s="1">
        <f>IF(AND(E1551=0,COUNTIFS($A$2:A1551,A1551,$E$2:E1551,0)=1),L1551,0)</f>
        <v>0</v>
      </c>
    </row>
    <row r="1552" spans="1:13" ht="15" customHeight="1">
      <c r="A1552" s="1">
        <v>7314</v>
      </c>
      <c r="B1552" s="1" t="s">
        <v>173</v>
      </c>
      <c r="C1552" s="2" t="s">
        <v>1805</v>
      </c>
      <c r="D1552" s="2" t="s">
        <v>1805</v>
      </c>
      <c r="E1552" s="1">
        <v>1</v>
      </c>
      <c r="F1552" s="2" t="s">
        <v>1818</v>
      </c>
      <c r="G1552" s="1">
        <v>3</v>
      </c>
      <c r="H1552" s="1" t="str">
        <f t="shared" si="24"/>
        <v>k7314_3</v>
      </c>
      <c r="K1552" s="1">
        <f>IF(E1552=0,SUMPRODUCT(($A$2:$A$4734=A1552)*($B$2:$B$4734=B1552)*($D$2:$D$4734=D1552)*($E$2:$E$4734=0)),0)</f>
        <v>0</v>
      </c>
      <c r="L1552" s="1" t="str">
        <f>IF(E1552=0,SUMPRODUCT(MIN($K$2:$K$4734+((($A$2:$A$4734&lt;&gt;A1552)+($E$2:$E$4734&lt;&gt;0))&gt;0)*1000000)),"")</f>
        <v/>
      </c>
      <c r="M1552" s="1">
        <f>IF(AND(E1552=0,COUNTIFS($A$2:A1552,A1552,$E$2:E1552,0)=1),L1552,0)</f>
        <v>0</v>
      </c>
    </row>
    <row r="1553" spans="1:13" ht="15" customHeight="1">
      <c r="A1553" s="1">
        <v>7314</v>
      </c>
      <c r="B1553" s="1" t="s">
        <v>173</v>
      </c>
      <c r="C1553" s="2" t="s">
        <v>1805</v>
      </c>
      <c r="D1553" s="2" t="s">
        <v>1805</v>
      </c>
      <c r="E1553" s="1">
        <v>1</v>
      </c>
      <c r="F1553" s="2" t="s">
        <v>1819</v>
      </c>
      <c r="G1553" s="1">
        <v>4</v>
      </c>
      <c r="H1553" s="1" t="str">
        <f t="shared" si="24"/>
        <v>k7314_4</v>
      </c>
      <c r="K1553" s="1">
        <f>IF(E1553=0,SUMPRODUCT(($A$2:$A$4734=A1553)*($B$2:$B$4734=B1553)*($D$2:$D$4734=D1553)*($E$2:$E$4734=0)),0)</f>
        <v>0</v>
      </c>
      <c r="L1553" s="1" t="str">
        <f>IF(E1553=0,SUMPRODUCT(MIN($K$2:$K$4734+((($A$2:$A$4734&lt;&gt;A1553)+($E$2:$E$4734&lt;&gt;0))&gt;0)*1000000)),"")</f>
        <v/>
      </c>
      <c r="M1553" s="1">
        <f>IF(AND(E1553=0,COUNTIFS($A$2:A1553,A1553,$E$2:E1553,0)=1),L1553,0)</f>
        <v>0</v>
      </c>
    </row>
    <row r="1554" spans="1:13" ht="15" customHeight="1">
      <c r="A1554" s="1">
        <v>7314</v>
      </c>
      <c r="B1554" s="1" t="s">
        <v>173</v>
      </c>
      <c r="C1554" s="2" t="s">
        <v>1805</v>
      </c>
      <c r="D1554" s="2" t="s">
        <v>1805</v>
      </c>
      <c r="E1554" s="1">
        <v>1</v>
      </c>
      <c r="F1554" s="2" t="s">
        <v>1820</v>
      </c>
      <c r="G1554" s="1">
        <v>5</v>
      </c>
      <c r="H1554" s="1" t="str">
        <f t="shared" si="24"/>
        <v>k7314_5</v>
      </c>
      <c r="K1554" s="1">
        <f>IF(E1554=0,SUMPRODUCT(($A$2:$A$4734=A1554)*($B$2:$B$4734=B1554)*($D$2:$D$4734=D1554)*($E$2:$E$4734=0)),0)</f>
        <v>0</v>
      </c>
      <c r="L1554" s="1" t="str">
        <f>IF(E1554=0,SUMPRODUCT(MIN($K$2:$K$4734+((($A$2:$A$4734&lt;&gt;A1554)+($E$2:$E$4734&lt;&gt;0))&gt;0)*1000000)),"")</f>
        <v/>
      </c>
      <c r="M1554" s="1">
        <f>IF(AND(E1554=0,COUNTIFS($A$2:A1554,A1554,$E$2:E1554,0)=1),L1554,0)</f>
        <v>0</v>
      </c>
    </row>
    <row r="1555" spans="1:13" ht="15" customHeight="1">
      <c r="A1555" s="1">
        <v>7314</v>
      </c>
      <c r="B1555" s="1" t="s">
        <v>69</v>
      </c>
      <c r="C1555" s="2" t="s">
        <v>1805</v>
      </c>
      <c r="D1555" s="2" t="s">
        <v>1821</v>
      </c>
      <c r="E1555" s="1">
        <v>1</v>
      </c>
      <c r="F1555" s="2" t="s">
        <v>1822</v>
      </c>
      <c r="G1555" s="1">
        <v>1</v>
      </c>
      <c r="H1555" s="1" t="str">
        <f t="shared" si="24"/>
        <v>k7314_1</v>
      </c>
      <c r="K1555" s="1">
        <f>IF(E1555=0,SUMPRODUCT(($A$2:$A$4734=A1555)*($B$2:$B$4734=B1555)*($D$2:$D$4734=D1555)*($E$2:$E$4734=0)),0)</f>
        <v>0</v>
      </c>
      <c r="L1555" s="1" t="str">
        <f>IF(E1555=0,SUMPRODUCT(MIN($K$2:$K$4734+((($A$2:$A$4734&lt;&gt;A1555)+($E$2:$E$4734&lt;&gt;0))&gt;0)*1000000)),"")</f>
        <v/>
      </c>
      <c r="M1555" s="1">
        <f>IF(AND(E1555=0,COUNTIFS($A$2:A1555,A1555,$E$2:E1555,0)=1),L1555,0)</f>
        <v>0</v>
      </c>
    </row>
    <row r="1556" spans="1:13" ht="15" customHeight="1">
      <c r="A1556" s="1">
        <v>7314</v>
      </c>
      <c r="B1556" s="1" t="s">
        <v>69</v>
      </c>
      <c r="C1556" s="2" t="s">
        <v>1805</v>
      </c>
      <c r="D1556" s="2" t="s">
        <v>1821</v>
      </c>
      <c r="E1556" s="1">
        <v>1</v>
      </c>
      <c r="F1556" s="2" t="s">
        <v>1823</v>
      </c>
      <c r="G1556" s="1">
        <v>2</v>
      </c>
      <c r="H1556" s="1" t="str">
        <f t="shared" si="24"/>
        <v>k7314_2</v>
      </c>
      <c r="K1556" s="1">
        <f>IF(E1556=0,SUMPRODUCT(($A$2:$A$4734=A1556)*($B$2:$B$4734=B1556)*($D$2:$D$4734=D1556)*($E$2:$E$4734=0)),0)</f>
        <v>0</v>
      </c>
      <c r="L1556" s="1" t="str">
        <f>IF(E1556=0,SUMPRODUCT(MIN($K$2:$K$4734+((($A$2:$A$4734&lt;&gt;A1556)+($E$2:$E$4734&lt;&gt;0))&gt;0)*1000000)),"")</f>
        <v/>
      </c>
      <c r="M1556" s="1">
        <f>IF(AND(E1556=0,COUNTIFS($A$2:A1556,A1556,$E$2:E1556,0)=1),L1556,0)</f>
        <v>0</v>
      </c>
    </row>
    <row r="1557" spans="1:13" ht="15" customHeight="1">
      <c r="A1557" s="1">
        <v>7314</v>
      </c>
      <c r="B1557" s="1" t="s">
        <v>69</v>
      </c>
      <c r="C1557" s="2" t="s">
        <v>1805</v>
      </c>
      <c r="D1557" s="2" t="s">
        <v>1821</v>
      </c>
      <c r="E1557" s="1">
        <v>1</v>
      </c>
      <c r="F1557" s="2" t="s">
        <v>1824</v>
      </c>
      <c r="G1557" s="1">
        <v>3</v>
      </c>
      <c r="H1557" s="1" t="str">
        <f t="shared" si="24"/>
        <v>k7314_3</v>
      </c>
      <c r="K1557" s="1">
        <f>IF(E1557=0,SUMPRODUCT(($A$2:$A$4734=A1557)*($B$2:$B$4734=B1557)*($D$2:$D$4734=D1557)*($E$2:$E$4734=0)),0)</f>
        <v>0</v>
      </c>
      <c r="L1557" s="1" t="str">
        <f>IF(E1557=0,SUMPRODUCT(MIN($K$2:$K$4734+((($A$2:$A$4734&lt;&gt;A1557)+($E$2:$E$4734&lt;&gt;0))&gt;0)*1000000)),"")</f>
        <v/>
      </c>
      <c r="M1557" s="1">
        <f>IF(AND(E1557=0,COUNTIFS($A$2:A1557,A1557,$E$2:E1557,0)=1),L1557,0)</f>
        <v>0</v>
      </c>
    </row>
    <row r="1558" spans="1:13" ht="15" customHeight="1">
      <c r="A1558" s="1">
        <v>7314</v>
      </c>
      <c r="B1558" s="1" t="s">
        <v>69</v>
      </c>
      <c r="C1558" s="2" t="s">
        <v>1805</v>
      </c>
      <c r="D1558" s="2" t="s">
        <v>1821</v>
      </c>
      <c r="E1558" s="1">
        <v>1</v>
      </c>
      <c r="F1558" s="2" t="s">
        <v>1825</v>
      </c>
      <c r="G1558" s="1">
        <v>4</v>
      </c>
      <c r="H1558" s="1" t="str">
        <f t="shared" si="24"/>
        <v>k7314_4</v>
      </c>
      <c r="K1558" s="1">
        <f>IF(E1558=0,SUMPRODUCT(($A$2:$A$4734=A1558)*($B$2:$B$4734=B1558)*($D$2:$D$4734=D1558)*($E$2:$E$4734=0)),0)</f>
        <v>0</v>
      </c>
      <c r="L1558" s="1" t="str">
        <f>IF(E1558=0,SUMPRODUCT(MIN($K$2:$K$4734+((($A$2:$A$4734&lt;&gt;A1558)+($E$2:$E$4734&lt;&gt;0))&gt;0)*1000000)),"")</f>
        <v/>
      </c>
      <c r="M1558" s="1">
        <f>IF(AND(E1558=0,COUNTIFS($A$2:A1558,A1558,$E$2:E1558,0)=1),L1558,0)</f>
        <v>0</v>
      </c>
    </row>
    <row r="1559" spans="1:13" ht="15" customHeight="1">
      <c r="A1559" s="1">
        <v>7314</v>
      </c>
      <c r="B1559" s="1" t="s">
        <v>69</v>
      </c>
      <c r="C1559" s="2" t="s">
        <v>1805</v>
      </c>
      <c r="D1559" s="2" t="s">
        <v>1821</v>
      </c>
      <c r="E1559" s="1">
        <v>1</v>
      </c>
      <c r="F1559" s="2" t="s">
        <v>1826</v>
      </c>
      <c r="G1559" s="1">
        <v>5</v>
      </c>
      <c r="H1559" s="1" t="str">
        <f t="shared" si="24"/>
        <v>k7314_5</v>
      </c>
      <c r="K1559" s="1">
        <f>IF(E1559=0,SUMPRODUCT(($A$2:$A$4734=A1559)*($B$2:$B$4734=B1559)*($D$2:$D$4734=D1559)*($E$2:$E$4734=0)),0)</f>
        <v>0</v>
      </c>
      <c r="L1559" s="1" t="str">
        <f>IF(E1559=0,SUMPRODUCT(MIN($K$2:$K$4734+((($A$2:$A$4734&lt;&gt;A1559)+($E$2:$E$4734&lt;&gt;0))&gt;0)*1000000)),"")</f>
        <v/>
      </c>
      <c r="M1559" s="1">
        <f>IF(AND(E1559=0,COUNTIFS($A$2:A1559,A1559,$E$2:E1559,0)=1),L1559,0)</f>
        <v>0</v>
      </c>
    </row>
    <row r="1560" spans="1:13" ht="15" customHeight="1">
      <c r="A1560" s="1">
        <v>7315</v>
      </c>
      <c r="B1560" s="1" t="s">
        <v>9</v>
      </c>
      <c r="C1560" s="2" t="s">
        <v>1827</v>
      </c>
      <c r="D1560" s="2" t="s">
        <v>1828</v>
      </c>
      <c r="E1560" s="1">
        <v>1</v>
      </c>
      <c r="F1560" s="2" t="s">
        <v>1829</v>
      </c>
      <c r="G1560" s="1">
        <v>1</v>
      </c>
      <c r="H1560" s="1" t="str">
        <f t="shared" si="24"/>
        <v>k7315_1</v>
      </c>
      <c r="K1560" s="1">
        <f>IF(E1560=0,SUMPRODUCT(($A$2:$A$4734=A1560)*($B$2:$B$4734=B1560)*($D$2:$D$4734=D1560)*($E$2:$E$4734=0)),0)</f>
        <v>0</v>
      </c>
      <c r="L1560" s="1" t="str">
        <f>IF(E1560=0,SUMPRODUCT(MIN($K$2:$K$4734+((($A$2:$A$4734&lt;&gt;A1560)+($E$2:$E$4734&lt;&gt;0))&gt;0)*1000000)),"")</f>
        <v/>
      </c>
      <c r="M1560" s="1">
        <f>IF(AND(E1560=0,COUNTIFS($A$2:A1560,A1560,$E$2:E1560,0)=1),L1560,0)</f>
        <v>0</v>
      </c>
    </row>
    <row r="1561" spans="1:13" ht="15" customHeight="1">
      <c r="A1561" s="1">
        <v>7315</v>
      </c>
      <c r="B1561" s="1" t="s">
        <v>9</v>
      </c>
      <c r="C1561" s="2" t="s">
        <v>1827</v>
      </c>
      <c r="D1561" s="2" t="s">
        <v>1828</v>
      </c>
      <c r="E1561" s="1">
        <v>1</v>
      </c>
      <c r="F1561" s="2" t="s">
        <v>1830</v>
      </c>
      <c r="G1561" s="1">
        <v>2</v>
      </c>
      <c r="H1561" s="1" t="str">
        <f t="shared" si="24"/>
        <v>k7315_2</v>
      </c>
      <c r="K1561" s="1">
        <f>IF(E1561=0,SUMPRODUCT(($A$2:$A$4734=A1561)*($B$2:$B$4734=B1561)*($D$2:$D$4734=D1561)*($E$2:$E$4734=0)),0)</f>
        <v>0</v>
      </c>
      <c r="L1561" s="1" t="str">
        <f>IF(E1561=0,SUMPRODUCT(MIN($K$2:$K$4734+((($A$2:$A$4734&lt;&gt;A1561)+($E$2:$E$4734&lt;&gt;0))&gt;0)*1000000)),"")</f>
        <v/>
      </c>
      <c r="M1561" s="1">
        <f>IF(AND(E1561=0,COUNTIFS($A$2:A1561,A1561,$E$2:E1561,0)=1),L1561,0)</f>
        <v>0</v>
      </c>
    </row>
    <row r="1562" spans="1:13" ht="15" customHeight="1">
      <c r="A1562" s="1">
        <v>7315</v>
      </c>
      <c r="B1562" s="1" t="s">
        <v>9</v>
      </c>
      <c r="C1562" s="2" t="s">
        <v>1827</v>
      </c>
      <c r="D1562" s="2" t="s">
        <v>1828</v>
      </c>
      <c r="E1562" s="1">
        <v>1</v>
      </c>
      <c r="F1562" s="2" t="s">
        <v>1831</v>
      </c>
      <c r="G1562" s="1">
        <v>3</v>
      </c>
      <c r="H1562" s="1" t="str">
        <f t="shared" si="24"/>
        <v>k7315_3</v>
      </c>
      <c r="K1562" s="1">
        <f>IF(E1562=0,SUMPRODUCT(($A$2:$A$4734=A1562)*($B$2:$B$4734=B1562)*($D$2:$D$4734=D1562)*($E$2:$E$4734=0)),0)</f>
        <v>0</v>
      </c>
      <c r="L1562" s="1" t="str">
        <f>IF(E1562=0,SUMPRODUCT(MIN($K$2:$K$4734+((($A$2:$A$4734&lt;&gt;A1562)+($E$2:$E$4734&lt;&gt;0))&gt;0)*1000000)),"")</f>
        <v/>
      </c>
      <c r="M1562" s="1">
        <f>IF(AND(E1562=0,COUNTIFS($A$2:A1562,A1562,$E$2:E1562,0)=1),L1562,0)</f>
        <v>0</v>
      </c>
    </row>
    <row r="1563" spans="1:13" ht="15" customHeight="1">
      <c r="A1563" s="1">
        <v>7315</v>
      </c>
      <c r="B1563" s="1" t="s">
        <v>9</v>
      </c>
      <c r="C1563" s="2" t="s">
        <v>1827</v>
      </c>
      <c r="D1563" s="2" t="s">
        <v>1828</v>
      </c>
      <c r="E1563" s="1">
        <v>1</v>
      </c>
      <c r="F1563" s="2" t="s">
        <v>1832</v>
      </c>
      <c r="G1563" s="1">
        <v>4</v>
      </c>
      <c r="H1563" s="1" t="str">
        <f t="shared" si="24"/>
        <v>k7315_4</v>
      </c>
      <c r="K1563" s="1">
        <f>IF(E1563=0,SUMPRODUCT(($A$2:$A$4734=A1563)*($B$2:$B$4734=B1563)*($D$2:$D$4734=D1563)*($E$2:$E$4734=0)),0)</f>
        <v>0</v>
      </c>
      <c r="L1563" s="1" t="str">
        <f>IF(E1563=0,SUMPRODUCT(MIN($K$2:$K$4734+((($A$2:$A$4734&lt;&gt;A1563)+($E$2:$E$4734&lt;&gt;0))&gt;0)*1000000)),"")</f>
        <v/>
      </c>
      <c r="M1563" s="1">
        <f>IF(AND(E1563=0,COUNTIFS($A$2:A1563,A1563,$E$2:E1563,0)=1),L1563,0)</f>
        <v>0</v>
      </c>
    </row>
    <row r="1564" spans="1:13" ht="15" customHeight="1">
      <c r="A1564" s="1">
        <v>7315</v>
      </c>
      <c r="B1564" s="1" t="s">
        <v>9</v>
      </c>
      <c r="C1564" s="2" t="s">
        <v>1827</v>
      </c>
      <c r="D1564" s="2" t="s">
        <v>1375</v>
      </c>
      <c r="E1564" s="1">
        <v>1</v>
      </c>
      <c r="F1564" s="2" t="s">
        <v>1833</v>
      </c>
      <c r="G1564" s="1">
        <v>1</v>
      </c>
      <c r="H1564" s="1" t="str">
        <f t="shared" si="24"/>
        <v>k7315_1</v>
      </c>
      <c r="K1564" s="1">
        <f>IF(E1564=0,SUMPRODUCT(($A$2:$A$4734=A1564)*($B$2:$B$4734=B1564)*($D$2:$D$4734=D1564)*($E$2:$E$4734=0)),0)</f>
        <v>0</v>
      </c>
      <c r="L1564" s="1" t="str">
        <f>IF(E1564=0,SUMPRODUCT(MIN($K$2:$K$4734+((($A$2:$A$4734&lt;&gt;A1564)+($E$2:$E$4734&lt;&gt;0))&gt;0)*1000000)),"")</f>
        <v/>
      </c>
      <c r="M1564" s="1">
        <f>IF(AND(E1564=0,COUNTIFS($A$2:A1564,A1564,$E$2:E1564,0)=1),L1564,0)</f>
        <v>0</v>
      </c>
    </row>
    <row r="1565" spans="1:13" ht="15" customHeight="1">
      <c r="A1565" s="1">
        <v>7315</v>
      </c>
      <c r="B1565" s="1" t="s">
        <v>9</v>
      </c>
      <c r="C1565" s="2" t="s">
        <v>1827</v>
      </c>
      <c r="D1565" s="2" t="s">
        <v>1375</v>
      </c>
      <c r="E1565" s="1">
        <v>1</v>
      </c>
      <c r="F1565" s="2" t="s">
        <v>1834</v>
      </c>
      <c r="G1565" s="1">
        <v>2</v>
      </c>
      <c r="H1565" s="1" t="str">
        <f t="shared" si="24"/>
        <v>k7315_2</v>
      </c>
      <c r="K1565" s="1">
        <f>IF(E1565=0,SUMPRODUCT(($A$2:$A$4734=A1565)*($B$2:$B$4734=B1565)*($D$2:$D$4734=D1565)*($E$2:$E$4734=0)),0)</f>
        <v>0</v>
      </c>
      <c r="L1565" s="1" t="str">
        <f>IF(E1565=0,SUMPRODUCT(MIN($K$2:$K$4734+((($A$2:$A$4734&lt;&gt;A1565)+($E$2:$E$4734&lt;&gt;0))&gt;0)*1000000)),"")</f>
        <v/>
      </c>
      <c r="M1565" s="1">
        <f>IF(AND(E1565=0,COUNTIFS($A$2:A1565,A1565,$E$2:E1565,0)=1),L1565,0)</f>
        <v>0</v>
      </c>
    </row>
    <row r="1566" spans="1:13" ht="15" customHeight="1">
      <c r="A1566" s="1">
        <v>7315</v>
      </c>
      <c r="B1566" s="1" t="s">
        <v>9</v>
      </c>
      <c r="C1566" s="2" t="s">
        <v>1827</v>
      </c>
      <c r="D1566" s="2" t="s">
        <v>1375</v>
      </c>
      <c r="E1566" s="1">
        <v>1</v>
      </c>
      <c r="F1566" s="2" t="s">
        <v>1835</v>
      </c>
      <c r="G1566" s="1">
        <v>3</v>
      </c>
      <c r="H1566" s="1" t="str">
        <f t="shared" si="24"/>
        <v>k7315_3</v>
      </c>
      <c r="K1566" s="1">
        <f>IF(E1566=0,SUMPRODUCT(($A$2:$A$4734=A1566)*($B$2:$B$4734=B1566)*($D$2:$D$4734=D1566)*($E$2:$E$4734=0)),0)</f>
        <v>0</v>
      </c>
      <c r="L1566" s="1" t="str">
        <f>IF(E1566=0,SUMPRODUCT(MIN($K$2:$K$4734+((($A$2:$A$4734&lt;&gt;A1566)+($E$2:$E$4734&lt;&gt;0))&gt;0)*1000000)),"")</f>
        <v/>
      </c>
      <c r="M1566" s="1">
        <f>IF(AND(E1566=0,COUNTIFS($A$2:A1566,A1566,$E$2:E1566,0)=1),L1566,0)</f>
        <v>0</v>
      </c>
    </row>
    <row r="1567" spans="1:13" ht="15" customHeight="1">
      <c r="A1567" s="1">
        <v>7315</v>
      </c>
      <c r="B1567" s="1" t="s">
        <v>9</v>
      </c>
      <c r="C1567" s="2" t="s">
        <v>1827</v>
      </c>
      <c r="D1567" s="2" t="s">
        <v>1375</v>
      </c>
      <c r="E1567" s="1">
        <v>1</v>
      </c>
      <c r="F1567" s="2" t="s">
        <v>1836</v>
      </c>
      <c r="G1567" s="1">
        <v>4</v>
      </c>
      <c r="H1567" s="1" t="str">
        <f t="shared" si="24"/>
        <v>k7315_4</v>
      </c>
      <c r="K1567" s="1">
        <f>IF(E1567=0,SUMPRODUCT(($A$2:$A$4734=A1567)*($B$2:$B$4734=B1567)*($D$2:$D$4734=D1567)*($E$2:$E$4734=0)),0)</f>
        <v>0</v>
      </c>
      <c r="L1567" s="1" t="str">
        <f>IF(E1567=0,SUMPRODUCT(MIN($K$2:$K$4734+((($A$2:$A$4734&lt;&gt;A1567)+($E$2:$E$4734&lt;&gt;0))&gt;0)*1000000)),"")</f>
        <v/>
      </c>
      <c r="M1567" s="1">
        <f>IF(AND(E1567=0,COUNTIFS($A$2:A1567,A1567,$E$2:E1567,0)=1),L1567,0)</f>
        <v>0</v>
      </c>
    </row>
    <row r="1568" spans="1:13" ht="15" customHeight="1">
      <c r="A1568" s="1">
        <v>7315</v>
      </c>
      <c r="B1568" s="1" t="s">
        <v>16</v>
      </c>
      <c r="C1568" s="2" t="s">
        <v>1827</v>
      </c>
      <c r="D1568" s="2" t="s">
        <v>1380</v>
      </c>
      <c r="E1568" s="1">
        <v>1</v>
      </c>
      <c r="F1568" s="2" t="s">
        <v>1837</v>
      </c>
      <c r="G1568" s="1">
        <v>1</v>
      </c>
      <c r="H1568" s="1" t="str">
        <f t="shared" si="24"/>
        <v>k7315_1</v>
      </c>
      <c r="K1568" s="1">
        <f>IF(E1568=0,SUMPRODUCT(($A$2:$A$4734=A1568)*($B$2:$B$4734=B1568)*($D$2:$D$4734=D1568)*($E$2:$E$4734=0)),0)</f>
        <v>0</v>
      </c>
      <c r="L1568" s="1" t="str">
        <f>IF(E1568=0,SUMPRODUCT(MIN($K$2:$K$4734+((($A$2:$A$4734&lt;&gt;A1568)+($E$2:$E$4734&lt;&gt;0))&gt;0)*1000000)),"")</f>
        <v/>
      </c>
      <c r="M1568" s="1">
        <f>IF(AND(E1568=0,COUNTIFS($A$2:A1568,A1568,$E$2:E1568,0)=1),L1568,0)</f>
        <v>0</v>
      </c>
    </row>
    <row r="1569" spans="1:13" ht="15" customHeight="1">
      <c r="A1569" s="1">
        <v>7315</v>
      </c>
      <c r="B1569" s="1" t="s">
        <v>16</v>
      </c>
      <c r="C1569" s="2" t="s">
        <v>1827</v>
      </c>
      <c r="D1569" s="2" t="s">
        <v>1380</v>
      </c>
      <c r="E1569" s="1">
        <v>1</v>
      </c>
      <c r="F1569" s="2" t="s">
        <v>1838</v>
      </c>
      <c r="G1569" s="1">
        <v>2</v>
      </c>
      <c r="H1569" s="1" t="str">
        <f t="shared" si="24"/>
        <v>k7315_2</v>
      </c>
      <c r="K1569" s="1">
        <f>IF(E1569=0,SUMPRODUCT(($A$2:$A$4734=A1569)*($B$2:$B$4734=B1569)*($D$2:$D$4734=D1569)*($E$2:$E$4734=0)),0)</f>
        <v>0</v>
      </c>
      <c r="L1569" s="1" t="str">
        <f>IF(E1569=0,SUMPRODUCT(MIN($K$2:$K$4734+((($A$2:$A$4734&lt;&gt;A1569)+($E$2:$E$4734&lt;&gt;0))&gt;0)*1000000)),"")</f>
        <v/>
      </c>
      <c r="M1569" s="1">
        <f>IF(AND(E1569=0,COUNTIFS($A$2:A1569,A1569,$E$2:E1569,0)=1),L1569,0)</f>
        <v>0</v>
      </c>
    </row>
    <row r="1570" spans="1:13" ht="15" customHeight="1">
      <c r="A1570" s="1">
        <v>7315</v>
      </c>
      <c r="B1570" s="1" t="s">
        <v>16</v>
      </c>
      <c r="C1570" s="2" t="s">
        <v>1827</v>
      </c>
      <c r="D1570" s="2" t="s">
        <v>1380</v>
      </c>
      <c r="E1570" s="1">
        <v>1</v>
      </c>
      <c r="F1570" s="2" t="s">
        <v>1839</v>
      </c>
      <c r="G1570" s="1">
        <v>3</v>
      </c>
      <c r="H1570" s="1" t="str">
        <f t="shared" si="24"/>
        <v>k7315_3</v>
      </c>
      <c r="K1570" s="1">
        <f>IF(E1570=0,SUMPRODUCT(($A$2:$A$4734=A1570)*($B$2:$B$4734=B1570)*($D$2:$D$4734=D1570)*($E$2:$E$4734=0)),0)</f>
        <v>0</v>
      </c>
      <c r="L1570" s="1" t="str">
        <f>IF(E1570=0,SUMPRODUCT(MIN($K$2:$K$4734+((($A$2:$A$4734&lt;&gt;A1570)+($E$2:$E$4734&lt;&gt;0))&gt;0)*1000000)),"")</f>
        <v/>
      </c>
      <c r="M1570" s="1">
        <f>IF(AND(E1570=0,COUNTIFS($A$2:A1570,A1570,$E$2:E1570,0)=1),L1570,0)</f>
        <v>0</v>
      </c>
    </row>
    <row r="1571" spans="1:13" ht="15" customHeight="1">
      <c r="A1571" s="1">
        <v>7315</v>
      </c>
      <c r="B1571" s="1" t="s">
        <v>16</v>
      </c>
      <c r="C1571" s="2" t="s">
        <v>1827</v>
      </c>
      <c r="D1571" s="2" t="s">
        <v>1380</v>
      </c>
      <c r="E1571" s="1">
        <v>1</v>
      </c>
      <c r="F1571" s="2" t="s">
        <v>1840</v>
      </c>
      <c r="G1571" s="1">
        <v>4</v>
      </c>
      <c r="H1571" s="1" t="str">
        <f t="shared" si="24"/>
        <v>k7315_4</v>
      </c>
      <c r="K1571" s="1">
        <f>IF(E1571=0,SUMPRODUCT(($A$2:$A$4734=A1571)*($B$2:$B$4734=B1571)*($D$2:$D$4734=D1571)*($E$2:$E$4734=0)),0)</f>
        <v>0</v>
      </c>
      <c r="L1571" s="1" t="str">
        <f>IF(E1571=0,SUMPRODUCT(MIN($K$2:$K$4734+((($A$2:$A$4734&lt;&gt;A1571)+($E$2:$E$4734&lt;&gt;0))&gt;0)*1000000)),"")</f>
        <v/>
      </c>
      <c r="M1571" s="1">
        <f>IF(AND(E1571=0,COUNTIFS($A$2:A1571,A1571,$E$2:E1571,0)=1),L1571,0)</f>
        <v>0</v>
      </c>
    </row>
    <row r="1572" spans="1:13" ht="15" customHeight="1">
      <c r="A1572" s="1">
        <v>7315</v>
      </c>
      <c r="B1572" s="1" t="s">
        <v>16</v>
      </c>
      <c r="C1572" s="2" t="s">
        <v>1827</v>
      </c>
      <c r="D1572" s="2" t="s">
        <v>1841</v>
      </c>
      <c r="E1572" s="1">
        <v>1</v>
      </c>
      <c r="F1572" s="2" t="s">
        <v>1842</v>
      </c>
      <c r="G1572" s="1">
        <v>1</v>
      </c>
      <c r="H1572" s="1" t="str">
        <f t="shared" si="24"/>
        <v>k7315_1</v>
      </c>
      <c r="K1572" s="1">
        <f>IF(E1572=0,SUMPRODUCT(($A$2:$A$4734=A1572)*($B$2:$B$4734=B1572)*($D$2:$D$4734=D1572)*($E$2:$E$4734=0)),0)</f>
        <v>0</v>
      </c>
      <c r="L1572" s="1" t="str">
        <f>IF(E1572=0,SUMPRODUCT(MIN($K$2:$K$4734+((($A$2:$A$4734&lt;&gt;A1572)+($E$2:$E$4734&lt;&gt;0))&gt;0)*1000000)),"")</f>
        <v/>
      </c>
      <c r="M1572" s="1">
        <f>IF(AND(E1572=0,COUNTIFS($A$2:A1572,A1572,$E$2:E1572,0)=1),L1572,0)</f>
        <v>0</v>
      </c>
    </row>
    <row r="1573" spans="1:13" ht="15" customHeight="1">
      <c r="A1573" s="1">
        <v>7315</v>
      </c>
      <c r="B1573" s="1" t="s">
        <v>16</v>
      </c>
      <c r="C1573" s="2" t="s">
        <v>1827</v>
      </c>
      <c r="D1573" s="2" t="s">
        <v>1841</v>
      </c>
      <c r="E1573" s="1">
        <v>1</v>
      </c>
      <c r="F1573" s="2" t="s">
        <v>1843</v>
      </c>
      <c r="G1573" s="1">
        <v>2</v>
      </c>
      <c r="H1573" s="1" t="str">
        <f t="shared" si="24"/>
        <v>k7315_2</v>
      </c>
      <c r="K1573" s="1">
        <f>IF(E1573=0,SUMPRODUCT(($A$2:$A$4734=A1573)*($B$2:$B$4734=B1573)*($D$2:$D$4734=D1573)*($E$2:$E$4734=0)),0)</f>
        <v>0</v>
      </c>
      <c r="L1573" s="1" t="str">
        <f>IF(E1573=0,SUMPRODUCT(MIN($K$2:$K$4734+((($A$2:$A$4734&lt;&gt;A1573)+($E$2:$E$4734&lt;&gt;0))&gt;0)*1000000)),"")</f>
        <v/>
      </c>
      <c r="M1573" s="1">
        <f>IF(AND(E1573=0,COUNTIFS($A$2:A1573,A1573,$E$2:E1573,0)=1),L1573,0)</f>
        <v>0</v>
      </c>
    </row>
    <row r="1574" spans="1:13" ht="15" customHeight="1">
      <c r="A1574" s="1">
        <v>7315</v>
      </c>
      <c r="B1574" s="1" t="s">
        <v>16</v>
      </c>
      <c r="C1574" s="2" t="s">
        <v>1827</v>
      </c>
      <c r="D1574" s="2" t="s">
        <v>1841</v>
      </c>
      <c r="E1574" s="1">
        <v>1</v>
      </c>
      <c r="F1574" s="2" t="s">
        <v>1844</v>
      </c>
      <c r="G1574" s="1">
        <v>3</v>
      </c>
      <c r="H1574" s="1" t="str">
        <f t="shared" ref="H1574:H1634" si="25">IF(OR(E1574&lt;&gt;1,G1574=""),"","k"&amp;A1574&amp;"_"&amp;G1574)</f>
        <v>k7315_3</v>
      </c>
      <c r="K1574" s="1">
        <f>IF(E1574=0,SUMPRODUCT(($A$2:$A$4734=A1574)*($B$2:$B$4734=B1574)*($D$2:$D$4734=D1574)*($E$2:$E$4734=0)),0)</f>
        <v>0</v>
      </c>
      <c r="L1574" s="1" t="str">
        <f>IF(E1574=0,SUMPRODUCT(MIN($K$2:$K$4734+((($A$2:$A$4734&lt;&gt;A1574)+($E$2:$E$4734&lt;&gt;0))&gt;0)*1000000)),"")</f>
        <v/>
      </c>
      <c r="M1574" s="1">
        <f>IF(AND(E1574=0,COUNTIFS($A$2:A1574,A1574,$E$2:E1574,0)=1),L1574,0)</f>
        <v>0</v>
      </c>
    </row>
    <row r="1575" spans="1:13" ht="15" customHeight="1">
      <c r="A1575" s="1">
        <v>7315</v>
      </c>
      <c r="B1575" s="1" t="s">
        <v>16</v>
      </c>
      <c r="C1575" s="2" t="s">
        <v>1827</v>
      </c>
      <c r="D1575" s="2" t="s">
        <v>1841</v>
      </c>
      <c r="E1575" s="1">
        <v>1</v>
      </c>
      <c r="F1575" s="2" t="s">
        <v>1845</v>
      </c>
      <c r="G1575" s="1">
        <v>4</v>
      </c>
      <c r="H1575" s="1" t="str">
        <f t="shared" si="25"/>
        <v>k7315_4</v>
      </c>
      <c r="K1575" s="1">
        <f>IF(E1575=0,SUMPRODUCT(($A$2:$A$4734=A1575)*($B$2:$B$4734=B1575)*($D$2:$D$4734=D1575)*($E$2:$E$4734=0)),0)</f>
        <v>0</v>
      </c>
      <c r="L1575" s="1" t="str">
        <f>IF(E1575=0,SUMPRODUCT(MIN($K$2:$K$4734+((($A$2:$A$4734&lt;&gt;A1575)+($E$2:$E$4734&lt;&gt;0))&gt;0)*1000000)),"")</f>
        <v/>
      </c>
      <c r="M1575" s="1">
        <f>IF(AND(E1575=0,COUNTIFS($A$2:A1575,A1575,$E$2:E1575,0)=1),L1575,0)</f>
        <v>0</v>
      </c>
    </row>
    <row r="1576" spans="1:13" ht="15" customHeight="1">
      <c r="A1576" s="1">
        <v>7315</v>
      </c>
      <c r="B1576" s="1" t="s">
        <v>69</v>
      </c>
      <c r="C1576" s="2" t="s">
        <v>1827</v>
      </c>
      <c r="D1576" s="2" t="s">
        <v>1846</v>
      </c>
      <c r="E1576" s="1">
        <v>1</v>
      </c>
      <c r="F1576" s="2" t="s">
        <v>1847</v>
      </c>
      <c r="G1576" s="1">
        <v>1</v>
      </c>
      <c r="H1576" s="1" t="str">
        <f t="shared" si="25"/>
        <v>k7315_1</v>
      </c>
      <c r="K1576" s="1">
        <f>IF(E1576=0,SUMPRODUCT(($A$2:$A$4734=A1576)*($B$2:$B$4734=B1576)*($D$2:$D$4734=D1576)*($E$2:$E$4734=0)),0)</f>
        <v>0</v>
      </c>
      <c r="L1576" s="1" t="str">
        <f>IF(E1576=0,SUMPRODUCT(MIN($K$2:$K$4734+((($A$2:$A$4734&lt;&gt;A1576)+($E$2:$E$4734&lt;&gt;0))&gt;0)*1000000)),"")</f>
        <v/>
      </c>
      <c r="M1576" s="1">
        <f>IF(AND(E1576=0,COUNTIFS($A$2:A1576,A1576,$E$2:E1576,0)=1),L1576,0)</f>
        <v>0</v>
      </c>
    </row>
    <row r="1577" spans="1:13" ht="15" customHeight="1">
      <c r="A1577" s="1">
        <v>7315</v>
      </c>
      <c r="B1577" s="1" t="s">
        <v>69</v>
      </c>
      <c r="C1577" s="2" t="s">
        <v>1827</v>
      </c>
      <c r="D1577" s="2" t="s">
        <v>1846</v>
      </c>
      <c r="E1577" s="1">
        <v>1</v>
      </c>
      <c r="F1577" s="2" t="s">
        <v>1848</v>
      </c>
      <c r="G1577" s="1">
        <v>2</v>
      </c>
      <c r="H1577" s="1" t="str">
        <f t="shared" si="25"/>
        <v>k7315_2</v>
      </c>
      <c r="K1577" s="1">
        <f>IF(E1577=0,SUMPRODUCT(($A$2:$A$4734=A1577)*($B$2:$B$4734=B1577)*($D$2:$D$4734=D1577)*($E$2:$E$4734=0)),0)</f>
        <v>0</v>
      </c>
      <c r="L1577" s="1" t="str">
        <f>IF(E1577=0,SUMPRODUCT(MIN($K$2:$K$4734+((($A$2:$A$4734&lt;&gt;A1577)+($E$2:$E$4734&lt;&gt;0))&gt;0)*1000000)),"")</f>
        <v/>
      </c>
      <c r="M1577" s="1">
        <f>IF(AND(E1577=0,COUNTIFS($A$2:A1577,A1577,$E$2:E1577,0)=1),L1577,0)</f>
        <v>0</v>
      </c>
    </row>
    <row r="1578" spans="1:13" ht="15" customHeight="1">
      <c r="A1578" s="1">
        <v>7315</v>
      </c>
      <c r="B1578" s="1" t="s">
        <v>69</v>
      </c>
      <c r="C1578" s="2" t="s">
        <v>1827</v>
      </c>
      <c r="D1578" s="2" t="s">
        <v>1846</v>
      </c>
      <c r="E1578" s="1">
        <v>1</v>
      </c>
      <c r="F1578" s="2" t="s">
        <v>1849</v>
      </c>
      <c r="G1578" s="1">
        <v>3</v>
      </c>
      <c r="H1578" s="1" t="str">
        <f t="shared" si="25"/>
        <v>k7315_3</v>
      </c>
      <c r="K1578" s="1">
        <f>IF(E1578=0,SUMPRODUCT(($A$2:$A$4734=A1578)*($B$2:$B$4734=B1578)*($D$2:$D$4734=D1578)*($E$2:$E$4734=0)),0)</f>
        <v>0</v>
      </c>
      <c r="L1578" s="1" t="str">
        <f>IF(E1578=0,SUMPRODUCT(MIN($K$2:$K$4734+((($A$2:$A$4734&lt;&gt;A1578)+($E$2:$E$4734&lt;&gt;0))&gt;0)*1000000)),"")</f>
        <v/>
      </c>
      <c r="M1578" s="1">
        <f>IF(AND(E1578=0,COUNTIFS($A$2:A1578,A1578,$E$2:E1578,0)=1),L1578,0)</f>
        <v>0</v>
      </c>
    </row>
    <row r="1579" spans="1:13" ht="15" customHeight="1">
      <c r="A1579" s="1">
        <v>7315</v>
      </c>
      <c r="B1579" s="1" t="s">
        <v>69</v>
      </c>
      <c r="C1579" s="2" t="s">
        <v>1827</v>
      </c>
      <c r="D1579" s="2" t="s">
        <v>1846</v>
      </c>
      <c r="E1579" s="1">
        <v>1</v>
      </c>
      <c r="F1579" s="2" t="s">
        <v>1850</v>
      </c>
      <c r="G1579" s="1">
        <v>4</v>
      </c>
      <c r="H1579" s="1" t="str">
        <f t="shared" si="25"/>
        <v>k7315_4</v>
      </c>
      <c r="K1579" s="1">
        <f>IF(E1579=0,SUMPRODUCT(($A$2:$A$4734=A1579)*($B$2:$B$4734=B1579)*($D$2:$D$4734=D1579)*($E$2:$E$4734=0)),0)</f>
        <v>0</v>
      </c>
      <c r="L1579" s="1" t="str">
        <f>IF(E1579=0,SUMPRODUCT(MIN($K$2:$K$4734+((($A$2:$A$4734&lt;&gt;A1579)+($E$2:$E$4734&lt;&gt;0))&gt;0)*1000000)),"")</f>
        <v/>
      </c>
      <c r="M1579" s="1">
        <f>IF(AND(E1579=0,COUNTIFS($A$2:A1579,A1579,$E$2:E1579,0)=1),L1579,0)</f>
        <v>0</v>
      </c>
    </row>
    <row r="1580" spans="1:13" ht="15" customHeight="1">
      <c r="A1580" s="1">
        <v>7316</v>
      </c>
      <c r="B1580" s="1" t="s">
        <v>144</v>
      </c>
      <c r="C1580" s="2" t="s">
        <v>1851</v>
      </c>
      <c r="D1580" s="2" t="s">
        <v>1852</v>
      </c>
      <c r="E1580" s="1">
        <v>1</v>
      </c>
      <c r="F1580" s="2" t="s">
        <v>1853</v>
      </c>
      <c r="G1580" s="1">
        <v>1</v>
      </c>
      <c r="H1580" s="1" t="str">
        <f t="shared" si="25"/>
        <v>k7316_1</v>
      </c>
      <c r="K1580" s="1">
        <f>IF(E1580=0,SUMPRODUCT(($A$2:$A$4734=A1580)*($B$2:$B$4734=B1580)*($D$2:$D$4734=D1580)*($E$2:$E$4734=0)),0)</f>
        <v>0</v>
      </c>
      <c r="L1580" s="1" t="str">
        <f>IF(E1580=0,SUMPRODUCT(MIN($K$2:$K$4734+((($A$2:$A$4734&lt;&gt;A1580)+($E$2:$E$4734&lt;&gt;0))&gt;0)*1000000)),"")</f>
        <v/>
      </c>
      <c r="M1580" s="1">
        <f>IF(AND(E1580=0,COUNTIFS($A$2:A1580,A1580,$E$2:E1580,0)=1),L1580,0)</f>
        <v>0</v>
      </c>
    </row>
    <row r="1581" spans="1:13" ht="15" customHeight="1">
      <c r="A1581" s="1">
        <v>7316</v>
      </c>
      <c r="B1581" s="1" t="s">
        <v>144</v>
      </c>
      <c r="C1581" s="2" t="s">
        <v>1851</v>
      </c>
      <c r="D1581" s="2" t="s">
        <v>1852</v>
      </c>
      <c r="E1581" s="1">
        <v>1</v>
      </c>
      <c r="F1581" s="2" t="s">
        <v>1854</v>
      </c>
      <c r="G1581" s="1">
        <v>2</v>
      </c>
      <c r="H1581" s="1" t="str">
        <f t="shared" si="25"/>
        <v>k7316_2</v>
      </c>
      <c r="K1581" s="1">
        <f>IF(E1581=0,SUMPRODUCT(($A$2:$A$4734=A1581)*($B$2:$B$4734=B1581)*($D$2:$D$4734=D1581)*($E$2:$E$4734=0)),0)</f>
        <v>0</v>
      </c>
      <c r="L1581" s="1" t="str">
        <f>IF(E1581=0,SUMPRODUCT(MIN($K$2:$K$4734+((($A$2:$A$4734&lt;&gt;A1581)+($E$2:$E$4734&lt;&gt;0))&gt;0)*1000000)),"")</f>
        <v/>
      </c>
      <c r="M1581" s="1">
        <f>IF(AND(E1581=0,COUNTIFS($A$2:A1581,A1581,$E$2:E1581,0)=1),L1581,0)</f>
        <v>0</v>
      </c>
    </row>
    <row r="1582" spans="1:13" ht="15" customHeight="1">
      <c r="A1582" s="1">
        <v>7316</v>
      </c>
      <c r="B1582" s="1" t="s">
        <v>144</v>
      </c>
      <c r="C1582" s="2" t="s">
        <v>1851</v>
      </c>
      <c r="D1582" s="2" t="s">
        <v>1852</v>
      </c>
      <c r="E1582" s="1">
        <v>1</v>
      </c>
      <c r="F1582" s="2" t="s">
        <v>1855</v>
      </c>
      <c r="G1582" s="1">
        <v>3</v>
      </c>
      <c r="H1582" s="1" t="str">
        <f t="shared" si="25"/>
        <v>k7316_3</v>
      </c>
      <c r="K1582" s="1">
        <f>IF(E1582=0,SUMPRODUCT(($A$2:$A$4734=A1582)*($B$2:$B$4734=B1582)*($D$2:$D$4734=D1582)*($E$2:$E$4734=0)),0)</f>
        <v>0</v>
      </c>
      <c r="L1582" s="1" t="str">
        <f>IF(E1582=0,SUMPRODUCT(MIN($K$2:$K$4734+((($A$2:$A$4734&lt;&gt;A1582)+($E$2:$E$4734&lt;&gt;0))&gt;0)*1000000)),"")</f>
        <v/>
      </c>
      <c r="M1582" s="1">
        <f>IF(AND(E1582=0,COUNTIFS($A$2:A1582,A1582,$E$2:E1582,0)=1),L1582,0)</f>
        <v>0</v>
      </c>
    </row>
    <row r="1583" spans="1:13" ht="15" customHeight="1">
      <c r="A1583" s="1">
        <v>7316</v>
      </c>
      <c r="B1583" s="1" t="s">
        <v>144</v>
      </c>
      <c r="C1583" s="2" t="s">
        <v>1851</v>
      </c>
      <c r="D1583" s="2" t="s">
        <v>1852</v>
      </c>
      <c r="E1583" s="1">
        <v>1</v>
      </c>
      <c r="F1583" s="2" t="s">
        <v>1856</v>
      </c>
      <c r="G1583" s="1">
        <v>4</v>
      </c>
      <c r="H1583" s="1" t="str">
        <f t="shared" si="25"/>
        <v>k7316_4</v>
      </c>
      <c r="K1583" s="1">
        <f>IF(E1583=0,SUMPRODUCT(($A$2:$A$4734=A1583)*($B$2:$B$4734=B1583)*($D$2:$D$4734=D1583)*($E$2:$E$4734=0)),0)</f>
        <v>0</v>
      </c>
      <c r="L1583" s="1" t="str">
        <f>IF(E1583=0,SUMPRODUCT(MIN($K$2:$K$4734+((($A$2:$A$4734&lt;&gt;A1583)+($E$2:$E$4734&lt;&gt;0))&gt;0)*1000000)),"")</f>
        <v/>
      </c>
      <c r="M1583" s="1">
        <f>IF(AND(E1583=0,COUNTIFS($A$2:A1583,A1583,$E$2:E1583,0)=1),L1583,0)</f>
        <v>0</v>
      </c>
    </row>
    <row r="1584" spans="1:13" ht="15" customHeight="1">
      <c r="A1584" s="1">
        <v>7317</v>
      </c>
      <c r="B1584" s="1" t="s">
        <v>9</v>
      </c>
      <c r="C1584" s="2" t="s">
        <v>1857</v>
      </c>
      <c r="D1584" s="2" t="s">
        <v>1858</v>
      </c>
      <c r="E1584" s="1">
        <v>1</v>
      </c>
      <c r="F1584" s="2" t="s">
        <v>1859</v>
      </c>
      <c r="G1584" s="1">
        <v>1</v>
      </c>
      <c r="H1584" s="1" t="str">
        <f t="shared" si="25"/>
        <v>k7317_1</v>
      </c>
      <c r="K1584" s="1">
        <f>IF(E1584=0,SUMPRODUCT(($A$2:$A$4734=A1584)*($B$2:$B$4734=B1584)*($D$2:$D$4734=D1584)*($E$2:$E$4734=0)),0)</f>
        <v>0</v>
      </c>
      <c r="L1584" s="1" t="str">
        <f>IF(E1584=0,SUMPRODUCT(MIN($K$2:$K$4734+((($A$2:$A$4734&lt;&gt;A1584)+($E$2:$E$4734&lt;&gt;0))&gt;0)*1000000)),"")</f>
        <v/>
      </c>
      <c r="M1584" s="1">
        <f>IF(AND(E1584=0,COUNTIFS($A$2:A1584,A1584,$E$2:E1584,0)=1),L1584,0)</f>
        <v>0</v>
      </c>
    </row>
    <row r="1585" spans="1:13" ht="15" customHeight="1">
      <c r="A1585" s="1">
        <v>7317</v>
      </c>
      <c r="B1585" s="1" t="s">
        <v>9</v>
      </c>
      <c r="C1585" s="2" t="s">
        <v>1857</v>
      </c>
      <c r="D1585" s="2" t="s">
        <v>1858</v>
      </c>
      <c r="E1585" s="1">
        <v>1</v>
      </c>
      <c r="F1585" s="2" t="s">
        <v>1860</v>
      </c>
      <c r="G1585" s="1">
        <v>2</v>
      </c>
      <c r="H1585" s="1" t="str">
        <f t="shared" si="25"/>
        <v>k7317_2</v>
      </c>
      <c r="K1585" s="1">
        <f>IF(E1585=0,SUMPRODUCT(($A$2:$A$4734=A1585)*($B$2:$B$4734=B1585)*($D$2:$D$4734=D1585)*($E$2:$E$4734=0)),0)</f>
        <v>0</v>
      </c>
      <c r="L1585" s="1" t="str">
        <f>IF(E1585=0,SUMPRODUCT(MIN($K$2:$K$4734+((($A$2:$A$4734&lt;&gt;A1585)+($E$2:$E$4734&lt;&gt;0))&gt;0)*1000000)),"")</f>
        <v/>
      </c>
      <c r="M1585" s="1">
        <f>IF(AND(E1585=0,COUNTIFS($A$2:A1585,A1585,$E$2:E1585,0)=1),L1585,0)</f>
        <v>0</v>
      </c>
    </row>
    <row r="1586" spans="1:13" ht="15" customHeight="1">
      <c r="A1586" s="1">
        <v>7317</v>
      </c>
      <c r="B1586" s="1" t="s">
        <v>9</v>
      </c>
      <c r="C1586" s="2" t="s">
        <v>1857</v>
      </c>
      <c r="D1586" s="2" t="s">
        <v>1858</v>
      </c>
      <c r="E1586" s="1">
        <v>1</v>
      </c>
      <c r="F1586" s="2" t="s">
        <v>1861</v>
      </c>
      <c r="G1586" s="1">
        <v>3</v>
      </c>
      <c r="H1586" s="1" t="str">
        <f t="shared" si="25"/>
        <v>k7317_3</v>
      </c>
      <c r="K1586" s="1">
        <f>IF(E1586=0,SUMPRODUCT(($A$2:$A$4734=A1586)*($B$2:$B$4734=B1586)*($D$2:$D$4734=D1586)*($E$2:$E$4734=0)),0)</f>
        <v>0</v>
      </c>
      <c r="L1586" s="1" t="str">
        <f>IF(E1586=0,SUMPRODUCT(MIN($K$2:$K$4734+((($A$2:$A$4734&lt;&gt;A1586)+($E$2:$E$4734&lt;&gt;0))&gt;0)*1000000)),"")</f>
        <v/>
      </c>
      <c r="M1586" s="1">
        <f>IF(AND(E1586=0,COUNTIFS($A$2:A1586,A1586,$E$2:E1586,0)=1),L1586,0)</f>
        <v>0</v>
      </c>
    </row>
    <row r="1587" spans="1:13" ht="15" customHeight="1">
      <c r="A1587" s="1">
        <v>7317</v>
      </c>
      <c r="B1587" s="1" t="s">
        <v>9</v>
      </c>
      <c r="C1587" s="2" t="s">
        <v>1857</v>
      </c>
      <c r="D1587" s="2" t="s">
        <v>1858</v>
      </c>
      <c r="E1587" s="1">
        <v>1</v>
      </c>
      <c r="F1587" s="2" t="s">
        <v>1862</v>
      </c>
      <c r="G1587" s="1">
        <v>4</v>
      </c>
      <c r="H1587" s="1" t="str">
        <f t="shared" si="25"/>
        <v>k7317_4</v>
      </c>
      <c r="K1587" s="1">
        <f>IF(E1587=0,SUMPRODUCT(($A$2:$A$4734=A1587)*($B$2:$B$4734=B1587)*($D$2:$D$4734=D1587)*($E$2:$E$4734=0)),0)</f>
        <v>0</v>
      </c>
      <c r="L1587" s="1" t="str">
        <f>IF(E1587=0,SUMPRODUCT(MIN($K$2:$K$4734+((($A$2:$A$4734&lt;&gt;A1587)+($E$2:$E$4734&lt;&gt;0))&gt;0)*1000000)),"")</f>
        <v/>
      </c>
      <c r="M1587" s="1">
        <f>IF(AND(E1587=0,COUNTIFS($A$2:A1587,A1587,$E$2:E1587,0)=1),L1587,0)</f>
        <v>0</v>
      </c>
    </row>
    <row r="1588" spans="1:13" ht="15" customHeight="1">
      <c r="A1588" s="1">
        <v>7317</v>
      </c>
      <c r="B1588" s="1" t="s">
        <v>9</v>
      </c>
      <c r="C1588" s="2" t="s">
        <v>1857</v>
      </c>
      <c r="D1588" s="2" t="s">
        <v>1858</v>
      </c>
      <c r="E1588" s="1">
        <v>1</v>
      </c>
      <c r="F1588" s="2" t="s">
        <v>1863</v>
      </c>
      <c r="G1588" s="1">
        <v>5</v>
      </c>
      <c r="H1588" s="1" t="str">
        <f t="shared" si="25"/>
        <v>k7317_5</v>
      </c>
      <c r="K1588" s="1">
        <f>IF(E1588=0,SUMPRODUCT(($A$2:$A$4734=A1588)*($B$2:$B$4734=B1588)*($D$2:$D$4734=D1588)*($E$2:$E$4734=0)),0)</f>
        <v>0</v>
      </c>
      <c r="L1588" s="1" t="str">
        <f>IF(E1588=0,SUMPRODUCT(MIN($K$2:$K$4734+((($A$2:$A$4734&lt;&gt;A1588)+($E$2:$E$4734&lt;&gt;0))&gt;0)*1000000)),"")</f>
        <v/>
      </c>
      <c r="M1588" s="1">
        <f>IF(AND(E1588=0,COUNTIFS($A$2:A1588,A1588,$E$2:E1588,0)=1),L1588,0)</f>
        <v>0</v>
      </c>
    </row>
    <row r="1589" spans="1:13" ht="15" customHeight="1">
      <c r="A1589" s="1">
        <v>7317</v>
      </c>
      <c r="B1589" s="1" t="s">
        <v>95</v>
      </c>
      <c r="C1589" s="2" t="s">
        <v>1857</v>
      </c>
      <c r="D1589" s="2" t="s">
        <v>1864</v>
      </c>
      <c r="E1589" s="1">
        <v>1</v>
      </c>
      <c r="F1589" s="2" t="s">
        <v>1865</v>
      </c>
      <c r="G1589" s="1">
        <v>1</v>
      </c>
      <c r="H1589" s="1" t="str">
        <f t="shared" si="25"/>
        <v>k7317_1</v>
      </c>
      <c r="K1589" s="1">
        <f>IF(E1589=0,SUMPRODUCT(($A$2:$A$4734=A1589)*($B$2:$B$4734=B1589)*($D$2:$D$4734=D1589)*($E$2:$E$4734=0)),0)</f>
        <v>0</v>
      </c>
      <c r="L1589" s="1" t="str">
        <f>IF(E1589=0,SUMPRODUCT(MIN($K$2:$K$4734+((($A$2:$A$4734&lt;&gt;A1589)+($E$2:$E$4734&lt;&gt;0))&gt;0)*1000000)),"")</f>
        <v/>
      </c>
      <c r="M1589" s="1">
        <f>IF(AND(E1589=0,COUNTIFS($A$2:A1589,A1589,$E$2:E1589,0)=1),L1589,0)</f>
        <v>0</v>
      </c>
    </row>
    <row r="1590" spans="1:13" ht="15" customHeight="1">
      <c r="A1590" s="1">
        <v>7317</v>
      </c>
      <c r="B1590" s="1" t="s">
        <v>95</v>
      </c>
      <c r="C1590" s="2" t="s">
        <v>1857</v>
      </c>
      <c r="D1590" s="2" t="s">
        <v>1864</v>
      </c>
      <c r="E1590" s="1">
        <v>1</v>
      </c>
      <c r="F1590" s="2" t="s">
        <v>1866</v>
      </c>
      <c r="G1590" s="1">
        <v>2</v>
      </c>
      <c r="H1590" s="1" t="str">
        <f t="shared" si="25"/>
        <v>k7317_2</v>
      </c>
      <c r="K1590" s="1">
        <f>IF(E1590=0,SUMPRODUCT(($A$2:$A$4734=A1590)*($B$2:$B$4734=B1590)*($D$2:$D$4734=D1590)*($E$2:$E$4734=0)),0)</f>
        <v>0</v>
      </c>
      <c r="L1590" s="1" t="str">
        <f>IF(E1590=0,SUMPRODUCT(MIN($K$2:$K$4734+((($A$2:$A$4734&lt;&gt;A1590)+($E$2:$E$4734&lt;&gt;0))&gt;0)*1000000)),"")</f>
        <v/>
      </c>
      <c r="M1590" s="1">
        <f>IF(AND(E1590=0,COUNTIFS($A$2:A1590,A1590,$E$2:E1590,0)=1),L1590,0)</f>
        <v>0</v>
      </c>
    </row>
    <row r="1591" spans="1:13" ht="15" customHeight="1">
      <c r="A1591" s="1">
        <v>7317</v>
      </c>
      <c r="B1591" s="1" t="s">
        <v>95</v>
      </c>
      <c r="C1591" s="2" t="s">
        <v>1857</v>
      </c>
      <c r="D1591" s="2" t="s">
        <v>1864</v>
      </c>
      <c r="E1591" s="1">
        <v>1</v>
      </c>
      <c r="F1591" s="2" t="s">
        <v>1867</v>
      </c>
      <c r="G1591" s="1">
        <v>3</v>
      </c>
      <c r="H1591" s="1" t="str">
        <f t="shared" si="25"/>
        <v>k7317_3</v>
      </c>
      <c r="K1591" s="1">
        <f>IF(E1591=0,SUMPRODUCT(($A$2:$A$4734=A1591)*($B$2:$B$4734=B1591)*($D$2:$D$4734=D1591)*($E$2:$E$4734=0)),0)</f>
        <v>0</v>
      </c>
      <c r="L1591" s="1" t="str">
        <f>IF(E1591=0,SUMPRODUCT(MIN($K$2:$K$4734+((($A$2:$A$4734&lt;&gt;A1591)+($E$2:$E$4734&lt;&gt;0))&gt;0)*1000000)),"")</f>
        <v/>
      </c>
      <c r="M1591" s="1">
        <f>IF(AND(E1591=0,COUNTIFS($A$2:A1591,A1591,$E$2:E1591,0)=1),L1591,0)</f>
        <v>0</v>
      </c>
    </row>
    <row r="1592" spans="1:13" ht="15" customHeight="1">
      <c r="A1592" s="1">
        <v>7317</v>
      </c>
      <c r="B1592" s="1" t="s">
        <v>95</v>
      </c>
      <c r="C1592" s="2" t="s">
        <v>1857</v>
      </c>
      <c r="D1592" s="2" t="s">
        <v>1864</v>
      </c>
      <c r="E1592" s="1">
        <v>1</v>
      </c>
      <c r="F1592" s="2" t="s">
        <v>1868</v>
      </c>
      <c r="G1592" s="1">
        <v>4</v>
      </c>
      <c r="H1592" s="1" t="str">
        <f t="shared" si="25"/>
        <v>k7317_4</v>
      </c>
      <c r="K1592" s="1">
        <f>IF(E1592=0,SUMPRODUCT(($A$2:$A$4734=A1592)*($B$2:$B$4734=B1592)*($D$2:$D$4734=D1592)*($E$2:$E$4734=0)),0)</f>
        <v>0</v>
      </c>
      <c r="L1592" s="1" t="str">
        <f>IF(E1592=0,SUMPRODUCT(MIN($K$2:$K$4734+((($A$2:$A$4734&lt;&gt;A1592)+($E$2:$E$4734&lt;&gt;0))&gt;0)*1000000)),"")</f>
        <v/>
      </c>
      <c r="M1592" s="1">
        <f>IF(AND(E1592=0,COUNTIFS($A$2:A1592,A1592,$E$2:E1592,0)=1),L1592,0)</f>
        <v>0</v>
      </c>
    </row>
    <row r="1593" spans="1:13" ht="15" customHeight="1">
      <c r="A1593" s="1">
        <v>7317</v>
      </c>
      <c r="B1593" s="1" t="s">
        <v>95</v>
      </c>
      <c r="C1593" s="2" t="s">
        <v>1857</v>
      </c>
      <c r="D1593" s="2" t="s">
        <v>1864</v>
      </c>
      <c r="E1593" s="1">
        <v>1</v>
      </c>
      <c r="F1593" s="2" t="s">
        <v>1869</v>
      </c>
      <c r="G1593" s="1">
        <v>5</v>
      </c>
      <c r="H1593" s="1" t="str">
        <f t="shared" si="25"/>
        <v>k7317_5</v>
      </c>
      <c r="K1593" s="1">
        <f>IF(E1593=0,SUMPRODUCT(($A$2:$A$4734=A1593)*($B$2:$B$4734=B1593)*($D$2:$D$4734=D1593)*($E$2:$E$4734=0)),0)</f>
        <v>0</v>
      </c>
      <c r="L1593" s="1" t="str">
        <f>IF(E1593=0,SUMPRODUCT(MIN($K$2:$K$4734+((($A$2:$A$4734&lt;&gt;A1593)+($E$2:$E$4734&lt;&gt;0))&gt;0)*1000000)),"")</f>
        <v/>
      </c>
      <c r="M1593" s="1">
        <f>IF(AND(E1593=0,COUNTIFS($A$2:A1593,A1593,$E$2:E1593,0)=1),L1593,0)</f>
        <v>0</v>
      </c>
    </row>
    <row r="1594" spans="1:13" ht="15" customHeight="1">
      <c r="A1594" s="1">
        <v>7318</v>
      </c>
      <c r="B1594" s="1" t="s">
        <v>872</v>
      </c>
      <c r="C1594" s="2" t="s">
        <v>1870</v>
      </c>
      <c r="D1594" s="2" t="s">
        <v>1871</v>
      </c>
      <c r="E1594" s="1">
        <v>1</v>
      </c>
      <c r="F1594" s="2" t="s">
        <v>1872</v>
      </c>
      <c r="G1594" s="1">
        <v>1</v>
      </c>
      <c r="H1594" s="1" t="str">
        <f t="shared" si="25"/>
        <v>k7318_1</v>
      </c>
      <c r="K1594" s="1">
        <f>IF(E1594=0,SUMPRODUCT(($A$2:$A$4734=A1594)*($B$2:$B$4734=B1594)*($D$2:$D$4734=D1594)*($E$2:$E$4734=0)),0)</f>
        <v>0</v>
      </c>
      <c r="L1594" s="1" t="str">
        <f>IF(E1594=0,SUMPRODUCT(MIN($K$2:$K$4734+((($A$2:$A$4734&lt;&gt;A1594)+($E$2:$E$4734&lt;&gt;0))&gt;0)*1000000)),"")</f>
        <v/>
      </c>
      <c r="M1594" s="1">
        <f>IF(AND(E1594=0,COUNTIFS($A$2:A1594,A1594,$E$2:E1594,0)=1),L1594,0)</f>
        <v>0</v>
      </c>
    </row>
    <row r="1595" spans="1:13" ht="15" customHeight="1">
      <c r="A1595" s="1">
        <v>7318</v>
      </c>
      <c r="B1595" s="1" t="s">
        <v>872</v>
      </c>
      <c r="C1595" s="2" t="s">
        <v>1870</v>
      </c>
      <c r="D1595" s="2" t="s">
        <v>1871</v>
      </c>
      <c r="E1595" s="1">
        <v>1</v>
      </c>
      <c r="F1595" s="2" t="s">
        <v>1873</v>
      </c>
      <c r="G1595" s="1">
        <v>2</v>
      </c>
      <c r="H1595" s="1" t="str">
        <f t="shared" si="25"/>
        <v>k7318_2</v>
      </c>
      <c r="K1595" s="1">
        <f>IF(E1595=0,SUMPRODUCT(($A$2:$A$4734=A1595)*($B$2:$B$4734=B1595)*($D$2:$D$4734=D1595)*($E$2:$E$4734=0)),0)</f>
        <v>0</v>
      </c>
      <c r="L1595" s="1" t="str">
        <f>IF(E1595=0,SUMPRODUCT(MIN($K$2:$K$4734+((($A$2:$A$4734&lt;&gt;A1595)+($E$2:$E$4734&lt;&gt;0))&gt;0)*1000000)),"")</f>
        <v/>
      </c>
      <c r="M1595" s="1">
        <f>IF(AND(E1595=0,COUNTIFS($A$2:A1595,A1595,$E$2:E1595,0)=1),L1595,0)</f>
        <v>0</v>
      </c>
    </row>
    <row r="1596" spans="1:13" ht="15" customHeight="1">
      <c r="A1596" s="1">
        <v>7318</v>
      </c>
      <c r="B1596" s="1" t="s">
        <v>872</v>
      </c>
      <c r="C1596" s="2" t="s">
        <v>1870</v>
      </c>
      <c r="D1596" s="2" t="s">
        <v>1871</v>
      </c>
      <c r="E1596" s="1">
        <v>1</v>
      </c>
      <c r="F1596" s="2" t="s">
        <v>1874</v>
      </c>
      <c r="G1596" s="1">
        <v>3</v>
      </c>
      <c r="H1596" s="1" t="str">
        <f t="shared" si="25"/>
        <v>k7318_3</v>
      </c>
      <c r="K1596" s="1">
        <f>IF(E1596=0,SUMPRODUCT(($A$2:$A$4734=A1596)*($B$2:$B$4734=B1596)*($D$2:$D$4734=D1596)*($E$2:$E$4734=0)),0)</f>
        <v>0</v>
      </c>
      <c r="L1596" s="1" t="str">
        <f>IF(E1596=0,SUMPRODUCT(MIN($K$2:$K$4734+((($A$2:$A$4734&lt;&gt;A1596)+($E$2:$E$4734&lt;&gt;0))&gt;0)*1000000)),"")</f>
        <v/>
      </c>
      <c r="M1596" s="1">
        <f>IF(AND(E1596=0,COUNTIFS($A$2:A1596,A1596,$E$2:E1596,0)=1),L1596,0)</f>
        <v>0</v>
      </c>
    </row>
    <row r="1597" spans="1:13" ht="15" customHeight="1">
      <c r="A1597" s="1">
        <v>7318</v>
      </c>
      <c r="B1597" s="1" t="s">
        <v>872</v>
      </c>
      <c r="C1597" s="2" t="s">
        <v>1870</v>
      </c>
      <c r="D1597" s="2" t="s">
        <v>1871</v>
      </c>
      <c r="E1597" s="1">
        <v>1</v>
      </c>
      <c r="F1597" s="2" t="s">
        <v>1875</v>
      </c>
      <c r="G1597" s="1">
        <v>4</v>
      </c>
      <c r="H1597" s="1" t="str">
        <f t="shared" si="25"/>
        <v>k7318_4</v>
      </c>
      <c r="K1597" s="1">
        <f>IF(E1597=0,SUMPRODUCT(($A$2:$A$4734=A1597)*($B$2:$B$4734=B1597)*($D$2:$D$4734=D1597)*($E$2:$E$4734=0)),0)</f>
        <v>0</v>
      </c>
      <c r="L1597" s="1" t="str">
        <f>IF(E1597=0,SUMPRODUCT(MIN($K$2:$K$4734+((($A$2:$A$4734&lt;&gt;A1597)+($E$2:$E$4734&lt;&gt;0))&gt;0)*1000000)),"")</f>
        <v/>
      </c>
      <c r="M1597" s="1">
        <f>IF(AND(E1597=0,COUNTIFS($A$2:A1597,A1597,$E$2:E1597,0)=1),L1597,0)</f>
        <v>0</v>
      </c>
    </row>
    <row r="1598" spans="1:13" ht="15" customHeight="1">
      <c r="A1598" s="1">
        <v>7319</v>
      </c>
      <c r="B1598" s="1" t="s">
        <v>9</v>
      </c>
      <c r="C1598" s="2" t="s">
        <v>1876</v>
      </c>
      <c r="D1598" s="2" t="s">
        <v>1877</v>
      </c>
      <c r="E1598" s="1">
        <v>0</v>
      </c>
      <c r="F1598" s="2" t="s">
        <v>1878</v>
      </c>
      <c r="H1598" s="1" t="str">
        <f t="shared" si="25"/>
        <v/>
      </c>
      <c r="K1598" s="1">
        <f>IF(E1598=0,SUMPRODUCT(($A$2:$A$4734=A1598)*($B$2:$B$4734=B1598)*($D$2:$D$4734=D1598)*($E$2:$E$4734=0)),0)</f>
        <v>2</v>
      </c>
      <c r="L1598" s="1">
        <f>IF(E1598=0,SUMPRODUCT(MIN($K$2:$K$4734+((($A$2:$A$4734&lt;&gt;A1598)+($E$2:$E$4734&lt;&gt;0))&gt;0)*1000000)),"")</f>
        <v>2</v>
      </c>
      <c r="M1598" s="1">
        <f>IF(AND(E1598=0,COUNTIFS($A$2:A1598,A1598,$E$2:E1598,0)=1),L1598,0)</f>
        <v>2</v>
      </c>
    </row>
    <row r="1599" spans="1:13" ht="15" customHeight="1">
      <c r="A1599" s="1">
        <v>7319</v>
      </c>
      <c r="B1599" s="1" t="s">
        <v>9</v>
      </c>
      <c r="C1599" s="2" t="s">
        <v>1876</v>
      </c>
      <c r="D1599" s="2" t="s">
        <v>1877</v>
      </c>
      <c r="E1599" s="1">
        <v>0</v>
      </c>
      <c r="F1599" s="2" t="s">
        <v>1879</v>
      </c>
      <c r="H1599" s="1" t="str">
        <f t="shared" si="25"/>
        <v/>
      </c>
      <c r="K1599" s="1">
        <f>IF(E1599=0,SUMPRODUCT(($A$2:$A$4734=A1599)*($B$2:$B$4734=B1599)*($D$2:$D$4734=D1599)*($E$2:$E$4734=0)),0)</f>
        <v>2</v>
      </c>
      <c r="L1599" s="1">
        <f>IF(E1599=0,SUMPRODUCT(MIN($K$2:$K$4734+((($A$2:$A$4734&lt;&gt;A1599)+($E$2:$E$4734&lt;&gt;0))&gt;0)*1000000)),"")</f>
        <v>2</v>
      </c>
      <c r="M1599" s="1">
        <f>IF(AND(E1599=0,COUNTIFS($A$2:A1599,A1599,$E$2:E1599,0)=1),L1599,0)</f>
        <v>0</v>
      </c>
    </row>
    <row r="1600" spans="1:13" ht="15" customHeight="1">
      <c r="A1600" s="1">
        <v>7319</v>
      </c>
      <c r="B1600" s="1" t="s">
        <v>16</v>
      </c>
      <c r="C1600" s="2" t="s">
        <v>1876</v>
      </c>
      <c r="D1600" s="2" t="s">
        <v>1880</v>
      </c>
      <c r="E1600" s="1">
        <v>0</v>
      </c>
      <c r="F1600" s="2" t="s">
        <v>1881</v>
      </c>
      <c r="H1600" s="1" t="str">
        <f t="shared" si="25"/>
        <v/>
      </c>
      <c r="K1600" s="1">
        <f>IF(E1600=0,SUMPRODUCT(($A$2:$A$4734=A1600)*($B$2:$B$4734=B1600)*($D$2:$D$4734=D1600)*($E$2:$E$4734=0)),0)</f>
        <v>4</v>
      </c>
      <c r="L1600" s="1">
        <f>IF(E1600=0,SUMPRODUCT(MIN($K$2:$K$4734+((($A$2:$A$4734&lt;&gt;A1600)+($E$2:$E$4734&lt;&gt;0))&gt;0)*1000000)),"")</f>
        <v>2</v>
      </c>
      <c r="M1600" s="1">
        <f>IF(AND(E1600=0,COUNTIFS($A$2:A1600,A1600,$E$2:E1600,0)=1),L1600,0)</f>
        <v>0</v>
      </c>
    </row>
    <row r="1601" spans="1:13" ht="15" customHeight="1">
      <c r="A1601" s="1">
        <v>7319</v>
      </c>
      <c r="B1601" s="1" t="s">
        <v>16</v>
      </c>
      <c r="C1601" s="2" t="s">
        <v>1876</v>
      </c>
      <c r="D1601" s="2" t="s">
        <v>1880</v>
      </c>
      <c r="E1601" s="1">
        <v>0</v>
      </c>
      <c r="F1601" s="2" t="s">
        <v>1882</v>
      </c>
      <c r="H1601" s="1" t="str">
        <f t="shared" si="25"/>
        <v/>
      </c>
      <c r="K1601" s="1">
        <f>IF(E1601=0,SUMPRODUCT(($A$2:$A$4734=A1601)*($B$2:$B$4734=B1601)*($D$2:$D$4734=D1601)*($E$2:$E$4734=0)),0)</f>
        <v>4</v>
      </c>
      <c r="L1601" s="1">
        <f>IF(E1601=0,SUMPRODUCT(MIN($K$2:$K$4734+((($A$2:$A$4734&lt;&gt;A1601)+($E$2:$E$4734&lt;&gt;0))&gt;0)*1000000)),"")</f>
        <v>2</v>
      </c>
      <c r="M1601" s="1">
        <f>IF(AND(E1601=0,COUNTIFS($A$2:A1601,A1601,$E$2:E1601,0)=1),L1601,0)</f>
        <v>0</v>
      </c>
    </row>
    <row r="1602" spans="1:13" ht="15" customHeight="1">
      <c r="A1602" s="1">
        <v>7319</v>
      </c>
      <c r="B1602" s="1" t="s">
        <v>16</v>
      </c>
      <c r="C1602" s="2" t="s">
        <v>1876</v>
      </c>
      <c r="D1602" s="2" t="s">
        <v>1880</v>
      </c>
      <c r="E1602" s="1">
        <v>0</v>
      </c>
      <c r="F1602" s="2" t="s">
        <v>1883</v>
      </c>
      <c r="H1602" s="1" t="str">
        <f t="shared" si="25"/>
        <v/>
      </c>
      <c r="K1602" s="1">
        <f>IF(E1602=0,SUMPRODUCT(($A$2:$A$4734=A1602)*($B$2:$B$4734=B1602)*($D$2:$D$4734=D1602)*($E$2:$E$4734=0)),0)</f>
        <v>4</v>
      </c>
      <c r="L1602" s="1">
        <f>IF(E1602=0,SUMPRODUCT(MIN($K$2:$K$4734+((($A$2:$A$4734&lt;&gt;A1602)+($E$2:$E$4734&lt;&gt;0))&gt;0)*1000000)),"")</f>
        <v>2</v>
      </c>
      <c r="M1602" s="1">
        <f>IF(AND(E1602=0,COUNTIFS($A$2:A1602,A1602,$E$2:E1602,0)=1),L1602,0)</f>
        <v>0</v>
      </c>
    </row>
    <row r="1603" spans="1:13" ht="15" customHeight="1">
      <c r="A1603" s="1">
        <v>7319</v>
      </c>
      <c r="B1603" s="1" t="s">
        <v>16</v>
      </c>
      <c r="C1603" s="2" t="s">
        <v>1876</v>
      </c>
      <c r="D1603" s="2" t="s">
        <v>1880</v>
      </c>
      <c r="E1603" s="1">
        <v>0</v>
      </c>
      <c r="F1603" s="2" t="s">
        <v>1884</v>
      </c>
      <c r="H1603" s="1" t="str">
        <f t="shared" si="25"/>
        <v/>
      </c>
      <c r="K1603" s="1">
        <f>IF(E1603=0,SUMPRODUCT(($A$2:$A$4734=A1603)*($B$2:$B$4734=B1603)*($D$2:$D$4734=D1603)*($E$2:$E$4734=0)),0)</f>
        <v>4</v>
      </c>
      <c r="L1603" s="1">
        <f>IF(E1603=0,SUMPRODUCT(MIN($K$2:$K$4734+((($A$2:$A$4734&lt;&gt;A1603)+($E$2:$E$4734&lt;&gt;0))&gt;0)*1000000)),"")</f>
        <v>2</v>
      </c>
      <c r="M1603" s="1">
        <f>IF(AND(E1603=0,COUNTIFS($A$2:A1603,A1603,$E$2:E1603,0)=1),L1603,0)</f>
        <v>0</v>
      </c>
    </row>
    <row r="1604" spans="1:13" ht="15" customHeight="1">
      <c r="A1604" s="1">
        <v>7320</v>
      </c>
      <c r="B1604" s="1" t="s">
        <v>358</v>
      </c>
      <c r="C1604" s="2" t="s">
        <v>1885</v>
      </c>
      <c r="D1604" s="2" t="s">
        <v>1886</v>
      </c>
      <c r="E1604" s="1">
        <v>1</v>
      </c>
      <c r="F1604" s="2" t="s">
        <v>1887</v>
      </c>
      <c r="G1604" s="1">
        <v>1</v>
      </c>
      <c r="H1604" s="1" t="str">
        <f t="shared" si="25"/>
        <v>k7320_1</v>
      </c>
      <c r="K1604" s="1">
        <f>IF(E1604=0,SUMPRODUCT(($A$2:$A$4734=A1604)*($B$2:$B$4734=B1604)*($D$2:$D$4734=D1604)*($E$2:$E$4734=0)),0)</f>
        <v>0</v>
      </c>
      <c r="L1604" s="1" t="str">
        <f>IF(E1604=0,SUMPRODUCT(MIN($K$2:$K$4734+((($A$2:$A$4734&lt;&gt;A1604)+($E$2:$E$4734&lt;&gt;0))&gt;0)*1000000)),"")</f>
        <v/>
      </c>
      <c r="M1604" s="1">
        <f>IF(AND(E1604=0,COUNTIFS($A$2:A1604,A1604,$E$2:E1604,0)=1),L1604,0)</f>
        <v>0</v>
      </c>
    </row>
    <row r="1605" spans="1:13" ht="15" customHeight="1">
      <c r="A1605" s="1">
        <v>7320</v>
      </c>
      <c r="B1605" s="1" t="s">
        <v>358</v>
      </c>
      <c r="C1605" s="2" t="s">
        <v>1885</v>
      </c>
      <c r="D1605" s="2" t="s">
        <v>1886</v>
      </c>
      <c r="E1605" s="1">
        <v>1</v>
      </c>
      <c r="F1605" s="2" t="s">
        <v>1888</v>
      </c>
      <c r="G1605" s="1">
        <v>2</v>
      </c>
      <c r="H1605" s="1" t="str">
        <f t="shared" si="25"/>
        <v>k7320_2</v>
      </c>
      <c r="K1605" s="1">
        <f>IF(E1605=0,SUMPRODUCT(($A$2:$A$4734=A1605)*($B$2:$B$4734=B1605)*($D$2:$D$4734=D1605)*($E$2:$E$4734=0)),0)</f>
        <v>0</v>
      </c>
      <c r="L1605" s="1" t="str">
        <f>IF(E1605=0,SUMPRODUCT(MIN($K$2:$K$4734+((($A$2:$A$4734&lt;&gt;A1605)+($E$2:$E$4734&lt;&gt;0))&gt;0)*1000000)),"")</f>
        <v/>
      </c>
      <c r="M1605" s="1">
        <f>IF(AND(E1605=0,COUNTIFS($A$2:A1605,A1605,$E$2:E1605,0)=1),L1605,0)</f>
        <v>0</v>
      </c>
    </row>
    <row r="1606" spans="1:13" ht="15" customHeight="1">
      <c r="A1606" s="1">
        <v>7320</v>
      </c>
      <c r="B1606" s="1" t="s">
        <v>358</v>
      </c>
      <c r="C1606" s="2" t="s">
        <v>1885</v>
      </c>
      <c r="D1606" s="2" t="s">
        <v>1886</v>
      </c>
      <c r="E1606" s="1">
        <v>1</v>
      </c>
      <c r="F1606" s="2" t="s">
        <v>1889</v>
      </c>
      <c r="G1606" s="1">
        <v>3</v>
      </c>
      <c r="H1606" s="1" t="str">
        <f t="shared" si="25"/>
        <v>k7320_3</v>
      </c>
      <c r="K1606" s="1">
        <f>IF(E1606=0,SUMPRODUCT(($A$2:$A$4734=A1606)*($B$2:$B$4734=B1606)*($D$2:$D$4734=D1606)*($E$2:$E$4734=0)),0)</f>
        <v>0</v>
      </c>
      <c r="L1606" s="1" t="str">
        <f>IF(E1606=0,SUMPRODUCT(MIN($K$2:$K$4734+((($A$2:$A$4734&lt;&gt;A1606)+($E$2:$E$4734&lt;&gt;0))&gt;0)*1000000)),"")</f>
        <v/>
      </c>
      <c r="M1606" s="1">
        <f>IF(AND(E1606=0,COUNTIFS($A$2:A1606,A1606,$E$2:E1606,0)=1),L1606,0)</f>
        <v>0</v>
      </c>
    </row>
    <row r="1607" spans="1:13" ht="15" customHeight="1">
      <c r="A1607" s="1">
        <v>7320</v>
      </c>
      <c r="B1607" s="1" t="s">
        <v>358</v>
      </c>
      <c r="C1607" s="2" t="s">
        <v>1885</v>
      </c>
      <c r="D1607" s="2" t="s">
        <v>1886</v>
      </c>
      <c r="E1607" s="1">
        <v>1</v>
      </c>
      <c r="F1607" s="2" t="s">
        <v>1890</v>
      </c>
      <c r="G1607" s="1">
        <v>4</v>
      </c>
      <c r="H1607" s="1" t="str">
        <f t="shared" si="25"/>
        <v>k7320_4</v>
      </c>
      <c r="K1607" s="1">
        <f>IF(E1607=0,SUMPRODUCT(($A$2:$A$4734=A1607)*($B$2:$B$4734=B1607)*($D$2:$D$4734=D1607)*($E$2:$E$4734=0)),0)</f>
        <v>0</v>
      </c>
      <c r="L1607" s="1" t="str">
        <f>IF(E1607=0,SUMPRODUCT(MIN($K$2:$K$4734+((($A$2:$A$4734&lt;&gt;A1607)+($E$2:$E$4734&lt;&gt;0))&gt;0)*1000000)),"")</f>
        <v/>
      </c>
      <c r="M1607" s="1">
        <f>IF(AND(E1607=0,COUNTIFS($A$2:A1607,A1607,$E$2:E1607,0)=1),L1607,0)</f>
        <v>0</v>
      </c>
    </row>
    <row r="1608" spans="1:13" ht="15" customHeight="1">
      <c r="A1608" s="1">
        <v>7322</v>
      </c>
      <c r="B1608" s="1" t="s">
        <v>9</v>
      </c>
      <c r="C1608" s="2" t="s">
        <v>1891</v>
      </c>
      <c r="D1608" s="2" t="s">
        <v>1892</v>
      </c>
      <c r="E1608" s="1">
        <v>0</v>
      </c>
      <c r="F1608" s="2" t="s">
        <v>1893</v>
      </c>
      <c r="H1608" s="1" t="str">
        <f t="shared" si="25"/>
        <v/>
      </c>
      <c r="K1608" s="1">
        <f>IF(E1608=0,SUMPRODUCT(($A$2:$A$4734=A1608)*($B$2:$B$4734=B1608)*($D$2:$D$4734=D1608)*($E$2:$E$4734=0)),0)</f>
        <v>3</v>
      </c>
      <c r="L1608" s="1">
        <f>IF(E1608=0,SUMPRODUCT(MIN($K$2:$K$4734+((($A$2:$A$4734&lt;&gt;A1608)+($E$2:$E$4734&lt;&gt;0))&gt;0)*1000000)),"")</f>
        <v>3</v>
      </c>
      <c r="M1608" s="1">
        <f>IF(AND(E1608=0,COUNTIFS($A$2:A1608,A1608,$E$2:E1608,0)=1),L1608,0)</f>
        <v>3</v>
      </c>
    </row>
    <row r="1609" spans="1:13" ht="15" customHeight="1">
      <c r="A1609" s="1">
        <v>7322</v>
      </c>
      <c r="B1609" s="1" t="s">
        <v>9</v>
      </c>
      <c r="C1609" s="2" t="s">
        <v>1891</v>
      </c>
      <c r="D1609" s="2" t="s">
        <v>1892</v>
      </c>
      <c r="E1609" s="1">
        <v>0</v>
      </c>
      <c r="F1609" s="2" t="s">
        <v>1894</v>
      </c>
      <c r="H1609" s="1" t="str">
        <f t="shared" si="25"/>
        <v/>
      </c>
      <c r="K1609" s="1">
        <f>IF(E1609=0,SUMPRODUCT(($A$2:$A$4734=A1609)*($B$2:$B$4734=B1609)*($D$2:$D$4734=D1609)*($E$2:$E$4734=0)),0)</f>
        <v>3</v>
      </c>
      <c r="L1609" s="1">
        <f>IF(E1609=0,SUMPRODUCT(MIN($K$2:$K$4734+((($A$2:$A$4734&lt;&gt;A1609)+($E$2:$E$4734&lt;&gt;0))&gt;0)*1000000)),"")</f>
        <v>3</v>
      </c>
      <c r="M1609" s="1">
        <f>IF(AND(E1609=0,COUNTIFS($A$2:A1609,A1609,$E$2:E1609,0)=1),L1609,0)</f>
        <v>0</v>
      </c>
    </row>
    <row r="1610" spans="1:13" ht="15" customHeight="1">
      <c r="A1610" s="1">
        <v>7322</v>
      </c>
      <c r="B1610" s="1" t="s">
        <v>9</v>
      </c>
      <c r="C1610" s="2" t="s">
        <v>1891</v>
      </c>
      <c r="D1610" s="2" t="s">
        <v>1892</v>
      </c>
      <c r="E1610" s="1">
        <v>0</v>
      </c>
      <c r="F1610" s="2" t="s">
        <v>1895</v>
      </c>
      <c r="H1610" s="1" t="str">
        <f t="shared" si="25"/>
        <v/>
      </c>
      <c r="K1610" s="1">
        <f>IF(E1610=0,SUMPRODUCT(($A$2:$A$4734=A1610)*($B$2:$B$4734=B1610)*($D$2:$D$4734=D1610)*($E$2:$E$4734=0)),0)</f>
        <v>3</v>
      </c>
      <c r="L1610" s="1">
        <f>IF(E1610=0,SUMPRODUCT(MIN($K$2:$K$4734+((($A$2:$A$4734&lt;&gt;A1610)+($E$2:$E$4734&lt;&gt;0))&gt;0)*1000000)),"")</f>
        <v>3</v>
      </c>
      <c r="M1610" s="1">
        <f>IF(AND(E1610=0,COUNTIFS($A$2:A1610,A1610,$E$2:E1610,0)=1),L1610,0)</f>
        <v>0</v>
      </c>
    </row>
    <row r="1611" spans="1:13" ht="15" customHeight="1">
      <c r="A1611" s="1">
        <v>7322</v>
      </c>
      <c r="B1611" s="1" t="s">
        <v>9</v>
      </c>
      <c r="C1611" s="2" t="s">
        <v>1891</v>
      </c>
      <c r="D1611" s="2" t="s">
        <v>1896</v>
      </c>
      <c r="E1611" s="1">
        <v>0</v>
      </c>
      <c r="F1611" s="2" t="s">
        <v>1897</v>
      </c>
      <c r="H1611" s="1" t="str">
        <f t="shared" si="25"/>
        <v/>
      </c>
      <c r="K1611" s="1">
        <f>IF(E1611=0,SUMPRODUCT(($A$2:$A$4734=A1611)*($B$2:$B$4734=B1611)*($D$2:$D$4734=D1611)*($E$2:$E$4734=0)),0)</f>
        <v>6</v>
      </c>
      <c r="L1611" s="1">
        <f>IF(E1611=0,SUMPRODUCT(MIN($K$2:$K$4734+((($A$2:$A$4734&lt;&gt;A1611)+($E$2:$E$4734&lt;&gt;0))&gt;0)*1000000)),"")</f>
        <v>3</v>
      </c>
      <c r="M1611" s="1">
        <f>IF(AND(E1611=0,COUNTIFS($A$2:A1611,A1611,$E$2:E1611,0)=1),L1611,0)</f>
        <v>0</v>
      </c>
    </row>
    <row r="1612" spans="1:13" ht="15" customHeight="1">
      <c r="A1612" s="1">
        <v>7322</v>
      </c>
      <c r="B1612" s="1" t="s">
        <v>9</v>
      </c>
      <c r="C1612" s="2" t="s">
        <v>1891</v>
      </c>
      <c r="D1612" s="2" t="s">
        <v>1896</v>
      </c>
      <c r="E1612" s="1">
        <v>0</v>
      </c>
      <c r="F1612" s="2" t="s">
        <v>1898</v>
      </c>
      <c r="H1612" s="1" t="str">
        <f t="shared" si="25"/>
        <v/>
      </c>
      <c r="K1612" s="1">
        <f>IF(E1612=0,SUMPRODUCT(($A$2:$A$4734=A1612)*($B$2:$B$4734=B1612)*($D$2:$D$4734=D1612)*($E$2:$E$4734=0)),0)</f>
        <v>6</v>
      </c>
      <c r="L1612" s="1">
        <f>IF(E1612=0,SUMPRODUCT(MIN($K$2:$K$4734+((($A$2:$A$4734&lt;&gt;A1612)+($E$2:$E$4734&lt;&gt;0))&gt;0)*1000000)),"")</f>
        <v>3</v>
      </c>
      <c r="M1612" s="1">
        <f>IF(AND(E1612=0,COUNTIFS($A$2:A1612,A1612,$E$2:E1612,0)=1),L1612,0)</f>
        <v>0</v>
      </c>
    </row>
    <row r="1613" spans="1:13" ht="15" customHeight="1">
      <c r="A1613" s="1">
        <v>7322</v>
      </c>
      <c r="B1613" s="1" t="s">
        <v>9</v>
      </c>
      <c r="C1613" s="2" t="s">
        <v>1891</v>
      </c>
      <c r="D1613" s="2" t="s">
        <v>1896</v>
      </c>
      <c r="E1613" s="1">
        <v>0</v>
      </c>
      <c r="F1613" s="2" t="s">
        <v>1899</v>
      </c>
      <c r="H1613" s="1" t="str">
        <f t="shared" si="25"/>
        <v/>
      </c>
      <c r="K1613" s="1">
        <f>IF(E1613=0,SUMPRODUCT(($A$2:$A$4734=A1613)*($B$2:$B$4734=B1613)*($D$2:$D$4734=D1613)*($E$2:$E$4734=0)),0)</f>
        <v>6</v>
      </c>
      <c r="L1613" s="1">
        <f>IF(E1613=0,SUMPRODUCT(MIN($K$2:$K$4734+((($A$2:$A$4734&lt;&gt;A1613)+($E$2:$E$4734&lt;&gt;0))&gt;0)*1000000)),"")</f>
        <v>3</v>
      </c>
      <c r="M1613" s="1">
        <f>IF(AND(E1613=0,COUNTIFS($A$2:A1613,A1613,$E$2:E1613,0)=1),L1613,0)</f>
        <v>0</v>
      </c>
    </row>
    <row r="1614" spans="1:13" ht="15" customHeight="1">
      <c r="A1614" s="1">
        <v>7322</v>
      </c>
      <c r="B1614" s="1" t="s">
        <v>9</v>
      </c>
      <c r="C1614" s="2" t="s">
        <v>1891</v>
      </c>
      <c r="D1614" s="2" t="s">
        <v>1896</v>
      </c>
      <c r="E1614" s="1">
        <v>0</v>
      </c>
      <c r="F1614" s="2" t="s">
        <v>1900</v>
      </c>
      <c r="H1614" s="1" t="str">
        <f t="shared" si="25"/>
        <v/>
      </c>
      <c r="K1614" s="1">
        <f>IF(E1614=0,SUMPRODUCT(($A$2:$A$4734=A1614)*($B$2:$B$4734=B1614)*($D$2:$D$4734=D1614)*($E$2:$E$4734=0)),0)</f>
        <v>6</v>
      </c>
      <c r="L1614" s="1">
        <f>IF(E1614=0,SUMPRODUCT(MIN($K$2:$K$4734+((($A$2:$A$4734&lt;&gt;A1614)+($E$2:$E$4734&lt;&gt;0))&gt;0)*1000000)),"")</f>
        <v>3</v>
      </c>
      <c r="M1614" s="1">
        <f>IF(AND(E1614=0,COUNTIFS($A$2:A1614,A1614,$E$2:E1614,0)=1),L1614,0)</f>
        <v>0</v>
      </c>
    </row>
    <row r="1615" spans="1:13" ht="15" customHeight="1">
      <c r="A1615" s="1">
        <v>7322</v>
      </c>
      <c r="B1615" s="1" t="s">
        <v>9</v>
      </c>
      <c r="C1615" s="2" t="s">
        <v>1891</v>
      </c>
      <c r="D1615" s="2" t="s">
        <v>1896</v>
      </c>
      <c r="E1615" s="1">
        <v>0</v>
      </c>
      <c r="F1615" s="2" t="s">
        <v>1901</v>
      </c>
      <c r="H1615" s="1" t="str">
        <f t="shared" si="25"/>
        <v/>
      </c>
      <c r="K1615" s="1">
        <f>IF(E1615=0,SUMPRODUCT(($A$2:$A$4734=A1615)*($B$2:$B$4734=B1615)*($D$2:$D$4734=D1615)*($E$2:$E$4734=0)),0)</f>
        <v>6</v>
      </c>
      <c r="L1615" s="1">
        <f>IF(E1615=0,SUMPRODUCT(MIN($K$2:$K$4734+((($A$2:$A$4734&lt;&gt;A1615)+($E$2:$E$4734&lt;&gt;0))&gt;0)*1000000)),"")</f>
        <v>3</v>
      </c>
      <c r="M1615" s="1">
        <f>IF(AND(E1615=0,COUNTIFS($A$2:A1615,A1615,$E$2:E1615,0)=1),L1615,0)</f>
        <v>0</v>
      </c>
    </row>
    <row r="1616" spans="1:13" ht="15" customHeight="1">
      <c r="A1616" s="1">
        <v>7322</v>
      </c>
      <c r="B1616" s="1" t="s">
        <v>9</v>
      </c>
      <c r="C1616" s="2" t="s">
        <v>1891</v>
      </c>
      <c r="D1616" s="2" t="s">
        <v>1896</v>
      </c>
      <c r="E1616" s="1">
        <v>0</v>
      </c>
      <c r="F1616" s="2" t="s">
        <v>1902</v>
      </c>
      <c r="H1616" s="1" t="str">
        <f t="shared" si="25"/>
        <v/>
      </c>
      <c r="K1616" s="1">
        <f>IF(E1616=0,SUMPRODUCT(($A$2:$A$4734=A1616)*($B$2:$B$4734=B1616)*($D$2:$D$4734=D1616)*($E$2:$E$4734=0)),0)</f>
        <v>6</v>
      </c>
      <c r="L1616" s="1">
        <f>IF(E1616=0,SUMPRODUCT(MIN($K$2:$K$4734+((($A$2:$A$4734&lt;&gt;A1616)+($E$2:$E$4734&lt;&gt;0))&gt;0)*1000000)),"")</f>
        <v>3</v>
      </c>
      <c r="M1616" s="1">
        <f>IF(AND(E1616=0,COUNTIFS($A$2:A1616,A1616,$E$2:E1616,0)=1),L1616,0)</f>
        <v>0</v>
      </c>
    </row>
    <row r="1617" spans="1:13" ht="15" customHeight="1">
      <c r="A1617" s="1">
        <v>7323</v>
      </c>
      <c r="B1617" s="1" t="s">
        <v>9</v>
      </c>
      <c r="C1617" s="2" t="s">
        <v>1903</v>
      </c>
      <c r="D1617" s="2" t="s">
        <v>1904</v>
      </c>
      <c r="E1617" s="1">
        <v>1</v>
      </c>
      <c r="F1617" s="2" t="s">
        <v>1905</v>
      </c>
      <c r="G1617" s="1">
        <v>1</v>
      </c>
      <c r="H1617" s="1" t="str">
        <f t="shared" si="25"/>
        <v>k7323_1</v>
      </c>
      <c r="K1617" s="1">
        <f>IF(E1617=0,SUMPRODUCT(($A$2:$A$4734=A1617)*($B$2:$B$4734=B1617)*($D$2:$D$4734=D1617)*($E$2:$E$4734=0)),0)</f>
        <v>0</v>
      </c>
      <c r="L1617" s="1" t="str">
        <f>IF(E1617=0,SUMPRODUCT(MIN($K$2:$K$4734+((($A$2:$A$4734&lt;&gt;A1617)+($E$2:$E$4734&lt;&gt;0))&gt;0)*1000000)),"")</f>
        <v/>
      </c>
      <c r="M1617" s="1">
        <f>IF(AND(E1617=0,COUNTIFS($A$2:A1617,A1617,$E$2:E1617,0)=1),L1617,0)</f>
        <v>0</v>
      </c>
    </row>
    <row r="1618" spans="1:13" ht="15" customHeight="1">
      <c r="A1618" s="1">
        <v>7323</v>
      </c>
      <c r="B1618" s="1" t="s">
        <v>9</v>
      </c>
      <c r="C1618" s="2" t="s">
        <v>1903</v>
      </c>
      <c r="D1618" s="2" t="s">
        <v>1904</v>
      </c>
      <c r="E1618" s="1">
        <v>1</v>
      </c>
      <c r="F1618" s="2" t="s">
        <v>1906</v>
      </c>
      <c r="G1618" s="1">
        <v>2</v>
      </c>
      <c r="H1618" s="1" t="str">
        <f t="shared" si="25"/>
        <v>k7323_2</v>
      </c>
      <c r="K1618" s="1">
        <f>IF(E1618=0,SUMPRODUCT(($A$2:$A$4734=A1618)*($B$2:$B$4734=B1618)*($D$2:$D$4734=D1618)*($E$2:$E$4734=0)),0)</f>
        <v>0</v>
      </c>
      <c r="L1618" s="1" t="str">
        <f>IF(E1618=0,SUMPRODUCT(MIN($K$2:$K$4734+((($A$2:$A$4734&lt;&gt;A1618)+($E$2:$E$4734&lt;&gt;0))&gt;0)*1000000)),"")</f>
        <v/>
      </c>
      <c r="M1618" s="1">
        <f>IF(AND(E1618=0,COUNTIFS($A$2:A1618,A1618,$E$2:E1618,0)=1),L1618,0)</f>
        <v>0</v>
      </c>
    </row>
    <row r="1619" spans="1:13" ht="15" customHeight="1">
      <c r="A1619" s="1">
        <v>7323</v>
      </c>
      <c r="B1619" s="1" t="s">
        <v>9</v>
      </c>
      <c r="C1619" s="2" t="s">
        <v>1903</v>
      </c>
      <c r="D1619" s="2" t="s">
        <v>1904</v>
      </c>
      <c r="E1619" s="1">
        <v>1</v>
      </c>
      <c r="F1619" s="2" t="s">
        <v>1907</v>
      </c>
      <c r="G1619" s="1">
        <v>3</v>
      </c>
      <c r="H1619" s="1" t="str">
        <f t="shared" si="25"/>
        <v>k7323_3</v>
      </c>
      <c r="K1619" s="1">
        <f>IF(E1619=0,SUMPRODUCT(($A$2:$A$4734=A1619)*($B$2:$B$4734=B1619)*($D$2:$D$4734=D1619)*($E$2:$E$4734=0)),0)</f>
        <v>0</v>
      </c>
      <c r="L1619" s="1" t="str">
        <f>IF(E1619=0,SUMPRODUCT(MIN($K$2:$K$4734+((($A$2:$A$4734&lt;&gt;A1619)+($E$2:$E$4734&lt;&gt;0))&gt;0)*1000000)),"")</f>
        <v/>
      </c>
      <c r="M1619" s="1">
        <f>IF(AND(E1619=0,COUNTIFS($A$2:A1619,A1619,$E$2:E1619,0)=1),L1619,0)</f>
        <v>0</v>
      </c>
    </row>
    <row r="1620" spans="1:13" ht="15" customHeight="1">
      <c r="A1620" s="1">
        <v>7323</v>
      </c>
      <c r="B1620" s="1" t="s">
        <v>9</v>
      </c>
      <c r="C1620" s="2" t="s">
        <v>1903</v>
      </c>
      <c r="D1620" s="2" t="s">
        <v>1904</v>
      </c>
      <c r="E1620" s="1">
        <v>1</v>
      </c>
      <c r="F1620" s="2" t="s">
        <v>1908</v>
      </c>
      <c r="G1620" s="1">
        <v>4</v>
      </c>
      <c r="H1620" s="1" t="str">
        <f t="shared" si="25"/>
        <v>k7323_4</v>
      </c>
      <c r="K1620" s="1">
        <f>IF(E1620=0,SUMPRODUCT(($A$2:$A$4734=A1620)*($B$2:$B$4734=B1620)*($D$2:$D$4734=D1620)*($E$2:$E$4734=0)),0)</f>
        <v>0</v>
      </c>
      <c r="L1620" s="1" t="str">
        <f>IF(E1620=0,SUMPRODUCT(MIN($K$2:$K$4734+((($A$2:$A$4734&lt;&gt;A1620)+($E$2:$E$4734&lt;&gt;0))&gt;0)*1000000)),"")</f>
        <v/>
      </c>
      <c r="M1620" s="1">
        <f>IF(AND(E1620=0,COUNTIFS($A$2:A1620,A1620,$E$2:E1620,0)=1),L1620,0)</f>
        <v>0</v>
      </c>
    </row>
    <row r="1621" spans="1:13" ht="15" customHeight="1">
      <c r="A1621" s="1">
        <v>7323</v>
      </c>
      <c r="B1621" s="1" t="s">
        <v>9</v>
      </c>
      <c r="C1621" s="2" t="s">
        <v>1903</v>
      </c>
      <c r="D1621" s="2" t="s">
        <v>1904</v>
      </c>
      <c r="E1621" s="1">
        <v>1</v>
      </c>
      <c r="F1621" s="2" t="s">
        <v>1909</v>
      </c>
      <c r="G1621" s="1">
        <v>5</v>
      </c>
      <c r="H1621" s="1" t="str">
        <f t="shared" si="25"/>
        <v>k7323_5</v>
      </c>
      <c r="K1621" s="1">
        <f>IF(E1621=0,SUMPRODUCT(($A$2:$A$4734=A1621)*($B$2:$B$4734=B1621)*($D$2:$D$4734=D1621)*($E$2:$E$4734=0)),0)</f>
        <v>0</v>
      </c>
      <c r="L1621" s="1" t="str">
        <f>IF(E1621=0,SUMPRODUCT(MIN($K$2:$K$4734+((($A$2:$A$4734&lt;&gt;A1621)+($E$2:$E$4734&lt;&gt;0))&gt;0)*1000000)),"")</f>
        <v/>
      </c>
      <c r="M1621" s="1">
        <f>IF(AND(E1621=0,COUNTIFS($A$2:A1621,A1621,$E$2:E1621,0)=1),L1621,0)</f>
        <v>0</v>
      </c>
    </row>
    <row r="1622" spans="1:13" ht="15" customHeight="1">
      <c r="A1622" s="1">
        <v>7323</v>
      </c>
      <c r="B1622" s="1" t="s">
        <v>95</v>
      </c>
      <c r="C1622" s="2" t="s">
        <v>1903</v>
      </c>
      <c r="D1622" s="2" t="s">
        <v>1910</v>
      </c>
      <c r="E1622" s="1">
        <v>1</v>
      </c>
      <c r="F1622" s="2" t="s">
        <v>1911</v>
      </c>
      <c r="G1622" s="1">
        <v>1</v>
      </c>
      <c r="H1622" s="1" t="str">
        <f t="shared" si="25"/>
        <v>k7323_1</v>
      </c>
      <c r="K1622" s="1">
        <f>IF(E1622=0,SUMPRODUCT(($A$2:$A$4734=A1622)*($B$2:$B$4734=B1622)*($D$2:$D$4734=D1622)*($E$2:$E$4734=0)),0)</f>
        <v>0</v>
      </c>
      <c r="L1622" s="1" t="str">
        <f>IF(E1622=0,SUMPRODUCT(MIN($K$2:$K$4734+((($A$2:$A$4734&lt;&gt;A1622)+($E$2:$E$4734&lt;&gt;0))&gt;0)*1000000)),"")</f>
        <v/>
      </c>
      <c r="M1622" s="1">
        <f>IF(AND(E1622=0,COUNTIFS($A$2:A1622,A1622,$E$2:E1622,0)=1),L1622,0)</f>
        <v>0</v>
      </c>
    </row>
    <row r="1623" spans="1:13" ht="15" customHeight="1">
      <c r="A1623" s="1">
        <v>7323</v>
      </c>
      <c r="B1623" s="1" t="s">
        <v>95</v>
      </c>
      <c r="C1623" s="2" t="s">
        <v>1903</v>
      </c>
      <c r="D1623" s="2" t="s">
        <v>1910</v>
      </c>
      <c r="E1623" s="1">
        <v>1</v>
      </c>
      <c r="F1623" s="2" t="s">
        <v>1912</v>
      </c>
      <c r="G1623" s="1">
        <v>2</v>
      </c>
      <c r="H1623" s="1" t="str">
        <f t="shared" si="25"/>
        <v>k7323_2</v>
      </c>
      <c r="K1623" s="1">
        <f>IF(E1623=0,SUMPRODUCT(($A$2:$A$4734=A1623)*($B$2:$B$4734=B1623)*($D$2:$D$4734=D1623)*($E$2:$E$4734=0)),0)</f>
        <v>0</v>
      </c>
      <c r="L1623" s="1" t="str">
        <f>IF(E1623=0,SUMPRODUCT(MIN($K$2:$K$4734+((($A$2:$A$4734&lt;&gt;A1623)+($E$2:$E$4734&lt;&gt;0))&gt;0)*1000000)),"")</f>
        <v/>
      </c>
      <c r="M1623" s="1">
        <f>IF(AND(E1623=0,COUNTIFS($A$2:A1623,A1623,$E$2:E1623,0)=1),L1623,0)</f>
        <v>0</v>
      </c>
    </row>
    <row r="1624" spans="1:13" ht="15" customHeight="1">
      <c r="A1624" s="1">
        <v>7323</v>
      </c>
      <c r="B1624" s="1" t="s">
        <v>95</v>
      </c>
      <c r="C1624" s="2" t="s">
        <v>1903</v>
      </c>
      <c r="D1624" s="2" t="s">
        <v>1910</v>
      </c>
      <c r="E1624" s="1">
        <v>1</v>
      </c>
      <c r="F1624" s="2" t="s">
        <v>1913</v>
      </c>
      <c r="G1624" s="1">
        <v>3</v>
      </c>
      <c r="H1624" s="1" t="str">
        <f t="shared" si="25"/>
        <v>k7323_3</v>
      </c>
      <c r="K1624" s="1">
        <f>IF(E1624=0,SUMPRODUCT(($A$2:$A$4734=A1624)*($B$2:$B$4734=B1624)*($D$2:$D$4734=D1624)*($E$2:$E$4734=0)),0)</f>
        <v>0</v>
      </c>
      <c r="L1624" s="1" t="str">
        <f>IF(E1624=0,SUMPRODUCT(MIN($K$2:$K$4734+((($A$2:$A$4734&lt;&gt;A1624)+($E$2:$E$4734&lt;&gt;0))&gt;0)*1000000)),"")</f>
        <v/>
      </c>
      <c r="M1624" s="1">
        <f>IF(AND(E1624=0,COUNTIFS($A$2:A1624,A1624,$E$2:E1624,0)=1),L1624,0)</f>
        <v>0</v>
      </c>
    </row>
    <row r="1625" spans="1:13" ht="15" customHeight="1">
      <c r="A1625" s="1">
        <v>7323</v>
      </c>
      <c r="B1625" s="1" t="s">
        <v>95</v>
      </c>
      <c r="C1625" s="2" t="s">
        <v>1903</v>
      </c>
      <c r="D1625" s="2" t="s">
        <v>1910</v>
      </c>
      <c r="E1625" s="1">
        <v>1</v>
      </c>
      <c r="F1625" s="2" t="s">
        <v>1912</v>
      </c>
      <c r="G1625" s="1">
        <v>4</v>
      </c>
      <c r="H1625" s="1" t="str">
        <f t="shared" si="25"/>
        <v>k7323_4</v>
      </c>
      <c r="K1625" s="1">
        <f>IF(E1625=0,SUMPRODUCT(($A$2:$A$4734=A1625)*($B$2:$B$4734=B1625)*($D$2:$D$4734=D1625)*($E$2:$E$4734=0)),0)</f>
        <v>0</v>
      </c>
      <c r="L1625" s="1" t="str">
        <f>IF(E1625=0,SUMPRODUCT(MIN($K$2:$K$4734+((($A$2:$A$4734&lt;&gt;A1625)+($E$2:$E$4734&lt;&gt;0))&gt;0)*1000000)),"")</f>
        <v/>
      </c>
      <c r="M1625" s="1">
        <f>IF(AND(E1625=0,COUNTIFS($A$2:A1625,A1625,$E$2:E1625,0)=1),L1625,0)</f>
        <v>0</v>
      </c>
    </row>
    <row r="1626" spans="1:13" ht="15" customHeight="1">
      <c r="A1626" s="1">
        <v>7323</v>
      </c>
      <c r="B1626" s="1" t="s">
        <v>95</v>
      </c>
      <c r="C1626" s="2" t="s">
        <v>1903</v>
      </c>
      <c r="D1626" s="2" t="s">
        <v>1910</v>
      </c>
      <c r="E1626" s="1">
        <v>1</v>
      </c>
      <c r="F1626" s="2" t="s">
        <v>1913</v>
      </c>
      <c r="G1626" s="1">
        <v>5</v>
      </c>
      <c r="H1626" s="1" t="str">
        <f t="shared" si="25"/>
        <v>k7323_5</v>
      </c>
      <c r="K1626" s="1">
        <f>IF(E1626=0,SUMPRODUCT(($A$2:$A$4734=A1626)*($B$2:$B$4734=B1626)*($D$2:$D$4734=D1626)*($E$2:$E$4734=0)),0)</f>
        <v>0</v>
      </c>
      <c r="L1626" s="1" t="str">
        <f>IF(E1626=0,SUMPRODUCT(MIN($K$2:$K$4734+((($A$2:$A$4734&lt;&gt;A1626)+($E$2:$E$4734&lt;&gt;0))&gt;0)*1000000)),"")</f>
        <v/>
      </c>
      <c r="M1626" s="1">
        <f>IF(AND(E1626=0,COUNTIFS($A$2:A1626,A1626,$E$2:E1626,0)=1),L1626,0)</f>
        <v>0</v>
      </c>
    </row>
    <row r="1627" spans="1:13" ht="15" customHeight="1">
      <c r="A1627" s="1">
        <v>7323</v>
      </c>
      <c r="B1627" s="1" t="s">
        <v>16</v>
      </c>
      <c r="C1627" s="2" t="s">
        <v>1903</v>
      </c>
      <c r="D1627" s="2" t="s">
        <v>1914</v>
      </c>
      <c r="E1627" s="1">
        <v>1</v>
      </c>
      <c r="F1627" s="2" t="s">
        <v>1915</v>
      </c>
      <c r="G1627" s="1">
        <v>1</v>
      </c>
      <c r="H1627" s="1" t="str">
        <f t="shared" si="25"/>
        <v>k7323_1</v>
      </c>
      <c r="K1627" s="1">
        <f>IF(E1627=0,SUMPRODUCT(($A$2:$A$4734=A1627)*($B$2:$B$4734=B1627)*($D$2:$D$4734=D1627)*($E$2:$E$4734=0)),0)</f>
        <v>0</v>
      </c>
      <c r="L1627" s="1" t="str">
        <f>IF(E1627=0,SUMPRODUCT(MIN($K$2:$K$4734+((($A$2:$A$4734&lt;&gt;A1627)+($E$2:$E$4734&lt;&gt;0))&gt;0)*1000000)),"")</f>
        <v/>
      </c>
      <c r="M1627" s="1">
        <f>IF(AND(E1627=0,COUNTIFS($A$2:A1627,A1627,$E$2:E1627,0)=1),L1627,0)</f>
        <v>0</v>
      </c>
    </row>
    <row r="1628" spans="1:13" ht="15" customHeight="1">
      <c r="A1628" s="1">
        <v>7323</v>
      </c>
      <c r="B1628" s="1" t="s">
        <v>16</v>
      </c>
      <c r="C1628" s="2" t="s">
        <v>1903</v>
      </c>
      <c r="D1628" s="2" t="s">
        <v>1914</v>
      </c>
      <c r="E1628" s="1">
        <v>1</v>
      </c>
      <c r="F1628" s="2" t="s">
        <v>1916</v>
      </c>
      <c r="G1628" s="1">
        <v>2</v>
      </c>
      <c r="H1628" s="1" t="str">
        <f t="shared" si="25"/>
        <v>k7323_2</v>
      </c>
      <c r="K1628" s="1">
        <f>IF(E1628=0,SUMPRODUCT(($A$2:$A$4734=A1628)*($B$2:$B$4734=B1628)*($D$2:$D$4734=D1628)*($E$2:$E$4734=0)),0)</f>
        <v>0</v>
      </c>
      <c r="L1628" s="1" t="str">
        <f>IF(E1628=0,SUMPRODUCT(MIN($K$2:$K$4734+((($A$2:$A$4734&lt;&gt;A1628)+($E$2:$E$4734&lt;&gt;0))&gt;0)*1000000)),"")</f>
        <v/>
      </c>
      <c r="M1628" s="1">
        <f>IF(AND(E1628=0,COUNTIFS($A$2:A1628,A1628,$E$2:E1628,0)=1),L1628,0)</f>
        <v>0</v>
      </c>
    </row>
    <row r="1629" spans="1:13" ht="15" customHeight="1">
      <c r="A1629" s="1">
        <v>7323</v>
      </c>
      <c r="B1629" s="1" t="s">
        <v>16</v>
      </c>
      <c r="C1629" s="2" t="s">
        <v>1903</v>
      </c>
      <c r="D1629" s="2" t="s">
        <v>1914</v>
      </c>
      <c r="E1629" s="1">
        <v>1</v>
      </c>
      <c r="F1629" s="2" t="s">
        <v>1917</v>
      </c>
      <c r="G1629" s="1">
        <v>3</v>
      </c>
      <c r="H1629" s="1" t="str">
        <f t="shared" si="25"/>
        <v>k7323_3</v>
      </c>
      <c r="K1629" s="1">
        <f>IF(E1629=0,SUMPRODUCT(($A$2:$A$4734=A1629)*($B$2:$B$4734=B1629)*($D$2:$D$4734=D1629)*($E$2:$E$4734=0)),0)</f>
        <v>0</v>
      </c>
      <c r="L1629" s="1" t="str">
        <f>IF(E1629=0,SUMPRODUCT(MIN($K$2:$K$4734+((($A$2:$A$4734&lt;&gt;A1629)+($E$2:$E$4734&lt;&gt;0))&gt;0)*1000000)),"")</f>
        <v/>
      </c>
      <c r="M1629" s="1">
        <f>IF(AND(E1629=0,COUNTIFS($A$2:A1629,A1629,$E$2:E1629,0)=1),L1629,0)</f>
        <v>0</v>
      </c>
    </row>
    <row r="1630" spans="1:13" ht="15" customHeight="1">
      <c r="A1630" s="1">
        <v>7323</v>
      </c>
      <c r="B1630" s="1" t="s">
        <v>16</v>
      </c>
      <c r="C1630" s="2" t="s">
        <v>1903</v>
      </c>
      <c r="D1630" s="2" t="s">
        <v>1914</v>
      </c>
      <c r="E1630" s="1">
        <v>1</v>
      </c>
      <c r="F1630" s="2" t="s">
        <v>1918</v>
      </c>
      <c r="G1630" s="1">
        <v>4</v>
      </c>
      <c r="H1630" s="1" t="str">
        <f t="shared" si="25"/>
        <v>k7323_4</v>
      </c>
      <c r="K1630" s="1">
        <f>IF(E1630=0,SUMPRODUCT(($A$2:$A$4734=A1630)*($B$2:$B$4734=B1630)*($D$2:$D$4734=D1630)*($E$2:$E$4734=0)),0)</f>
        <v>0</v>
      </c>
      <c r="L1630" s="1" t="str">
        <f>IF(E1630=0,SUMPRODUCT(MIN($K$2:$K$4734+((($A$2:$A$4734&lt;&gt;A1630)+($E$2:$E$4734&lt;&gt;0))&gt;0)*1000000)),"")</f>
        <v/>
      </c>
      <c r="M1630" s="1">
        <f>IF(AND(E1630=0,COUNTIFS($A$2:A1630,A1630,$E$2:E1630,0)=1),L1630,0)</f>
        <v>0</v>
      </c>
    </row>
    <row r="1631" spans="1:13" ht="15" customHeight="1">
      <c r="A1631" s="1">
        <v>7323</v>
      </c>
      <c r="B1631" s="1" t="s">
        <v>16</v>
      </c>
      <c r="C1631" s="2" t="s">
        <v>1903</v>
      </c>
      <c r="D1631" s="2" t="s">
        <v>1914</v>
      </c>
      <c r="E1631" s="1">
        <v>1</v>
      </c>
      <c r="F1631" s="2" t="s">
        <v>1919</v>
      </c>
      <c r="G1631" s="1">
        <v>5</v>
      </c>
      <c r="H1631" s="1" t="str">
        <f t="shared" si="25"/>
        <v>k7323_5</v>
      </c>
      <c r="K1631" s="1">
        <f>IF(E1631=0,SUMPRODUCT(($A$2:$A$4734=A1631)*($B$2:$B$4734=B1631)*($D$2:$D$4734=D1631)*($E$2:$E$4734=0)),0)</f>
        <v>0</v>
      </c>
      <c r="L1631" s="1" t="str">
        <f>IF(E1631=0,SUMPRODUCT(MIN($K$2:$K$4734+((($A$2:$A$4734&lt;&gt;A1631)+($E$2:$E$4734&lt;&gt;0))&gt;0)*1000000)),"")</f>
        <v/>
      </c>
      <c r="M1631" s="1">
        <f>IF(AND(E1631=0,COUNTIFS($A$2:A1631,A1631,$E$2:E1631,0)=1),L1631,0)</f>
        <v>0</v>
      </c>
    </row>
    <row r="1632" spans="1:13" ht="15" customHeight="1">
      <c r="A1632" s="1">
        <v>7323</v>
      </c>
      <c r="B1632" s="1" t="s">
        <v>161</v>
      </c>
      <c r="C1632" s="2" t="s">
        <v>1903</v>
      </c>
      <c r="D1632" s="2" t="s">
        <v>1920</v>
      </c>
      <c r="E1632" s="1">
        <v>1</v>
      </c>
      <c r="F1632" s="2" t="s">
        <v>1921</v>
      </c>
      <c r="G1632" s="1">
        <v>1</v>
      </c>
      <c r="H1632" s="1" t="str">
        <f t="shared" si="25"/>
        <v>k7323_1</v>
      </c>
      <c r="K1632" s="1">
        <f>IF(E1632=0,SUMPRODUCT(($A$2:$A$4734=A1632)*($B$2:$B$4734=B1632)*($D$2:$D$4734=D1632)*($E$2:$E$4734=0)),0)</f>
        <v>0</v>
      </c>
      <c r="L1632" s="1" t="str">
        <f>IF(E1632=0,SUMPRODUCT(MIN($K$2:$K$4734+((($A$2:$A$4734&lt;&gt;A1632)+($E$2:$E$4734&lt;&gt;0))&gt;0)*1000000)),"")</f>
        <v/>
      </c>
      <c r="M1632" s="1">
        <f>IF(AND(E1632=0,COUNTIFS($A$2:A1632,A1632,$E$2:E1632,0)=1),L1632,0)</f>
        <v>0</v>
      </c>
    </row>
    <row r="1633" spans="1:13" ht="15" customHeight="1">
      <c r="A1633" s="1">
        <v>7323</v>
      </c>
      <c r="B1633" s="1" t="s">
        <v>161</v>
      </c>
      <c r="C1633" s="2" t="s">
        <v>1903</v>
      </c>
      <c r="D1633" s="2" t="s">
        <v>1920</v>
      </c>
      <c r="E1633" s="1">
        <v>1</v>
      </c>
      <c r="F1633" s="2" t="s">
        <v>1922</v>
      </c>
      <c r="G1633" s="1">
        <v>2</v>
      </c>
      <c r="H1633" s="1" t="str">
        <f t="shared" si="25"/>
        <v>k7323_2</v>
      </c>
      <c r="K1633" s="1">
        <f>IF(E1633=0,SUMPRODUCT(($A$2:$A$4734=A1633)*($B$2:$B$4734=B1633)*($D$2:$D$4734=D1633)*($E$2:$E$4734=0)),0)</f>
        <v>0</v>
      </c>
      <c r="L1633" s="1" t="str">
        <f>IF(E1633=0,SUMPRODUCT(MIN($K$2:$K$4734+((($A$2:$A$4734&lt;&gt;A1633)+($E$2:$E$4734&lt;&gt;0))&gt;0)*1000000)),"")</f>
        <v/>
      </c>
      <c r="M1633" s="1">
        <f>IF(AND(E1633=0,COUNTIFS($A$2:A1633,A1633,$E$2:E1633,0)=1),L1633,0)</f>
        <v>0</v>
      </c>
    </row>
    <row r="1634" spans="1:13" ht="15" customHeight="1">
      <c r="A1634" s="1">
        <v>7323</v>
      </c>
      <c r="B1634" s="1" t="s">
        <v>161</v>
      </c>
      <c r="C1634" s="2" t="s">
        <v>1903</v>
      </c>
      <c r="D1634" s="2" t="s">
        <v>1920</v>
      </c>
      <c r="E1634" s="1">
        <v>1</v>
      </c>
      <c r="F1634" s="2" t="s">
        <v>1923</v>
      </c>
      <c r="G1634" s="1">
        <v>3</v>
      </c>
      <c r="H1634" s="1" t="str">
        <f t="shared" si="25"/>
        <v>k7323_3</v>
      </c>
      <c r="K1634" s="1">
        <f>IF(E1634=0,SUMPRODUCT(($A$2:$A$4734=A1634)*($B$2:$B$4734=B1634)*($D$2:$D$4734=D1634)*($E$2:$E$4734=0)),0)</f>
        <v>0</v>
      </c>
      <c r="L1634" s="1" t="str">
        <f>IF(E1634=0,SUMPRODUCT(MIN($K$2:$K$4734+((($A$2:$A$4734&lt;&gt;A1634)+($E$2:$E$4734&lt;&gt;0))&gt;0)*1000000)),"")</f>
        <v/>
      </c>
      <c r="M1634" s="1">
        <f>IF(AND(E1634=0,COUNTIFS($A$2:A1634,A1634,$E$2:E1634,0)=1),L1634,0)</f>
        <v>0</v>
      </c>
    </row>
    <row r="1635" spans="1:13" ht="15" customHeight="1">
      <c r="A1635" s="1">
        <v>7323</v>
      </c>
      <c r="B1635" s="1" t="s">
        <v>161</v>
      </c>
      <c r="C1635" s="2" t="s">
        <v>1903</v>
      </c>
      <c r="D1635" s="2" t="s">
        <v>1920</v>
      </c>
      <c r="E1635" s="1">
        <v>1</v>
      </c>
      <c r="F1635" s="2" t="s">
        <v>1924</v>
      </c>
      <c r="G1635" s="1">
        <v>4</v>
      </c>
      <c r="H1635" s="1" t="str">
        <f t="shared" ref="H1635:H1698" si="26">IF(OR(E1635&lt;&gt;1,G1635=""),"","k"&amp;A1635&amp;"_"&amp;G1635)</f>
        <v>k7323_4</v>
      </c>
      <c r="K1635" s="1">
        <f>IF(E1635=0,SUMPRODUCT(($A$2:$A$4734=A1635)*($B$2:$B$4734=B1635)*($D$2:$D$4734=D1635)*($E$2:$E$4734=0)),0)</f>
        <v>0</v>
      </c>
      <c r="L1635" s="1" t="str">
        <f>IF(E1635=0,SUMPRODUCT(MIN($K$2:$K$4734+((($A$2:$A$4734&lt;&gt;A1635)+($E$2:$E$4734&lt;&gt;0))&gt;0)*1000000)),"")</f>
        <v/>
      </c>
      <c r="M1635" s="1">
        <f>IF(AND(E1635=0,COUNTIFS($A$2:A1635,A1635,$E$2:E1635,0)=1),L1635,0)</f>
        <v>0</v>
      </c>
    </row>
    <row r="1636" spans="1:13" ht="15" customHeight="1">
      <c r="A1636" s="1">
        <v>7323</v>
      </c>
      <c r="B1636" s="1" t="s">
        <v>161</v>
      </c>
      <c r="C1636" s="2" t="s">
        <v>1903</v>
      </c>
      <c r="D1636" s="2" t="s">
        <v>1920</v>
      </c>
      <c r="E1636" s="1">
        <v>1</v>
      </c>
      <c r="F1636" s="2" t="s">
        <v>1925</v>
      </c>
      <c r="G1636" s="1">
        <v>5</v>
      </c>
      <c r="H1636" s="1" t="str">
        <f t="shared" si="26"/>
        <v>k7323_5</v>
      </c>
      <c r="K1636" s="1">
        <f>IF(E1636=0,SUMPRODUCT(($A$2:$A$4734=A1636)*($B$2:$B$4734=B1636)*($D$2:$D$4734=D1636)*($E$2:$E$4734=0)),0)</f>
        <v>0</v>
      </c>
      <c r="L1636" s="1" t="str">
        <f>IF(E1636=0,SUMPRODUCT(MIN($K$2:$K$4734+((($A$2:$A$4734&lt;&gt;A1636)+($E$2:$E$4734&lt;&gt;0))&gt;0)*1000000)),"")</f>
        <v/>
      </c>
      <c r="M1636" s="1">
        <f>IF(AND(E1636=0,COUNTIFS($A$2:A1636,A1636,$E$2:E1636,0)=1),L1636,0)</f>
        <v>0</v>
      </c>
    </row>
    <row r="1637" spans="1:13" ht="15" customHeight="1">
      <c r="A1637" s="1">
        <v>7324</v>
      </c>
      <c r="B1637" s="1" t="s">
        <v>161</v>
      </c>
      <c r="C1637" s="2" t="s">
        <v>1926</v>
      </c>
      <c r="D1637" s="2" t="s">
        <v>1927</v>
      </c>
      <c r="E1637" s="1">
        <v>1</v>
      </c>
      <c r="F1637" s="2" t="s">
        <v>1928</v>
      </c>
      <c r="G1637" s="1">
        <v>1</v>
      </c>
      <c r="H1637" s="1" t="str">
        <f t="shared" si="26"/>
        <v>k7324_1</v>
      </c>
      <c r="K1637" s="1">
        <f>IF(E1637=0,SUMPRODUCT(($A$2:$A$4734=A1637)*($B$2:$B$4734=B1637)*($D$2:$D$4734=D1637)*($E$2:$E$4734=0)),0)</f>
        <v>0</v>
      </c>
      <c r="L1637" s="1" t="str">
        <f>IF(E1637=0,SUMPRODUCT(MIN($K$2:$K$4734+((($A$2:$A$4734&lt;&gt;A1637)+($E$2:$E$4734&lt;&gt;0))&gt;0)*1000000)),"")</f>
        <v/>
      </c>
      <c r="M1637" s="1">
        <f>IF(AND(E1637=0,COUNTIFS($A$2:A1637,A1637,$E$2:E1637,0)=1),L1637,0)</f>
        <v>0</v>
      </c>
    </row>
    <row r="1638" spans="1:13" ht="15" customHeight="1">
      <c r="A1638" s="1">
        <v>7324</v>
      </c>
      <c r="B1638" s="1" t="s">
        <v>161</v>
      </c>
      <c r="C1638" s="2" t="s">
        <v>1926</v>
      </c>
      <c r="D1638" s="2" t="s">
        <v>1927</v>
      </c>
      <c r="E1638" s="1">
        <v>1</v>
      </c>
      <c r="F1638" s="2" t="s">
        <v>1929</v>
      </c>
      <c r="G1638" s="1">
        <v>2</v>
      </c>
      <c r="H1638" s="1" t="str">
        <f t="shared" si="26"/>
        <v>k7324_2</v>
      </c>
      <c r="K1638" s="1">
        <f>IF(E1638=0,SUMPRODUCT(($A$2:$A$4734=A1638)*($B$2:$B$4734=B1638)*($D$2:$D$4734=D1638)*($E$2:$E$4734=0)),0)</f>
        <v>0</v>
      </c>
      <c r="L1638" s="1" t="str">
        <f>IF(E1638=0,SUMPRODUCT(MIN($K$2:$K$4734+((($A$2:$A$4734&lt;&gt;A1638)+($E$2:$E$4734&lt;&gt;0))&gt;0)*1000000)),"")</f>
        <v/>
      </c>
      <c r="M1638" s="1">
        <f>IF(AND(E1638=0,COUNTIFS($A$2:A1638,A1638,$E$2:E1638,0)=1),L1638,0)</f>
        <v>0</v>
      </c>
    </row>
    <row r="1639" spans="1:13" ht="15" customHeight="1">
      <c r="A1639" s="1">
        <v>7324</v>
      </c>
      <c r="B1639" s="1" t="s">
        <v>161</v>
      </c>
      <c r="C1639" s="2" t="s">
        <v>1926</v>
      </c>
      <c r="D1639" s="2" t="s">
        <v>1927</v>
      </c>
      <c r="E1639" s="1">
        <v>1</v>
      </c>
      <c r="F1639" s="2" t="s">
        <v>1930</v>
      </c>
      <c r="G1639" s="1">
        <v>3</v>
      </c>
      <c r="H1639" s="1" t="str">
        <f t="shared" si="26"/>
        <v>k7324_3</v>
      </c>
      <c r="K1639" s="1">
        <f>IF(E1639=0,SUMPRODUCT(($A$2:$A$4734=A1639)*($B$2:$B$4734=B1639)*($D$2:$D$4734=D1639)*($E$2:$E$4734=0)),0)</f>
        <v>0</v>
      </c>
      <c r="L1639" s="1" t="str">
        <f>IF(E1639=0,SUMPRODUCT(MIN($K$2:$K$4734+((($A$2:$A$4734&lt;&gt;A1639)+($E$2:$E$4734&lt;&gt;0))&gt;0)*1000000)),"")</f>
        <v/>
      </c>
      <c r="M1639" s="1">
        <f>IF(AND(E1639=0,COUNTIFS($A$2:A1639,A1639,$E$2:E1639,0)=1),L1639,0)</f>
        <v>0</v>
      </c>
    </row>
    <row r="1640" spans="1:13" ht="15" customHeight="1">
      <c r="A1640" s="1">
        <v>7324</v>
      </c>
      <c r="B1640" s="1" t="s">
        <v>161</v>
      </c>
      <c r="C1640" s="2" t="s">
        <v>1926</v>
      </c>
      <c r="D1640" s="2" t="s">
        <v>1927</v>
      </c>
      <c r="E1640" s="1">
        <v>1</v>
      </c>
      <c r="F1640" s="2" t="s">
        <v>1931</v>
      </c>
      <c r="G1640" s="1">
        <v>4</v>
      </c>
      <c r="H1640" s="1" t="str">
        <f t="shared" si="26"/>
        <v>k7324_4</v>
      </c>
      <c r="K1640" s="1">
        <f>IF(E1640=0,SUMPRODUCT(($A$2:$A$4734=A1640)*($B$2:$B$4734=B1640)*($D$2:$D$4734=D1640)*($E$2:$E$4734=0)),0)</f>
        <v>0</v>
      </c>
      <c r="L1640" s="1" t="str">
        <f>IF(E1640=0,SUMPRODUCT(MIN($K$2:$K$4734+((($A$2:$A$4734&lt;&gt;A1640)+($E$2:$E$4734&lt;&gt;0))&gt;0)*1000000)),"")</f>
        <v/>
      </c>
      <c r="M1640" s="1">
        <f>IF(AND(E1640=0,COUNTIFS($A$2:A1640,A1640,$E$2:E1640,0)=1),L1640,0)</f>
        <v>0</v>
      </c>
    </row>
    <row r="1641" spans="1:13" ht="15" customHeight="1">
      <c r="A1641" s="1">
        <v>7324</v>
      </c>
      <c r="B1641" s="1" t="s">
        <v>9</v>
      </c>
      <c r="C1641" s="2" t="s">
        <v>1926</v>
      </c>
      <c r="D1641" s="2" t="s">
        <v>1932</v>
      </c>
      <c r="E1641" s="1">
        <v>1</v>
      </c>
      <c r="F1641" s="2" t="s">
        <v>1933</v>
      </c>
      <c r="G1641" s="1">
        <v>1</v>
      </c>
      <c r="H1641" s="1" t="str">
        <f t="shared" si="26"/>
        <v>k7324_1</v>
      </c>
      <c r="K1641" s="1">
        <f>IF(E1641=0,SUMPRODUCT(($A$2:$A$4734=A1641)*($B$2:$B$4734=B1641)*($D$2:$D$4734=D1641)*($E$2:$E$4734=0)),0)</f>
        <v>0</v>
      </c>
      <c r="L1641" s="1" t="str">
        <f>IF(E1641=0,SUMPRODUCT(MIN($K$2:$K$4734+((($A$2:$A$4734&lt;&gt;A1641)+($E$2:$E$4734&lt;&gt;0))&gt;0)*1000000)),"")</f>
        <v/>
      </c>
      <c r="M1641" s="1">
        <f>IF(AND(E1641=0,COUNTIFS($A$2:A1641,A1641,$E$2:E1641,0)=1),L1641,0)</f>
        <v>0</v>
      </c>
    </row>
    <row r="1642" spans="1:13" ht="15" customHeight="1">
      <c r="A1642" s="1">
        <v>7324</v>
      </c>
      <c r="B1642" s="1" t="s">
        <v>9</v>
      </c>
      <c r="C1642" s="2" t="s">
        <v>1926</v>
      </c>
      <c r="D1642" s="2" t="s">
        <v>1932</v>
      </c>
      <c r="E1642" s="1">
        <v>1</v>
      </c>
      <c r="F1642" s="2" t="s">
        <v>1934</v>
      </c>
      <c r="G1642" s="1">
        <v>2</v>
      </c>
      <c r="H1642" s="1" t="str">
        <f t="shared" si="26"/>
        <v>k7324_2</v>
      </c>
      <c r="K1642" s="1">
        <f>IF(E1642=0,SUMPRODUCT(($A$2:$A$4734=A1642)*($B$2:$B$4734=B1642)*($D$2:$D$4734=D1642)*($E$2:$E$4734=0)),0)</f>
        <v>0</v>
      </c>
      <c r="L1642" s="1" t="str">
        <f>IF(E1642=0,SUMPRODUCT(MIN($K$2:$K$4734+((($A$2:$A$4734&lt;&gt;A1642)+($E$2:$E$4734&lt;&gt;0))&gt;0)*1000000)),"")</f>
        <v/>
      </c>
      <c r="M1642" s="1">
        <f>IF(AND(E1642=0,COUNTIFS($A$2:A1642,A1642,$E$2:E1642,0)=1),L1642,0)</f>
        <v>0</v>
      </c>
    </row>
    <row r="1643" spans="1:13" ht="15" customHeight="1">
      <c r="A1643" s="1">
        <v>7324</v>
      </c>
      <c r="B1643" s="1" t="s">
        <v>9</v>
      </c>
      <c r="C1643" s="2" t="s">
        <v>1926</v>
      </c>
      <c r="D1643" s="2" t="s">
        <v>1932</v>
      </c>
      <c r="E1643" s="1">
        <v>1</v>
      </c>
      <c r="F1643" s="2" t="s">
        <v>1935</v>
      </c>
      <c r="G1643" s="1">
        <v>3</v>
      </c>
      <c r="H1643" s="1" t="str">
        <f t="shared" si="26"/>
        <v>k7324_3</v>
      </c>
      <c r="K1643" s="1">
        <f>IF(E1643=0,SUMPRODUCT(($A$2:$A$4734=A1643)*($B$2:$B$4734=B1643)*($D$2:$D$4734=D1643)*($E$2:$E$4734=0)),0)</f>
        <v>0</v>
      </c>
      <c r="L1643" s="1" t="str">
        <f>IF(E1643=0,SUMPRODUCT(MIN($K$2:$K$4734+((($A$2:$A$4734&lt;&gt;A1643)+($E$2:$E$4734&lt;&gt;0))&gt;0)*1000000)),"")</f>
        <v/>
      </c>
      <c r="M1643" s="1">
        <f>IF(AND(E1643=0,COUNTIFS($A$2:A1643,A1643,$E$2:E1643,0)=1),L1643,0)</f>
        <v>0</v>
      </c>
    </row>
    <row r="1644" spans="1:13" ht="15" customHeight="1">
      <c r="A1644" s="1">
        <v>7324</v>
      </c>
      <c r="B1644" s="1" t="s">
        <v>9</v>
      </c>
      <c r="C1644" s="2" t="s">
        <v>1926</v>
      </c>
      <c r="D1644" s="2" t="s">
        <v>1932</v>
      </c>
      <c r="E1644" s="1">
        <v>1</v>
      </c>
      <c r="F1644" s="2" t="s">
        <v>1936</v>
      </c>
      <c r="G1644" s="1">
        <v>4</v>
      </c>
      <c r="H1644" s="1" t="str">
        <f t="shared" si="26"/>
        <v>k7324_4</v>
      </c>
      <c r="K1644" s="1">
        <f>IF(E1644=0,SUMPRODUCT(($A$2:$A$4734=A1644)*($B$2:$B$4734=B1644)*($D$2:$D$4734=D1644)*($E$2:$E$4734=0)),0)</f>
        <v>0</v>
      </c>
      <c r="L1644" s="1" t="str">
        <f>IF(E1644=0,SUMPRODUCT(MIN($K$2:$K$4734+((($A$2:$A$4734&lt;&gt;A1644)+($E$2:$E$4734&lt;&gt;0))&gt;0)*1000000)),"")</f>
        <v/>
      </c>
      <c r="M1644" s="1">
        <f>IF(AND(E1644=0,COUNTIFS($A$2:A1644,A1644,$E$2:E1644,0)=1),L1644,0)</f>
        <v>0</v>
      </c>
    </row>
    <row r="1645" spans="1:13" ht="15" customHeight="1">
      <c r="A1645" s="1">
        <v>7325</v>
      </c>
      <c r="B1645" s="1" t="s">
        <v>167</v>
      </c>
      <c r="C1645" s="2" t="s">
        <v>1937</v>
      </c>
      <c r="D1645" s="2" t="s">
        <v>1938</v>
      </c>
      <c r="E1645" s="1">
        <v>1</v>
      </c>
      <c r="F1645" s="2" t="s">
        <v>1939</v>
      </c>
      <c r="G1645" s="1">
        <v>1</v>
      </c>
      <c r="H1645" s="1" t="str">
        <f t="shared" si="26"/>
        <v>k7325_1</v>
      </c>
      <c r="K1645" s="1">
        <f>IF(E1645=0,SUMPRODUCT(($A$2:$A$4734=A1645)*($B$2:$B$4734=B1645)*($D$2:$D$4734=D1645)*($E$2:$E$4734=0)),0)</f>
        <v>0</v>
      </c>
      <c r="L1645" s="1" t="str">
        <f>IF(E1645=0,SUMPRODUCT(MIN($K$2:$K$4734+((($A$2:$A$4734&lt;&gt;A1645)+($E$2:$E$4734&lt;&gt;0))&gt;0)*1000000)),"")</f>
        <v/>
      </c>
      <c r="M1645" s="1">
        <f>IF(AND(E1645=0,COUNTIFS($A$2:A1645,A1645,$E$2:E1645,0)=1),L1645,0)</f>
        <v>0</v>
      </c>
    </row>
    <row r="1646" spans="1:13" ht="15" customHeight="1">
      <c r="A1646" s="1">
        <v>7325</v>
      </c>
      <c r="B1646" s="1" t="s">
        <v>167</v>
      </c>
      <c r="C1646" s="2" t="s">
        <v>1937</v>
      </c>
      <c r="D1646" s="2" t="s">
        <v>1938</v>
      </c>
      <c r="E1646" s="1">
        <v>1</v>
      </c>
      <c r="F1646" s="2" t="s">
        <v>1940</v>
      </c>
      <c r="G1646" s="1">
        <v>2</v>
      </c>
      <c r="H1646" s="1" t="str">
        <f t="shared" si="26"/>
        <v>k7325_2</v>
      </c>
      <c r="K1646" s="1">
        <f>IF(E1646=0,SUMPRODUCT(($A$2:$A$4734=A1646)*($B$2:$B$4734=B1646)*($D$2:$D$4734=D1646)*($E$2:$E$4734=0)),0)</f>
        <v>0</v>
      </c>
      <c r="L1646" s="1" t="str">
        <f>IF(E1646=0,SUMPRODUCT(MIN($K$2:$K$4734+((($A$2:$A$4734&lt;&gt;A1646)+($E$2:$E$4734&lt;&gt;0))&gt;0)*1000000)),"")</f>
        <v/>
      </c>
      <c r="M1646" s="1">
        <f>IF(AND(E1646=0,COUNTIFS($A$2:A1646,A1646,$E$2:E1646,0)=1),L1646,0)</f>
        <v>0</v>
      </c>
    </row>
    <row r="1647" spans="1:13" ht="15" customHeight="1">
      <c r="A1647" s="1">
        <v>7325</v>
      </c>
      <c r="B1647" s="1" t="s">
        <v>167</v>
      </c>
      <c r="C1647" s="2" t="s">
        <v>1937</v>
      </c>
      <c r="D1647" s="2" t="s">
        <v>1938</v>
      </c>
      <c r="E1647" s="1">
        <v>1</v>
      </c>
      <c r="F1647" s="2" t="s">
        <v>1941</v>
      </c>
      <c r="G1647" s="1">
        <v>3</v>
      </c>
      <c r="H1647" s="1" t="str">
        <f t="shared" si="26"/>
        <v>k7325_3</v>
      </c>
      <c r="K1647" s="1">
        <f>IF(E1647=0,SUMPRODUCT(($A$2:$A$4734=A1647)*($B$2:$B$4734=B1647)*($D$2:$D$4734=D1647)*($E$2:$E$4734=0)),0)</f>
        <v>0</v>
      </c>
      <c r="L1647" s="1" t="str">
        <f>IF(E1647=0,SUMPRODUCT(MIN($K$2:$K$4734+((($A$2:$A$4734&lt;&gt;A1647)+($E$2:$E$4734&lt;&gt;0))&gt;0)*1000000)),"")</f>
        <v/>
      </c>
      <c r="M1647" s="1">
        <f>IF(AND(E1647=0,COUNTIFS($A$2:A1647,A1647,$E$2:E1647,0)=1),L1647,0)</f>
        <v>0</v>
      </c>
    </row>
    <row r="1648" spans="1:13" ht="15" customHeight="1">
      <c r="A1648" s="1">
        <v>7325</v>
      </c>
      <c r="B1648" s="1" t="s">
        <v>167</v>
      </c>
      <c r="C1648" s="2" t="s">
        <v>1937</v>
      </c>
      <c r="D1648" s="2" t="s">
        <v>1938</v>
      </c>
      <c r="E1648" s="1">
        <v>1</v>
      </c>
      <c r="F1648" s="2" t="s">
        <v>1942</v>
      </c>
      <c r="G1648" s="1">
        <v>4</v>
      </c>
      <c r="H1648" s="1" t="str">
        <f t="shared" si="26"/>
        <v>k7325_4</v>
      </c>
      <c r="K1648" s="1">
        <f>IF(E1648=0,SUMPRODUCT(($A$2:$A$4734=A1648)*($B$2:$B$4734=B1648)*($D$2:$D$4734=D1648)*($E$2:$E$4734=0)),0)</f>
        <v>0</v>
      </c>
      <c r="L1648" s="1" t="str">
        <f>IF(E1648=0,SUMPRODUCT(MIN($K$2:$K$4734+((($A$2:$A$4734&lt;&gt;A1648)+($E$2:$E$4734&lt;&gt;0))&gt;0)*1000000)),"")</f>
        <v/>
      </c>
      <c r="M1648" s="1">
        <f>IF(AND(E1648=0,COUNTIFS($A$2:A1648,A1648,$E$2:E1648,0)=1),L1648,0)</f>
        <v>0</v>
      </c>
    </row>
    <row r="1649" spans="1:13" ht="15" customHeight="1">
      <c r="A1649" s="1">
        <v>7325</v>
      </c>
      <c r="B1649" s="1" t="s">
        <v>167</v>
      </c>
      <c r="C1649" s="2" t="s">
        <v>1937</v>
      </c>
      <c r="D1649" s="2" t="s">
        <v>1938</v>
      </c>
      <c r="E1649" s="1">
        <v>1</v>
      </c>
      <c r="F1649" s="2" t="s">
        <v>1943</v>
      </c>
      <c r="G1649" s="1">
        <v>5</v>
      </c>
      <c r="H1649" s="1" t="str">
        <f t="shared" si="26"/>
        <v>k7325_5</v>
      </c>
      <c r="K1649" s="1">
        <f>IF(E1649=0,SUMPRODUCT(($A$2:$A$4734=A1649)*($B$2:$B$4734=B1649)*($D$2:$D$4734=D1649)*($E$2:$E$4734=0)),0)</f>
        <v>0</v>
      </c>
      <c r="L1649" s="1" t="str">
        <f>IF(E1649=0,SUMPRODUCT(MIN($K$2:$K$4734+((($A$2:$A$4734&lt;&gt;A1649)+($E$2:$E$4734&lt;&gt;0))&gt;0)*1000000)),"")</f>
        <v/>
      </c>
      <c r="M1649" s="1">
        <f>IF(AND(E1649=0,COUNTIFS($A$2:A1649,A1649,$E$2:E1649,0)=1),L1649,0)</f>
        <v>0</v>
      </c>
    </row>
    <row r="1650" spans="1:13" ht="15" customHeight="1">
      <c r="A1650" s="1">
        <v>7325</v>
      </c>
      <c r="B1650" s="1" t="s">
        <v>167</v>
      </c>
      <c r="C1650" s="2" t="s">
        <v>1937</v>
      </c>
      <c r="D1650" s="2" t="s">
        <v>1938</v>
      </c>
      <c r="E1650" s="1">
        <v>1</v>
      </c>
      <c r="F1650" s="2" t="s">
        <v>1944</v>
      </c>
      <c r="G1650" s="1">
        <v>6</v>
      </c>
      <c r="H1650" s="1" t="str">
        <f t="shared" si="26"/>
        <v>k7325_6</v>
      </c>
      <c r="K1650" s="1">
        <f>IF(E1650=0,SUMPRODUCT(($A$2:$A$4734=A1650)*($B$2:$B$4734=B1650)*($D$2:$D$4734=D1650)*($E$2:$E$4734=0)),0)</f>
        <v>0</v>
      </c>
      <c r="L1650" s="1" t="str">
        <f>IF(E1650=0,SUMPRODUCT(MIN($K$2:$K$4734+((($A$2:$A$4734&lt;&gt;A1650)+($E$2:$E$4734&lt;&gt;0))&gt;0)*1000000)),"")</f>
        <v/>
      </c>
      <c r="M1650" s="1">
        <f>IF(AND(E1650=0,COUNTIFS($A$2:A1650,A1650,$E$2:E1650,0)=1),L1650,0)</f>
        <v>0</v>
      </c>
    </row>
    <row r="1651" spans="1:13" ht="15" customHeight="1">
      <c r="A1651" s="1">
        <v>7326</v>
      </c>
      <c r="B1651" s="1" t="s">
        <v>9</v>
      </c>
      <c r="C1651" s="2" t="s">
        <v>1945</v>
      </c>
      <c r="D1651" s="2" t="s">
        <v>1946</v>
      </c>
      <c r="E1651" s="1">
        <v>1</v>
      </c>
      <c r="F1651" s="2" t="s">
        <v>1947</v>
      </c>
      <c r="G1651" s="1">
        <v>1</v>
      </c>
      <c r="H1651" s="1" t="str">
        <f t="shared" si="26"/>
        <v>k7326_1</v>
      </c>
      <c r="K1651" s="1">
        <f>IF(E1651=0,SUMPRODUCT(($A$2:$A$4734=A1651)*($B$2:$B$4734=B1651)*($D$2:$D$4734=D1651)*($E$2:$E$4734=0)),0)</f>
        <v>0</v>
      </c>
      <c r="L1651" s="1" t="str">
        <f>IF(E1651=0,SUMPRODUCT(MIN($K$2:$K$4734+((($A$2:$A$4734&lt;&gt;A1651)+($E$2:$E$4734&lt;&gt;0))&gt;0)*1000000)),"")</f>
        <v/>
      </c>
      <c r="M1651" s="1">
        <f>IF(AND(E1651=0,COUNTIFS($A$2:A1651,A1651,$E$2:E1651,0)=1),L1651,0)</f>
        <v>0</v>
      </c>
    </row>
    <row r="1652" spans="1:13" ht="15" customHeight="1">
      <c r="A1652" s="1">
        <v>7326</v>
      </c>
      <c r="B1652" s="1" t="s">
        <v>9</v>
      </c>
      <c r="C1652" s="2" t="s">
        <v>1945</v>
      </c>
      <c r="D1652" s="2" t="s">
        <v>1946</v>
      </c>
      <c r="E1652" s="1">
        <v>1</v>
      </c>
      <c r="F1652" s="2" t="s">
        <v>1948</v>
      </c>
      <c r="G1652" s="1">
        <v>2</v>
      </c>
      <c r="H1652" s="1" t="str">
        <f t="shared" si="26"/>
        <v>k7326_2</v>
      </c>
      <c r="K1652" s="1">
        <f>IF(E1652=0,SUMPRODUCT(($A$2:$A$4734=A1652)*($B$2:$B$4734=B1652)*($D$2:$D$4734=D1652)*($E$2:$E$4734=0)),0)</f>
        <v>0</v>
      </c>
      <c r="L1652" s="1" t="str">
        <f>IF(E1652=0,SUMPRODUCT(MIN($K$2:$K$4734+((($A$2:$A$4734&lt;&gt;A1652)+($E$2:$E$4734&lt;&gt;0))&gt;0)*1000000)),"")</f>
        <v/>
      </c>
      <c r="M1652" s="1">
        <f>IF(AND(E1652=0,COUNTIFS($A$2:A1652,A1652,$E$2:E1652,0)=1),L1652,0)</f>
        <v>0</v>
      </c>
    </row>
    <row r="1653" spans="1:13" ht="15" customHeight="1">
      <c r="A1653" s="1">
        <v>7326</v>
      </c>
      <c r="B1653" s="1" t="s">
        <v>9</v>
      </c>
      <c r="C1653" s="2" t="s">
        <v>1945</v>
      </c>
      <c r="D1653" s="2" t="s">
        <v>1946</v>
      </c>
      <c r="E1653" s="1">
        <v>1</v>
      </c>
      <c r="F1653" s="2" t="s">
        <v>1949</v>
      </c>
      <c r="G1653" s="1">
        <v>3</v>
      </c>
      <c r="H1653" s="1" t="str">
        <f t="shared" si="26"/>
        <v>k7326_3</v>
      </c>
      <c r="K1653" s="1">
        <f>IF(E1653=0,SUMPRODUCT(($A$2:$A$4734=A1653)*($B$2:$B$4734=B1653)*($D$2:$D$4734=D1653)*($E$2:$E$4734=0)),0)</f>
        <v>0</v>
      </c>
      <c r="L1653" s="1" t="str">
        <f>IF(E1653=0,SUMPRODUCT(MIN($K$2:$K$4734+((($A$2:$A$4734&lt;&gt;A1653)+($E$2:$E$4734&lt;&gt;0))&gt;0)*1000000)),"")</f>
        <v/>
      </c>
      <c r="M1653" s="1">
        <f>IF(AND(E1653=0,COUNTIFS($A$2:A1653,A1653,$E$2:E1653,0)=1),L1653,0)</f>
        <v>0</v>
      </c>
    </row>
    <row r="1654" spans="1:13" ht="15" customHeight="1">
      <c r="A1654" s="1">
        <v>7326</v>
      </c>
      <c r="B1654" s="1" t="s">
        <v>9</v>
      </c>
      <c r="C1654" s="2" t="s">
        <v>1945</v>
      </c>
      <c r="D1654" s="2" t="s">
        <v>1946</v>
      </c>
      <c r="E1654" s="1">
        <v>1</v>
      </c>
      <c r="F1654" s="2" t="s">
        <v>1949</v>
      </c>
      <c r="G1654" s="1">
        <v>4</v>
      </c>
      <c r="H1654" s="1" t="str">
        <f t="shared" si="26"/>
        <v>k7326_4</v>
      </c>
      <c r="K1654" s="1">
        <f>IF(E1654=0,SUMPRODUCT(($A$2:$A$4734=A1654)*($B$2:$B$4734=B1654)*($D$2:$D$4734=D1654)*($E$2:$E$4734=0)),0)</f>
        <v>0</v>
      </c>
      <c r="L1654" s="1" t="str">
        <f>IF(E1654=0,SUMPRODUCT(MIN($K$2:$K$4734+((($A$2:$A$4734&lt;&gt;A1654)+($E$2:$E$4734&lt;&gt;0))&gt;0)*1000000)),"")</f>
        <v/>
      </c>
      <c r="M1654" s="1">
        <f>IF(AND(E1654=0,COUNTIFS($A$2:A1654,A1654,$E$2:E1654,0)=1),L1654,0)</f>
        <v>0</v>
      </c>
    </row>
    <row r="1655" spans="1:13" ht="15" customHeight="1">
      <c r="A1655" s="1">
        <v>7326</v>
      </c>
      <c r="B1655" s="1" t="s">
        <v>9</v>
      </c>
      <c r="C1655" s="2" t="s">
        <v>1945</v>
      </c>
      <c r="D1655" s="2" t="s">
        <v>1946</v>
      </c>
      <c r="E1655" s="1">
        <v>1</v>
      </c>
      <c r="F1655" s="2" t="s">
        <v>1950</v>
      </c>
      <c r="G1655" s="1">
        <v>5</v>
      </c>
      <c r="H1655" s="1" t="str">
        <f t="shared" si="26"/>
        <v>k7326_5</v>
      </c>
      <c r="K1655" s="1">
        <f>IF(E1655=0,SUMPRODUCT(($A$2:$A$4734=A1655)*($B$2:$B$4734=B1655)*($D$2:$D$4734=D1655)*($E$2:$E$4734=0)),0)</f>
        <v>0</v>
      </c>
      <c r="L1655" s="1" t="str">
        <f>IF(E1655=0,SUMPRODUCT(MIN($K$2:$K$4734+((($A$2:$A$4734&lt;&gt;A1655)+($E$2:$E$4734&lt;&gt;0))&gt;0)*1000000)),"")</f>
        <v/>
      </c>
      <c r="M1655" s="1">
        <f>IF(AND(E1655=0,COUNTIFS($A$2:A1655,A1655,$E$2:E1655,0)=1),L1655,0)</f>
        <v>0</v>
      </c>
    </row>
    <row r="1656" spans="1:13" ht="15" customHeight="1">
      <c r="A1656" s="1">
        <v>7326</v>
      </c>
      <c r="B1656" s="1" t="s">
        <v>16</v>
      </c>
      <c r="C1656" s="2" t="s">
        <v>1945</v>
      </c>
      <c r="D1656" s="2" t="s">
        <v>1596</v>
      </c>
      <c r="E1656" s="1">
        <v>1</v>
      </c>
      <c r="F1656" s="2" t="s">
        <v>1951</v>
      </c>
      <c r="G1656" s="1">
        <v>1</v>
      </c>
      <c r="H1656" s="1" t="str">
        <f t="shared" si="26"/>
        <v>k7326_1</v>
      </c>
      <c r="K1656" s="1">
        <f>IF(E1656=0,SUMPRODUCT(($A$2:$A$4734=A1656)*($B$2:$B$4734=B1656)*($D$2:$D$4734=D1656)*($E$2:$E$4734=0)),0)</f>
        <v>0</v>
      </c>
      <c r="L1656" s="1" t="str">
        <f>IF(E1656=0,SUMPRODUCT(MIN($K$2:$K$4734+((($A$2:$A$4734&lt;&gt;A1656)+($E$2:$E$4734&lt;&gt;0))&gt;0)*1000000)),"")</f>
        <v/>
      </c>
      <c r="M1656" s="1">
        <f>IF(AND(E1656=0,COUNTIFS($A$2:A1656,A1656,$E$2:E1656,0)=1),L1656,0)</f>
        <v>0</v>
      </c>
    </row>
    <row r="1657" spans="1:13" ht="15" customHeight="1">
      <c r="A1657" s="1">
        <v>7326</v>
      </c>
      <c r="B1657" s="1" t="s">
        <v>16</v>
      </c>
      <c r="C1657" s="2" t="s">
        <v>1945</v>
      </c>
      <c r="D1657" s="2" t="s">
        <v>1596</v>
      </c>
      <c r="E1657" s="1">
        <v>1</v>
      </c>
      <c r="F1657" s="2" t="s">
        <v>1952</v>
      </c>
      <c r="G1657" s="1">
        <v>2</v>
      </c>
      <c r="H1657" s="1" t="str">
        <f t="shared" si="26"/>
        <v>k7326_2</v>
      </c>
      <c r="K1657" s="1">
        <f>IF(E1657=0,SUMPRODUCT(($A$2:$A$4734=A1657)*($B$2:$B$4734=B1657)*($D$2:$D$4734=D1657)*($E$2:$E$4734=0)),0)</f>
        <v>0</v>
      </c>
      <c r="L1657" s="1" t="str">
        <f>IF(E1657=0,SUMPRODUCT(MIN($K$2:$K$4734+((($A$2:$A$4734&lt;&gt;A1657)+($E$2:$E$4734&lt;&gt;0))&gt;0)*1000000)),"")</f>
        <v/>
      </c>
      <c r="M1657" s="1">
        <f>IF(AND(E1657=0,COUNTIFS($A$2:A1657,A1657,$E$2:E1657,0)=1),L1657,0)</f>
        <v>0</v>
      </c>
    </row>
    <row r="1658" spans="1:13" ht="15" customHeight="1">
      <c r="A1658" s="1">
        <v>7326</v>
      </c>
      <c r="B1658" s="1" t="s">
        <v>16</v>
      </c>
      <c r="C1658" s="2" t="s">
        <v>1945</v>
      </c>
      <c r="D1658" s="2" t="s">
        <v>1596</v>
      </c>
      <c r="E1658" s="1">
        <v>1</v>
      </c>
      <c r="F1658" s="2" t="s">
        <v>1953</v>
      </c>
      <c r="G1658" s="1">
        <v>3</v>
      </c>
      <c r="H1658" s="1" t="str">
        <f t="shared" si="26"/>
        <v>k7326_3</v>
      </c>
      <c r="K1658" s="1">
        <f>IF(E1658=0,SUMPRODUCT(($A$2:$A$4734=A1658)*($B$2:$B$4734=B1658)*($D$2:$D$4734=D1658)*($E$2:$E$4734=0)),0)</f>
        <v>0</v>
      </c>
      <c r="L1658" s="1" t="str">
        <f>IF(E1658=0,SUMPRODUCT(MIN($K$2:$K$4734+((($A$2:$A$4734&lt;&gt;A1658)+($E$2:$E$4734&lt;&gt;0))&gt;0)*1000000)),"")</f>
        <v/>
      </c>
      <c r="M1658" s="1">
        <f>IF(AND(E1658=0,COUNTIFS($A$2:A1658,A1658,$E$2:E1658,0)=1),L1658,0)</f>
        <v>0</v>
      </c>
    </row>
    <row r="1659" spans="1:13" ht="15" customHeight="1">
      <c r="A1659" s="1">
        <v>7326</v>
      </c>
      <c r="B1659" s="1" t="s">
        <v>16</v>
      </c>
      <c r="C1659" s="2" t="s">
        <v>1945</v>
      </c>
      <c r="D1659" s="2" t="s">
        <v>1596</v>
      </c>
      <c r="E1659" s="1">
        <v>1</v>
      </c>
      <c r="F1659" s="2" t="s">
        <v>1954</v>
      </c>
      <c r="G1659" s="1">
        <v>4</v>
      </c>
      <c r="H1659" s="1" t="str">
        <f t="shared" si="26"/>
        <v>k7326_4</v>
      </c>
      <c r="K1659" s="1">
        <f>IF(E1659=0,SUMPRODUCT(($A$2:$A$4734=A1659)*($B$2:$B$4734=B1659)*($D$2:$D$4734=D1659)*($E$2:$E$4734=0)),0)</f>
        <v>0</v>
      </c>
      <c r="L1659" s="1" t="str">
        <f>IF(E1659=0,SUMPRODUCT(MIN($K$2:$K$4734+((($A$2:$A$4734&lt;&gt;A1659)+($E$2:$E$4734&lt;&gt;0))&gt;0)*1000000)),"")</f>
        <v/>
      </c>
      <c r="M1659" s="1">
        <f>IF(AND(E1659=0,COUNTIFS($A$2:A1659,A1659,$E$2:E1659,0)=1),L1659,0)</f>
        <v>0</v>
      </c>
    </row>
    <row r="1660" spans="1:13" ht="15" customHeight="1">
      <c r="A1660" s="1">
        <v>7326</v>
      </c>
      <c r="B1660" s="1" t="s">
        <v>16</v>
      </c>
      <c r="C1660" s="2" t="s">
        <v>1945</v>
      </c>
      <c r="D1660" s="2" t="s">
        <v>1596</v>
      </c>
      <c r="E1660" s="1">
        <v>1</v>
      </c>
      <c r="F1660" s="2" t="s">
        <v>1955</v>
      </c>
      <c r="G1660" s="1">
        <v>5</v>
      </c>
      <c r="H1660" s="1" t="str">
        <f t="shared" si="26"/>
        <v>k7326_5</v>
      </c>
      <c r="K1660" s="1">
        <f>IF(E1660=0,SUMPRODUCT(($A$2:$A$4734=A1660)*($B$2:$B$4734=B1660)*($D$2:$D$4734=D1660)*($E$2:$E$4734=0)),0)</f>
        <v>0</v>
      </c>
      <c r="L1660" s="1" t="str">
        <f>IF(E1660=0,SUMPRODUCT(MIN($K$2:$K$4734+((($A$2:$A$4734&lt;&gt;A1660)+($E$2:$E$4734&lt;&gt;0))&gt;0)*1000000)),"")</f>
        <v/>
      </c>
      <c r="M1660" s="1">
        <f>IF(AND(E1660=0,COUNTIFS($A$2:A1660,A1660,$E$2:E1660,0)=1),L1660,0)</f>
        <v>0</v>
      </c>
    </row>
    <row r="1661" spans="1:13" ht="15" customHeight="1">
      <c r="A1661" s="1">
        <v>7326</v>
      </c>
      <c r="B1661" s="1" t="s">
        <v>9</v>
      </c>
      <c r="C1661" s="2" t="s">
        <v>1945</v>
      </c>
      <c r="D1661" s="2" t="s">
        <v>1956</v>
      </c>
      <c r="E1661" s="1">
        <v>1</v>
      </c>
      <c r="F1661" s="2" t="s">
        <v>1957</v>
      </c>
      <c r="G1661" s="1">
        <v>1</v>
      </c>
      <c r="H1661" s="1" t="str">
        <f t="shared" si="26"/>
        <v>k7326_1</v>
      </c>
      <c r="K1661" s="1">
        <f>IF(E1661=0,SUMPRODUCT(($A$2:$A$4734=A1661)*($B$2:$B$4734=B1661)*($D$2:$D$4734=D1661)*($E$2:$E$4734=0)),0)</f>
        <v>0</v>
      </c>
      <c r="L1661" s="1" t="str">
        <f>IF(E1661=0,SUMPRODUCT(MIN($K$2:$K$4734+((($A$2:$A$4734&lt;&gt;A1661)+($E$2:$E$4734&lt;&gt;0))&gt;0)*1000000)),"")</f>
        <v/>
      </c>
      <c r="M1661" s="1">
        <f>IF(AND(E1661=0,COUNTIFS($A$2:A1661,A1661,$E$2:E1661,0)=1),L1661,0)</f>
        <v>0</v>
      </c>
    </row>
    <row r="1662" spans="1:13" ht="15" customHeight="1">
      <c r="A1662" s="1">
        <v>7326</v>
      </c>
      <c r="B1662" s="1" t="s">
        <v>9</v>
      </c>
      <c r="C1662" s="2" t="s">
        <v>1945</v>
      </c>
      <c r="D1662" s="2" t="s">
        <v>1956</v>
      </c>
      <c r="E1662" s="1">
        <v>1</v>
      </c>
      <c r="F1662" s="2" t="s">
        <v>1958</v>
      </c>
      <c r="G1662" s="1">
        <v>2</v>
      </c>
      <c r="H1662" s="1" t="str">
        <f t="shared" si="26"/>
        <v>k7326_2</v>
      </c>
      <c r="K1662" s="1">
        <f>IF(E1662=0,SUMPRODUCT(($A$2:$A$4734=A1662)*($B$2:$B$4734=B1662)*($D$2:$D$4734=D1662)*($E$2:$E$4734=0)),0)</f>
        <v>0</v>
      </c>
      <c r="L1662" s="1" t="str">
        <f>IF(E1662=0,SUMPRODUCT(MIN($K$2:$K$4734+((($A$2:$A$4734&lt;&gt;A1662)+($E$2:$E$4734&lt;&gt;0))&gt;0)*1000000)),"")</f>
        <v/>
      </c>
      <c r="M1662" s="1">
        <f>IF(AND(E1662=0,COUNTIFS($A$2:A1662,A1662,$E$2:E1662,0)=1),L1662,0)</f>
        <v>0</v>
      </c>
    </row>
    <row r="1663" spans="1:13" ht="15" customHeight="1">
      <c r="A1663" s="1">
        <v>7326</v>
      </c>
      <c r="B1663" s="1" t="s">
        <v>9</v>
      </c>
      <c r="C1663" s="2" t="s">
        <v>1945</v>
      </c>
      <c r="D1663" s="2" t="s">
        <v>1956</v>
      </c>
      <c r="E1663" s="1">
        <v>1</v>
      </c>
      <c r="F1663" s="2" t="s">
        <v>1959</v>
      </c>
      <c r="G1663" s="1">
        <v>3</v>
      </c>
      <c r="H1663" s="1" t="str">
        <f t="shared" si="26"/>
        <v>k7326_3</v>
      </c>
      <c r="K1663" s="1">
        <f>IF(E1663=0,SUMPRODUCT(($A$2:$A$4734=A1663)*($B$2:$B$4734=B1663)*($D$2:$D$4734=D1663)*($E$2:$E$4734=0)),0)</f>
        <v>0</v>
      </c>
      <c r="L1663" s="1" t="str">
        <f>IF(E1663=0,SUMPRODUCT(MIN($K$2:$K$4734+((($A$2:$A$4734&lt;&gt;A1663)+($E$2:$E$4734&lt;&gt;0))&gt;0)*1000000)),"")</f>
        <v/>
      </c>
      <c r="M1663" s="1">
        <f>IF(AND(E1663=0,COUNTIFS($A$2:A1663,A1663,$E$2:E1663,0)=1),L1663,0)</f>
        <v>0</v>
      </c>
    </row>
    <row r="1664" spans="1:13" ht="15" customHeight="1">
      <c r="A1664" s="1">
        <v>7326</v>
      </c>
      <c r="B1664" s="1" t="s">
        <v>9</v>
      </c>
      <c r="C1664" s="2" t="s">
        <v>1945</v>
      </c>
      <c r="D1664" s="2" t="s">
        <v>1956</v>
      </c>
      <c r="E1664" s="1">
        <v>1</v>
      </c>
      <c r="F1664" s="2" t="s">
        <v>1960</v>
      </c>
      <c r="G1664" s="1">
        <v>4</v>
      </c>
      <c r="H1664" s="1" t="str">
        <f t="shared" si="26"/>
        <v>k7326_4</v>
      </c>
      <c r="K1664" s="1">
        <f>IF(E1664=0,SUMPRODUCT(($A$2:$A$4734=A1664)*($B$2:$B$4734=B1664)*($D$2:$D$4734=D1664)*($E$2:$E$4734=0)),0)</f>
        <v>0</v>
      </c>
      <c r="L1664" s="1" t="str">
        <f>IF(E1664=0,SUMPRODUCT(MIN($K$2:$K$4734+((($A$2:$A$4734&lt;&gt;A1664)+($E$2:$E$4734&lt;&gt;0))&gt;0)*1000000)),"")</f>
        <v/>
      </c>
      <c r="M1664" s="1">
        <f>IF(AND(E1664=0,COUNTIFS($A$2:A1664,A1664,$E$2:E1664,0)=1),L1664,0)</f>
        <v>0</v>
      </c>
    </row>
    <row r="1665" spans="1:13" ht="15" customHeight="1">
      <c r="A1665" s="1">
        <v>7326</v>
      </c>
      <c r="B1665" s="1" t="s">
        <v>9</v>
      </c>
      <c r="C1665" s="2" t="s">
        <v>1945</v>
      </c>
      <c r="D1665" s="2" t="s">
        <v>1956</v>
      </c>
      <c r="E1665" s="1">
        <v>1</v>
      </c>
      <c r="F1665" s="2" t="s">
        <v>1961</v>
      </c>
      <c r="G1665" s="1">
        <v>5</v>
      </c>
      <c r="H1665" s="1" t="str">
        <f t="shared" si="26"/>
        <v>k7326_5</v>
      </c>
      <c r="K1665" s="1">
        <f>IF(E1665=0,SUMPRODUCT(($A$2:$A$4734=A1665)*($B$2:$B$4734=B1665)*($D$2:$D$4734=D1665)*($E$2:$E$4734=0)),0)</f>
        <v>0</v>
      </c>
      <c r="L1665" s="1" t="str">
        <f>IF(E1665=0,SUMPRODUCT(MIN($K$2:$K$4734+((($A$2:$A$4734&lt;&gt;A1665)+($E$2:$E$4734&lt;&gt;0))&gt;0)*1000000)),"")</f>
        <v/>
      </c>
      <c r="M1665" s="1">
        <f>IF(AND(E1665=0,COUNTIFS($A$2:A1665,A1665,$E$2:E1665,0)=1),L1665,0)</f>
        <v>0</v>
      </c>
    </row>
    <row r="1666" spans="1:13" ht="15" customHeight="1">
      <c r="A1666" s="1">
        <v>7326</v>
      </c>
      <c r="B1666" s="1" t="s">
        <v>9</v>
      </c>
      <c r="C1666" s="2" t="s">
        <v>1945</v>
      </c>
      <c r="D1666" s="2" t="s">
        <v>1596</v>
      </c>
      <c r="E1666" s="1">
        <v>1</v>
      </c>
      <c r="F1666" s="2" t="s">
        <v>1962</v>
      </c>
      <c r="G1666" s="1">
        <v>1</v>
      </c>
      <c r="H1666" s="1" t="str">
        <f t="shared" si="26"/>
        <v>k7326_1</v>
      </c>
      <c r="K1666" s="1">
        <f>IF(E1666=0,SUMPRODUCT(($A$2:$A$4734=A1666)*($B$2:$B$4734=B1666)*($D$2:$D$4734=D1666)*($E$2:$E$4734=0)),0)</f>
        <v>0</v>
      </c>
      <c r="L1666" s="1" t="str">
        <f>IF(E1666=0,SUMPRODUCT(MIN($K$2:$K$4734+((($A$2:$A$4734&lt;&gt;A1666)+($E$2:$E$4734&lt;&gt;0))&gt;0)*1000000)),"")</f>
        <v/>
      </c>
      <c r="M1666" s="1">
        <f>IF(AND(E1666=0,COUNTIFS($A$2:A1666,A1666,$E$2:E1666,0)=1),L1666,0)</f>
        <v>0</v>
      </c>
    </row>
    <row r="1667" spans="1:13" ht="15" customHeight="1">
      <c r="A1667" s="1">
        <v>7326</v>
      </c>
      <c r="B1667" s="1" t="s">
        <v>9</v>
      </c>
      <c r="C1667" s="2" t="s">
        <v>1945</v>
      </c>
      <c r="D1667" s="2" t="s">
        <v>1596</v>
      </c>
      <c r="E1667" s="1">
        <v>1</v>
      </c>
      <c r="F1667" s="2" t="s">
        <v>1600</v>
      </c>
      <c r="G1667" s="1">
        <v>2</v>
      </c>
      <c r="H1667" s="1" t="str">
        <f t="shared" si="26"/>
        <v>k7326_2</v>
      </c>
      <c r="K1667" s="1">
        <f>IF(E1667=0,SUMPRODUCT(($A$2:$A$4734=A1667)*($B$2:$B$4734=B1667)*($D$2:$D$4734=D1667)*($E$2:$E$4734=0)),0)</f>
        <v>0</v>
      </c>
      <c r="L1667" s="1" t="str">
        <f>IF(E1667=0,SUMPRODUCT(MIN($K$2:$K$4734+((($A$2:$A$4734&lt;&gt;A1667)+($E$2:$E$4734&lt;&gt;0))&gt;0)*1000000)),"")</f>
        <v/>
      </c>
      <c r="M1667" s="1">
        <f>IF(AND(E1667=0,COUNTIFS($A$2:A1667,A1667,$E$2:E1667,0)=1),L1667,0)</f>
        <v>0</v>
      </c>
    </row>
    <row r="1668" spans="1:13" ht="15" customHeight="1">
      <c r="A1668" s="1">
        <v>7326</v>
      </c>
      <c r="B1668" s="1" t="s">
        <v>9</v>
      </c>
      <c r="C1668" s="2" t="s">
        <v>1945</v>
      </c>
      <c r="D1668" s="2" t="s">
        <v>1596</v>
      </c>
      <c r="E1668" s="1">
        <v>1</v>
      </c>
      <c r="F1668" s="2" t="s">
        <v>1963</v>
      </c>
      <c r="G1668" s="1">
        <v>3</v>
      </c>
      <c r="H1668" s="1" t="str">
        <f t="shared" si="26"/>
        <v>k7326_3</v>
      </c>
      <c r="K1668" s="1">
        <f>IF(E1668=0,SUMPRODUCT(($A$2:$A$4734=A1668)*($B$2:$B$4734=B1668)*($D$2:$D$4734=D1668)*($E$2:$E$4734=0)),0)</f>
        <v>0</v>
      </c>
      <c r="L1668" s="1" t="str">
        <f>IF(E1668=0,SUMPRODUCT(MIN($K$2:$K$4734+((($A$2:$A$4734&lt;&gt;A1668)+($E$2:$E$4734&lt;&gt;0))&gt;0)*1000000)),"")</f>
        <v/>
      </c>
      <c r="M1668" s="1">
        <f>IF(AND(E1668=0,COUNTIFS($A$2:A1668,A1668,$E$2:E1668,0)=1),L1668,0)</f>
        <v>0</v>
      </c>
    </row>
    <row r="1669" spans="1:13" ht="15" customHeight="1">
      <c r="A1669" s="1">
        <v>7326</v>
      </c>
      <c r="B1669" s="1" t="s">
        <v>9</v>
      </c>
      <c r="C1669" s="2" t="s">
        <v>1945</v>
      </c>
      <c r="D1669" s="2" t="s">
        <v>1596</v>
      </c>
      <c r="E1669" s="1">
        <v>1</v>
      </c>
      <c r="F1669" s="2" t="s">
        <v>1963</v>
      </c>
      <c r="G1669" s="1">
        <v>4</v>
      </c>
      <c r="H1669" s="1" t="str">
        <f t="shared" si="26"/>
        <v>k7326_4</v>
      </c>
      <c r="K1669" s="1">
        <f>IF(E1669=0,SUMPRODUCT(($A$2:$A$4734=A1669)*($B$2:$B$4734=B1669)*($D$2:$D$4734=D1669)*($E$2:$E$4734=0)),0)</f>
        <v>0</v>
      </c>
      <c r="L1669" s="1" t="str">
        <f>IF(E1669=0,SUMPRODUCT(MIN($K$2:$K$4734+((($A$2:$A$4734&lt;&gt;A1669)+($E$2:$E$4734&lt;&gt;0))&gt;0)*1000000)),"")</f>
        <v/>
      </c>
      <c r="M1669" s="1">
        <f>IF(AND(E1669=0,COUNTIFS($A$2:A1669,A1669,$E$2:E1669,0)=1),L1669,0)</f>
        <v>0</v>
      </c>
    </row>
    <row r="1670" spans="1:13" ht="15" customHeight="1">
      <c r="A1670" s="1">
        <v>7326</v>
      </c>
      <c r="B1670" s="1" t="s">
        <v>9</v>
      </c>
      <c r="C1670" s="2" t="s">
        <v>1945</v>
      </c>
      <c r="D1670" s="2" t="s">
        <v>1596</v>
      </c>
      <c r="E1670" s="1">
        <v>1</v>
      </c>
      <c r="F1670" s="2" t="s">
        <v>1964</v>
      </c>
      <c r="G1670" s="1">
        <v>5</v>
      </c>
      <c r="H1670" s="1" t="str">
        <f t="shared" si="26"/>
        <v>k7326_5</v>
      </c>
      <c r="K1670" s="1">
        <f>IF(E1670=0,SUMPRODUCT(($A$2:$A$4734=A1670)*($B$2:$B$4734=B1670)*($D$2:$D$4734=D1670)*($E$2:$E$4734=0)),0)</f>
        <v>0</v>
      </c>
      <c r="L1670" s="1" t="str">
        <f>IF(E1670=0,SUMPRODUCT(MIN($K$2:$K$4734+((($A$2:$A$4734&lt;&gt;A1670)+($E$2:$E$4734&lt;&gt;0))&gt;0)*1000000)),"")</f>
        <v/>
      </c>
      <c r="M1670" s="1">
        <f>IF(AND(E1670=0,COUNTIFS($A$2:A1670,A1670,$E$2:E1670,0)=1),L1670,0)</f>
        <v>0</v>
      </c>
    </row>
    <row r="1671" spans="1:13" ht="15" customHeight="1">
      <c r="A1671" s="1">
        <v>7326</v>
      </c>
      <c r="B1671" s="1" t="s">
        <v>69</v>
      </c>
      <c r="C1671" s="2" t="s">
        <v>1945</v>
      </c>
      <c r="D1671" s="2" t="s">
        <v>1965</v>
      </c>
      <c r="E1671" s="1">
        <v>1</v>
      </c>
      <c r="F1671" s="2" t="s">
        <v>1966</v>
      </c>
      <c r="G1671" s="1">
        <v>1</v>
      </c>
      <c r="H1671" s="1" t="str">
        <f t="shared" si="26"/>
        <v>k7326_1</v>
      </c>
      <c r="K1671" s="1">
        <f>IF(E1671=0,SUMPRODUCT(($A$2:$A$4734=A1671)*($B$2:$B$4734=B1671)*($D$2:$D$4734=D1671)*($E$2:$E$4734=0)),0)</f>
        <v>0</v>
      </c>
      <c r="L1671" s="1" t="str">
        <f>IF(E1671=0,SUMPRODUCT(MIN($K$2:$K$4734+((($A$2:$A$4734&lt;&gt;A1671)+($E$2:$E$4734&lt;&gt;0))&gt;0)*1000000)),"")</f>
        <v/>
      </c>
      <c r="M1671" s="1">
        <f>IF(AND(E1671=0,COUNTIFS($A$2:A1671,A1671,$E$2:E1671,0)=1),L1671,0)</f>
        <v>0</v>
      </c>
    </row>
    <row r="1672" spans="1:13" ht="15" customHeight="1">
      <c r="A1672" s="1">
        <v>7326</v>
      </c>
      <c r="B1672" s="1" t="s">
        <v>69</v>
      </c>
      <c r="C1672" s="2" t="s">
        <v>1945</v>
      </c>
      <c r="D1672" s="2" t="s">
        <v>1965</v>
      </c>
      <c r="E1672" s="1">
        <v>1</v>
      </c>
      <c r="F1672" s="2" t="s">
        <v>1967</v>
      </c>
      <c r="G1672" s="1">
        <v>2</v>
      </c>
      <c r="H1672" s="1" t="str">
        <f t="shared" si="26"/>
        <v>k7326_2</v>
      </c>
      <c r="K1672" s="1">
        <f>IF(E1672=0,SUMPRODUCT(($A$2:$A$4734=A1672)*($B$2:$B$4734=B1672)*($D$2:$D$4734=D1672)*($E$2:$E$4734=0)),0)</f>
        <v>0</v>
      </c>
      <c r="L1672" s="1" t="str">
        <f>IF(E1672=0,SUMPRODUCT(MIN($K$2:$K$4734+((($A$2:$A$4734&lt;&gt;A1672)+($E$2:$E$4734&lt;&gt;0))&gt;0)*1000000)),"")</f>
        <v/>
      </c>
      <c r="M1672" s="1">
        <f>IF(AND(E1672=0,COUNTIFS($A$2:A1672,A1672,$E$2:E1672,0)=1),L1672,0)</f>
        <v>0</v>
      </c>
    </row>
    <row r="1673" spans="1:13" ht="15" customHeight="1">
      <c r="A1673" s="1">
        <v>7326</v>
      </c>
      <c r="B1673" s="1" t="s">
        <v>69</v>
      </c>
      <c r="C1673" s="2" t="s">
        <v>1945</v>
      </c>
      <c r="D1673" s="2" t="s">
        <v>1965</v>
      </c>
      <c r="E1673" s="1">
        <v>1</v>
      </c>
      <c r="F1673" s="2" t="s">
        <v>1968</v>
      </c>
      <c r="G1673" s="1">
        <v>3</v>
      </c>
      <c r="H1673" s="1" t="str">
        <f t="shared" si="26"/>
        <v>k7326_3</v>
      </c>
      <c r="K1673" s="1">
        <f>IF(E1673=0,SUMPRODUCT(($A$2:$A$4734=A1673)*($B$2:$B$4734=B1673)*($D$2:$D$4734=D1673)*($E$2:$E$4734=0)),0)</f>
        <v>0</v>
      </c>
      <c r="L1673" s="1" t="str">
        <f>IF(E1673=0,SUMPRODUCT(MIN($K$2:$K$4734+((($A$2:$A$4734&lt;&gt;A1673)+($E$2:$E$4734&lt;&gt;0))&gt;0)*1000000)),"")</f>
        <v/>
      </c>
      <c r="M1673" s="1">
        <f>IF(AND(E1673=0,COUNTIFS($A$2:A1673,A1673,$E$2:E1673,0)=1),L1673,0)</f>
        <v>0</v>
      </c>
    </row>
    <row r="1674" spans="1:13" ht="15" customHeight="1">
      <c r="A1674" s="1">
        <v>7326</v>
      </c>
      <c r="B1674" s="1" t="s">
        <v>69</v>
      </c>
      <c r="C1674" s="2" t="s">
        <v>1945</v>
      </c>
      <c r="D1674" s="2" t="s">
        <v>1965</v>
      </c>
      <c r="E1674" s="1">
        <v>1</v>
      </c>
      <c r="F1674" s="2" t="s">
        <v>1969</v>
      </c>
      <c r="G1674" s="1">
        <v>4</v>
      </c>
      <c r="H1674" s="1" t="str">
        <f t="shared" si="26"/>
        <v>k7326_4</v>
      </c>
      <c r="K1674" s="1">
        <f>IF(E1674=0,SUMPRODUCT(($A$2:$A$4734=A1674)*($B$2:$B$4734=B1674)*($D$2:$D$4734=D1674)*($E$2:$E$4734=0)),0)</f>
        <v>0</v>
      </c>
      <c r="L1674" s="1" t="str">
        <f>IF(E1674=0,SUMPRODUCT(MIN($K$2:$K$4734+((($A$2:$A$4734&lt;&gt;A1674)+($E$2:$E$4734&lt;&gt;0))&gt;0)*1000000)),"")</f>
        <v/>
      </c>
      <c r="M1674" s="1">
        <f>IF(AND(E1674=0,COUNTIFS($A$2:A1674,A1674,$E$2:E1674,0)=1),L1674,0)</f>
        <v>0</v>
      </c>
    </row>
    <row r="1675" spans="1:13" ht="15" customHeight="1">
      <c r="A1675" s="1">
        <v>7326</v>
      </c>
      <c r="B1675" s="1" t="s">
        <v>69</v>
      </c>
      <c r="C1675" s="2" t="s">
        <v>1945</v>
      </c>
      <c r="D1675" s="2" t="s">
        <v>1965</v>
      </c>
      <c r="E1675" s="1">
        <v>1</v>
      </c>
      <c r="F1675" s="2" t="s">
        <v>1970</v>
      </c>
      <c r="G1675" s="1">
        <v>5</v>
      </c>
      <c r="H1675" s="1" t="str">
        <f t="shared" si="26"/>
        <v>k7326_5</v>
      </c>
      <c r="K1675" s="1">
        <f>IF(E1675=0,SUMPRODUCT(($A$2:$A$4734=A1675)*($B$2:$B$4734=B1675)*($D$2:$D$4734=D1675)*($E$2:$E$4734=0)),0)</f>
        <v>0</v>
      </c>
      <c r="L1675" s="1" t="str">
        <f>IF(E1675=0,SUMPRODUCT(MIN($K$2:$K$4734+((($A$2:$A$4734&lt;&gt;A1675)+($E$2:$E$4734&lt;&gt;0))&gt;0)*1000000)),"")</f>
        <v/>
      </c>
      <c r="M1675" s="1">
        <f>IF(AND(E1675=0,COUNTIFS($A$2:A1675,A1675,$E$2:E1675,0)=1),L1675,0)</f>
        <v>0</v>
      </c>
    </row>
    <row r="1676" spans="1:13" ht="15" customHeight="1">
      <c r="A1676" s="1">
        <v>7328</v>
      </c>
      <c r="B1676" s="1" t="s">
        <v>144</v>
      </c>
      <c r="C1676" s="2" t="s">
        <v>1971</v>
      </c>
      <c r="D1676" s="2" t="s">
        <v>1972</v>
      </c>
      <c r="E1676" s="1">
        <v>1</v>
      </c>
      <c r="F1676" s="2" t="s">
        <v>1973</v>
      </c>
      <c r="G1676" s="1">
        <v>1</v>
      </c>
      <c r="H1676" s="1" t="str">
        <f t="shared" si="26"/>
        <v>k7328_1</v>
      </c>
      <c r="K1676" s="1">
        <f>IF(E1676=0,SUMPRODUCT(($A$2:$A$4734=A1676)*($B$2:$B$4734=B1676)*($D$2:$D$4734=D1676)*($E$2:$E$4734=0)),0)</f>
        <v>0</v>
      </c>
      <c r="L1676" s="1" t="str">
        <f>IF(E1676=0,SUMPRODUCT(MIN($K$2:$K$4734+((($A$2:$A$4734&lt;&gt;A1676)+($E$2:$E$4734&lt;&gt;0))&gt;0)*1000000)),"")</f>
        <v/>
      </c>
      <c r="M1676" s="1">
        <f>IF(AND(E1676=0,COUNTIFS($A$2:A1676,A1676,$E$2:E1676,0)=1),L1676,0)</f>
        <v>0</v>
      </c>
    </row>
    <row r="1677" spans="1:13" ht="15" customHeight="1">
      <c r="A1677" s="1">
        <v>7328</v>
      </c>
      <c r="B1677" s="1" t="s">
        <v>144</v>
      </c>
      <c r="C1677" s="2" t="s">
        <v>1971</v>
      </c>
      <c r="D1677" s="2" t="s">
        <v>1972</v>
      </c>
      <c r="E1677" s="1">
        <v>1</v>
      </c>
      <c r="F1677" s="2" t="s">
        <v>1974</v>
      </c>
      <c r="G1677" s="1">
        <v>2</v>
      </c>
      <c r="H1677" s="1" t="str">
        <f t="shared" si="26"/>
        <v>k7328_2</v>
      </c>
      <c r="K1677" s="1">
        <f>IF(E1677=0,SUMPRODUCT(($A$2:$A$4734=A1677)*($B$2:$B$4734=B1677)*($D$2:$D$4734=D1677)*($E$2:$E$4734=0)),0)</f>
        <v>0</v>
      </c>
      <c r="L1677" s="1" t="str">
        <f>IF(E1677=0,SUMPRODUCT(MIN($K$2:$K$4734+((($A$2:$A$4734&lt;&gt;A1677)+($E$2:$E$4734&lt;&gt;0))&gt;0)*1000000)),"")</f>
        <v/>
      </c>
      <c r="M1677" s="1">
        <f>IF(AND(E1677=0,COUNTIFS($A$2:A1677,A1677,$E$2:E1677,0)=1),L1677,0)</f>
        <v>0</v>
      </c>
    </row>
    <row r="1678" spans="1:13" ht="15" customHeight="1">
      <c r="A1678" s="1">
        <v>7328</v>
      </c>
      <c r="B1678" s="1" t="s">
        <v>144</v>
      </c>
      <c r="C1678" s="2" t="s">
        <v>1971</v>
      </c>
      <c r="D1678" s="2" t="s">
        <v>1972</v>
      </c>
      <c r="E1678" s="1">
        <v>1</v>
      </c>
      <c r="F1678" s="2" t="s">
        <v>1975</v>
      </c>
      <c r="G1678" s="1">
        <v>3</v>
      </c>
      <c r="H1678" s="1" t="str">
        <f t="shared" si="26"/>
        <v>k7328_3</v>
      </c>
      <c r="K1678" s="1">
        <f>IF(E1678=0,SUMPRODUCT(($A$2:$A$4734=A1678)*($B$2:$B$4734=B1678)*($D$2:$D$4734=D1678)*($E$2:$E$4734=0)),0)</f>
        <v>0</v>
      </c>
      <c r="L1678" s="1" t="str">
        <f>IF(E1678=0,SUMPRODUCT(MIN($K$2:$K$4734+((($A$2:$A$4734&lt;&gt;A1678)+($E$2:$E$4734&lt;&gt;0))&gt;0)*1000000)),"")</f>
        <v/>
      </c>
      <c r="M1678" s="1">
        <f>IF(AND(E1678=0,COUNTIFS($A$2:A1678,A1678,$E$2:E1678,0)=1),L1678,0)</f>
        <v>0</v>
      </c>
    </row>
    <row r="1679" spans="1:13" ht="15" customHeight="1">
      <c r="A1679" s="1">
        <v>7328</v>
      </c>
      <c r="B1679" s="1" t="s">
        <v>144</v>
      </c>
      <c r="C1679" s="2" t="s">
        <v>1971</v>
      </c>
      <c r="D1679" s="2" t="s">
        <v>1972</v>
      </c>
      <c r="E1679" s="1">
        <v>1</v>
      </c>
      <c r="F1679" s="2" t="s">
        <v>1976</v>
      </c>
      <c r="G1679" s="1">
        <v>4</v>
      </c>
      <c r="H1679" s="1" t="str">
        <f t="shared" si="26"/>
        <v>k7328_4</v>
      </c>
      <c r="K1679" s="1">
        <f>IF(E1679=0,SUMPRODUCT(($A$2:$A$4734=A1679)*($B$2:$B$4734=B1679)*($D$2:$D$4734=D1679)*($E$2:$E$4734=0)),0)</f>
        <v>0</v>
      </c>
      <c r="L1679" s="1" t="str">
        <f>IF(E1679=0,SUMPRODUCT(MIN($K$2:$K$4734+((($A$2:$A$4734&lt;&gt;A1679)+($E$2:$E$4734&lt;&gt;0))&gt;0)*1000000)),"")</f>
        <v/>
      </c>
      <c r="M1679" s="1">
        <f>IF(AND(E1679=0,COUNTIFS($A$2:A1679,A1679,$E$2:E1679,0)=1),L1679,0)</f>
        <v>0</v>
      </c>
    </row>
    <row r="1680" spans="1:13" ht="15" customHeight="1">
      <c r="A1680" s="1">
        <v>7328</v>
      </c>
      <c r="B1680" s="1" t="s">
        <v>9</v>
      </c>
      <c r="C1680" s="2" t="s">
        <v>1971</v>
      </c>
      <c r="D1680" s="2" t="s">
        <v>1154</v>
      </c>
      <c r="E1680" s="1">
        <v>1</v>
      </c>
      <c r="F1680" s="2" t="s">
        <v>1977</v>
      </c>
      <c r="G1680" s="1">
        <v>1</v>
      </c>
      <c r="H1680" s="1" t="str">
        <f t="shared" si="26"/>
        <v>k7328_1</v>
      </c>
      <c r="K1680" s="1">
        <f>IF(E1680=0,SUMPRODUCT(($A$2:$A$4734=A1680)*($B$2:$B$4734=B1680)*($D$2:$D$4734=D1680)*($E$2:$E$4734=0)),0)</f>
        <v>0</v>
      </c>
      <c r="L1680" s="1" t="str">
        <f>IF(E1680=0,SUMPRODUCT(MIN($K$2:$K$4734+((($A$2:$A$4734&lt;&gt;A1680)+($E$2:$E$4734&lt;&gt;0))&gt;0)*1000000)),"")</f>
        <v/>
      </c>
      <c r="M1680" s="1">
        <f>IF(AND(E1680=0,COUNTIFS($A$2:A1680,A1680,$E$2:E1680,0)=1),L1680,0)</f>
        <v>0</v>
      </c>
    </row>
    <row r="1681" spans="1:13" ht="15" customHeight="1">
      <c r="A1681" s="1">
        <v>7328</v>
      </c>
      <c r="B1681" s="1" t="s">
        <v>9</v>
      </c>
      <c r="C1681" s="2" t="s">
        <v>1971</v>
      </c>
      <c r="D1681" s="2" t="s">
        <v>1154</v>
      </c>
      <c r="E1681" s="1">
        <v>1</v>
      </c>
      <c r="F1681" s="2" t="s">
        <v>1978</v>
      </c>
      <c r="G1681" s="1">
        <v>2</v>
      </c>
      <c r="H1681" s="1" t="str">
        <f t="shared" si="26"/>
        <v>k7328_2</v>
      </c>
      <c r="K1681" s="1">
        <f>IF(E1681=0,SUMPRODUCT(($A$2:$A$4734=A1681)*($B$2:$B$4734=B1681)*($D$2:$D$4734=D1681)*($E$2:$E$4734=0)),0)</f>
        <v>0</v>
      </c>
      <c r="L1681" s="1" t="str">
        <f>IF(E1681=0,SUMPRODUCT(MIN($K$2:$K$4734+((($A$2:$A$4734&lt;&gt;A1681)+($E$2:$E$4734&lt;&gt;0))&gt;0)*1000000)),"")</f>
        <v/>
      </c>
      <c r="M1681" s="1">
        <f>IF(AND(E1681=0,COUNTIFS($A$2:A1681,A1681,$E$2:E1681,0)=1),L1681,0)</f>
        <v>0</v>
      </c>
    </row>
    <row r="1682" spans="1:13" ht="15" customHeight="1">
      <c r="A1682" s="1">
        <v>7328</v>
      </c>
      <c r="B1682" s="1" t="s">
        <v>9</v>
      </c>
      <c r="C1682" s="2" t="s">
        <v>1971</v>
      </c>
      <c r="D1682" s="2" t="s">
        <v>1154</v>
      </c>
      <c r="E1682" s="1">
        <v>1</v>
      </c>
      <c r="F1682" s="2" t="s">
        <v>1979</v>
      </c>
      <c r="G1682" s="1">
        <v>3</v>
      </c>
      <c r="H1682" s="1" t="str">
        <f t="shared" si="26"/>
        <v>k7328_3</v>
      </c>
      <c r="K1682" s="1">
        <f>IF(E1682=0,SUMPRODUCT(($A$2:$A$4734=A1682)*($B$2:$B$4734=B1682)*($D$2:$D$4734=D1682)*($E$2:$E$4734=0)),0)</f>
        <v>0</v>
      </c>
      <c r="L1682" s="1" t="str">
        <f>IF(E1682=0,SUMPRODUCT(MIN($K$2:$K$4734+((($A$2:$A$4734&lt;&gt;A1682)+($E$2:$E$4734&lt;&gt;0))&gt;0)*1000000)),"")</f>
        <v/>
      </c>
      <c r="M1682" s="1">
        <f>IF(AND(E1682=0,COUNTIFS($A$2:A1682,A1682,$E$2:E1682,0)=1),L1682,0)</f>
        <v>0</v>
      </c>
    </row>
    <row r="1683" spans="1:13" ht="15" customHeight="1">
      <c r="A1683" s="1">
        <v>7328</v>
      </c>
      <c r="B1683" s="1" t="s">
        <v>9</v>
      </c>
      <c r="C1683" s="2" t="s">
        <v>1971</v>
      </c>
      <c r="D1683" s="2" t="s">
        <v>1154</v>
      </c>
      <c r="E1683" s="1">
        <v>1</v>
      </c>
      <c r="F1683" s="2" t="s">
        <v>1980</v>
      </c>
      <c r="G1683" s="1">
        <v>4</v>
      </c>
      <c r="H1683" s="1" t="str">
        <f t="shared" si="26"/>
        <v>k7328_4</v>
      </c>
      <c r="K1683" s="1">
        <f>IF(E1683=0,SUMPRODUCT(($A$2:$A$4734=A1683)*($B$2:$B$4734=B1683)*($D$2:$D$4734=D1683)*($E$2:$E$4734=0)),0)</f>
        <v>0</v>
      </c>
      <c r="L1683" s="1" t="str">
        <f>IF(E1683=0,SUMPRODUCT(MIN($K$2:$K$4734+((($A$2:$A$4734&lt;&gt;A1683)+($E$2:$E$4734&lt;&gt;0))&gt;0)*1000000)),"")</f>
        <v/>
      </c>
      <c r="M1683" s="1">
        <f>IF(AND(E1683=0,COUNTIFS($A$2:A1683,A1683,$E$2:E1683,0)=1),L1683,0)</f>
        <v>0</v>
      </c>
    </row>
    <row r="1684" spans="1:13" ht="15" customHeight="1">
      <c r="A1684" s="1">
        <v>7328</v>
      </c>
      <c r="B1684" s="1" t="s">
        <v>16</v>
      </c>
      <c r="C1684" s="2" t="s">
        <v>1971</v>
      </c>
      <c r="D1684" s="2" t="s">
        <v>1981</v>
      </c>
      <c r="E1684" s="1">
        <v>1</v>
      </c>
      <c r="F1684" s="2" t="s">
        <v>1982</v>
      </c>
      <c r="G1684" s="1">
        <v>1</v>
      </c>
      <c r="H1684" s="1" t="str">
        <f t="shared" si="26"/>
        <v>k7328_1</v>
      </c>
      <c r="K1684" s="1">
        <f>IF(E1684=0,SUMPRODUCT(($A$2:$A$4734=A1684)*($B$2:$B$4734=B1684)*($D$2:$D$4734=D1684)*($E$2:$E$4734=0)),0)</f>
        <v>0</v>
      </c>
      <c r="L1684" s="1" t="str">
        <f>IF(E1684=0,SUMPRODUCT(MIN($K$2:$K$4734+((($A$2:$A$4734&lt;&gt;A1684)+($E$2:$E$4734&lt;&gt;0))&gt;0)*1000000)),"")</f>
        <v/>
      </c>
      <c r="M1684" s="1">
        <f>IF(AND(E1684=0,COUNTIFS($A$2:A1684,A1684,$E$2:E1684,0)=1),L1684,0)</f>
        <v>0</v>
      </c>
    </row>
    <row r="1685" spans="1:13" ht="15" customHeight="1">
      <c r="A1685" s="1">
        <v>7328</v>
      </c>
      <c r="B1685" s="1" t="s">
        <v>16</v>
      </c>
      <c r="C1685" s="2" t="s">
        <v>1971</v>
      </c>
      <c r="D1685" s="2" t="s">
        <v>1981</v>
      </c>
      <c r="E1685" s="1">
        <v>1</v>
      </c>
      <c r="F1685" s="2" t="s">
        <v>1983</v>
      </c>
      <c r="G1685" s="1">
        <v>2</v>
      </c>
      <c r="H1685" s="1" t="str">
        <f t="shared" si="26"/>
        <v>k7328_2</v>
      </c>
      <c r="K1685" s="1">
        <f>IF(E1685=0,SUMPRODUCT(($A$2:$A$4734=A1685)*($B$2:$B$4734=B1685)*($D$2:$D$4734=D1685)*($E$2:$E$4734=0)),0)</f>
        <v>0</v>
      </c>
      <c r="L1685" s="1" t="str">
        <f>IF(E1685=0,SUMPRODUCT(MIN($K$2:$K$4734+((($A$2:$A$4734&lt;&gt;A1685)+($E$2:$E$4734&lt;&gt;0))&gt;0)*1000000)),"")</f>
        <v/>
      </c>
      <c r="M1685" s="1">
        <f>IF(AND(E1685=0,COUNTIFS($A$2:A1685,A1685,$E$2:E1685,0)=1),L1685,0)</f>
        <v>0</v>
      </c>
    </row>
    <row r="1686" spans="1:13" ht="15" customHeight="1">
      <c r="A1686" s="1">
        <v>7328</v>
      </c>
      <c r="B1686" s="1" t="s">
        <v>16</v>
      </c>
      <c r="C1686" s="2" t="s">
        <v>1971</v>
      </c>
      <c r="D1686" s="2" t="s">
        <v>1981</v>
      </c>
      <c r="E1686" s="1">
        <v>1</v>
      </c>
      <c r="F1686" s="2" t="s">
        <v>1984</v>
      </c>
      <c r="G1686" s="1">
        <v>3</v>
      </c>
      <c r="H1686" s="1" t="str">
        <f t="shared" si="26"/>
        <v>k7328_3</v>
      </c>
      <c r="K1686" s="1">
        <f>IF(E1686=0,SUMPRODUCT(($A$2:$A$4734=A1686)*($B$2:$B$4734=B1686)*($D$2:$D$4734=D1686)*($E$2:$E$4734=0)),0)</f>
        <v>0</v>
      </c>
      <c r="L1686" s="1" t="str">
        <f>IF(E1686=0,SUMPRODUCT(MIN($K$2:$K$4734+((($A$2:$A$4734&lt;&gt;A1686)+($E$2:$E$4734&lt;&gt;0))&gt;0)*1000000)),"")</f>
        <v/>
      </c>
      <c r="M1686" s="1">
        <f>IF(AND(E1686=0,COUNTIFS($A$2:A1686,A1686,$E$2:E1686,0)=1),L1686,0)</f>
        <v>0</v>
      </c>
    </row>
    <row r="1687" spans="1:13" ht="15" customHeight="1">
      <c r="A1687" s="1">
        <v>7328</v>
      </c>
      <c r="B1687" s="1" t="s">
        <v>16</v>
      </c>
      <c r="C1687" s="2" t="s">
        <v>1971</v>
      </c>
      <c r="D1687" s="2" t="s">
        <v>1981</v>
      </c>
      <c r="E1687" s="1">
        <v>1</v>
      </c>
      <c r="F1687" s="2" t="s">
        <v>1985</v>
      </c>
      <c r="G1687" s="1">
        <v>4</v>
      </c>
      <c r="H1687" s="1" t="str">
        <f t="shared" si="26"/>
        <v>k7328_4</v>
      </c>
      <c r="K1687" s="1">
        <f>IF(E1687=0,SUMPRODUCT(($A$2:$A$4734=A1687)*($B$2:$B$4734=B1687)*($D$2:$D$4734=D1687)*($E$2:$E$4734=0)),0)</f>
        <v>0</v>
      </c>
      <c r="L1687" s="1" t="str">
        <f>IF(E1687=0,SUMPRODUCT(MIN($K$2:$K$4734+((($A$2:$A$4734&lt;&gt;A1687)+($E$2:$E$4734&lt;&gt;0))&gt;0)*1000000)),"")</f>
        <v/>
      </c>
      <c r="M1687" s="1">
        <f>IF(AND(E1687=0,COUNTIFS($A$2:A1687,A1687,$E$2:E1687,0)=1),L1687,0)</f>
        <v>0</v>
      </c>
    </row>
    <row r="1688" spans="1:13" ht="15" customHeight="1">
      <c r="A1688" s="1">
        <v>7329</v>
      </c>
      <c r="B1688" s="1" t="s">
        <v>9</v>
      </c>
      <c r="C1688" s="1" t="s">
        <v>1986</v>
      </c>
      <c r="D1688" s="2" t="s">
        <v>1987</v>
      </c>
      <c r="E1688" s="1">
        <v>1</v>
      </c>
      <c r="F1688" s="2" t="s">
        <v>1988</v>
      </c>
      <c r="G1688" s="1">
        <v>1</v>
      </c>
      <c r="H1688" s="1" t="str">
        <f t="shared" si="26"/>
        <v>k7329_1</v>
      </c>
      <c r="K1688" s="1">
        <f>IF(E1688=0,SUMPRODUCT(($A$2:$A$4734=A1688)*($B$2:$B$4734=B1688)*($D$2:$D$4734=D1688)*($E$2:$E$4734=0)),0)</f>
        <v>0</v>
      </c>
      <c r="L1688" s="1" t="str">
        <f>IF(E1688=0,SUMPRODUCT(MIN($K$2:$K$4734+((($A$2:$A$4734&lt;&gt;A1688)+($E$2:$E$4734&lt;&gt;0))&gt;0)*1000000)),"")</f>
        <v/>
      </c>
      <c r="M1688" s="1">
        <f>IF(AND(E1688=0,COUNTIFS($A$2:A1688,A1688,$E$2:E1688,0)=1),L1688,0)</f>
        <v>0</v>
      </c>
    </row>
    <row r="1689" spans="1:13" ht="15" customHeight="1">
      <c r="A1689" s="1">
        <v>7329</v>
      </c>
      <c r="B1689" s="1" t="s">
        <v>9</v>
      </c>
      <c r="C1689" s="1" t="s">
        <v>1986</v>
      </c>
      <c r="D1689" s="2" t="s">
        <v>1987</v>
      </c>
      <c r="E1689" s="1">
        <v>1</v>
      </c>
      <c r="F1689" s="2" t="s">
        <v>1989</v>
      </c>
      <c r="G1689" s="1">
        <v>2</v>
      </c>
      <c r="H1689" s="1" t="str">
        <f t="shared" si="26"/>
        <v>k7329_2</v>
      </c>
      <c r="K1689" s="1">
        <f>IF(E1689=0,SUMPRODUCT(($A$2:$A$4734=A1689)*($B$2:$B$4734=B1689)*($D$2:$D$4734=D1689)*($E$2:$E$4734=0)),0)</f>
        <v>0</v>
      </c>
      <c r="L1689" s="1" t="str">
        <f>IF(E1689=0,SUMPRODUCT(MIN($K$2:$K$4734+((($A$2:$A$4734&lt;&gt;A1689)+($E$2:$E$4734&lt;&gt;0))&gt;0)*1000000)),"")</f>
        <v/>
      </c>
      <c r="M1689" s="1">
        <f>IF(AND(E1689=0,COUNTIFS($A$2:A1689,A1689,$E$2:E1689,0)=1),L1689,0)</f>
        <v>0</v>
      </c>
    </row>
    <row r="1690" spans="1:13" ht="15" customHeight="1">
      <c r="A1690" s="1">
        <v>7329</v>
      </c>
      <c r="B1690" s="1" t="s">
        <v>9</v>
      </c>
      <c r="C1690" s="1" t="s">
        <v>1986</v>
      </c>
      <c r="D1690" s="2" t="s">
        <v>1987</v>
      </c>
      <c r="E1690" s="1">
        <v>1</v>
      </c>
      <c r="F1690" s="2" t="s">
        <v>1990</v>
      </c>
      <c r="G1690" s="1">
        <v>3</v>
      </c>
      <c r="H1690" s="1" t="str">
        <f t="shared" si="26"/>
        <v>k7329_3</v>
      </c>
      <c r="K1690" s="1">
        <f>IF(E1690=0,SUMPRODUCT(($A$2:$A$4734=A1690)*($B$2:$B$4734=B1690)*($D$2:$D$4734=D1690)*($E$2:$E$4734=0)),0)</f>
        <v>0</v>
      </c>
      <c r="L1690" s="1" t="str">
        <f>IF(E1690=0,SUMPRODUCT(MIN($K$2:$K$4734+((($A$2:$A$4734&lt;&gt;A1690)+($E$2:$E$4734&lt;&gt;0))&gt;0)*1000000)),"")</f>
        <v/>
      </c>
      <c r="M1690" s="1">
        <f>IF(AND(E1690=0,COUNTIFS($A$2:A1690,A1690,$E$2:E1690,0)=1),L1690,0)</f>
        <v>0</v>
      </c>
    </row>
    <row r="1691" spans="1:13" ht="15" customHeight="1">
      <c r="A1691" s="1">
        <v>7329</v>
      </c>
      <c r="B1691" s="1" t="s">
        <v>9</v>
      </c>
      <c r="C1691" s="1" t="s">
        <v>1986</v>
      </c>
      <c r="D1691" s="2" t="s">
        <v>1987</v>
      </c>
      <c r="E1691" s="1">
        <v>1</v>
      </c>
      <c r="F1691" s="2" t="s">
        <v>1991</v>
      </c>
      <c r="G1691" s="1">
        <v>4</v>
      </c>
      <c r="H1691" s="1" t="str">
        <f t="shared" si="26"/>
        <v>k7329_4</v>
      </c>
      <c r="K1691" s="1">
        <f>IF(E1691=0,SUMPRODUCT(($A$2:$A$4734=A1691)*($B$2:$B$4734=B1691)*($D$2:$D$4734=D1691)*($E$2:$E$4734=0)),0)</f>
        <v>0</v>
      </c>
      <c r="L1691" s="1" t="str">
        <f>IF(E1691=0,SUMPRODUCT(MIN($K$2:$K$4734+((($A$2:$A$4734&lt;&gt;A1691)+($E$2:$E$4734&lt;&gt;0))&gt;0)*1000000)),"")</f>
        <v/>
      </c>
      <c r="M1691" s="1">
        <f>IF(AND(E1691=0,COUNTIFS($A$2:A1691,A1691,$E$2:E1691,0)=1),L1691,0)</f>
        <v>0</v>
      </c>
    </row>
    <row r="1692" spans="1:13" ht="15" customHeight="1">
      <c r="A1692" s="1">
        <v>7329</v>
      </c>
      <c r="B1692" s="1" t="s">
        <v>9</v>
      </c>
      <c r="C1692" s="1" t="s">
        <v>1986</v>
      </c>
      <c r="D1692" s="2" t="s">
        <v>1987</v>
      </c>
      <c r="E1692" s="1">
        <v>1</v>
      </c>
      <c r="F1692" s="2" t="s">
        <v>1992</v>
      </c>
      <c r="G1692" s="1">
        <v>5</v>
      </c>
      <c r="H1692" s="1" t="str">
        <f t="shared" si="26"/>
        <v>k7329_5</v>
      </c>
      <c r="K1692" s="1">
        <f>IF(E1692=0,SUMPRODUCT(($A$2:$A$4734=A1692)*($B$2:$B$4734=B1692)*($D$2:$D$4734=D1692)*($E$2:$E$4734=0)),0)</f>
        <v>0</v>
      </c>
      <c r="L1692" s="1" t="str">
        <f>IF(E1692=0,SUMPRODUCT(MIN($K$2:$K$4734+((($A$2:$A$4734&lt;&gt;A1692)+($E$2:$E$4734&lt;&gt;0))&gt;0)*1000000)),"")</f>
        <v/>
      </c>
      <c r="M1692" s="1">
        <f>IF(AND(E1692=0,COUNTIFS($A$2:A1692,A1692,$E$2:E1692,0)=1),L1692,0)</f>
        <v>0</v>
      </c>
    </row>
    <row r="1693" spans="1:13" ht="15" customHeight="1">
      <c r="A1693" s="1">
        <v>7329</v>
      </c>
      <c r="B1693" s="1" t="s">
        <v>167</v>
      </c>
      <c r="C1693" s="1" t="s">
        <v>1986</v>
      </c>
      <c r="D1693" s="2" t="s">
        <v>1987</v>
      </c>
      <c r="E1693" s="1">
        <v>1</v>
      </c>
      <c r="F1693" s="2" t="s">
        <v>1990</v>
      </c>
      <c r="G1693" s="1">
        <v>1</v>
      </c>
      <c r="H1693" s="1" t="str">
        <f t="shared" si="26"/>
        <v>k7329_1</v>
      </c>
      <c r="K1693" s="1">
        <f>IF(E1693=0,SUMPRODUCT(($A$2:$A$4734=A1693)*($B$2:$B$4734=B1693)*($D$2:$D$4734=D1693)*($E$2:$E$4734=0)),0)</f>
        <v>0</v>
      </c>
      <c r="L1693" s="1" t="str">
        <f>IF(E1693=0,SUMPRODUCT(MIN($K$2:$K$4734+((($A$2:$A$4734&lt;&gt;A1693)+($E$2:$E$4734&lt;&gt;0))&gt;0)*1000000)),"")</f>
        <v/>
      </c>
      <c r="M1693" s="1">
        <f>IF(AND(E1693=0,COUNTIFS($A$2:A1693,A1693,$E$2:E1693,0)=1),L1693,0)</f>
        <v>0</v>
      </c>
    </row>
    <row r="1694" spans="1:13" ht="15" customHeight="1">
      <c r="A1694" s="1">
        <v>7329</v>
      </c>
      <c r="B1694" s="1" t="s">
        <v>167</v>
      </c>
      <c r="C1694" s="1" t="s">
        <v>1986</v>
      </c>
      <c r="D1694" s="2" t="s">
        <v>1987</v>
      </c>
      <c r="E1694" s="1">
        <v>1</v>
      </c>
      <c r="F1694" s="2" t="s">
        <v>1993</v>
      </c>
      <c r="G1694" s="1">
        <v>2</v>
      </c>
      <c r="H1694" s="1" t="str">
        <f t="shared" si="26"/>
        <v>k7329_2</v>
      </c>
      <c r="K1694" s="1">
        <f>IF(E1694=0,SUMPRODUCT(($A$2:$A$4734=A1694)*($B$2:$B$4734=B1694)*($D$2:$D$4734=D1694)*($E$2:$E$4734=0)),0)</f>
        <v>0</v>
      </c>
      <c r="L1694" s="1" t="str">
        <f>IF(E1694=0,SUMPRODUCT(MIN($K$2:$K$4734+((($A$2:$A$4734&lt;&gt;A1694)+($E$2:$E$4734&lt;&gt;0))&gt;0)*1000000)),"")</f>
        <v/>
      </c>
      <c r="M1694" s="1">
        <f>IF(AND(E1694=0,COUNTIFS($A$2:A1694,A1694,$E$2:E1694,0)=1),L1694,0)</f>
        <v>0</v>
      </c>
    </row>
    <row r="1695" spans="1:13" ht="15" customHeight="1">
      <c r="A1695" s="1">
        <v>7329</v>
      </c>
      <c r="B1695" s="1" t="s">
        <v>167</v>
      </c>
      <c r="C1695" s="1" t="s">
        <v>1986</v>
      </c>
      <c r="D1695" s="2" t="s">
        <v>1987</v>
      </c>
      <c r="E1695" s="1">
        <v>1</v>
      </c>
      <c r="F1695" s="2" t="s">
        <v>1992</v>
      </c>
      <c r="G1695" s="1">
        <v>3</v>
      </c>
      <c r="H1695" s="1" t="str">
        <f t="shared" si="26"/>
        <v>k7329_3</v>
      </c>
      <c r="K1695" s="1">
        <f>IF(E1695=0,SUMPRODUCT(($A$2:$A$4734=A1695)*($B$2:$B$4734=B1695)*($D$2:$D$4734=D1695)*($E$2:$E$4734=0)),0)</f>
        <v>0</v>
      </c>
      <c r="L1695" s="1" t="str">
        <f>IF(E1695=0,SUMPRODUCT(MIN($K$2:$K$4734+((($A$2:$A$4734&lt;&gt;A1695)+($E$2:$E$4734&lt;&gt;0))&gt;0)*1000000)),"")</f>
        <v/>
      </c>
      <c r="M1695" s="1">
        <f>IF(AND(E1695=0,COUNTIFS($A$2:A1695,A1695,$E$2:E1695,0)=1),L1695,0)</f>
        <v>0</v>
      </c>
    </row>
    <row r="1696" spans="1:13" ht="15" customHeight="1">
      <c r="A1696" s="1">
        <v>7329</v>
      </c>
      <c r="B1696" s="1" t="s">
        <v>167</v>
      </c>
      <c r="C1696" s="1" t="s">
        <v>1986</v>
      </c>
      <c r="D1696" s="2" t="s">
        <v>1987</v>
      </c>
      <c r="E1696" s="1">
        <v>1</v>
      </c>
      <c r="F1696" s="2" t="s">
        <v>1994</v>
      </c>
      <c r="G1696" s="1">
        <v>4</v>
      </c>
      <c r="H1696" s="1" t="str">
        <f t="shared" si="26"/>
        <v>k7329_4</v>
      </c>
      <c r="K1696" s="1">
        <f>IF(E1696=0,SUMPRODUCT(($A$2:$A$4734=A1696)*($B$2:$B$4734=B1696)*($D$2:$D$4734=D1696)*($E$2:$E$4734=0)),0)</f>
        <v>0</v>
      </c>
      <c r="L1696" s="1" t="str">
        <f>IF(E1696=0,SUMPRODUCT(MIN($K$2:$K$4734+((($A$2:$A$4734&lt;&gt;A1696)+($E$2:$E$4734&lt;&gt;0))&gt;0)*1000000)),"")</f>
        <v/>
      </c>
      <c r="M1696" s="1">
        <f>IF(AND(E1696=0,COUNTIFS($A$2:A1696,A1696,$E$2:E1696,0)=1),L1696,0)</f>
        <v>0</v>
      </c>
    </row>
    <row r="1697" spans="1:13" ht="15" customHeight="1">
      <c r="A1697" s="1">
        <v>7329</v>
      </c>
      <c r="B1697" s="1" t="s">
        <v>167</v>
      </c>
      <c r="C1697" s="1" t="s">
        <v>1986</v>
      </c>
      <c r="D1697" s="2" t="s">
        <v>1987</v>
      </c>
      <c r="E1697" s="1">
        <v>1</v>
      </c>
      <c r="F1697" s="2" t="s">
        <v>1995</v>
      </c>
      <c r="G1697" s="1">
        <v>5</v>
      </c>
      <c r="H1697" s="1" t="str">
        <f t="shared" si="26"/>
        <v>k7329_5</v>
      </c>
      <c r="K1697" s="1">
        <f>IF(E1697=0,SUMPRODUCT(($A$2:$A$4734=A1697)*($B$2:$B$4734=B1697)*($D$2:$D$4734=D1697)*($E$2:$E$4734=0)),0)</f>
        <v>0</v>
      </c>
      <c r="L1697" s="1" t="str">
        <f>IF(E1697=0,SUMPRODUCT(MIN($K$2:$K$4734+((($A$2:$A$4734&lt;&gt;A1697)+($E$2:$E$4734&lt;&gt;0))&gt;0)*1000000)),"")</f>
        <v/>
      </c>
      <c r="M1697" s="1">
        <f>IF(AND(E1697=0,COUNTIFS($A$2:A1697,A1697,$E$2:E1697,0)=1),L1697,0)</f>
        <v>0</v>
      </c>
    </row>
    <row r="1698" spans="1:13" ht="15" customHeight="1">
      <c r="A1698" s="1">
        <v>7329</v>
      </c>
      <c r="B1698" s="1" t="s">
        <v>1236</v>
      </c>
      <c r="C1698" s="1" t="s">
        <v>1986</v>
      </c>
      <c r="D1698" s="2" t="s">
        <v>1996</v>
      </c>
      <c r="E1698" s="1">
        <v>1</v>
      </c>
      <c r="F1698" s="2" t="s">
        <v>1997</v>
      </c>
      <c r="G1698" s="1">
        <v>1</v>
      </c>
      <c r="H1698" s="1" t="str">
        <f t="shared" si="26"/>
        <v>k7329_1</v>
      </c>
      <c r="K1698" s="1">
        <f>IF(E1698=0,SUMPRODUCT(($A$2:$A$4734=A1698)*($B$2:$B$4734=B1698)*($D$2:$D$4734=D1698)*($E$2:$E$4734=0)),0)</f>
        <v>0</v>
      </c>
      <c r="L1698" s="1" t="str">
        <f>IF(E1698=0,SUMPRODUCT(MIN($K$2:$K$4734+((($A$2:$A$4734&lt;&gt;A1698)+($E$2:$E$4734&lt;&gt;0))&gt;0)*1000000)),"")</f>
        <v/>
      </c>
      <c r="M1698" s="1">
        <f>IF(AND(E1698=0,COUNTIFS($A$2:A1698,A1698,$E$2:E1698,0)=1),L1698,0)</f>
        <v>0</v>
      </c>
    </row>
    <row r="1699" spans="1:13" ht="15" customHeight="1">
      <c r="A1699" s="1">
        <v>7329</v>
      </c>
      <c r="B1699" s="1" t="s">
        <v>1236</v>
      </c>
      <c r="C1699" s="1" t="s">
        <v>1986</v>
      </c>
      <c r="D1699" s="2" t="s">
        <v>1996</v>
      </c>
      <c r="E1699" s="1">
        <v>1</v>
      </c>
      <c r="F1699" s="2" t="s">
        <v>1998</v>
      </c>
      <c r="G1699" s="1">
        <v>2</v>
      </c>
      <c r="H1699" s="1" t="str">
        <f t="shared" ref="H1699:H1762" si="27">IF(OR(E1699&lt;&gt;1,G1699=""),"","k"&amp;A1699&amp;"_"&amp;G1699)</f>
        <v>k7329_2</v>
      </c>
      <c r="K1699" s="1">
        <f>IF(E1699=0,SUMPRODUCT(($A$2:$A$4734=A1699)*($B$2:$B$4734=B1699)*($D$2:$D$4734=D1699)*($E$2:$E$4734=0)),0)</f>
        <v>0</v>
      </c>
      <c r="L1699" s="1" t="str">
        <f>IF(E1699=0,SUMPRODUCT(MIN($K$2:$K$4734+((($A$2:$A$4734&lt;&gt;A1699)+($E$2:$E$4734&lt;&gt;0))&gt;0)*1000000)),"")</f>
        <v/>
      </c>
      <c r="M1699" s="1">
        <f>IF(AND(E1699=0,COUNTIFS($A$2:A1699,A1699,$E$2:E1699,0)=1),L1699,0)</f>
        <v>0</v>
      </c>
    </row>
    <row r="1700" spans="1:13" ht="15" customHeight="1">
      <c r="A1700" s="1">
        <v>7329</v>
      </c>
      <c r="B1700" s="1" t="s">
        <v>1236</v>
      </c>
      <c r="C1700" s="1" t="s">
        <v>1986</v>
      </c>
      <c r="D1700" s="2" t="s">
        <v>1996</v>
      </c>
      <c r="E1700" s="1">
        <v>1</v>
      </c>
      <c r="F1700" s="2" t="s">
        <v>1999</v>
      </c>
      <c r="G1700" s="1">
        <v>3</v>
      </c>
      <c r="H1700" s="1" t="str">
        <f t="shared" si="27"/>
        <v>k7329_3</v>
      </c>
      <c r="K1700" s="1">
        <f>IF(E1700=0,SUMPRODUCT(($A$2:$A$4734=A1700)*($B$2:$B$4734=B1700)*($D$2:$D$4734=D1700)*($E$2:$E$4734=0)),0)</f>
        <v>0</v>
      </c>
      <c r="L1700" s="1" t="str">
        <f>IF(E1700=0,SUMPRODUCT(MIN($K$2:$K$4734+((($A$2:$A$4734&lt;&gt;A1700)+($E$2:$E$4734&lt;&gt;0))&gt;0)*1000000)),"")</f>
        <v/>
      </c>
      <c r="M1700" s="1">
        <f>IF(AND(E1700=0,COUNTIFS($A$2:A1700,A1700,$E$2:E1700,0)=1),L1700,0)</f>
        <v>0</v>
      </c>
    </row>
    <row r="1701" spans="1:13" ht="15" customHeight="1">
      <c r="A1701" s="1">
        <v>7329</v>
      </c>
      <c r="B1701" s="1" t="s">
        <v>1236</v>
      </c>
      <c r="C1701" s="1" t="s">
        <v>1986</v>
      </c>
      <c r="D1701" s="2" t="s">
        <v>1996</v>
      </c>
      <c r="E1701" s="1">
        <v>1</v>
      </c>
      <c r="F1701" s="2" t="s">
        <v>2000</v>
      </c>
      <c r="G1701" s="1">
        <v>4</v>
      </c>
      <c r="H1701" s="1" t="str">
        <f t="shared" si="27"/>
        <v>k7329_4</v>
      </c>
      <c r="K1701" s="1">
        <f>IF(E1701=0,SUMPRODUCT(($A$2:$A$4734=A1701)*($B$2:$B$4734=B1701)*($D$2:$D$4734=D1701)*($E$2:$E$4734=0)),0)</f>
        <v>0</v>
      </c>
      <c r="L1701" s="1" t="str">
        <f>IF(E1701=0,SUMPRODUCT(MIN($K$2:$K$4734+((($A$2:$A$4734&lt;&gt;A1701)+($E$2:$E$4734&lt;&gt;0))&gt;0)*1000000)),"")</f>
        <v/>
      </c>
      <c r="M1701" s="1">
        <f>IF(AND(E1701=0,COUNTIFS($A$2:A1701,A1701,$E$2:E1701,0)=1),L1701,0)</f>
        <v>0</v>
      </c>
    </row>
    <row r="1702" spans="1:13" ht="15" customHeight="1">
      <c r="A1702" s="1">
        <v>7329</v>
      </c>
      <c r="B1702" s="1" t="s">
        <v>1236</v>
      </c>
      <c r="C1702" s="1" t="s">
        <v>1986</v>
      </c>
      <c r="D1702" s="2" t="s">
        <v>1996</v>
      </c>
      <c r="E1702" s="1">
        <v>1</v>
      </c>
      <c r="F1702" s="2" t="s">
        <v>2001</v>
      </c>
      <c r="G1702" s="1">
        <v>5</v>
      </c>
      <c r="H1702" s="1" t="str">
        <f t="shared" si="27"/>
        <v>k7329_5</v>
      </c>
      <c r="K1702" s="1">
        <f>IF(E1702=0,SUMPRODUCT(($A$2:$A$4734=A1702)*($B$2:$B$4734=B1702)*($D$2:$D$4734=D1702)*($E$2:$E$4734=0)),0)</f>
        <v>0</v>
      </c>
      <c r="L1702" s="1" t="str">
        <f>IF(E1702=0,SUMPRODUCT(MIN($K$2:$K$4734+((($A$2:$A$4734&lt;&gt;A1702)+($E$2:$E$4734&lt;&gt;0))&gt;0)*1000000)),"")</f>
        <v/>
      </c>
      <c r="M1702" s="1">
        <f>IF(AND(E1702=0,COUNTIFS($A$2:A1702,A1702,$E$2:E1702,0)=1),L1702,0)</f>
        <v>0</v>
      </c>
    </row>
    <row r="1703" spans="1:13" ht="15" customHeight="1">
      <c r="A1703" s="1">
        <v>7329</v>
      </c>
      <c r="B1703" s="1" t="s">
        <v>1236</v>
      </c>
      <c r="C1703" s="1" t="s">
        <v>1986</v>
      </c>
      <c r="D1703" s="2" t="s">
        <v>1996</v>
      </c>
      <c r="E1703" s="1">
        <v>1</v>
      </c>
      <c r="F1703" s="2" t="s">
        <v>2002</v>
      </c>
      <c r="G1703" s="1">
        <v>6</v>
      </c>
      <c r="H1703" s="1" t="str">
        <f t="shared" si="27"/>
        <v>k7329_6</v>
      </c>
      <c r="K1703" s="1">
        <f>IF(E1703=0,SUMPRODUCT(($A$2:$A$4734=A1703)*($B$2:$B$4734=B1703)*($D$2:$D$4734=D1703)*($E$2:$E$4734=0)),0)</f>
        <v>0</v>
      </c>
      <c r="L1703" s="1" t="str">
        <f>IF(E1703=0,SUMPRODUCT(MIN($K$2:$K$4734+((($A$2:$A$4734&lt;&gt;A1703)+($E$2:$E$4734&lt;&gt;0))&gt;0)*1000000)),"")</f>
        <v/>
      </c>
      <c r="M1703" s="1">
        <f>IF(AND(E1703=0,COUNTIFS($A$2:A1703,A1703,$E$2:E1703,0)=1),L1703,0)</f>
        <v>0</v>
      </c>
    </row>
    <row r="1704" spans="1:13" ht="15" customHeight="1">
      <c r="A1704" s="1">
        <v>7329</v>
      </c>
      <c r="B1704" s="1" t="s">
        <v>9</v>
      </c>
      <c r="C1704" s="1" t="s">
        <v>1986</v>
      </c>
      <c r="D1704" s="2" t="s">
        <v>2003</v>
      </c>
      <c r="E1704" s="1">
        <v>1</v>
      </c>
      <c r="F1704" s="2" t="s">
        <v>2004</v>
      </c>
      <c r="G1704" s="1">
        <v>1</v>
      </c>
      <c r="H1704" s="1" t="str">
        <f t="shared" si="27"/>
        <v>k7329_1</v>
      </c>
      <c r="K1704" s="1">
        <f>IF(E1704=0,SUMPRODUCT(($A$2:$A$4734=A1704)*($B$2:$B$4734=B1704)*($D$2:$D$4734=D1704)*($E$2:$E$4734=0)),0)</f>
        <v>0</v>
      </c>
      <c r="L1704" s="1" t="str">
        <f>IF(E1704=0,SUMPRODUCT(MIN($K$2:$K$4734+((($A$2:$A$4734&lt;&gt;A1704)+($E$2:$E$4734&lt;&gt;0))&gt;0)*1000000)),"")</f>
        <v/>
      </c>
      <c r="M1704" s="1">
        <f>IF(AND(E1704=0,COUNTIFS($A$2:A1704,A1704,$E$2:E1704,0)=1),L1704,0)</f>
        <v>0</v>
      </c>
    </row>
    <row r="1705" spans="1:13" ht="15" customHeight="1">
      <c r="A1705" s="1">
        <v>7329</v>
      </c>
      <c r="B1705" s="1" t="s">
        <v>9</v>
      </c>
      <c r="C1705" s="1" t="s">
        <v>1986</v>
      </c>
      <c r="D1705" s="2" t="s">
        <v>2003</v>
      </c>
      <c r="E1705" s="1">
        <v>1</v>
      </c>
      <c r="F1705" s="2" t="s">
        <v>2005</v>
      </c>
      <c r="G1705" s="1">
        <v>2</v>
      </c>
      <c r="H1705" s="1" t="str">
        <f t="shared" si="27"/>
        <v>k7329_2</v>
      </c>
      <c r="K1705" s="1">
        <f>IF(E1705=0,SUMPRODUCT(($A$2:$A$4734=A1705)*($B$2:$B$4734=B1705)*($D$2:$D$4734=D1705)*($E$2:$E$4734=0)),0)</f>
        <v>0</v>
      </c>
      <c r="L1705" s="1" t="str">
        <f>IF(E1705=0,SUMPRODUCT(MIN($K$2:$K$4734+((($A$2:$A$4734&lt;&gt;A1705)+($E$2:$E$4734&lt;&gt;0))&gt;0)*1000000)),"")</f>
        <v/>
      </c>
      <c r="M1705" s="1">
        <f>IF(AND(E1705=0,COUNTIFS($A$2:A1705,A1705,$E$2:E1705,0)=1),L1705,0)</f>
        <v>0</v>
      </c>
    </row>
    <row r="1706" spans="1:13" ht="15" customHeight="1">
      <c r="A1706" s="1">
        <v>7329</v>
      </c>
      <c r="B1706" s="1" t="s">
        <v>9</v>
      </c>
      <c r="C1706" s="1" t="s">
        <v>1986</v>
      </c>
      <c r="D1706" s="2" t="s">
        <v>2003</v>
      </c>
      <c r="E1706" s="1">
        <v>1</v>
      </c>
      <c r="F1706" s="2" t="s">
        <v>2006</v>
      </c>
      <c r="G1706" s="1">
        <v>3</v>
      </c>
      <c r="H1706" s="1" t="str">
        <f t="shared" si="27"/>
        <v>k7329_3</v>
      </c>
      <c r="K1706" s="1">
        <f>IF(E1706=0,SUMPRODUCT(($A$2:$A$4734=A1706)*($B$2:$B$4734=B1706)*($D$2:$D$4734=D1706)*($E$2:$E$4734=0)),0)</f>
        <v>0</v>
      </c>
      <c r="L1706" s="1" t="str">
        <f>IF(E1706=0,SUMPRODUCT(MIN($K$2:$K$4734+((($A$2:$A$4734&lt;&gt;A1706)+($E$2:$E$4734&lt;&gt;0))&gt;0)*1000000)),"")</f>
        <v/>
      </c>
      <c r="M1706" s="1">
        <f>IF(AND(E1706=0,COUNTIFS($A$2:A1706,A1706,$E$2:E1706,0)=1),L1706,0)</f>
        <v>0</v>
      </c>
    </row>
    <row r="1707" spans="1:13" ht="15" customHeight="1">
      <c r="A1707" s="1">
        <v>7329</v>
      </c>
      <c r="B1707" s="1" t="s">
        <v>9</v>
      </c>
      <c r="C1707" s="1" t="s">
        <v>1986</v>
      </c>
      <c r="D1707" s="2" t="s">
        <v>2003</v>
      </c>
      <c r="E1707" s="1">
        <v>1</v>
      </c>
      <c r="F1707" s="2" t="s">
        <v>2006</v>
      </c>
      <c r="G1707" s="1">
        <v>6</v>
      </c>
      <c r="H1707" s="1" t="str">
        <f t="shared" si="27"/>
        <v>k7329_6</v>
      </c>
      <c r="K1707" s="1">
        <f>IF(E1707=0,SUMPRODUCT(($A$2:$A$4734=A1707)*($B$2:$B$4734=B1707)*($D$2:$D$4734=D1707)*($E$2:$E$4734=0)),0)</f>
        <v>0</v>
      </c>
      <c r="L1707" s="1" t="str">
        <f>IF(E1707=0,SUMPRODUCT(MIN($K$2:$K$4734+((($A$2:$A$4734&lt;&gt;A1707)+($E$2:$E$4734&lt;&gt;0))&gt;0)*1000000)),"")</f>
        <v/>
      </c>
      <c r="M1707" s="1">
        <f>IF(AND(E1707=0,COUNTIFS($A$2:A1707,A1707,$E$2:E1707,0)=1),L1707,0)</f>
        <v>0</v>
      </c>
    </row>
    <row r="1708" spans="1:13" ht="15" customHeight="1">
      <c r="A1708" s="1">
        <v>7329</v>
      </c>
      <c r="B1708" s="1" t="s">
        <v>9</v>
      </c>
      <c r="C1708" s="1" t="s">
        <v>1986</v>
      </c>
      <c r="D1708" s="2" t="s">
        <v>2003</v>
      </c>
      <c r="E1708" s="1">
        <v>1</v>
      </c>
      <c r="F1708" s="2" t="s">
        <v>2006</v>
      </c>
      <c r="G1708" s="1">
        <v>4</v>
      </c>
      <c r="H1708" s="1" t="str">
        <f t="shared" si="27"/>
        <v>k7329_4</v>
      </c>
      <c r="K1708" s="1">
        <f>IF(E1708=0,SUMPRODUCT(($A$2:$A$4734=A1708)*($B$2:$B$4734=B1708)*($D$2:$D$4734=D1708)*($E$2:$E$4734=0)),0)</f>
        <v>0</v>
      </c>
      <c r="L1708" s="1" t="str">
        <f>IF(E1708=0,SUMPRODUCT(MIN($K$2:$K$4734+((($A$2:$A$4734&lt;&gt;A1708)+($E$2:$E$4734&lt;&gt;0))&gt;0)*1000000)),"")</f>
        <v/>
      </c>
      <c r="M1708" s="1">
        <f>IF(AND(E1708=0,COUNTIFS($A$2:A1708,A1708,$E$2:E1708,0)=1),L1708,0)</f>
        <v>0</v>
      </c>
    </row>
    <row r="1709" spans="1:13" ht="15" customHeight="1">
      <c r="A1709" s="1">
        <v>7329</v>
      </c>
      <c r="B1709" s="1" t="s">
        <v>9</v>
      </c>
      <c r="C1709" s="1" t="s">
        <v>1986</v>
      </c>
      <c r="D1709" s="2" t="s">
        <v>2003</v>
      </c>
      <c r="E1709" s="1">
        <v>1</v>
      </c>
      <c r="F1709" s="2" t="s">
        <v>2007</v>
      </c>
      <c r="G1709" s="1">
        <v>5</v>
      </c>
      <c r="H1709" s="1" t="str">
        <f t="shared" si="27"/>
        <v>k7329_5</v>
      </c>
      <c r="K1709" s="1">
        <f>IF(E1709=0,SUMPRODUCT(($A$2:$A$4734=A1709)*($B$2:$B$4734=B1709)*($D$2:$D$4734=D1709)*($E$2:$E$4734=0)),0)</f>
        <v>0</v>
      </c>
      <c r="L1709" s="1" t="str">
        <f>IF(E1709=0,SUMPRODUCT(MIN($K$2:$K$4734+((($A$2:$A$4734&lt;&gt;A1709)+($E$2:$E$4734&lt;&gt;0))&gt;0)*1000000)),"")</f>
        <v/>
      </c>
      <c r="M1709" s="1">
        <f>IF(AND(E1709=0,COUNTIFS($A$2:A1709,A1709,$E$2:E1709,0)=1),L1709,0)</f>
        <v>0</v>
      </c>
    </row>
    <row r="1710" spans="1:13" ht="15" customHeight="1">
      <c r="A1710" s="1">
        <v>7329</v>
      </c>
      <c r="B1710" s="1" t="s">
        <v>95</v>
      </c>
      <c r="C1710" s="1" t="s">
        <v>1986</v>
      </c>
      <c r="D1710" s="2" t="s">
        <v>2008</v>
      </c>
      <c r="E1710" s="1">
        <v>1</v>
      </c>
      <c r="F1710" s="2" t="s">
        <v>2009</v>
      </c>
      <c r="G1710" s="1">
        <v>1</v>
      </c>
      <c r="H1710" s="1" t="str">
        <f t="shared" si="27"/>
        <v>k7329_1</v>
      </c>
      <c r="K1710" s="1">
        <f>IF(E1710=0,SUMPRODUCT(($A$2:$A$4734=A1710)*($B$2:$B$4734=B1710)*($D$2:$D$4734=D1710)*($E$2:$E$4734=0)),0)</f>
        <v>0</v>
      </c>
      <c r="L1710" s="1" t="str">
        <f>IF(E1710=0,SUMPRODUCT(MIN($K$2:$K$4734+((($A$2:$A$4734&lt;&gt;A1710)+($E$2:$E$4734&lt;&gt;0))&gt;0)*1000000)),"")</f>
        <v/>
      </c>
      <c r="M1710" s="1">
        <f>IF(AND(E1710=0,COUNTIFS($A$2:A1710,A1710,$E$2:E1710,0)=1),L1710,0)</f>
        <v>0</v>
      </c>
    </row>
    <row r="1711" spans="1:13" ht="15" customHeight="1">
      <c r="A1711" s="1">
        <v>7329</v>
      </c>
      <c r="B1711" s="1" t="s">
        <v>95</v>
      </c>
      <c r="C1711" s="1" t="s">
        <v>1986</v>
      </c>
      <c r="D1711" s="2" t="s">
        <v>2008</v>
      </c>
      <c r="E1711" s="1">
        <v>1</v>
      </c>
      <c r="F1711" s="2" t="s">
        <v>2010</v>
      </c>
      <c r="G1711" s="1">
        <v>2</v>
      </c>
      <c r="H1711" s="1" t="str">
        <f t="shared" si="27"/>
        <v>k7329_2</v>
      </c>
      <c r="K1711" s="1">
        <f>IF(E1711=0,SUMPRODUCT(($A$2:$A$4734=A1711)*($B$2:$B$4734=B1711)*($D$2:$D$4734=D1711)*($E$2:$E$4734=0)),0)</f>
        <v>0</v>
      </c>
      <c r="L1711" s="1" t="str">
        <f>IF(E1711=0,SUMPRODUCT(MIN($K$2:$K$4734+((($A$2:$A$4734&lt;&gt;A1711)+($E$2:$E$4734&lt;&gt;0))&gt;0)*1000000)),"")</f>
        <v/>
      </c>
      <c r="M1711" s="1">
        <f>IF(AND(E1711=0,COUNTIFS($A$2:A1711,A1711,$E$2:E1711,0)=1),L1711,0)</f>
        <v>0</v>
      </c>
    </row>
    <row r="1712" spans="1:13" ht="15" customHeight="1">
      <c r="A1712" s="1">
        <v>7329</v>
      </c>
      <c r="B1712" s="1" t="s">
        <v>95</v>
      </c>
      <c r="C1712" s="1" t="s">
        <v>1986</v>
      </c>
      <c r="D1712" s="2" t="s">
        <v>2008</v>
      </c>
      <c r="E1712" s="1">
        <v>1</v>
      </c>
      <c r="F1712" s="2" t="s">
        <v>2011</v>
      </c>
      <c r="G1712" s="1">
        <v>3</v>
      </c>
      <c r="H1712" s="1" t="str">
        <f t="shared" si="27"/>
        <v>k7329_3</v>
      </c>
      <c r="K1712" s="1">
        <f>IF(E1712=0,SUMPRODUCT(($A$2:$A$4734=A1712)*($B$2:$B$4734=B1712)*($D$2:$D$4734=D1712)*($E$2:$E$4734=0)),0)</f>
        <v>0</v>
      </c>
      <c r="L1712" s="1" t="str">
        <f>IF(E1712=0,SUMPRODUCT(MIN($K$2:$K$4734+((($A$2:$A$4734&lt;&gt;A1712)+($E$2:$E$4734&lt;&gt;0))&gt;0)*1000000)),"")</f>
        <v/>
      </c>
      <c r="M1712" s="1">
        <f>IF(AND(E1712=0,COUNTIFS($A$2:A1712,A1712,$E$2:E1712,0)=1),L1712,0)</f>
        <v>0</v>
      </c>
    </row>
    <row r="1713" spans="1:13" ht="15" customHeight="1">
      <c r="A1713" s="1">
        <v>7329</v>
      </c>
      <c r="B1713" s="1" t="s">
        <v>95</v>
      </c>
      <c r="C1713" s="1" t="s">
        <v>1986</v>
      </c>
      <c r="D1713" s="2" t="s">
        <v>2008</v>
      </c>
      <c r="E1713" s="1">
        <v>1</v>
      </c>
      <c r="F1713" s="2" t="s">
        <v>2012</v>
      </c>
      <c r="G1713" s="1">
        <v>4</v>
      </c>
      <c r="H1713" s="1" t="str">
        <f t="shared" si="27"/>
        <v>k7329_4</v>
      </c>
      <c r="K1713" s="1">
        <f>IF(E1713=0,SUMPRODUCT(($A$2:$A$4734=A1713)*($B$2:$B$4734=B1713)*($D$2:$D$4734=D1713)*($E$2:$E$4734=0)),0)</f>
        <v>0</v>
      </c>
      <c r="L1713" s="1" t="str">
        <f>IF(E1713=0,SUMPRODUCT(MIN($K$2:$K$4734+((($A$2:$A$4734&lt;&gt;A1713)+($E$2:$E$4734&lt;&gt;0))&gt;0)*1000000)),"")</f>
        <v/>
      </c>
      <c r="M1713" s="1">
        <f>IF(AND(E1713=0,COUNTIFS($A$2:A1713,A1713,$E$2:E1713,0)=1),L1713,0)</f>
        <v>0</v>
      </c>
    </row>
    <row r="1714" spans="1:13" ht="15" customHeight="1">
      <c r="A1714" s="1">
        <v>7329</v>
      </c>
      <c r="B1714" s="1" t="s">
        <v>95</v>
      </c>
      <c r="C1714" s="1" t="s">
        <v>1986</v>
      </c>
      <c r="D1714" s="2" t="s">
        <v>2008</v>
      </c>
      <c r="E1714" s="1">
        <v>1</v>
      </c>
      <c r="F1714" s="2" t="s">
        <v>2013</v>
      </c>
      <c r="G1714" s="1">
        <v>5</v>
      </c>
      <c r="H1714" s="1" t="str">
        <f t="shared" si="27"/>
        <v>k7329_5</v>
      </c>
      <c r="K1714" s="1">
        <f>IF(E1714=0,SUMPRODUCT(($A$2:$A$4734=A1714)*($B$2:$B$4734=B1714)*($D$2:$D$4734=D1714)*($E$2:$E$4734=0)),0)</f>
        <v>0</v>
      </c>
      <c r="L1714" s="1" t="str">
        <f>IF(E1714=0,SUMPRODUCT(MIN($K$2:$K$4734+((($A$2:$A$4734&lt;&gt;A1714)+($E$2:$E$4734&lt;&gt;0))&gt;0)*1000000)),"")</f>
        <v/>
      </c>
      <c r="M1714" s="1">
        <f>IF(AND(E1714=0,COUNTIFS($A$2:A1714,A1714,$E$2:E1714,0)=1),L1714,0)</f>
        <v>0</v>
      </c>
    </row>
    <row r="1715" spans="1:13" ht="15" customHeight="1">
      <c r="A1715" s="1">
        <v>7329</v>
      </c>
      <c r="B1715" s="1" t="s">
        <v>95</v>
      </c>
      <c r="C1715" s="1" t="s">
        <v>1986</v>
      </c>
      <c r="D1715" s="2" t="s">
        <v>2008</v>
      </c>
      <c r="E1715" s="1">
        <v>1</v>
      </c>
      <c r="F1715" s="2" t="s">
        <v>2014</v>
      </c>
      <c r="G1715" s="1">
        <v>6</v>
      </c>
      <c r="H1715" s="1" t="str">
        <f t="shared" si="27"/>
        <v>k7329_6</v>
      </c>
      <c r="K1715" s="1">
        <f>IF(E1715=0,SUMPRODUCT(($A$2:$A$4734=A1715)*($B$2:$B$4734=B1715)*($D$2:$D$4734=D1715)*($E$2:$E$4734=0)),0)</f>
        <v>0</v>
      </c>
      <c r="L1715" s="1" t="str">
        <f>IF(E1715=0,SUMPRODUCT(MIN($K$2:$K$4734+((($A$2:$A$4734&lt;&gt;A1715)+($E$2:$E$4734&lt;&gt;0))&gt;0)*1000000)),"")</f>
        <v/>
      </c>
      <c r="M1715" s="1">
        <f>IF(AND(E1715=0,COUNTIFS($A$2:A1715,A1715,$E$2:E1715,0)=1),L1715,0)</f>
        <v>0</v>
      </c>
    </row>
    <row r="1716" spans="1:13" ht="15" customHeight="1">
      <c r="A1716" s="1">
        <v>7330</v>
      </c>
      <c r="B1716" s="1" t="s">
        <v>95</v>
      </c>
      <c r="C1716" s="2" t="s">
        <v>2015</v>
      </c>
      <c r="D1716" s="2" t="s">
        <v>2016</v>
      </c>
      <c r="E1716" s="1">
        <v>1</v>
      </c>
      <c r="F1716" s="2" t="s">
        <v>2017</v>
      </c>
      <c r="G1716" s="1">
        <v>1</v>
      </c>
      <c r="H1716" s="1" t="str">
        <f t="shared" si="27"/>
        <v>k7330_1</v>
      </c>
      <c r="K1716" s="1">
        <f>IF(E1716=0,SUMPRODUCT(($A$2:$A$4734=A1716)*($B$2:$B$4734=B1716)*($D$2:$D$4734=D1716)*($E$2:$E$4734=0)),0)</f>
        <v>0</v>
      </c>
      <c r="L1716" s="1" t="str">
        <f>IF(E1716=0,SUMPRODUCT(MIN($K$2:$K$4734+((($A$2:$A$4734&lt;&gt;A1716)+($E$2:$E$4734&lt;&gt;0))&gt;0)*1000000)),"")</f>
        <v/>
      </c>
      <c r="M1716" s="1">
        <f>IF(AND(E1716=0,COUNTIFS($A$2:A1716,A1716,$E$2:E1716,0)=1),L1716,0)</f>
        <v>0</v>
      </c>
    </row>
    <row r="1717" spans="1:13" ht="15" customHeight="1">
      <c r="A1717" s="1">
        <v>7330</v>
      </c>
      <c r="B1717" s="1" t="s">
        <v>95</v>
      </c>
      <c r="C1717" s="2" t="s">
        <v>2015</v>
      </c>
      <c r="D1717" s="2" t="s">
        <v>2016</v>
      </c>
      <c r="E1717" s="1">
        <v>1</v>
      </c>
      <c r="F1717" s="2" t="s">
        <v>2018</v>
      </c>
      <c r="G1717" s="1">
        <v>2</v>
      </c>
      <c r="H1717" s="1" t="str">
        <f t="shared" si="27"/>
        <v>k7330_2</v>
      </c>
      <c r="K1717" s="1">
        <f>IF(E1717=0,SUMPRODUCT(($A$2:$A$4734=A1717)*($B$2:$B$4734=B1717)*($D$2:$D$4734=D1717)*($E$2:$E$4734=0)),0)</f>
        <v>0</v>
      </c>
      <c r="L1717" s="1" t="str">
        <f>IF(E1717=0,SUMPRODUCT(MIN($K$2:$K$4734+((($A$2:$A$4734&lt;&gt;A1717)+($E$2:$E$4734&lt;&gt;0))&gt;0)*1000000)),"")</f>
        <v/>
      </c>
      <c r="M1717" s="1">
        <f>IF(AND(E1717=0,COUNTIFS($A$2:A1717,A1717,$E$2:E1717,0)=1),L1717,0)</f>
        <v>0</v>
      </c>
    </row>
    <row r="1718" spans="1:13" ht="15" customHeight="1">
      <c r="A1718" s="1">
        <v>7330</v>
      </c>
      <c r="B1718" s="1" t="s">
        <v>95</v>
      </c>
      <c r="C1718" s="2" t="s">
        <v>2015</v>
      </c>
      <c r="D1718" s="2" t="s">
        <v>2016</v>
      </c>
      <c r="E1718" s="1">
        <v>1</v>
      </c>
      <c r="F1718" s="2" t="s">
        <v>2019</v>
      </c>
      <c r="G1718" s="1">
        <v>3</v>
      </c>
      <c r="H1718" s="1" t="str">
        <f t="shared" si="27"/>
        <v>k7330_3</v>
      </c>
      <c r="K1718" s="1">
        <f>IF(E1718=0,SUMPRODUCT(($A$2:$A$4734=A1718)*($B$2:$B$4734=B1718)*($D$2:$D$4734=D1718)*($E$2:$E$4734=0)),0)</f>
        <v>0</v>
      </c>
      <c r="L1718" s="1" t="str">
        <f>IF(E1718=0,SUMPRODUCT(MIN($K$2:$K$4734+((($A$2:$A$4734&lt;&gt;A1718)+($E$2:$E$4734&lt;&gt;0))&gt;0)*1000000)),"")</f>
        <v/>
      </c>
      <c r="M1718" s="1">
        <f>IF(AND(E1718=0,COUNTIFS($A$2:A1718,A1718,$E$2:E1718,0)=1),L1718,0)</f>
        <v>0</v>
      </c>
    </row>
    <row r="1719" spans="1:13" ht="15" customHeight="1">
      <c r="A1719" s="1">
        <v>7330</v>
      </c>
      <c r="B1719" s="1" t="s">
        <v>95</v>
      </c>
      <c r="C1719" s="2" t="s">
        <v>2015</v>
      </c>
      <c r="D1719" s="2" t="s">
        <v>2016</v>
      </c>
      <c r="E1719" s="1">
        <v>1</v>
      </c>
      <c r="F1719" s="2" t="s">
        <v>2020</v>
      </c>
      <c r="G1719" s="1">
        <v>4</v>
      </c>
      <c r="H1719" s="1" t="str">
        <f t="shared" si="27"/>
        <v>k7330_4</v>
      </c>
      <c r="K1719" s="1">
        <f>IF(E1719=0,SUMPRODUCT(($A$2:$A$4734=A1719)*($B$2:$B$4734=B1719)*($D$2:$D$4734=D1719)*($E$2:$E$4734=0)),0)</f>
        <v>0</v>
      </c>
      <c r="L1719" s="1" t="str">
        <f>IF(E1719=0,SUMPRODUCT(MIN($K$2:$K$4734+((($A$2:$A$4734&lt;&gt;A1719)+($E$2:$E$4734&lt;&gt;0))&gt;0)*1000000)),"")</f>
        <v/>
      </c>
      <c r="M1719" s="1">
        <f>IF(AND(E1719=0,COUNTIFS($A$2:A1719,A1719,$E$2:E1719,0)=1),L1719,0)</f>
        <v>0</v>
      </c>
    </row>
    <row r="1720" spans="1:13" ht="15" customHeight="1">
      <c r="A1720" s="1">
        <v>7330</v>
      </c>
      <c r="B1720" s="1" t="s">
        <v>95</v>
      </c>
      <c r="C1720" s="2" t="s">
        <v>2015</v>
      </c>
      <c r="D1720" s="2" t="s">
        <v>2016</v>
      </c>
      <c r="E1720" s="1">
        <v>1</v>
      </c>
      <c r="F1720" s="2" t="s">
        <v>2021</v>
      </c>
      <c r="G1720" s="1">
        <v>5</v>
      </c>
      <c r="H1720" s="1" t="str">
        <f t="shared" si="27"/>
        <v>k7330_5</v>
      </c>
      <c r="K1720" s="1">
        <f>IF(E1720=0,SUMPRODUCT(($A$2:$A$4734=A1720)*($B$2:$B$4734=B1720)*($D$2:$D$4734=D1720)*($E$2:$E$4734=0)),0)</f>
        <v>0</v>
      </c>
      <c r="L1720" s="1" t="str">
        <f>IF(E1720=0,SUMPRODUCT(MIN($K$2:$K$4734+((($A$2:$A$4734&lt;&gt;A1720)+($E$2:$E$4734&lt;&gt;0))&gt;0)*1000000)),"")</f>
        <v/>
      </c>
      <c r="M1720" s="1">
        <f>IF(AND(E1720=0,COUNTIFS($A$2:A1720,A1720,$E$2:E1720,0)=1),L1720,0)</f>
        <v>0</v>
      </c>
    </row>
    <row r="1721" spans="1:13" ht="15" customHeight="1">
      <c r="A1721" s="1">
        <v>7330</v>
      </c>
      <c r="B1721" s="1" t="s">
        <v>95</v>
      </c>
      <c r="C1721" s="2" t="s">
        <v>2015</v>
      </c>
      <c r="D1721" s="2" t="s">
        <v>2016</v>
      </c>
      <c r="E1721" s="1">
        <v>1</v>
      </c>
      <c r="F1721" s="2" t="s">
        <v>2022</v>
      </c>
      <c r="G1721" s="1">
        <v>6</v>
      </c>
      <c r="H1721" s="1" t="str">
        <f t="shared" si="27"/>
        <v>k7330_6</v>
      </c>
      <c r="K1721" s="1">
        <f>IF(E1721=0,SUMPRODUCT(($A$2:$A$4734=A1721)*($B$2:$B$4734=B1721)*($D$2:$D$4734=D1721)*($E$2:$E$4734=0)),0)</f>
        <v>0</v>
      </c>
      <c r="L1721" s="1" t="str">
        <f>IF(E1721=0,SUMPRODUCT(MIN($K$2:$K$4734+((($A$2:$A$4734&lt;&gt;A1721)+($E$2:$E$4734&lt;&gt;0))&gt;0)*1000000)),"")</f>
        <v/>
      </c>
      <c r="M1721" s="1">
        <f>IF(AND(E1721=0,COUNTIFS($A$2:A1721,A1721,$E$2:E1721,0)=1),L1721,0)</f>
        <v>0</v>
      </c>
    </row>
    <row r="1722" spans="1:13" ht="15" customHeight="1">
      <c r="A1722" s="1">
        <v>7331</v>
      </c>
      <c r="B1722" s="1" t="s">
        <v>9</v>
      </c>
      <c r="C1722" s="2" t="s">
        <v>2023</v>
      </c>
      <c r="D1722" s="2" t="s">
        <v>2024</v>
      </c>
      <c r="E1722" s="1">
        <v>1</v>
      </c>
      <c r="F1722" s="2" t="s">
        <v>2025</v>
      </c>
      <c r="G1722" s="1">
        <v>1</v>
      </c>
      <c r="H1722" s="1" t="str">
        <f t="shared" si="27"/>
        <v>k7331_1</v>
      </c>
      <c r="K1722" s="1">
        <f>IF(E1722=0,SUMPRODUCT(($A$2:$A$4734=A1722)*($B$2:$B$4734=B1722)*($D$2:$D$4734=D1722)*($E$2:$E$4734=0)),0)</f>
        <v>0</v>
      </c>
      <c r="L1722" s="1" t="str">
        <f>IF(E1722=0,SUMPRODUCT(MIN($K$2:$K$4734+((($A$2:$A$4734&lt;&gt;A1722)+($E$2:$E$4734&lt;&gt;0))&gt;0)*1000000)),"")</f>
        <v/>
      </c>
      <c r="M1722" s="1">
        <f>IF(AND(E1722=0,COUNTIFS($A$2:A1722,A1722,$E$2:E1722,0)=1),L1722,0)</f>
        <v>0</v>
      </c>
    </row>
    <row r="1723" spans="1:13" ht="15" customHeight="1">
      <c r="A1723" s="1">
        <v>7331</v>
      </c>
      <c r="B1723" s="1" t="s">
        <v>9</v>
      </c>
      <c r="C1723" s="2" t="s">
        <v>2023</v>
      </c>
      <c r="D1723" s="2" t="s">
        <v>2024</v>
      </c>
      <c r="E1723" s="1">
        <v>1</v>
      </c>
      <c r="F1723" s="2" t="s">
        <v>2026</v>
      </c>
      <c r="G1723" s="1">
        <v>2</v>
      </c>
      <c r="H1723" s="1" t="str">
        <f t="shared" si="27"/>
        <v>k7331_2</v>
      </c>
      <c r="K1723" s="1">
        <f>IF(E1723=0,SUMPRODUCT(($A$2:$A$4734=A1723)*($B$2:$B$4734=B1723)*($D$2:$D$4734=D1723)*($E$2:$E$4734=0)),0)</f>
        <v>0</v>
      </c>
      <c r="L1723" s="1" t="str">
        <f>IF(E1723=0,SUMPRODUCT(MIN($K$2:$K$4734+((($A$2:$A$4734&lt;&gt;A1723)+($E$2:$E$4734&lt;&gt;0))&gt;0)*1000000)),"")</f>
        <v/>
      </c>
      <c r="M1723" s="1">
        <f>IF(AND(E1723=0,COUNTIFS($A$2:A1723,A1723,$E$2:E1723,0)=1),L1723,0)</f>
        <v>0</v>
      </c>
    </row>
    <row r="1724" spans="1:13" ht="15" customHeight="1">
      <c r="A1724" s="1">
        <v>7331</v>
      </c>
      <c r="B1724" s="1" t="s">
        <v>9</v>
      </c>
      <c r="C1724" s="2" t="s">
        <v>2023</v>
      </c>
      <c r="D1724" s="2" t="s">
        <v>2024</v>
      </c>
      <c r="E1724" s="1">
        <v>1</v>
      </c>
      <c r="F1724" s="2" t="s">
        <v>2027</v>
      </c>
      <c r="G1724" s="1">
        <v>3</v>
      </c>
      <c r="H1724" s="1" t="str">
        <f t="shared" si="27"/>
        <v>k7331_3</v>
      </c>
      <c r="K1724" s="1">
        <f>IF(E1724=0,SUMPRODUCT(($A$2:$A$4734=A1724)*($B$2:$B$4734=B1724)*($D$2:$D$4734=D1724)*($E$2:$E$4734=0)),0)</f>
        <v>0</v>
      </c>
      <c r="L1724" s="1" t="str">
        <f>IF(E1724=0,SUMPRODUCT(MIN($K$2:$K$4734+((($A$2:$A$4734&lt;&gt;A1724)+($E$2:$E$4734&lt;&gt;0))&gt;0)*1000000)),"")</f>
        <v/>
      </c>
      <c r="M1724" s="1">
        <f>IF(AND(E1724=0,COUNTIFS($A$2:A1724,A1724,$E$2:E1724,0)=1),L1724,0)</f>
        <v>0</v>
      </c>
    </row>
    <row r="1725" spans="1:13" ht="15" customHeight="1">
      <c r="A1725" s="1">
        <v>7331</v>
      </c>
      <c r="B1725" s="1" t="s">
        <v>9</v>
      </c>
      <c r="C1725" s="2" t="s">
        <v>2023</v>
      </c>
      <c r="D1725" s="2" t="s">
        <v>2024</v>
      </c>
      <c r="E1725" s="1">
        <v>1</v>
      </c>
      <c r="F1725" s="2" t="s">
        <v>2028</v>
      </c>
      <c r="G1725" s="1">
        <v>4</v>
      </c>
      <c r="H1725" s="1" t="str">
        <f t="shared" si="27"/>
        <v>k7331_4</v>
      </c>
      <c r="K1725" s="1">
        <f>IF(E1725=0,SUMPRODUCT(($A$2:$A$4734=A1725)*($B$2:$B$4734=B1725)*($D$2:$D$4734=D1725)*($E$2:$E$4734=0)),0)</f>
        <v>0</v>
      </c>
      <c r="L1725" s="1" t="str">
        <f>IF(E1725=0,SUMPRODUCT(MIN($K$2:$K$4734+((($A$2:$A$4734&lt;&gt;A1725)+($E$2:$E$4734&lt;&gt;0))&gt;0)*1000000)),"")</f>
        <v/>
      </c>
      <c r="M1725" s="1">
        <f>IF(AND(E1725=0,COUNTIFS($A$2:A1725,A1725,$E$2:E1725,0)=1),L1725,0)</f>
        <v>0</v>
      </c>
    </row>
    <row r="1726" spans="1:13" ht="15" customHeight="1">
      <c r="A1726" s="1">
        <v>7331</v>
      </c>
      <c r="B1726" s="1" t="s">
        <v>9</v>
      </c>
      <c r="C1726" s="2" t="s">
        <v>2023</v>
      </c>
      <c r="D1726" s="2" t="s">
        <v>2024</v>
      </c>
      <c r="E1726" s="1">
        <v>1</v>
      </c>
      <c r="F1726" s="2" t="s">
        <v>2029</v>
      </c>
      <c r="G1726" s="1">
        <v>5</v>
      </c>
      <c r="H1726" s="1" t="str">
        <f t="shared" si="27"/>
        <v>k7331_5</v>
      </c>
      <c r="K1726" s="1">
        <f>IF(E1726=0,SUMPRODUCT(($A$2:$A$4734=A1726)*($B$2:$B$4734=B1726)*($D$2:$D$4734=D1726)*($E$2:$E$4734=0)),0)</f>
        <v>0</v>
      </c>
      <c r="L1726" s="1" t="str">
        <f>IF(E1726=0,SUMPRODUCT(MIN($K$2:$K$4734+((($A$2:$A$4734&lt;&gt;A1726)+($E$2:$E$4734&lt;&gt;0))&gt;0)*1000000)),"")</f>
        <v/>
      </c>
      <c r="M1726" s="1">
        <f>IF(AND(E1726=0,COUNTIFS($A$2:A1726,A1726,$E$2:E1726,0)=1),L1726,0)</f>
        <v>0</v>
      </c>
    </row>
    <row r="1727" spans="1:13" ht="15" customHeight="1">
      <c r="A1727" s="1">
        <v>7331</v>
      </c>
      <c r="B1727" s="1" t="s">
        <v>9</v>
      </c>
      <c r="C1727" s="2" t="s">
        <v>2023</v>
      </c>
      <c r="D1727" s="2" t="s">
        <v>2024</v>
      </c>
      <c r="E1727" s="1">
        <v>1</v>
      </c>
      <c r="F1727" s="2" t="s">
        <v>2030</v>
      </c>
      <c r="G1727" s="1">
        <v>6</v>
      </c>
      <c r="H1727" s="1" t="str">
        <f t="shared" si="27"/>
        <v>k7331_6</v>
      </c>
      <c r="K1727" s="1">
        <f>IF(E1727=0,SUMPRODUCT(($A$2:$A$4734=A1727)*($B$2:$B$4734=B1727)*($D$2:$D$4734=D1727)*($E$2:$E$4734=0)),0)</f>
        <v>0</v>
      </c>
      <c r="L1727" s="1" t="str">
        <f>IF(E1727=0,SUMPRODUCT(MIN($K$2:$K$4734+((($A$2:$A$4734&lt;&gt;A1727)+($E$2:$E$4734&lt;&gt;0))&gt;0)*1000000)),"")</f>
        <v/>
      </c>
      <c r="M1727" s="1">
        <f>IF(AND(E1727=0,COUNTIFS($A$2:A1727,A1727,$E$2:E1727,0)=1),L1727,0)</f>
        <v>0</v>
      </c>
    </row>
    <row r="1728" spans="1:13" ht="15" customHeight="1">
      <c r="A1728" s="1">
        <v>7331</v>
      </c>
      <c r="B1728" s="1" t="s">
        <v>16</v>
      </c>
      <c r="C1728" s="2" t="s">
        <v>2023</v>
      </c>
      <c r="D1728" s="2" t="s">
        <v>2024</v>
      </c>
      <c r="E1728" s="1">
        <v>1</v>
      </c>
      <c r="F1728" s="2" t="s">
        <v>2031</v>
      </c>
      <c r="G1728" s="1">
        <v>1</v>
      </c>
      <c r="H1728" s="1" t="str">
        <f t="shared" si="27"/>
        <v>k7331_1</v>
      </c>
      <c r="K1728" s="1">
        <f>IF(E1728=0,SUMPRODUCT(($A$2:$A$4734=A1728)*($B$2:$B$4734=B1728)*($D$2:$D$4734=D1728)*($E$2:$E$4734=0)),0)</f>
        <v>0</v>
      </c>
      <c r="L1728" s="1" t="str">
        <f>IF(E1728=0,SUMPRODUCT(MIN($K$2:$K$4734+((($A$2:$A$4734&lt;&gt;A1728)+($E$2:$E$4734&lt;&gt;0))&gt;0)*1000000)),"")</f>
        <v/>
      </c>
      <c r="M1728" s="1">
        <f>IF(AND(E1728=0,COUNTIFS($A$2:A1728,A1728,$E$2:E1728,0)=1),L1728,0)</f>
        <v>0</v>
      </c>
    </row>
    <row r="1729" spans="1:13" ht="15" customHeight="1">
      <c r="A1729" s="1">
        <v>7331</v>
      </c>
      <c r="B1729" s="1" t="s">
        <v>16</v>
      </c>
      <c r="C1729" s="2" t="s">
        <v>2023</v>
      </c>
      <c r="D1729" s="2" t="s">
        <v>2024</v>
      </c>
      <c r="E1729" s="1">
        <v>1</v>
      </c>
      <c r="F1729" s="2" t="s">
        <v>2032</v>
      </c>
      <c r="G1729" s="1">
        <v>2</v>
      </c>
      <c r="H1729" s="1" t="str">
        <f t="shared" si="27"/>
        <v>k7331_2</v>
      </c>
      <c r="K1729" s="1">
        <f>IF(E1729=0,SUMPRODUCT(($A$2:$A$4734=A1729)*($B$2:$B$4734=B1729)*($D$2:$D$4734=D1729)*($E$2:$E$4734=0)),0)</f>
        <v>0</v>
      </c>
      <c r="L1729" s="1" t="str">
        <f>IF(E1729=0,SUMPRODUCT(MIN($K$2:$K$4734+((($A$2:$A$4734&lt;&gt;A1729)+($E$2:$E$4734&lt;&gt;0))&gt;0)*1000000)),"")</f>
        <v/>
      </c>
      <c r="M1729" s="1">
        <f>IF(AND(E1729=0,COUNTIFS($A$2:A1729,A1729,$E$2:E1729,0)=1),L1729,0)</f>
        <v>0</v>
      </c>
    </row>
    <row r="1730" spans="1:13" ht="15" customHeight="1">
      <c r="A1730" s="1">
        <v>7331</v>
      </c>
      <c r="B1730" s="1" t="s">
        <v>16</v>
      </c>
      <c r="C1730" s="2" t="s">
        <v>2023</v>
      </c>
      <c r="D1730" s="2" t="s">
        <v>2024</v>
      </c>
      <c r="E1730" s="1">
        <v>1</v>
      </c>
      <c r="F1730" s="2" t="s">
        <v>2032</v>
      </c>
      <c r="G1730" s="1">
        <v>3</v>
      </c>
      <c r="H1730" s="1" t="str">
        <f t="shared" si="27"/>
        <v>k7331_3</v>
      </c>
      <c r="K1730" s="1">
        <f>IF(E1730=0,SUMPRODUCT(($A$2:$A$4734=A1730)*($B$2:$B$4734=B1730)*($D$2:$D$4734=D1730)*($E$2:$E$4734=0)),0)</f>
        <v>0</v>
      </c>
      <c r="L1730" s="1" t="str">
        <f>IF(E1730=0,SUMPRODUCT(MIN($K$2:$K$4734+((($A$2:$A$4734&lt;&gt;A1730)+($E$2:$E$4734&lt;&gt;0))&gt;0)*1000000)),"")</f>
        <v/>
      </c>
      <c r="M1730" s="1">
        <f>IF(AND(E1730=0,COUNTIFS($A$2:A1730,A1730,$E$2:E1730,0)=1),L1730,0)</f>
        <v>0</v>
      </c>
    </row>
    <row r="1731" spans="1:13" ht="15" customHeight="1">
      <c r="A1731" s="1">
        <v>7331</v>
      </c>
      <c r="B1731" s="1" t="s">
        <v>16</v>
      </c>
      <c r="C1731" s="2" t="s">
        <v>2023</v>
      </c>
      <c r="D1731" s="2" t="s">
        <v>2024</v>
      </c>
      <c r="E1731" s="1">
        <v>1</v>
      </c>
      <c r="F1731" s="2" t="s">
        <v>2030</v>
      </c>
      <c r="G1731" s="1">
        <v>4</v>
      </c>
      <c r="H1731" s="1" t="str">
        <f t="shared" si="27"/>
        <v>k7331_4</v>
      </c>
      <c r="K1731" s="1">
        <f>IF(E1731=0,SUMPRODUCT(($A$2:$A$4734=A1731)*($B$2:$B$4734=B1731)*($D$2:$D$4734=D1731)*($E$2:$E$4734=0)),0)</f>
        <v>0</v>
      </c>
      <c r="L1731" s="1" t="str">
        <f>IF(E1731=0,SUMPRODUCT(MIN($K$2:$K$4734+((($A$2:$A$4734&lt;&gt;A1731)+($E$2:$E$4734&lt;&gt;0))&gt;0)*1000000)),"")</f>
        <v/>
      </c>
      <c r="M1731" s="1">
        <f>IF(AND(E1731=0,COUNTIFS($A$2:A1731,A1731,$E$2:E1731,0)=1),L1731,0)</f>
        <v>0</v>
      </c>
    </row>
    <row r="1732" spans="1:13" ht="15" customHeight="1">
      <c r="A1732" s="1">
        <v>7331</v>
      </c>
      <c r="B1732" s="1" t="s">
        <v>16</v>
      </c>
      <c r="C1732" s="2" t="s">
        <v>2023</v>
      </c>
      <c r="D1732" s="2" t="s">
        <v>2024</v>
      </c>
      <c r="E1732" s="1">
        <v>1</v>
      </c>
      <c r="F1732" s="2" t="s">
        <v>2026</v>
      </c>
      <c r="G1732" s="1">
        <v>5</v>
      </c>
      <c r="H1732" s="1" t="str">
        <f t="shared" si="27"/>
        <v>k7331_5</v>
      </c>
      <c r="K1732" s="1">
        <f>IF(E1732=0,SUMPRODUCT(($A$2:$A$4734=A1732)*($B$2:$B$4734=B1732)*($D$2:$D$4734=D1732)*($E$2:$E$4734=0)),0)</f>
        <v>0</v>
      </c>
      <c r="L1732" s="1" t="str">
        <f>IF(E1732=0,SUMPRODUCT(MIN($K$2:$K$4734+((($A$2:$A$4734&lt;&gt;A1732)+($E$2:$E$4734&lt;&gt;0))&gt;0)*1000000)),"")</f>
        <v/>
      </c>
      <c r="M1732" s="1">
        <f>IF(AND(E1732=0,COUNTIFS($A$2:A1732,A1732,$E$2:E1732,0)=1),L1732,0)</f>
        <v>0</v>
      </c>
    </row>
    <row r="1733" spans="1:13" ht="15" customHeight="1">
      <c r="A1733" s="1">
        <v>7331</v>
      </c>
      <c r="B1733" s="1" t="s">
        <v>16</v>
      </c>
      <c r="C1733" s="2" t="s">
        <v>2023</v>
      </c>
      <c r="D1733" s="2" t="s">
        <v>2024</v>
      </c>
      <c r="E1733" s="1">
        <v>1</v>
      </c>
      <c r="F1733" s="2" t="s">
        <v>2026</v>
      </c>
      <c r="G1733" s="1">
        <v>6</v>
      </c>
      <c r="H1733" s="1" t="str">
        <f t="shared" si="27"/>
        <v>k7331_6</v>
      </c>
      <c r="K1733" s="1">
        <f>IF(E1733=0,SUMPRODUCT(($A$2:$A$4734=A1733)*($B$2:$B$4734=B1733)*($D$2:$D$4734=D1733)*($E$2:$E$4734=0)),0)</f>
        <v>0</v>
      </c>
      <c r="L1733" s="1" t="str">
        <f>IF(E1733=0,SUMPRODUCT(MIN($K$2:$K$4734+((($A$2:$A$4734&lt;&gt;A1733)+($E$2:$E$4734&lt;&gt;0))&gt;0)*1000000)),"")</f>
        <v/>
      </c>
      <c r="M1733" s="1">
        <f>IF(AND(E1733=0,COUNTIFS($A$2:A1733,A1733,$E$2:E1733,0)=1),L1733,0)</f>
        <v>0</v>
      </c>
    </row>
    <row r="1734" spans="1:13" ht="15" customHeight="1">
      <c r="A1734" s="1">
        <v>7331</v>
      </c>
      <c r="B1734" s="1" t="s">
        <v>144</v>
      </c>
      <c r="C1734" s="2" t="s">
        <v>2023</v>
      </c>
      <c r="D1734" s="2" t="s">
        <v>2033</v>
      </c>
      <c r="E1734" s="1">
        <v>1</v>
      </c>
      <c r="F1734" s="2" t="s">
        <v>2034</v>
      </c>
      <c r="G1734" s="1">
        <v>1</v>
      </c>
      <c r="H1734" s="1" t="str">
        <f t="shared" si="27"/>
        <v>k7331_1</v>
      </c>
      <c r="K1734" s="1">
        <f>IF(E1734=0,SUMPRODUCT(($A$2:$A$4734=A1734)*($B$2:$B$4734=B1734)*($D$2:$D$4734=D1734)*($E$2:$E$4734=0)),0)</f>
        <v>0</v>
      </c>
      <c r="L1734" s="1" t="str">
        <f>IF(E1734=0,SUMPRODUCT(MIN($K$2:$K$4734+((($A$2:$A$4734&lt;&gt;A1734)+($E$2:$E$4734&lt;&gt;0))&gt;0)*1000000)),"")</f>
        <v/>
      </c>
      <c r="M1734" s="1">
        <f>IF(AND(E1734=0,COUNTIFS($A$2:A1734,A1734,$E$2:E1734,0)=1),L1734,0)</f>
        <v>0</v>
      </c>
    </row>
    <row r="1735" spans="1:13" ht="15" customHeight="1">
      <c r="A1735" s="1">
        <v>7331</v>
      </c>
      <c r="B1735" s="1" t="s">
        <v>144</v>
      </c>
      <c r="C1735" s="2" t="s">
        <v>2023</v>
      </c>
      <c r="D1735" s="2" t="s">
        <v>2033</v>
      </c>
      <c r="E1735" s="1">
        <v>1</v>
      </c>
      <c r="F1735" s="2" t="s">
        <v>2035</v>
      </c>
      <c r="G1735" s="1">
        <v>2</v>
      </c>
      <c r="H1735" s="1" t="str">
        <f t="shared" si="27"/>
        <v>k7331_2</v>
      </c>
      <c r="K1735" s="1">
        <f>IF(E1735=0,SUMPRODUCT(($A$2:$A$4734=A1735)*($B$2:$B$4734=B1735)*($D$2:$D$4734=D1735)*($E$2:$E$4734=0)),0)</f>
        <v>0</v>
      </c>
      <c r="L1735" s="1" t="str">
        <f>IF(E1735=0,SUMPRODUCT(MIN($K$2:$K$4734+((($A$2:$A$4734&lt;&gt;A1735)+($E$2:$E$4734&lt;&gt;0))&gt;0)*1000000)),"")</f>
        <v/>
      </c>
      <c r="M1735" s="1">
        <f>IF(AND(E1735=0,COUNTIFS($A$2:A1735,A1735,$E$2:E1735,0)=1),L1735,0)</f>
        <v>0</v>
      </c>
    </row>
    <row r="1736" spans="1:13" ht="15" customHeight="1">
      <c r="A1736" s="1">
        <v>7331</v>
      </c>
      <c r="B1736" s="1" t="s">
        <v>144</v>
      </c>
      <c r="C1736" s="2" t="s">
        <v>2023</v>
      </c>
      <c r="D1736" s="2" t="s">
        <v>2033</v>
      </c>
      <c r="E1736" s="1">
        <v>1</v>
      </c>
      <c r="F1736" s="2" t="s">
        <v>2036</v>
      </c>
      <c r="G1736" s="1">
        <v>3</v>
      </c>
      <c r="H1736" s="1" t="str">
        <f t="shared" si="27"/>
        <v>k7331_3</v>
      </c>
      <c r="K1736" s="1">
        <f>IF(E1736=0,SUMPRODUCT(($A$2:$A$4734=A1736)*($B$2:$B$4734=B1736)*($D$2:$D$4734=D1736)*($E$2:$E$4734=0)),0)</f>
        <v>0</v>
      </c>
      <c r="L1736" s="1" t="str">
        <f>IF(E1736=0,SUMPRODUCT(MIN($K$2:$K$4734+((($A$2:$A$4734&lt;&gt;A1736)+($E$2:$E$4734&lt;&gt;0))&gt;0)*1000000)),"")</f>
        <v/>
      </c>
      <c r="M1736" s="1">
        <f>IF(AND(E1736=0,COUNTIFS($A$2:A1736,A1736,$E$2:E1736,0)=1),L1736,0)</f>
        <v>0</v>
      </c>
    </row>
    <row r="1737" spans="1:13" ht="15" customHeight="1">
      <c r="A1737" s="1">
        <v>7331</v>
      </c>
      <c r="B1737" s="1" t="s">
        <v>144</v>
      </c>
      <c r="C1737" s="2" t="s">
        <v>2023</v>
      </c>
      <c r="D1737" s="2" t="s">
        <v>2033</v>
      </c>
      <c r="E1737" s="1">
        <v>1</v>
      </c>
      <c r="F1737" s="2" t="s">
        <v>2037</v>
      </c>
      <c r="G1737" s="1">
        <v>4</v>
      </c>
      <c r="H1737" s="1" t="str">
        <f t="shared" si="27"/>
        <v>k7331_4</v>
      </c>
      <c r="K1737" s="1">
        <f>IF(E1737=0,SUMPRODUCT(($A$2:$A$4734=A1737)*($B$2:$B$4734=B1737)*($D$2:$D$4734=D1737)*($E$2:$E$4734=0)),0)</f>
        <v>0</v>
      </c>
      <c r="L1737" s="1" t="str">
        <f>IF(E1737=0,SUMPRODUCT(MIN($K$2:$K$4734+((($A$2:$A$4734&lt;&gt;A1737)+($E$2:$E$4734&lt;&gt;0))&gt;0)*1000000)),"")</f>
        <v/>
      </c>
      <c r="M1737" s="1">
        <f>IF(AND(E1737=0,COUNTIFS($A$2:A1737,A1737,$E$2:E1737,0)=1),L1737,0)</f>
        <v>0</v>
      </c>
    </row>
    <row r="1738" spans="1:13" ht="15" customHeight="1">
      <c r="A1738" s="1">
        <v>7331</v>
      </c>
      <c r="B1738" s="1" t="s">
        <v>144</v>
      </c>
      <c r="C1738" s="2" t="s">
        <v>2023</v>
      </c>
      <c r="D1738" s="2" t="s">
        <v>2033</v>
      </c>
      <c r="E1738" s="1">
        <v>1</v>
      </c>
      <c r="F1738" s="2" t="s">
        <v>2038</v>
      </c>
      <c r="G1738" s="1">
        <v>5</v>
      </c>
      <c r="H1738" s="1" t="str">
        <f t="shared" si="27"/>
        <v>k7331_5</v>
      </c>
      <c r="K1738" s="1">
        <f>IF(E1738=0,SUMPRODUCT(($A$2:$A$4734=A1738)*($B$2:$B$4734=B1738)*($D$2:$D$4734=D1738)*($E$2:$E$4734=0)),0)</f>
        <v>0</v>
      </c>
      <c r="L1738" s="1" t="str">
        <f>IF(E1738=0,SUMPRODUCT(MIN($K$2:$K$4734+((($A$2:$A$4734&lt;&gt;A1738)+($E$2:$E$4734&lt;&gt;0))&gt;0)*1000000)),"")</f>
        <v/>
      </c>
      <c r="M1738" s="1">
        <f>IF(AND(E1738=0,COUNTIFS($A$2:A1738,A1738,$E$2:E1738,0)=1),L1738,0)</f>
        <v>0</v>
      </c>
    </row>
    <row r="1739" spans="1:13" ht="15" customHeight="1">
      <c r="A1739" s="1">
        <v>7331</v>
      </c>
      <c r="B1739" s="1" t="s">
        <v>144</v>
      </c>
      <c r="C1739" s="2" t="s">
        <v>2023</v>
      </c>
      <c r="D1739" s="2" t="s">
        <v>2033</v>
      </c>
      <c r="E1739" s="1">
        <v>1</v>
      </c>
      <c r="F1739" s="2" t="s">
        <v>2038</v>
      </c>
      <c r="G1739" s="1">
        <v>6</v>
      </c>
      <c r="H1739" s="1" t="str">
        <f t="shared" si="27"/>
        <v>k7331_6</v>
      </c>
      <c r="K1739" s="1">
        <f>IF(E1739=0,SUMPRODUCT(($A$2:$A$4734=A1739)*($B$2:$B$4734=B1739)*($D$2:$D$4734=D1739)*($E$2:$E$4734=0)),0)</f>
        <v>0</v>
      </c>
      <c r="L1739" s="1" t="str">
        <f>IF(E1739=0,SUMPRODUCT(MIN($K$2:$K$4734+((($A$2:$A$4734&lt;&gt;A1739)+($E$2:$E$4734&lt;&gt;0))&gt;0)*1000000)),"")</f>
        <v/>
      </c>
      <c r="M1739" s="1">
        <f>IF(AND(E1739=0,COUNTIFS($A$2:A1739,A1739,$E$2:E1739,0)=1),L1739,0)</f>
        <v>0</v>
      </c>
    </row>
    <row r="1740" spans="1:13" ht="15" customHeight="1">
      <c r="A1740" s="1">
        <v>7331</v>
      </c>
      <c r="B1740" s="1" t="s">
        <v>95</v>
      </c>
      <c r="C1740" s="2" t="s">
        <v>2023</v>
      </c>
      <c r="D1740" s="2" t="s">
        <v>2024</v>
      </c>
      <c r="E1740" s="1">
        <v>1</v>
      </c>
      <c r="F1740" s="2" t="s">
        <v>2039</v>
      </c>
      <c r="G1740" s="1">
        <v>1</v>
      </c>
      <c r="H1740" s="1" t="str">
        <f t="shared" si="27"/>
        <v>k7331_1</v>
      </c>
      <c r="K1740" s="1">
        <f>IF(E1740=0,SUMPRODUCT(($A$2:$A$4734=A1740)*($B$2:$B$4734=B1740)*($D$2:$D$4734=D1740)*($E$2:$E$4734=0)),0)</f>
        <v>0</v>
      </c>
      <c r="L1740" s="1" t="str">
        <f>IF(E1740=0,SUMPRODUCT(MIN($K$2:$K$4734+((($A$2:$A$4734&lt;&gt;A1740)+($E$2:$E$4734&lt;&gt;0))&gt;0)*1000000)),"")</f>
        <v/>
      </c>
      <c r="M1740" s="1">
        <f>IF(AND(E1740=0,COUNTIFS($A$2:A1740,A1740,$E$2:E1740,0)=1),L1740,0)</f>
        <v>0</v>
      </c>
    </row>
    <row r="1741" spans="1:13" ht="15" customHeight="1">
      <c r="A1741" s="1">
        <v>7331</v>
      </c>
      <c r="B1741" s="1" t="s">
        <v>95</v>
      </c>
      <c r="C1741" s="2" t="s">
        <v>2023</v>
      </c>
      <c r="D1741" s="2" t="s">
        <v>2024</v>
      </c>
      <c r="E1741" s="1">
        <v>1</v>
      </c>
      <c r="F1741" s="2" t="s">
        <v>2040</v>
      </c>
      <c r="G1741" s="1">
        <v>2</v>
      </c>
      <c r="H1741" s="1" t="str">
        <f t="shared" si="27"/>
        <v>k7331_2</v>
      </c>
      <c r="K1741" s="1">
        <f>IF(E1741=0,SUMPRODUCT(($A$2:$A$4734=A1741)*($B$2:$B$4734=B1741)*($D$2:$D$4734=D1741)*($E$2:$E$4734=0)),0)</f>
        <v>0</v>
      </c>
      <c r="L1741" s="1" t="str">
        <f>IF(E1741=0,SUMPRODUCT(MIN($K$2:$K$4734+((($A$2:$A$4734&lt;&gt;A1741)+($E$2:$E$4734&lt;&gt;0))&gt;0)*1000000)),"")</f>
        <v/>
      </c>
      <c r="M1741" s="1">
        <f>IF(AND(E1741=0,COUNTIFS($A$2:A1741,A1741,$E$2:E1741,0)=1),L1741,0)</f>
        <v>0</v>
      </c>
    </row>
    <row r="1742" spans="1:13" ht="15" customHeight="1">
      <c r="A1742" s="1">
        <v>7331</v>
      </c>
      <c r="B1742" s="1" t="s">
        <v>95</v>
      </c>
      <c r="C1742" s="2" t="s">
        <v>2023</v>
      </c>
      <c r="D1742" s="2" t="s">
        <v>2024</v>
      </c>
      <c r="E1742" s="1">
        <v>1</v>
      </c>
      <c r="F1742" s="2" t="s">
        <v>2041</v>
      </c>
      <c r="G1742" s="1">
        <v>3</v>
      </c>
      <c r="H1742" s="1" t="str">
        <f t="shared" si="27"/>
        <v>k7331_3</v>
      </c>
      <c r="K1742" s="1">
        <f>IF(E1742=0,SUMPRODUCT(($A$2:$A$4734=A1742)*($B$2:$B$4734=B1742)*($D$2:$D$4734=D1742)*($E$2:$E$4734=0)),0)</f>
        <v>0</v>
      </c>
      <c r="L1742" s="1" t="str">
        <f>IF(E1742=0,SUMPRODUCT(MIN($K$2:$K$4734+((($A$2:$A$4734&lt;&gt;A1742)+($E$2:$E$4734&lt;&gt;0))&gt;0)*1000000)),"")</f>
        <v/>
      </c>
      <c r="M1742" s="1">
        <f>IF(AND(E1742=0,COUNTIFS($A$2:A1742,A1742,$E$2:E1742,0)=1),L1742,0)</f>
        <v>0</v>
      </c>
    </row>
    <row r="1743" spans="1:13" ht="15" customHeight="1">
      <c r="A1743" s="1">
        <v>7331</v>
      </c>
      <c r="B1743" s="1" t="s">
        <v>95</v>
      </c>
      <c r="C1743" s="2" t="s">
        <v>2023</v>
      </c>
      <c r="D1743" s="2" t="s">
        <v>2024</v>
      </c>
      <c r="E1743" s="1">
        <v>1</v>
      </c>
      <c r="F1743" s="2" t="s">
        <v>2042</v>
      </c>
      <c r="G1743" s="1">
        <v>4</v>
      </c>
      <c r="H1743" s="1" t="str">
        <f t="shared" si="27"/>
        <v>k7331_4</v>
      </c>
      <c r="K1743" s="1">
        <f>IF(E1743=0,SUMPRODUCT(($A$2:$A$4734=A1743)*($B$2:$B$4734=B1743)*($D$2:$D$4734=D1743)*($E$2:$E$4734=0)),0)</f>
        <v>0</v>
      </c>
      <c r="L1743" s="1" t="str">
        <f>IF(E1743=0,SUMPRODUCT(MIN($K$2:$K$4734+((($A$2:$A$4734&lt;&gt;A1743)+($E$2:$E$4734&lt;&gt;0))&gt;0)*1000000)),"")</f>
        <v/>
      </c>
      <c r="M1743" s="1">
        <f>IF(AND(E1743=0,COUNTIFS($A$2:A1743,A1743,$E$2:E1743,0)=1),L1743,0)</f>
        <v>0</v>
      </c>
    </row>
    <row r="1744" spans="1:13" ht="15" customHeight="1">
      <c r="A1744" s="1">
        <v>7331</v>
      </c>
      <c r="B1744" s="1" t="s">
        <v>95</v>
      </c>
      <c r="C1744" s="2" t="s">
        <v>2023</v>
      </c>
      <c r="D1744" s="2" t="s">
        <v>2024</v>
      </c>
      <c r="E1744" s="1">
        <v>1</v>
      </c>
      <c r="F1744" s="2" t="s">
        <v>2043</v>
      </c>
      <c r="G1744" s="1">
        <v>5</v>
      </c>
      <c r="H1744" s="1" t="str">
        <f t="shared" si="27"/>
        <v>k7331_5</v>
      </c>
      <c r="K1744" s="1">
        <f>IF(E1744=0,SUMPRODUCT(($A$2:$A$4734=A1744)*($B$2:$B$4734=B1744)*($D$2:$D$4734=D1744)*($E$2:$E$4734=0)),0)</f>
        <v>0</v>
      </c>
      <c r="L1744" s="1" t="str">
        <f>IF(E1744=0,SUMPRODUCT(MIN($K$2:$K$4734+((($A$2:$A$4734&lt;&gt;A1744)+($E$2:$E$4734&lt;&gt;0))&gt;0)*1000000)),"")</f>
        <v/>
      </c>
      <c r="M1744" s="1">
        <f>IF(AND(E1744=0,COUNTIFS($A$2:A1744,A1744,$E$2:E1744,0)=1),L1744,0)</f>
        <v>0</v>
      </c>
    </row>
    <row r="1745" spans="1:13" ht="15" customHeight="1">
      <c r="A1745" s="1">
        <v>7331</v>
      </c>
      <c r="B1745" s="1" t="s">
        <v>95</v>
      </c>
      <c r="C1745" s="2" t="s">
        <v>2023</v>
      </c>
      <c r="D1745" s="2" t="s">
        <v>2024</v>
      </c>
      <c r="E1745" s="1">
        <v>1</v>
      </c>
      <c r="F1745" s="2" t="s">
        <v>2043</v>
      </c>
      <c r="G1745" s="1">
        <v>6</v>
      </c>
      <c r="H1745" s="1" t="str">
        <f t="shared" si="27"/>
        <v>k7331_6</v>
      </c>
      <c r="K1745" s="1">
        <f>IF(E1745=0,SUMPRODUCT(($A$2:$A$4734=A1745)*($B$2:$B$4734=B1745)*($D$2:$D$4734=D1745)*($E$2:$E$4734=0)),0)</f>
        <v>0</v>
      </c>
      <c r="L1745" s="1" t="str">
        <f>IF(E1745=0,SUMPRODUCT(MIN($K$2:$K$4734+((($A$2:$A$4734&lt;&gt;A1745)+($E$2:$E$4734&lt;&gt;0))&gt;0)*1000000)),"")</f>
        <v/>
      </c>
      <c r="M1745" s="1">
        <f>IF(AND(E1745=0,COUNTIFS($A$2:A1745,A1745,$E$2:E1745,0)=1),L1745,0)</f>
        <v>0</v>
      </c>
    </row>
    <row r="1746" spans="1:13" ht="15" customHeight="1">
      <c r="A1746" s="1">
        <v>7332</v>
      </c>
      <c r="B1746" s="1" t="s">
        <v>9</v>
      </c>
      <c r="C1746" s="2" t="s">
        <v>2044</v>
      </c>
      <c r="D1746" s="2" t="s">
        <v>2045</v>
      </c>
      <c r="E1746" s="1">
        <v>1</v>
      </c>
      <c r="F1746" s="2" t="s">
        <v>2046</v>
      </c>
      <c r="G1746" s="1">
        <v>1</v>
      </c>
      <c r="H1746" s="1" t="str">
        <f t="shared" si="27"/>
        <v>k7332_1</v>
      </c>
      <c r="K1746" s="1">
        <f>IF(E1746=0,SUMPRODUCT(($A$2:$A$4734=A1746)*($B$2:$B$4734=B1746)*($D$2:$D$4734=D1746)*($E$2:$E$4734=0)),0)</f>
        <v>0</v>
      </c>
      <c r="L1746" s="1" t="str">
        <f>IF(E1746=0,SUMPRODUCT(MIN($K$2:$K$4734+((($A$2:$A$4734&lt;&gt;A1746)+($E$2:$E$4734&lt;&gt;0))&gt;0)*1000000)),"")</f>
        <v/>
      </c>
      <c r="M1746" s="1">
        <f>IF(AND(E1746=0,COUNTIFS($A$2:A1746,A1746,$E$2:E1746,0)=1),L1746,0)</f>
        <v>0</v>
      </c>
    </row>
    <row r="1747" spans="1:13" ht="15" customHeight="1">
      <c r="A1747" s="1">
        <v>7332</v>
      </c>
      <c r="B1747" s="1" t="s">
        <v>9</v>
      </c>
      <c r="C1747" s="2" t="s">
        <v>2044</v>
      </c>
      <c r="D1747" s="2" t="s">
        <v>2045</v>
      </c>
      <c r="E1747" s="1">
        <v>1</v>
      </c>
      <c r="F1747" s="2" t="s">
        <v>2047</v>
      </c>
      <c r="G1747" s="1">
        <v>2</v>
      </c>
      <c r="H1747" s="1" t="str">
        <f t="shared" si="27"/>
        <v>k7332_2</v>
      </c>
      <c r="K1747" s="1">
        <f>IF(E1747=0,SUMPRODUCT(($A$2:$A$4734=A1747)*($B$2:$B$4734=B1747)*($D$2:$D$4734=D1747)*($E$2:$E$4734=0)),0)</f>
        <v>0</v>
      </c>
      <c r="L1747" s="1" t="str">
        <f>IF(E1747=0,SUMPRODUCT(MIN($K$2:$K$4734+((($A$2:$A$4734&lt;&gt;A1747)+($E$2:$E$4734&lt;&gt;0))&gt;0)*1000000)),"")</f>
        <v/>
      </c>
      <c r="M1747" s="1">
        <f>IF(AND(E1747=0,COUNTIFS($A$2:A1747,A1747,$E$2:E1747,0)=1),L1747,0)</f>
        <v>0</v>
      </c>
    </row>
    <row r="1748" spans="1:13" ht="15" customHeight="1">
      <c r="A1748" s="1">
        <v>7332</v>
      </c>
      <c r="B1748" s="1" t="s">
        <v>9</v>
      </c>
      <c r="C1748" s="2" t="s">
        <v>2044</v>
      </c>
      <c r="D1748" s="2" t="s">
        <v>2045</v>
      </c>
      <c r="E1748" s="1">
        <v>1</v>
      </c>
      <c r="F1748" s="2" t="s">
        <v>2048</v>
      </c>
      <c r="G1748" s="1">
        <v>3</v>
      </c>
      <c r="H1748" s="1" t="str">
        <f t="shared" si="27"/>
        <v>k7332_3</v>
      </c>
      <c r="K1748" s="1">
        <f>IF(E1748=0,SUMPRODUCT(($A$2:$A$4734=A1748)*($B$2:$B$4734=B1748)*($D$2:$D$4734=D1748)*($E$2:$E$4734=0)),0)</f>
        <v>0</v>
      </c>
      <c r="L1748" s="1" t="str">
        <f>IF(E1748=0,SUMPRODUCT(MIN($K$2:$K$4734+((($A$2:$A$4734&lt;&gt;A1748)+($E$2:$E$4734&lt;&gt;0))&gt;0)*1000000)),"")</f>
        <v/>
      </c>
      <c r="M1748" s="1">
        <f>IF(AND(E1748=0,COUNTIFS($A$2:A1748,A1748,$E$2:E1748,0)=1),L1748,0)</f>
        <v>0</v>
      </c>
    </row>
    <row r="1749" spans="1:13" ht="15" customHeight="1">
      <c r="A1749" s="1">
        <v>7332</v>
      </c>
      <c r="B1749" s="1" t="s">
        <v>9</v>
      </c>
      <c r="C1749" s="2" t="s">
        <v>2044</v>
      </c>
      <c r="D1749" s="2" t="s">
        <v>2045</v>
      </c>
      <c r="E1749" s="1">
        <v>1</v>
      </c>
      <c r="F1749" s="2" t="s">
        <v>2046</v>
      </c>
      <c r="G1749" s="1">
        <v>4</v>
      </c>
      <c r="H1749" s="1" t="str">
        <f t="shared" si="27"/>
        <v>k7332_4</v>
      </c>
      <c r="K1749" s="1">
        <f>IF(E1749=0,SUMPRODUCT(($A$2:$A$4734=A1749)*($B$2:$B$4734=B1749)*($D$2:$D$4734=D1749)*($E$2:$E$4734=0)),0)</f>
        <v>0</v>
      </c>
      <c r="L1749" s="1" t="str">
        <f>IF(E1749=0,SUMPRODUCT(MIN($K$2:$K$4734+((($A$2:$A$4734&lt;&gt;A1749)+($E$2:$E$4734&lt;&gt;0))&gt;0)*1000000)),"")</f>
        <v/>
      </c>
      <c r="M1749" s="1">
        <f>IF(AND(E1749=0,COUNTIFS($A$2:A1749,A1749,$E$2:E1749,0)=1),L1749,0)</f>
        <v>0</v>
      </c>
    </row>
    <row r="1750" spans="1:13" ht="15" customHeight="1">
      <c r="A1750" s="1">
        <v>7332</v>
      </c>
      <c r="B1750" s="1" t="s">
        <v>9</v>
      </c>
      <c r="C1750" s="2" t="s">
        <v>2044</v>
      </c>
      <c r="D1750" s="2" t="s">
        <v>2045</v>
      </c>
      <c r="E1750" s="1">
        <v>1</v>
      </c>
      <c r="F1750" s="2" t="s">
        <v>2047</v>
      </c>
      <c r="G1750" s="1">
        <v>5</v>
      </c>
      <c r="H1750" s="1" t="str">
        <f t="shared" si="27"/>
        <v>k7332_5</v>
      </c>
      <c r="K1750" s="1">
        <f>IF(E1750=0,SUMPRODUCT(($A$2:$A$4734=A1750)*($B$2:$B$4734=B1750)*($D$2:$D$4734=D1750)*($E$2:$E$4734=0)),0)</f>
        <v>0</v>
      </c>
      <c r="L1750" s="1" t="str">
        <f>IF(E1750=0,SUMPRODUCT(MIN($K$2:$K$4734+((($A$2:$A$4734&lt;&gt;A1750)+($E$2:$E$4734&lt;&gt;0))&gt;0)*1000000)),"")</f>
        <v/>
      </c>
      <c r="M1750" s="1">
        <f>IF(AND(E1750=0,COUNTIFS($A$2:A1750,A1750,$E$2:E1750,0)=1),L1750,0)</f>
        <v>0</v>
      </c>
    </row>
    <row r="1751" spans="1:13" ht="15" customHeight="1">
      <c r="A1751" s="1">
        <v>7332</v>
      </c>
      <c r="B1751" s="1" t="s">
        <v>9</v>
      </c>
      <c r="C1751" s="2" t="s">
        <v>2044</v>
      </c>
      <c r="D1751" s="2" t="s">
        <v>2045</v>
      </c>
      <c r="E1751" s="1">
        <v>1</v>
      </c>
      <c r="F1751" s="2" t="s">
        <v>2048</v>
      </c>
      <c r="G1751" s="1">
        <v>6</v>
      </c>
      <c r="H1751" s="1" t="str">
        <f t="shared" si="27"/>
        <v>k7332_6</v>
      </c>
      <c r="K1751" s="1">
        <f>IF(E1751=0,SUMPRODUCT(($A$2:$A$4734=A1751)*($B$2:$B$4734=B1751)*($D$2:$D$4734=D1751)*($E$2:$E$4734=0)),0)</f>
        <v>0</v>
      </c>
      <c r="L1751" s="1" t="str">
        <f>IF(E1751=0,SUMPRODUCT(MIN($K$2:$K$4734+((($A$2:$A$4734&lt;&gt;A1751)+($E$2:$E$4734&lt;&gt;0))&gt;0)*1000000)),"")</f>
        <v/>
      </c>
      <c r="M1751" s="1">
        <f>IF(AND(E1751=0,COUNTIFS($A$2:A1751,A1751,$E$2:E1751,0)=1),L1751,0)</f>
        <v>0</v>
      </c>
    </row>
    <row r="1752" spans="1:13" ht="15" customHeight="1">
      <c r="A1752" s="1">
        <v>7332</v>
      </c>
      <c r="B1752" s="1" t="s">
        <v>16</v>
      </c>
      <c r="C1752" s="2" t="s">
        <v>2044</v>
      </c>
      <c r="D1752" s="2" t="s">
        <v>2049</v>
      </c>
      <c r="E1752" s="1">
        <v>1</v>
      </c>
      <c r="F1752" s="2" t="s">
        <v>2050</v>
      </c>
      <c r="G1752" s="1">
        <v>1</v>
      </c>
      <c r="H1752" s="1" t="str">
        <f t="shared" si="27"/>
        <v>k7332_1</v>
      </c>
      <c r="K1752" s="1">
        <f>IF(E1752=0,SUMPRODUCT(($A$2:$A$4734=A1752)*($B$2:$B$4734=B1752)*($D$2:$D$4734=D1752)*($E$2:$E$4734=0)),0)</f>
        <v>0</v>
      </c>
      <c r="L1752" s="1" t="str">
        <f>IF(E1752=0,SUMPRODUCT(MIN($K$2:$K$4734+((($A$2:$A$4734&lt;&gt;A1752)+($E$2:$E$4734&lt;&gt;0))&gt;0)*1000000)),"")</f>
        <v/>
      </c>
      <c r="M1752" s="1">
        <f>IF(AND(E1752=0,COUNTIFS($A$2:A1752,A1752,$E$2:E1752,0)=1),L1752,0)</f>
        <v>0</v>
      </c>
    </row>
    <row r="1753" spans="1:13" ht="15" customHeight="1">
      <c r="A1753" s="1">
        <v>7332</v>
      </c>
      <c r="B1753" s="1" t="s">
        <v>16</v>
      </c>
      <c r="C1753" s="2" t="s">
        <v>2044</v>
      </c>
      <c r="D1753" s="2" t="s">
        <v>2049</v>
      </c>
      <c r="E1753" s="1">
        <v>1</v>
      </c>
      <c r="F1753" s="2" t="s">
        <v>2051</v>
      </c>
      <c r="G1753" s="1">
        <v>2</v>
      </c>
      <c r="H1753" s="1" t="str">
        <f t="shared" si="27"/>
        <v>k7332_2</v>
      </c>
      <c r="K1753" s="1">
        <f>IF(E1753=0,SUMPRODUCT(($A$2:$A$4734=A1753)*($B$2:$B$4734=B1753)*($D$2:$D$4734=D1753)*($E$2:$E$4734=0)),0)</f>
        <v>0</v>
      </c>
      <c r="L1753" s="1" t="str">
        <f>IF(E1753=0,SUMPRODUCT(MIN($K$2:$K$4734+((($A$2:$A$4734&lt;&gt;A1753)+($E$2:$E$4734&lt;&gt;0))&gt;0)*1000000)),"")</f>
        <v/>
      </c>
      <c r="M1753" s="1">
        <f>IF(AND(E1753=0,COUNTIFS($A$2:A1753,A1753,$E$2:E1753,0)=1),L1753,0)</f>
        <v>0</v>
      </c>
    </row>
    <row r="1754" spans="1:13" ht="15" customHeight="1">
      <c r="A1754" s="1">
        <v>7332</v>
      </c>
      <c r="B1754" s="1" t="s">
        <v>16</v>
      </c>
      <c r="C1754" s="2" t="s">
        <v>2044</v>
      </c>
      <c r="D1754" s="2" t="s">
        <v>2049</v>
      </c>
      <c r="E1754" s="1">
        <v>1</v>
      </c>
      <c r="F1754" s="2" t="s">
        <v>2052</v>
      </c>
      <c r="G1754" s="1">
        <v>3</v>
      </c>
      <c r="H1754" s="1" t="str">
        <f t="shared" si="27"/>
        <v>k7332_3</v>
      </c>
      <c r="K1754" s="1">
        <f>IF(E1754=0,SUMPRODUCT(($A$2:$A$4734=A1754)*($B$2:$B$4734=B1754)*($D$2:$D$4734=D1754)*($E$2:$E$4734=0)),0)</f>
        <v>0</v>
      </c>
      <c r="L1754" s="1" t="str">
        <f>IF(E1754=0,SUMPRODUCT(MIN($K$2:$K$4734+((($A$2:$A$4734&lt;&gt;A1754)+($E$2:$E$4734&lt;&gt;0))&gt;0)*1000000)),"")</f>
        <v/>
      </c>
      <c r="M1754" s="1">
        <f>IF(AND(E1754=0,COUNTIFS($A$2:A1754,A1754,$E$2:E1754,0)=1),L1754,0)</f>
        <v>0</v>
      </c>
    </row>
    <row r="1755" spans="1:13" ht="15" customHeight="1">
      <c r="A1755" s="1">
        <v>7332</v>
      </c>
      <c r="B1755" s="1" t="s">
        <v>16</v>
      </c>
      <c r="C1755" s="2" t="s">
        <v>2044</v>
      </c>
      <c r="D1755" s="2" t="s">
        <v>2049</v>
      </c>
      <c r="E1755" s="1">
        <v>1</v>
      </c>
      <c r="F1755" s="2" t="s">
        <v>2053</v>
      </c>
      <c r="G1755" s="1">
        <v>4</v>
      </c>
      <c r="H1755" s="1" t="str">
        <f t="shared" si="27"/>
        <v>k7332_4</v>
      </c>
      <c r="K1755" s="1">
        <f>IF(E1755=0,SUMPRODUCT(($A$2:$A$4734=A1755)*($B$2:$B$4734=B1755)*($D$2:$D$4734=D1755)*($E$2:$E$4734=0)),0)</f>
        <v>0</v>
      </c>
      <c r="L1755" s="1" t="str">
        <f>IF(E1755=0,SUMPRODUCT(MIN($K$2:$K$4734+((($A$2:$A$4734&lt;&gt;A1755)+($E$2:$E$4734&lt;&gt;0))&gt;0)*1000000)),"")</f>
        <v/>
      </c>
      <c r="M1755" s="1">
        <f>IF(AND(E1755=0,COUNTIFS($A$2:A1755,A1755,$E$2:E1755,0)=1),L1755,0)</f>
        <v>0</v>
      </c>
    </row>
    <row r="1756" spans="1:13" ht="15" customHeight="1">
      <c r="A1756" s="1">
        <v>7332</v>
      </c>
      <c r="B1756" s="1" t="s">
        <v>16</v>
      </c>
      <c r="C1756" s="2" t="s">
        <v>2044</v>
      </c>
      <c r="D1756" s="2" t="s">
        <v>2049</v>
      </c>
      <c r="E1756" s="1">
        <v>1</v>
      </c>
      <c r="F1756" s="2" t="s">
        <v>2054</v>
      </c>
      <c r="G1756" s="1">
        <v>5</v>
      </c>
      <c r="H1756" s="1" t="str">
        <f t="shared" si="27"/>
        <v>k7332_5</v>
      </c>
      <c r="K1756" s="1">
        <f>IF(E1756=0,SUMPRODUCT(($A$2:$A$4734=A1756)*($B$2:$B$4734=B1756)*($D$2:$D$4734=D1756)*($E$2:$E$4734=0)),0)</f>
        <v>0</v>
      </c>
      <c r="L1756" s="1" t="str">
        <f>IF(E1756=0,SUMPRODUCT(MIN($K$2:$K$4734+((($A$2:$A$4734&lt;&gt;A1756)+($E$2:$E$4734&lt;&gt;0))&gt;0)*1000000)),"")</f>
        <v/>
      </c>
      <c r="M1756" s="1">
        <f>IF(AND(E1756=0,COUNTIFS($A$2:A1756,A1756,$E$2:E1756,0)=1),L1756,0)</f>
        <v>0</v>
      </c>
    </row>
    <row r="1757" spans="1:13" ht="15" customHeight="1">
      <c r="A1757" s="1">
        <v>7332</v>
      </c>
      <c r="B1757" s="1" t="s">
        <v>16</v>
      </c>
      <c r="C1757" s="2" t="s">
        <v>2044</v>
      </c>
      <c r="D1757" s="2" t="s">
        <v>2049</v>
      </c>
      <c r="E1757" s="1">
        <v>1</v>
      </c>
      <c r="F1757" s="2" t="s">
        <v>2055</v>
      </c>
      <c r="G1757" s="1">
        <v>6</v>
      </c>
      <c r="H1757" s="1" t="str">
        <f t="shared" si="27"/>
        <v>k7332_6</v>
      </c>
      <c r="K1757" s="1">
        <f>IF(E1757=0,SUMPRODUCT(($A$2:$A$4734=A1757)*($B$2:$B$4734=B1757)*($D$2:$D$4734=D1757)*($E$2:$E$4734=0)),0)</f>
        <v>0</v>
      </c>
      <c r="L1757" s="1" t="str">
        <f>IF(E1757=0,SUMPRODUCT(MIN($K$2:$K$4734+((($A$2:$A$4734&lt;&gt;A1757)+($E$2:$E$4734&lt;&gt;0))&gt;0)*1000000)),"")</f>
        <v/>
      </c>
      <c r="M1757" s="1">
        <f>IF(AND(E1757=0,COUNTIFS($A$2:A1757,A1757,$E$2:E1757,0)=1),L1757,0)</f>
        <v>0</v>
      </c>
    </row>
    <row r="1758" spans="1:13" ht="15" customHeight="1">
      <c r="A1758" s="1">
        <v>7332</v>
      </c>
      <c r="B1758" s="1" t="s">
        <v>358</v>
      </c>
      <c r="C1758" s="2" t="s">
        <v>2044</v>
      </c>
      <c r="D1758" s="2" t="s">
        <v>2056</v>
      </c>
      <c r="E1758" s="1">
        <v>1</v>
      </c>
      <c r="F1758" s="2" t="s">
        <v>2057</v>
      </c>
      <c r="G1758" s="1">
        <v>1</v>
      </c>
      <c r="H1758" s="1" t="str">
        <f t="shared" si="27"/>
        <v>k7332_1</v>
      </c>
      <c r="K1758" s="1">
        <f>IF(E1758=0,SUMPRODUCT(($A$2:$A$4734=A1758)*($B$2:$B$4734=B1758)*($D$2:$D$4734=D1758)*($E$2:$E$4734=0)),0)</f>
        <v>0</v>
      </c>
      <c r="L1758" s="1" t="str">
        <f>IF(E1758=0,SUMPRODUCT(MIN($K$2:$K$4734+((($A$2:$A$4734&lt;&gt;A1758)+($E$2:$E$4734&lt;&gt;0))&gt;0)*1000000)),"")</f>
        <v/>
      </c>
      <c r="M1758" s="1">
        <f>IF(AND(E1758=0,COUNTIFS($A$2:A1758,A1758,$E$2:E1758,0)=1),L1758,0)</f>
        <v>0</v>
      </c>
    </row>
    <row r="1759" spans="1:13" ht="15" customHeight="1">
      <c r="A1759" s="1">
        <v>7332</v>
      </c>
      <c r="B1759" s="1" t="s">
        <v>358</v>
      </c>
      <c r="C1759" s="2" t="s">
        <v>2044</v>
      </c>
      <c r="D1759" s="2" t="s">
        <v>2056</v>
      </c>
      <c r="E1759" s="1">
        <v>1</v>
      </c>
      <c r="F1759" s="2" t="s">
        <v>2058</v>
      </c>
      <c r="G1759" s="1">
        <v>2</v>
      </c>
      <c r="H1759" s="1" t="str">
        <f t="shared" si="27"/>
        <v>k7332_2</v>
      </c>
      <c r="K1759" s="1">
        <f>IF(E1759=0,SUMPRODUCT(($A$2:$A$4734=A1759)*($B$2:$B$4734=B1759)*($D$2:$D$4734=D1759)*($E$2:$E$4734=0)),0)</f>
        <v>0</v>
      </c>
      <c r="L1759" s="1" t="str">
        <f>IF(E1759=0,SUMPRODUCT(MIN($K$2:$K$4734+((($A$2:$A$4734&lt;&gt;A1759)+($E$2:$E$4734&lt;&gt;0))&gt;0)*1000000)),"")</f>
        <v/>
      </c>
      <c r="M1759" s="1">
        <f>IF(AND(E1759=0,COUNTIFS($A$2:A1759,A1759,$E$2:E1759,0)=1),L1759,0)</f>
        <v>0</v>
      </c>
    </row>
    <row r="1760" spans="1:13" ht="15" customHeight="1">
      <c r="A1760" s="1">
        <v>7332</v>
      </c>
      <c r="B1760" s="1" t="s">
        <v>358</v>
      </c>
      <c r="C1760" s="2" t="s">
        <v>2044</v>
      </c>
      <c r="D1760" s="2" t="s">
        <v>2056</v>
      </c>
      <c r="E1760" s="1">
        <v>1</v>
      </c>
      <c r="F1760" s="2" t="s">
        <v>2059</v>
      </c>
      <c r="G1760" s="1">
        <v>3</v>
      </c>
      <c r="H1760" s="1" t="str">
        <f t="shared" si="27"/>
        <v>k7332_3</v>
      </c>
      <c r="K1760" s="1">
        <f>IF(E1760=0,SUMPRODUCT(($A$2:$A$4734=A1760)*($B$2:$B$4734=B1760)*($D$2:$D$4734=D1760)*($E$2:$E$4734=0)),0)</f>
        <v>0</v>
      </c>
      <c r="L1760" s="1" t="str">
        <f>IF(E1760=0,SUMPRODUCT(MIN($K$2:$K$4734+((($A$2:$A$4734&lt;&gt;A1760)+($E$2:$E$4734&lt;&gt;0))&gt;0)*1000000)),"")</f>
        <v/>
      </c>
      <c r="M1760" s="1">
        <f>IF(AND(E1760=0,COUNTIFS($A$2:A1760,A1760,$E$2:E1760,0)=1),L1760,0)</f>
        <v>0</v>
      </c>
    </row>
    <row r="1761" spans="1:13" ht="15" customHeight="1">
      <c r="A1761" s="1">
        <v>7332</v>
      </c>
      <c r="B1761" s="1" t="s">
        <v>358</v>
      </c>
      <c r="C1761" s="2" t="s">
        <v>2044</v>
      </c>
      <c r="D1761" s="2" t="s">
        <v>2056</v>
      </c>
      <c r="E1761" s="1">
        <v>1</v>
      </c>
      <c r="F1761" s="2" t="s">
        <v>2060</v>
      </c>
      <c r="G1761" s="1">
        <v>4</v>
      </c>
      <c r="H1761" s="1" t="str">
        <f t="shared" si="27"/>
        <v>k7332_4</v>
      </c>
      <c r="K1761" s="1">
        <f>IF(E1761=0,SUMPRODUCT(($A$2:$A$4734=A1761)*($B$2:$B$4734=B1761)*($D$2:$D$4734=D1761)*($E$2:$E$4734=0)),0)</f>
        <v>0</v>
      </c>
      <c r="L1761" s="1" t="str">
        <f>IF(E1761=0,SUMPRODUCT(MIN($K$2:$K$4734+((($A$2:$A$4734&lt;&gt;A1761)+($E$2:$E$4734&lt;&gt;0))&gt;0)*1000000)),"")</f>
        <v/>
      </c>
      <c r="M1761" s="1">
        <f>IF(AND(E1761=0,COUNTIFS($A$2:A1761,A1761,$E$2:E1761,0)=1),L1761,0)</f>
        <v>0</v>
      </c>
    </row>
    <row r="1762" spans="1:13" ht="15" customHeight="1">
      <c r="A1762" s="1">
        <v>7332</v>
      </c>
      <c r="B1762" s="1" t="s">
        <v>358</v>
      </c>
      <c r="C1762" s="2" t="s">
        <v>2044</v>
      </c>
      <c r="D1762" s="2" t="s">
        <v>2056</v>
      </c>
      <c r="E1762" s="1">
        <v>1</v>
      </c>
      <c r="F1762" s="2" t="s">
        <v>2060</v>
      </c>
      <c r="G1762" s="1">
        <v>5</v>
      </c>
      <c r="H1762" s="1" t="str">
        <f t="shared" si="27"/>
        <v>k7332_5</v>
      </c>
      <c r="K1762" s="1">
        <f>IF(E1762=0,SUMPRODUCT(($A$2:$A$4734=A1762)*($B$2:$B$4734=B1762)*($D$2:$D$4734=D1762)*($E$2:$E$4734=0)),0)</f>
        <v>0</v>
      </c>
      <c r="L1762" s="1" t="str">
        <f>IF(E1762=0,SUMPRODUCT(MIN($K$2:$K$4734+((($A$2:$A$4734&lt;&gt;A1762)+($E$2:$E$4734&lt;&gt;0))&gt;0)*1000000)),"")</f>
        <v/>
      </c>
      <c r="M1762" s="1">
        <f>IF(AND(E1762=0,COUNTIFS($A$2:A1762,A1762,$E$2:E1762,0)=1),L1762,0)</f>
        <v>0</v>
      </c>
    </row>
    <row r="1763" spans="1:13" ht="15" customHeight="1">
      <c r="A1763" s="1">
        <v>7332</v>
      </c>
      <c r="B1763" s="1" t="s">
        <v>358</v>
      </c>
      <c r="C1763" s="2" t="s">
        <v>2044</v>
      </c>
      <c r="D1763" s="2" t="s">
        <v>2056</v>
      </c>
      <c r="E1763" s="1">
        <v>1</v>
      </c>
      <c r="F1763" s="2" t="s">
        <v>2061</v>
      </c>
      <c r="G1763" s="1">
        <v>6</v>
      </c>
      <c r="H1763" s="1" t="str">
        <f t="shared" ref="H1763:H1825" si="28">IF(OR(E1763&lt;&gt;1,G1763=""),"","k"&amp;A1763&amp;"_"&amp;G1763)</f>
        <v>k7332_6</v>
      </c>
      <c r="K1763" s="1">
        <f>IF(E1763=0,SUMPRODUCT(($A$2:$A$4734=A1763)*($B$2:$B$4734=B1763)*($D$2:$D$4734=D1763)*($E$2:$E$4734=0)),0)</f>
        <v>0</v>
      </c>
      <c r="L1763" s="1" t="str">
        <f>IF(E1763=0,SUMPRODUCT(MIN($K$2:$K$4734+((($A$2:$A$4734&lt;&gt;A1763)+($E$2:$E$4734&lt;&gt;0))&gt;0)*1000000)),"")</f>
        <v/>
      </c>
      <c r="M1763" s="1">
        <f>IF(AND(E1763=0,COUNTIFS($A$2:A1763,A1763,$E$2:E1763,0)=1),L1763,0)</f>
        <v>0</v>
      </c>
    </row>
    <row r="1764" spans="1:13" ht="15" customHeight="1">
      <c r="A1764" s="1">
        <v>7332</v>
      </c>
      <c r="B1764" s="1" t="s">
        <v>69</v>
      </c>
      <c r="C1764" s="2" t="s">
        <v>2044</v>
      </c>
      <c r="D1764" s="2" t="s">
        <v>2062</v>
      </c>
      <c r="E1764" s="1">
        <v>1</v>
      </c>
      <c r="F1764" s="2" t="s">
        <v>2063</v>
      </c>
      <c r="G1764" s="1">
        <v>1</v>
      </c>
      <c r="H1764" s="1" t="str">
        <f t="shared" si="28"/>
        <v>k7332_1</v>
      </c>
      <c r="K1764" s="1">
        <f>IF(E1764=0,SUMPRODUCT(($A$2:$A$4734=A1764)*($B$2:$B$4734=B1764)*($D$2:$D$4734=D1764)*($E$2:$E$4734=0)),0)</f>
        <v>0</v>
      </c>
      <c r="L1764" s="1" t="str">
        <f>IF(E1764=0,SUMPRODUCT(MIN($K$2:$K$4734+((($A$2:$A$4734&lt;&gt;A1764)+($E$2:$E$4734&lt;&gt;0))&gt;0)*1000000)),"")</f>
        <v/>
      </c>
      <c r="M1764" s="1">
        <f>IF(AND(E1764=0,COUNTIFS($A$2:A1764,A1764,$E$2:E1764,0)=1),L1764,0)</f>
        <v>0</v>
      </c>
    </row>
    <row r="1765" spans="1:13" ht="15" customHeight="1">
      <c r="A1765" s="1">
        <v>7332</v>
      </c>
      <c r="B1765" s="1" t="s">
        <v>69</v>
      </c>
      <c r="C1765" s="2" t="s">
        <v>2044</v>
      </c>
      <c r="D1765" s="2" t="s">
        <v>2062</v>
      </c>
      <c r="E1765" s="1">
        <v>1</v>
      </c>
      <c r="F1765" s="2" t="s">
        <v>2064</v>
      </c>
      <c r="G1765" s="1">
        <v>2</v>
      </c>
      <c r="H1765" s="1" t="str">
        <f t="shared" si="28"/>
        <v>k7332_2</v>
      </c>
      <c r="K1765" s="1">
        <f>IF(E1765=0,SUMPRODUCT(($A$2:$A$4734=A1765)*($B$2:$B$4734=B1765)*($D$2:$D$4734=D1765)*($E$2:$E$4734=0)),0)</f>
        <v>0</v>
      </c>
      <c r="L1765" s="1" t="str">
        <f>IF(E1765=0,SUMPRODUCT(MIN($K$2:$K$4734+((($A$2:$A$4734&lt;&gt;A1765)+($E$2:$E$4734&lt;&gt;0))&gt;0)*1000000)),"")</f>
        <v/>
      </c>
      <c r="M1765" s="1">
        <f>IF(AND(E1765=0,COUNTIFS($A$2:A1765,A1765,$E$2:E1765,0)=1),L1765,0)</f>
        <v>0</v>
      </c>
    </row>
    <row r="1766" spans="1:13" ht="15" customHeight="1">
      <c r="A1766" s="1">
        <v>7332</v>
      </c>
      <c r="B1766" s="1" t="s">
        <v>69</v>
      </c>
      <c r="C1766" s="2" t="s">
        <v>2044</v>
      </c>
      <c r="D1766" s="2" t="s">
        <v>2062</v>
      </c>
      <c r="E1766" s="1">
        <v>1</v>
      </c>
      <c r="F1766" s="2" t="s">
        <v>2065</v>
      </c>
      <c r="G1766" s="1">
        <v>3</v>
      </c>
      <c r="H1766" s="1" t="str">
        <f t="shared" si="28"/>
        <v>k7332_3</v>
      </c>
      <c r="K1766" s="1">
        <f>IF(E1766=0,SUMPRODUCT(($A$2:$A$4734=A1766)*($B$2:$B$4734=B1766)*($D$2:$D$4734=D1766)*($E$2:$E$4734=0)),0)</f>
        <v>0</v>
      </c>
      <c r="L1766" s="1" t="str">
        <f>IF(E1766=0,SUMPRODUCT(MIN($K$2:$K$4734+((($A$2:$A$4734&lt;&gt;A1766)+($E$2:$E$4734&lt;&gt;0))&gt;0)*1000000)),"")</f>
        <v/>
      </c>
      <c r="M1766" s="1">
        <f>IF(AND(E1766=0,COUNTIFS($A$2:A1766,A1766,$E$2:E1766,0)=1),L1766,0)</f>
        <v>0</v>
      </c>
    </row>
    <row r="1767" spans="1:13" ht="15" customHeight="1">
      <c r="A1767" s="1">
        <v>7332</v>
      </c>
      <c r="B1767" s="1" t="s">
        <v>69</v>
      </c>
      <c r="C1767" s="2" t="s">
        <v>2044</v>
      </c>
      <c r="D1767" s="2" t="s">
        <v>2062</v>
      </c>
      <c r="E1767" s="1">
        <v>1</v>
      </c>
      <c r="F1767" s="2" t="s">
        <v>2066</v>
      </c>
      <c r="G1767" s="1">
        <v>4</v>
      </c>
      <c r="H1767" s="1" t="str">
        <f t="shared" si="28"/>
        <v>k7332_4</v>
      </c>
      <c r="K1767" s="1">
        <f>IF(E1767=0,SUMPRODUCT(($A$2:$A$4734=A1767)*($B$2:$B$4734=B1767)*($D$2:$D$4734=D1767)*($E$2:$E$4734=0)),0)</f>
        <v>0</v>
      </c>
      <c r="L1767" s="1" t="str">
        <f>IF(E1767=0,SUMPRODUCT(MIN($K$2:$K$4734+((($A$2:$A$4734&lt;&gt;A1767)+($E$2:$E$4734&lt;&gt;0))&gt;0)*1000000)),"")</f>
        <v/>
      </c>
      <c r="M1767" s="1">
        <f>IF(AND(E1767=0,COUNTIFS($A$2:A1767,A1767,$E$2:E1767,0)=1),L1767,0)</f>
        <v>0</v>
      </c>
    </row>
    <row r="1768" spans="1:13" ht="15" customHeight="1">
      <c r="A1768" s="1">
        <v>7332</v>
      </c>
      <c r="B1768" s="1" t="s">
        <v>69</v>
      </c>
      <c r="C1768" s="2" t="s">
        <v>2044</v>
      </c>
      <c r="D1768" s="2" t="s">
        <v>2062</v>
      </c>
      <c r="E1768" s="1">
        <v>1</v>
      </c>
      <c r="F1768" s="2" t="s">
        <v>2067</v>
      </c>
      <c r="G1768" s="1">
        <v>5</v>
      </c>
      <c r="H1768" s="1" t="str">
        <f t="shared" si="28"/>
        <v>k7332_5</v>
      </c>
      <c r="K1768" s="1">
        <f>IF(E1768=0,SUMPRODUCT(($A$2:$A$4734=A1768)*($B$2:$B$4734=B1768)*($D$2:$D$4734=D1768)*($E$2:$E$4734=0)),0)</f>
        <v>0</v>
      </c>
      <c r="L1768" s="1" t="str">
        <f>IF(E1768=0,SUMPRODUCT(MIN($K$2:$K$4734+((($A$2:$A$4734&lt;&gt;A1768)+($E$2:$E$4734&lt;&gt;0))&gt;0)*1000000)),"")</f>
        <v/>
      </c>
      <c r="M1768" s="1">
        <f>IF(AND(E1768=0,COUNTIFS($A$2:A1768,A1768,$E$2:E1768,0)=1),L1768,0)</f>
        <v>0</v>
      </c>
    </row>
    <row r="1769" spans="1:13" ht="15" customHeight="1">
      <c r="A1769" s="1">
        <v>7332</v>
      </c>
      <c r="B1769" s="1" t="s">
        <v>69</v>
      </c>
      <c r="C1769" s="2" t="s">
        <v>2044</v>
      </c>
      <c r="D1769" s="2" t="s">
        <v>2062</v>
      </c>
      <c r="E1769" s="1">
        <v>1</v>
      </c>
      <c r="F1769" s="2" t="s">
        <v>2068</v>
      </c>
      <c r="G1769" s="1">
        <v>6</v>
      </c>
      <c r="H1769" s="1" t="str">
        <f t="shared" si="28"/>
        <v>k7332_6</v>
      </c>
      <c r="K1769" s="1">
        <f>IF(E1769=0,SUMPRODUCT(($A$2:$A$4734=A1769)*($B$2:$B$4734=B1769)*($D$2:$D$4734=D1769)*($E$2:$E$4734=0)),0)</f>
        <v>0</v>
      </c>
      <c r="L1769" s="1" t="str">
        <f>IF(E1769=0,SUMPRODUCT(MIN($K$2:$K$4734+((($A$2:$A$4734&lt;&gt;A1769)+($E$2:$E$4734&lt;&gt;0))&gt;0)*1000000)),"")</f>
        <v/>
      </c>
      <c r="M1769" s="1">
        <f>IF(AND(E1769=0,COUNTIFS($A$2:A1769,A1769,$E$2:E1769,0)=1),L1769,0)</f>
        <v>0</v>
      </c>
    </row>
    <row r="1770" spans="1:13" ht="15" customHeight="1">
      <c r="A1770" s="1">
        <v>7332</v>
      </c>
      <c r="B1770" s="1" t="s">
        <v>9</v>
      </c>
      <c r="C1770" s="2" t="s">
        <v>2044</v>
      </c>
      <c r="D1770" s="2" t="s">
        <v>2069</v>
      </c>
      <c r="E1770" s="1">
        <v>1</v>
      </c>
      <c r="F1770" s="2" t="s">
        <v>2070</v>
      </c>
      <c r="G1770" s="1">
        <v>1</v>
      </c>
      <c r="H1770" s="1" t="str">
        <f t="shared" si="28"/>
        <v>k7332_1</v>
      </c>
      <c r="K1770" s="1">
        <f>IF(E1770=0,SUMPRODUCT(($A$2:$A$4734=A1770)*($B$2:$B$4734=B1770)*($D$2:$D$4734=D1770)*($E$2:$E$4734=0)),0)</f>
        <v>0</v>
      </c>
      <c r="L1770" s="1" t="str">
        <f>IF(E1770=0,SUMPRODUCT(MIN($K$2:$K$4734+((($A$2:$A$4734&lt;&gt;A1770)+($E$2:$E$4734&lt;&gt;0))&gt;0)*1000000)),"")</f>
        <v/>
      </c>
      <c r="M1770" s="1">
        <f>IF(AND(E1770=0,COUNTIFS($A$2:A1770,A1770,$E$2:E1770,0)=1),L1770,0)</f>
        <v>0</v>
      </c>
    </row>
    <row r="1771" spans="1:13" ht="15" customHeight="1">
      <c r="A1771" s="1">
        <v>7332</v>
      </c>
      <c r="B1771" s="1" t="s">
        <v>9</v>
      </c>
      <c r="C1771" s="2" t="s">
        <v>2044</v>
      </c>
      <c r="D1771" s="2" t="s">
        <v>2069</v>
      </c>
      <c r="E1771" s="1">
        <v>1</v>
      </c>
      <c r="F1771" s="2" t="s">
        <v>2071</v>
      </c>
      <c r="G1771" s="1">
        <v>2</v>
      </c>
      <c r="H1771" s="1" t="str">
        <f t="shared" si="28"/>
        <v>k7332_2</v>
      </c>
      <c r="K1771" s="1">
        <f>IF(E1771=0,SUMPRODUCT(($A$2:$A$4734=A1771)*($B$2:$B$4734=B1771)*($D$2:$D$4734=D1771)*($E$2:$E$4734=0)),0)</f>
        <v>0</v>
      </c>
      <c r="L1771" s="1" t="str">
        <f>IF(E1771=0,SUMPRODUCT(MIN($K$2:$K$4734+((($A$2:$A$4734&lt;&gt;A1771)+($E$2:$E$4734&lt;&gt;0))&gt;0)*1000000)),"")</f>
        <v/>
      </c>
      <c r="M1771" s="1">
        <f>IF(AND(E1771=0,COUNTIFS($A$2:A1771,A1771,$E$2:E1771,0)=1),L1771,0)</f>
        <v>0</v>
      </c>
    </row>
    <row r="1772" spans="1:13" ht="15" customHeight="1">
      <c r="A1772" s="1">
        <v>7332</v>
      </c>
      <c r="B1772" s="1" t="s">
        <v>9</v>
      </c>
      <c r="C1772" s="2" t="s">
        <v>2044</v>
      </c>
      <c r="D1772" s="2" t="s">
        <v>2069</v>
      </c>
      <c r="E1772" s="1">
        <v>1</v>
      </c>
      <c r="F1772" s="2" t="s">
        <v>2072</v>
      </c>
      <c r="G1772" s="1">
        <v>3</v>
      </c>
      <c r="H1772" s="1" t="str">
        <f t="shared" si="28"/>
        <v>k7332_3</v>
      </c>
      <c r="K1772" s="1">
        <f>IF(E1772=0,SUMPRODUCT(($A$2:$A$4734=A1772)*($B$2:$B$4734=B1772)*($D$2:$D$4734=D1772)*($E$2:$E$4734=0)),0)</f>
        <v>0</v>
      </c>
      <c r="L1772" s="1" t="str">
        <f>IF(E1772=0,SUMPRODUCT(MIN($K$2:$K$4734+((($A$2:$A$4734&lt;&gt;A1772)+($E$2:$E$4734&lt;&gt;0))&gt;0)*1000000)),"")</f>
        <v/>
      </c>
      <c r="M1772" s="1">
        <f>IF(AND(E1772=0,COUNTIFS($A$2:A1772,A1772,$E$2:E1772,0)=1),L1772,0)</f>
        <v>0</v>
      </c>
    </row>
    <row r="1773" spans="1:13" ht="15" customHeight="1">
      <c r="A1773" s="1">
        <v>7332</v>
      </c>
      <c r="B1773" s="1" t="s">
        <v>9</v>
      </c>
      <c r="C1773" s="2" t="s">
        <v>2044</v>
      </c>
      <c r="D1773" s="2" t="s">
        <v>2069</v>
      </c>
      <c r="E1773" s="1">
        <v>1</v>
      </c>
      <c r="F1773" s="2" t="s">
        <v>2071</v>
      </c>
      <c r="G1773" s="1">
        <v>4</v>
      </c>
      <c r="H1773" s="1" t="str">
        <f t="shared" si="28"/>
        <v>k7332_4</v>
      </c>
      <c r="K1773" s="1">
        <f>IF(E1773=0,SUMPRODUCT(($A$2:$A$4734=A1773)*($B$2:$B$4734=B1773)*($D$2:$D$4734=D1773)*($E$2:$E$4734=0)),0)</f>
        <v>0</v>
      </c>
      <c r="L1773" s="1" t="str">
        <f>IF(E1773=0,SUMPRODUCT(MIN($K$2:$K$4734+((($A$2:$A$4734&lt;&gt;A1773)+($E$2:$E$4734&lt;&gt;0))&gt;0)*1000000)),"")</f>
        <v/>
      </c>
      <c r="M1773" s="1">
        <f>IF(AND(E1773=0,COUNTIFS($A$2:A1773,A1773,$E$2:E1773,0)=1),L1773,0)</f>
        <v>0</v>
      </c>
    </row>
    <row r="1774" spans="1:13" ht="15" customHeight="1">
      <c r="A1774" s="1">
        <v>7332</v>
      </c>
      <c r="B1774" s="1" t="s">
        <v>9</v>
      </c>
      <c r="C1774" s="2" t="s">
        <v>2044</v>
      </c>
      <c r="D1774" s="2" t="s">
        <v>2069</v>
      </c>
      <c r="E1774" s="1">
        <v>1</v>
      </c>
      <c r="F1774" s="2" t="s">
        <v>2072</v>
      </c>
      <c r="G1774" s="1">
        <v>5</v>
      </c>
      <c r="H1774" s="1" t="str">
        <f t="shared" si="28"/>
        <v>k7332_5</v>
      </c>
      <c r="K1774" s="1">
        <f>IF(E1774=0,SUMPRODUCT(($A$2:$A$4734=A1774)*($B$2:$B$4734=B1774)*($D$2:$D$4734=D1774)*($E$2:$E$4734=0)),0)</f>
        <v>0</v>
      </c>
      <c r="L1774" s="1" t="str">
        <f>IF(E1774=0,SUMPRODUCT(MIN($K$2:$K$4734+((($A$2:$A$4734&lt;&gt;A1774)+($E$2:$E$4734&lt;&gt;0))&gt;0)*1000000)),"")</f>
        <v/>
      </c>
      <c r="M1774" s="1">
        <f>IF(AND(E1774=0,COUNTIFS($A$2:A1774,A1774,$E$2:E1774,0)=1),L1774,0)</f>
        <v>0</v>
      </c>
    </row>
    <row r="1775" spans="1:13" ht="15" customHeight="1">
      <c r="A1775" s="1">
        <v>7332</v>
      </c>
      <c r="B1775" s="1" t="s">
        <v>9</v>
      </c>
      <c r="C1775" s="2" t="s">
        <v>2044</v>
      </c>
      <c r="D1775" s="2" t="s">
        <v>2069</v>
      </c>
      <c r="E1775" s="1">
        <v>1</v>
      </c>
      <c r="F1775" s="2" t="s">
        <v>2073</v>
      </c>
      <c r="G1775" s="1">
        <v>6</v>
      </c>
      <c r="H1775" s="1" t="str">
        <f t="shared" si="28"/>
        <v>k7332_6</v>
      </c>
      <c r="K1775" s="1">
        <f>IF(E1775=0,SUMPRODUCT(($A$2:$A$4734=A1775)*($B$2:$B$4734=B1775)*($D$2:$D$4734=D1775)*($E$2:$E$4734=0)),0)</f>
        <v>0</v>
      </c>
      <c r="L1775" s="1" t="str">
        <f>IF(E1775=0,SUMPRODUCT(MIN($K$2:$K$4734+((($A$2:$A$4734&lt;&gt;A1775)+($E$2:$E$4734&lt;&gt;0))&gt;0)*1000000)),"")</f>
        <v/>
      </c>
      <c r="M1775" s="1">
        <f>IF(AND(E1775=0,COUNTIFS($A$2:A1775,A1775,$E$2:E1775,0)=1),L1775,0)</f>
        <v>0</v>
      </c>
    </row>
    <row r="1776" spans="1:13" ht="15" customHeight="1">
      <c r="A1776" s="1">
        <v>7333</v>
      </c>
      <c r="B1776" s="1" t="s">
        <v>173</v>
      </c>
      <c r="C1776" s="2" t="s">
        <v>2074</v>
      </c>
      <c r="D1776" s="2" t="s">
        <v>2074</v>
      </c>
      <c r="E1776" s="1">
        <v>1</v>
      </c>
      <c r="F1776" s="2" t="s">
        <v>2075</v>
      </c>
      <c r="G1776" s="1">
        <v>1</v>
      </c>
      <c r="H1776" s="1" t="str">
        <f t="shared" si="28"/>
        <v>k7333_1</v>
      </c>
      <c r="K1776" s="1">
        <f>IF(E1776=0,SUMPRODUCT(($A$2:$A$4734=A1776)*($B$2:$B$4734=B1776)*($D$2:$D$4734=D1776)*($E$2:$E$4734=0)),0)</f>
        <v>0</v>
      </c>
      <c r="L1776" s="1" t="str">
        <f>IF(E1776=0,SUMPRODUCT(MIN($K$2:$K$4734+((($A$2:$A$4734&lt;&gt;A1776)+($E$2:$E$4734&lt;&gt;0))&gt;0)*1000000)),"")</f>
        <v/>
      </c>
      <c r="M1776" s="1">
        <f>IF(AND(E1776=0,COUNTIFS($A$2:A1776,A1776,$E$2:E1776,0)=1),L1776,0)</f>
        <v>0</v>
      </c>
    </row>
    <row r="1777" spans="1:13" ht="15" customHeight="1">
      <c r="A1777" s="1">
        <v>7333</v>
      </c>
      <c r="B1777" s="1" t="s">
        <v>173</v>
      </c>
      <c r="C1777" s="2" t="s">
        <v>2074</v>
      </c>
      <c r="D1777" s="2" t="s">
        <v>2074</v>
      </c>
      <c r="E1777" s="1">
        <v>1</v>
      </c>
      <c r="F1777" s="2" t="s">
        <v>2076</v>
      </c>
      <c r="G1777" s="1">
        <v>2</v>
      </c>
      <c r="H1777" s="1" t="str">
        <f t="shared" si="28"/>
        <v>k7333_2</v>
      </c>
      <c r="K1777" s="1">
        <f>IF(E1777=0,SUMPRODUCT(($A$2:$A$4734=A1777)*($B$2:$B$4734=B1777)*($D$2:$D$4734=D1777)*($E$2:$E$4734=0)),0)</f>
        <v>0</v>
      </c>
      <c r="L1777" s="1" t="str">
        <f>IF(E1777=0,SUMPRODUCT(MIN($K$2:$K$4734+((($A$2:$A$4734&lt;&gt;A1777)+($E$2:$E$4734&lt;&gt;0))&gt;0)*1000000)),"")</f>
        <v/>
      </c>
      <c r="M1777" s="1">
        <f>IF(AND(E1777=0,COUNTIFS($A$2:A1777,A1777,$E$2:E1777,0)=1),L1777,0)</f>
        <v>0</v>
      </c>
    </row>
    <row r="1778" spans="1:13" ht="15" customHeight="1">
      <c r="A1778" s="1">
        <v>7333</v>
      </c>
      <c r="B1778" s="1" t="s">
        <v>173</v>
      </c>
      <c r="C1778" s="2" t="s">
        <v>2074</v>
      </c>
      <c r="D1778" s="2" t="s">
        <v>2074</v>
      </c>
      <c r="E1778" s="1">
        <v>1</v>
      </c>
      <c r="F1778" s="2" t="s">
        <v>2077</v>
      </c>
      <c r="G1778" s="1">
        <v>3</v>
      </c>
      <c r="H1778" s="1" t="str">
        <f t="shared" si="28"/>
        <v>k7333_3</v>
      </c>
      <c r="K1778" s="1">
        <f>IF(E1778=0,SUMPRODUCT(($A$2:$A$4734=A1778)*($B$2:$B$4734=B1778)*($D$2:$D$4734=D1778)*($E$2:$E$4734=0)),0)</f>
        <v>0</v>
      </c>
      <c r="L1778" s="1" t="str">
        <f>IF(E1778=0,SUMPRODUCT(MIN($K$2:$K$4734+((($A$2:$A$4734&lt;&gt;A1778)+($E$2:$E$4734&lt;&gt;0))&gt;0)*1000000)),"")</f>
        <v/>
      </c>
      <c r="M1778" s="1">
        <f>IF(AND(E1778=0,COUNTIFS($A$2:A1778,A1778,$E$2:E1778,0)=1),L1778,0)</f>
        <v>0</v>
      </c>
    </row>
    <row r="1779" spans="1:13" ht="15" customHeight="1">
      <c r="A1779" s="1">
        <v>7333</v>
      </c>
      <c r="B1779" s="1" t="s">
        <v>173</v>
      </c>
      <c r="C1779" s="2" t="s">
        <v>2074</v>
      </c>
      <c r="D1779" s="2" t="s">
        <v>2074</v>
      </c>
      <c r="E1779" s="1">
        <v>1</v>
      </c>
      <c r="F1779" s="2" t="s">
        <v>2078</v>
      </c>
      <c r="G1779" s="1">
        <v>4</v>
      </c>
      <c r="H1779" s="1" t="str">
        <f t="shared" si="28"/>
        <v>k7333_4</v>
      </c>
      <c r="K1779" s="1">
        <f>IF(E1779=0,SUMPRODUCT(($A$2:$A$4734=A1779)*($B$2:$B$4734=B1779)*($D$2:$D$4734=D1779)*($E$2:$E$4734=0)),0)</f>
        <v>0</v>
      </c>
      <c r="L1779" s="1" t="str">
        <f>IF(E1779=0,SUMPRODUCT(MIN($K$2:$K$4734+((($A$2:$A$4734&lt;&gt;A1779)+($E$2:$E$4734&lt;&gt;0))&gt;0)*1000000)),"")</f>
        <v/>
      </c>
      <c r="M1779" s="1">
        <f>IF(AND(E1779=0,COUNTIFS($A$2:A1779,A1779,$E$2:E1779,0)=1),L1779,0)</f>
        <v>0</v>
      </c>
    </row>
    <row r="1780" spans="1:13" ht="15" customHeight="1">
      <c r="A1780" s="1">
        <v>7333</v>
      </c>
      <c r="B1780" s="1" t="s">
        <v>1644</v>
      </c>
      <c r="C1780" s="2" t="s">
        <v>2074</v>
      </c>
      <c r="D1780" s="2" t="s">
        <v>2079</v>
      </c>
      <c r="E1780" s="1">
        <v>1</v>
      </c>
      <c r="F1780" s="2" t="s">
        <v>2080</v>
      </c>
      <c r="G1780" s="1">
        <v>1</v>
      </c>
      <c r="H1780" s="1" t="str">
        <f t="shared" si="28"/>
        <v>k7333_1</v>
      </c>
      <c r="K1780" s="1">
        <f>IF(E1780=0,SUMPRODUCT(($A$2:$A$4734=A1780)*($B$2:$B$4734=B1780)*($D$2:$D$4734=D1780)*($E$2:$E$4734=0)),0)</f>
        <v>0</v>
      </c>
      <c r="L1780" s="1" t="str">
        <f>IF(E1780=0,SUMPRODUCT(MIN($K$2:$K$4734+((($A$2:$A$4734&lt;&gt;A1780)+($E$2:$E$4734&lt;&gt;0))&gt;0)*1000000)),"")</f>
        <v/>
      </c>
      <c r="M1780" s="1">
        <f>IF(AND(E1780=0,COUNTIFS($A$2:A1780,A1780,$E$2:E1780,0)=1),L1780,0)</f>
        <v>0</v>
      </c>
    </row>
    <row r="1781" spans="1:13" ht="15" customHeight="1">
      <c r="A1781" s="1">
        <v>7333</v>
      </c>
      <c r="B1781" s="1" t="s">
        <v>1644</v>
      </c>
      <c r="C1781" s="2" t="s">
        <v>2074</v>
      </c>
      <c r="D1781" s="2" t="s">
        <v>2079</v>
      </c>
      <c r="E1781" s="1">
        <v>1</v>
      </c>
      <c r="F1781" s="2" t="s">
        <v>2081</v>
      </c>
      <c r="G1781" s="1">
        <v>2</v>
      </c>
      <c r="H1781" s="1" t="str">
        <f t="shared" si="28"/>
        <v>k7333_2</v>
      </c>
      <c r="K1781" s="1">
        <f>IF(E1781=0,SUMPRODUCT(($A$2:$A$4734=A1781)*($B$2:$B$4734=B1781)*($D$2:$D$4734=D1781)*($E$2:$E$4734=0)),0)</f>
        <v>0</v>
      </c>
      <c r="L1781" s="1" t="str">
        <f>IF(E1781=0,SUMPRODUCT(MIN($K$2:$K$4734+((($A$2:$A$4734&lt;&gt;A1781)+($E$2:$E$4734&lt;&gt;0))&gt;0)*1000000)),"")</f>
        <v/>
      </c>
      <c r="M1781" s="1">
        <f>IF(AND(E1781=0,COUNTIFS($A$2:A1781,A1781,$E$2:E1781,0)=1),L1781,0)</f>
        <v>0</v>
      </c>
    </row>
    <row r="1782" spans="1:13" ht="15" customHeight="1">
      <c r="A1782" s="1">
        <v>7333</v>
      </c>
      <c r="B1782" s="1" t="s">
        <v>1644</v>
      </c>
      <c r="C1782" s="2" t="s">
        <v>2074</v>
      </c>
      <c r="D1782" s="2" t="s">
        <v>2079</v>
      </c>
      <c r="E1782" s="1">
        <v>1</v>
      </c>
      <c r="F1782" s="2" t="s">
        <v>2082</v>
      </c>
      <c r="G1782" s="1">
        <v>3</v>
      </c>
      <c r="H1782" s="1" t="str">
        <f t="shared" si="28"/>
        <v>k7333_3</v>
      </c>
      <c r="K1782" s="1">
        <f>IF(E1782=0,SUMPRODUCT(($A$2:$A$4734=A1782)*($B$2:$B$4734=B1782)*($D$2:$D$4734=D1782)*($E$2:$E$4734=0)),0)</f>
        <v>0</v>
      </c>
      <c r="L1782" s="1" t="str">
        <f>IF(E1782=0,SUMPRODUCT(MIN($K$2:$K$4734+((($A$2:$A$4734&lt;&gt;A1782)+($E$2:$E$4734&lt;&gt;0))&gt;0)*1000000)),"")</f>
        <v/>
      </c>
      <c r="M1782" s="1">
        <f>IF(AND(E1782=0,COUNTIFS($A$2:A1782,A1782,$E$2:E1782,0)=1),L1782,0)</f>
        <v>0</v>
      </c>
    </row>
    <row r="1783" spans="1:13" ht="15" customHeight="1">
      <c r="A1783" s="1">
        <v>7333</v>
      </c>
      <c r="B1783" s="1" t="s">
        <v>1644</v>
      </c>
      <c r="C1783" s="2" t="s">
        <v>2074</v>
      </c>
      <c r="D1783" s="2" t="s">
        <v>2079</v>
      </c>
      <c r="E1783" s="1">
        <v>1</v>
      </c>
      <c r="F1783" s="2" t="s">
        <v>2083</v>
      </c>
      <c r="G1783" s="1">
        <v>4</v>
      </c>
      <c r="H1783" s="1" t="str">
        <f t="shared" si="28"/>
        <v>k7333_4</v>
      </c>
      <c r="K1783" s="1">
        <f>IF(E1783=0,SUMPRODUCT(($A$2:$A$4734=A1783)*($B$2:$B$4734=B1783)*($D$2:$D$4734=D1783)*($E$2:$E$4734=0)),0)</f>
        <v>0</v>
      </c>
      <c r="L1783" s="1" t="str">
        <f>IF(E1783=0,SUMPRODUCT(MIN($K$2:$K$4734+((($A$2:$A$4734&lt;&gt;A1783)+($E$2:$E$4734&lt;&gt;0))&gt;0)*1000000)),"")</f>
        <v/>
      </c>
      <c r="M1783" s="1">
        <f>IF(AND(E1783=0,COUNTIFS($A$2:A1783,A1783,$E$2:E1783,0)=1),L1783,0)</f>
        <v>0</v>
      </c>
    </row>
    <row r="1784" spans="1:13" ht="15" customHeight="1">
      <c r="A1784" s="1">
        <v>7333</v>
      </c>
      <c r="B1784" s="1" t="s">
        <v>9</v>
      </c>
      <c r="C1784" s="2" t="s">
        <v>2074</v>
      </c>
      <c r="D1784" s="2" t="s">
        <v>2084</v>
      </c>
      <c r="E1784" s="1">
        <v>1</v>
      </c>
      <c r="F1784" s="2" t="s">
        <v>2085</v>
      </c>
      <c r="G1784" s="1">
        <v>1</v>
      </c>
      <c r="H1784" s="1" t="str">
        <f t="shared" si="28"/>
        <v>k7333_1</v>
      </c>
      <c r="K1784" s="1">
        <f>IF(E1784=0,SUMPRODUCT(($A$2:$A$4734=A1784)*($B$2:$B$4734=B1784)*($D$2:$D$4734=D1784)*($E$2:$E$4734=0)),0)</f>
        <v>0</v>
      </c>
      <c r="L1784" s="1" t="str">
        <f>IF(E1784=0,SUMPRODUCT(MIN($K$2:$K$4734+((($A$2:$A$4734&lt;&gt;A1784)+($E$2:$E$4734&lt;&gt;0))&gt;0)*1000000)),"")</f>
        <v/>
      </c>
      <c r="M1784" s="1">
        <f>IF(AND(E1784=0,COUNTIFS($A$2:A1784,A1784,$E$2:E1784,0)=1),L1784,0)</f>
        <v>0</v>
      </c>
    </row>
    <row r="1785" spans="1:13" ht="15" customHeight="1">
      <c r="A1785" s="1">
        <v>7333</v>
      </c>
      <c r="B1785" s="1" t="s">
        <v>9</v>
      </c>
      <c r="C1785" s="2" t="s">
        <v>2074</v>
      </c>
      <c r="D1785" s="2" t="s">
        <v>2084</v>
      </c>
      <c r="E1785" s="1">
        <v>1</v>
      </c>
      <c r="F1785" s="2" t="s">
        <v>2086</v>
      </c>
      <c r="G1785" s="1">
        <v>2</v>
      </c>
      <c r="H1785" s="1" t="str">
        <f t="shared" si="28"/>
        <v>k7333_2</v>
      </c>
      <c r="K1785" s="1">
        <f>IF(E1785=0,SUMPRODUCT(($A$2:$A$4734=A1785)*($B$2:$B$4734=B1785)*($D$2:$D$4734=D1785)*($E$2:$E$4734=0)),0)</f>
        <v>0</v>
      </c>
      <c r="L1785" s="1" t="str">
        <f>IF(E1785=0,SUMPRODUCT(MIN($K$2:$K$4734+((($A$2:$A$4734&lt;&gt;A1785)+($E$2:$E$4734&lt;&gt;0))&gt;0)*1000000)),"")</f>
        <v/>
      </c>
      <c r="M1785" s="1">
        <f>IF(AND(E1785=0,COUNTIFS($A$2:A1785,A1785,$E$2:E1785,0)=1),L1785,0)</f>
        <v>0</v>
      </c>
    </row>
    <row r="1786" spans="1:13" ht="15" customHeight="1">
      <c r="A1786" s="1">
        <v>7333</v>
      </c>
      <c r="B1786" s="1" t="s">
        <v>9</v>
      </c>
      <c r="C1786" s="2" t="s">
        <v>2074</v>
      </c>
      <c r="D1786" s="2" t="s">
        <v>2084</v>
      </c>
      <c r="E1786" s="1">
        <v>1</v>
      </c>
      <c r="F1786" s="2" t="s">
        <v>2087</v>
      </c>
      <c r="G1786" s="1">
        <v>3</v>
      </c>
      <c r="H1786" s="1" t="str">
        <f t="shared" si="28"/>
        <v>k7333_3</v>
      </c>
      <c r="K1786" s="1">
        <f>IF(E1786=0,SUMPRODUCT(($A$2:$A$4734=A1786)*($B$2:$B$4734=B1786)*($D$2:$D$4734=D1786)*($E$2:$E$4734=0)),0)</f>
        <v>0</v>
      </c>
      <c r="L1786" s="1" t="str">
        <f>IF(E1786=0,SUMPRODUCT(MIN($K$2:$K$4734+((($A$2:$A$4734&lt;&gt;A1786)+($E$2:$E$4734&lt;&gt;0))&gt;0)*1000000)),"")</f>
        <v/>
      </c>
      <c r="M1786" s="1">
        <f>IF(AND(E1786=0,COUNTIFS($A$2:A1786,A1786,$E$2:E1786,0)=1),L1786,0)</f>
        <v>0</v>
      </c>
    </row>
    <row r="1787" spans="1:13" ht="15" customHeight="1">
      <c r="A1787" s="1">
        <v>7333</v>
      </c>
      <c r="B1787" s="1" t="s">
        <v>9</v>
      </c>
      <c r="C1787" s="2" t="s">
        <v>2074</v>
      </c>
      <c r="D1787" s="2" t="s">
        <v>2084</v>
      </c>
      <c r="E1787" s="1">
        <v>1</v>
      </c>
      <c r="F1787" s="2" t="s">
        <v>2088</v>
      </c>
      <c r="G1787" s="1">
        <v>4</v>
      </c>
      <c r="H1787" s="1" t="str">
        <f t="shared" si="28"/>
        <v>k7333_4</v>
      </c>
      <c r="K1787" s="1">
        <f>IF(E1787=0,SUMPRODUCT(($A$2:$A$4734=A1787)*($B$2:$B$4734=B1787)*($D$2:$D$4734=D1787)*($E$2:$E$4734=0)),0)</f>
        <v>0</v>
      </c>
      <c r="L1787" s="1" t="str">
        <f>IF(E1787=0,SUMPRODUCT(MIN($K$2:$K$4734+((($A$2:$A$4734&lt;&gt;A1787)+($E$2:$E$4734&lt;&gt;0))&gt;0)*1000000)),"")</f>
        <v/>
      </c>
      <c r="M1787" s="1">
        <f>IF(AND(E1787=0,COUNTIFS($A$2:A1787,A1787,$E$2:E1787,0)=1),L1787,0)</f>
        <v>0</v>
      </c>
    </row>
    <row r="1788" spans="1:13" ht="15" customHeight="1">
      <c r="A1788" s="1">
        <v>7334</v>
      </c>
      <c r="B1788" s="1" t="s">
        <v>69</v>
      </c>
      <c r="C1788" s="2" t="s">
        <v>2089</v>
      </c>
      <c r="D1788" s="2" t="s">
        <v>2089</v>
      </c>
      <c r="E1788" s="1">
        <v>1</v>
      </c>
      <c r="F1788" s="2" t="s">
        <v>2090</v>
      </c>
      <c r="G1788" s="1">
        <v>1</v>
      </c>
      <c r="H1788" s="1" t="str">
        <f t="shared" si="28"/>
        <v>k7334_1</v>
      </c>
      <c r="K1788" s="1">
        <f>IF(E1788=0,SUMPRODUCT(($A$2:$A$4734=A1788)*($B$2:$B$4734=B1788)*($D$2:$D$4734=D1788)*($E$2:$E$4734=0)),0)</f>
        <v>0</v>
      </c>
      <c r="L1788" s="1" t="str">
        <f>IF(E1788=0,SUMPRODUCT(MIN($K$2:$K$4734+((($A$2:$A$4734&lt;&gt;A1788)+($E$2:$E$4734&lt;&gt;0))&gt;0)*1000000)),"")</f>
        <v/>
      </c>
      <c r="M1788" s="1">
        <f>IF(AND(E1788=0,COUNTIFS($A$2:A1788,A1788,$E$2:E1788,0)=1),L1788,0)</f>
        <v>0</v>
      </c>
    </row>
    <row r="1789" spans="1:13" ht="15" customHeight="1">
      <c r="A1789" s="1">
        <v>7334</v>
      </c>
      <c r="B1789" s="1" t="s">
        <v>69</v>
      </c>
      <c r="C1789" s="2" t="s">
        <v>2089</v>
      </c>
      <c r="D1789" s="2" t="s">
        <v>2089</v>
      </c>
      <c r="E1789" s="1">
        <v>1</v>
      </c>
      <c r="F1789" s="2" t="s">
        <v>2091</v>
      </c>
      <c r="G1789" s="1">
        <v>2</v>
      </c>
      <c r="H1789" s="1" t="str">
        <f t="shared" si="28"/>
        <v>k7334_2</v>
      </c>
      <c r="K1789" s="1">
        <f>IF(E1789=0,SUMPRODUCT(($A$2:$A$4734=A1789)*($B$2:$B$4734=B1789)*($D$2:$D$4734=D1789)*($E$2:$E$4734=0)),0)</f>
        <v>0</v>
      </c>
      <c r="L1789" s="1" t="str">
        <f>IF(E1789=0,SUMPRODUCT(MIN($K$2:$K$4734+((($A$2:$A$4734&lt;&gt;A1789)+($E$2:$E$4734&lt;&gt;0))&gt;0)*1000000)),"")</f>
        <v/>
      </c>
      <c r="M1789" s="1">
        <f>IF(AND(E1789=0,COUNTIFS($A$2:A1789,A1789,$E$2:E1789,0)=1),L1789,0)</f>
        <v>0</v>
      </c>
    </row>
    <row r="1790" spans="1:13" ht="15" customHeight="1">
      <c r="A1790" s="1">
        <v>7334</v>
      </c>
      <c r="B1790" s="1" t="s">
        <v>69</v>
      </c>
      <c r="C1790" s="2" t="s">
        <v>2089</v>
      </c>
      <c r="D1790" s="2" t="s">
        <v>2089</v>
      </c>
      <c r="E1790" s="1">
        <v>1</v>
      </c>
      <c r="F1790" s="2" t="s">
        <v>2092</v>
      </c>
      <c r="G1790" s="1">
        <v>3</v>
      </c>
      <c r="H1790" s="1" t="str">
        <f t="shared" si="28"/>
        <v>k7334_3</v>
      </c>
      <c r="K1790" s="1">
        <f>IF(E1790=0,SUMPRODUCT(($A$2:$A$4734=A1790)*($B$2:$B$4734=B1790)*($D$2:$D$4734=D1790)*($E$2:$E$4734=0)),0)</f>
        <v>0</v>
      </c>
      <c r="L1790" s="1" t="str">
        <f>IF(E1790=0,SUMPRODUCT(MIN($K$2:$K$4734+((($A$2:$A$4734&lt;&gt;A1790)+($E$2:$E$4734&lt;&gt;0))&gt;0)*1000000)),"")</f>
        <v/>
      </c>
      <c r="M1790" s="1">
        <f>IF(AND(E1790=0,COUNTIFS($A$2:A1790,A1790,$E$2:E1790,0)=1),L1790,0)</f>
        <v>0</v>
      </c>
    </row>
    <row r="1791" spans="1:13" ht="15" customHeight="1">
      <c r="A1791" s="1">
        <v>7334</v>
      </c>
      <c r="B1791" s="1" t="s">
        <v>16</v>
      </c>
      <c r="C1791" s="2" t="s">
        <v>2089</v>
      </c>
      <c r="D1791" s="2" t="s">
        <v>2093</v>
      </c>
      <c r="E1791" s="1">
        <v>1</v>
      </c>
      <c r="F1791" s="2" t="s">
        <v>2094</v>
      </c>
      <c r="G1791" s="1">
        <v>1</v>
      </c>
      <c r="H1791" s="1" t="str">
        <f t="shared" si="28"/>
        <v>k7334_1</v>
      </c>
      <c r="K1791" s="1">
        <f>IF(E1791=0,SUMPRODUCT(($A$2:$A$4734=A1791)*($B$2:$B$4734=B1791)*($D$2:$D$4734=D1791)*($E$2:$E$4734=0)),0)</f>
        <v>0</v>
      </c>
      <c r="L1791" s="1" t="str">
        <f>IF(E1791=0,SUMPRODUCT(MIN($K$2:$K$4734+((($A$2:$A$4734&lt;&gt;A1791)+($E$2:$E$4734&lt;&gt;0))&gt;0)*1000000)),"")</f>
        <v/>
      </c>
      <c r="M1791" s="1">
        <f>IF(AND(E1791=0,COUNTIFS($A$2:A1791,A1791,$E$2:E1791,0)=1),L1791,0)</f>
        <v>0</v>
      </c>
    </row>
    <row r="1792" spans="1:13" ht="15" customHeight="1">
      <c r="A1792" s="1">
        <v>7334</v>
      </c>
      <c r="B1792" s="1" t="s">
        <v>16</v>
      </c>
      <c r="C1792" s="2" t="s">
        <v>2089</v>
      </c>
      <c r="D1792" s="2" t="s">
        <v>2093</v>
      </c>
      <c r="E1792" s="1">
        <v>1</v>
      </c>
      <c r="F1792" s="2" t="s">
        <v>2095</v>
      </c>
      <c r="G1792" s="1">
        <v>2</v>
      </c>
      <c r="H1792" s="1" t="str">
        <f t="shared" si="28"/>
        <v>k7334_2</v>
      </c>
      <c r="K1792" s="1">
        <f>IF(E1792=0,SUMPRODUCT(($A$2:$A$4734=A1792)*($B$2:$B$4734=B1792)*($D$2:$D$4734=D1792)*($E$2:$E$4734=0)),0)</f>
        <v>0</v>
      </c>
      <c r="L1792" s="1" t="str">
        <f>IF(E1792=0,SUMPRODUCT(MIN($K$2:$K$4734+((($A$2:$A$4734&lt;&gt;A1792)+($E$2:$E$4734&lt;&gt;0))&gt;0)*1000000)),"")</f>
        <v/>
      </c>
      <c r="M1792" s="1">
        <f>IF(AND(E1792=0,COUNTIFS($A$2:A1792,A1792,$E$2:E1792,0)=1),L1792,0)</f>
        <v>0</v>
      </c>
    </row>
    <row r="1793" spans="1:13" ht="15" customHeight="1">
      <c r="A1793" s="1">
        <v>7334</v>
      </c>
      <c r="B1793" s="1" t="s">
        <v>16</v>
      </c>
      <c r="C1793" s="2" t="s">
        <v>2089</v>
      </c>
      <c r="D1793" s="2" t="s">
        <v>2093</v>
      </c>
      <c r="E1793" s="1">
        <v>1</v>
      </c>
      <c r="F1793" s="2" t="s">
        <v>2096</v>
      </c>
      <c r="G1793" s="1">
        <v>3</v>
      </c>
      <c r="H1793" s="1" t="str">
        <f t="shared" si="28"/>
        <v>k7334_3</v>
      </c>
      <c r="K1793" s="1">
        <f>IF(E1793=0,SUMPRODUCT(($A$2:$A$4734=A1793)*($B$2:$B$4734=B1793)*($D$2:$D$4734=D1793)*($E$2:$E$4734=0)),0)</f>
        <v>0</v>
      </c>
      <c r="L1793" s="1" t="str">
        <f>IF(E1793=0,SUMPRODUCT(MIN($K$2:$K$4734+((($A$2:$A$4734&lt;&gt;A1793)+($E$2:$E$4734&lt;&gt;0))&gt;0)*1000000)),"")</f>
        <v/>
      </c>
      <c r="M1793" s="1">
        <f>IF(AND(E1793=0,COUNTIFS($A$2:A1793,A1793,$E$2:E1793,0)=1),L1793,0)</f>
        <v>0</v>
      </c>
    </row>
    <row r="1794" spans="1:13" ht="15" customHeight="1">
      <c r="A1794" s="1">
        <v>7335</v>
      </c>
      <c r="B1794" s="1" t="s">
        <v>9</v>
      </c>
      <c r="C1794" s="2" t="s">
        <v>2097</v>
      </c>
      <c r="D1794" s="2" t="s">
        <v>2098</v>
      </c>
      <c r="E1794" s="1">
        <v>0</v>
      </c>
      <c r="F1794" s="2" t="s">
        <v>2099</v>
      </c>
      <c r="H1794" s="1" t="str">
        <f t="shared" si="28"/>
        <v/>
      </c>
      <c r="K1794" s="1">
        <f>IF(E1794=0,SUMPRODUCT(($A$2:$A$4734=A1794)*($B$2:$B$4734=B1794)*($D$2:$D$4734=D1794)*($E$2:$E$4734=0)),0)</f>
        <v>3</v>
      </c>
      <c r="L1794" s="1">
        <f>IF(E1794=0,SUMPRODUCT(MIN($K$2:$K$4734+((($A$2:$A$4734&lt;&gt;A1794)+($E$2:$E$4734&lt;&gt;0))&gt;0)*1000000)),"")</f>
        <v>3</v>
      </c>
      <c r="M1794" s="1">
        <f>IF(AND(E1794=0,COUNTIFS($A$2:A1794,A1794,$E$2:E1794,0)=1),L1794,0)</f>
        <v>3</v>
      </c>
    </row>
    <row r="1795" spans="1:13" ht="15" customHeight="1">
      <c r="A1795" s="1">
        <v>7335</v>
      </c>
      <c r="B1795" s="1" t="s">
        <v>9</v>
      </c>
      <c r="C1795" s="2" t="s">
        <v>2097</v>
      </c>
      <c r="D1795" s="2" t="s">
        <v>2098</v>
      </c>
      <c r="E1795" s="1">
        <v>0</v>
      </c>
      <c r="F1795" s="2" t="s">
        <v>2101</v>
      </c>
      <c r="H1795" s="1" t="str">
        <f t="shared" si="28"/>
        <v/>
      </c>
      <c r="K1795" s="1">
        <f>IF(E1795=0,SUMPRODUCT(($A$2:$A$4734=A1795)*($B$2:$B$4734=B1795)*($D$2:$D$4734=D1795)*($E$2:$E$4734=0)),0)</f>
        <v>3</v>
      </c>
      <c r="L1795" s="1">
        <f>IF(E1795=0,SUMPRODUCT(MIN($K$2:$K$4734+((($A$2:$A$4734&lt;&gt;A1795)+($E$2:$E$4734&lt;&gt;0))&gt;0)*1000000)),"")</f>
        <v>3</v>
      </c>
      <c r="M1795" s="1">
        <f>IF(AND(E1795=0,COUNTIFS($A$2:A1795,A1795,$E$2:E1795,0)=1),L1795,0)</f>
        <v>0</v>
      </c>
    </row>
    <row r="1796" spans="1:13" ht="15" customHeight="1">
      <c r="A1796" s="1">
        <v>7335</v>
      </c>
      <c r="B1796" s="1" t="s">
        <v>9</v>
      </c>
      <c r="C1796" s="2" t="s">
        <v>2097</v>
      </c>
      <c r="D1796" s="2" t="s">
        <v>2098</v>
      </c>
      <c r="E1796" s="1">
        <v>0</v>
      </c>
      <c r="F1796" s="2" t="s">
        <v>2102</v>
      </c>
      <c r="H1796" s="1" t="str">
        <f t="shared" si="28"/>
        <v/>
      </c>
      <c r="K1796" s="1">
        <f>IF(E1796=0,SUMPRODUCT(($A$2:$A$4734=A1796)*($B$2:$B$4734=B1796)*($D$2:$D$4734=D1796)*($E$2:$E$4734=0)),0)</f>
        <v>3</v>
      </c>
      <c r="L1796" s="1">
        <f>IF(E1796=0,SUMPRODUCT(MIN($K$2:$K$4734+((($A$2:$A$4734&lt;&gt;A1796)+($E$2:$E$4734&lt;&gt;0))&gt;0)*1000000)),"")</f>
        <v>3</v>
      </c>
      <c r="M1796" s="1">
        <f>IF(AND(E1796=0,COUNTIFS($A$2:A1796,A1796,$E$2:E1796,0)=1),L1796,0)</f>
        <v>0</v>
      </c>
    </row>
    <row r="1797" spans="1:13" ht="15" customHeight="1">
      <c r="A1797" s="1">
        <v>7335</v>
      </c>
      <c r="B1797" s="1" t="s">
        <v>9</v>
      </c>
      <c r="C1797" s="2" t="s">
        <v>2097</v>
      </c>
      <c r="D1797" s="2" t="s">
        <v>2103</v>
      </c>
      <c r="E1797" s="1">
        <v>0</v>
      </c>
      <c r="F1797" s="2" t="s">
        <v>2104</v>
      </c>
      <c r="H1797" s="1" t="str">
        <f t="shared" si="28"/>
        <v/>
      </c>
      <c r="K1797" s="1">
        <f>IF(E1797=0,SUMPRODUCT(($A$2:$A$4734=A1797)*($B$2:$B$4734=B1797)*($D$2:$D$4734=D1797)*($E$2:$E$4734=0)),0)</f>
        <v>6</v>
      </c>
      <c r="L1797" s="1">
        <f>IF(E1797=0,SUMPRODUCT(MIN($K$2:$K$4734+((($A$2:$A$4734&lt;&gt;A1797)+($E$2:$E$4734&lt;&gt;0))&gt;0)*1000000)),"")</f>
        <v>3</v>
      </c>
      <c r="M1797" s="1">
        <f>IF(AND(E1797=0,COUNTIFS($A$2:A1797,A1797,$E$2:E1797,0)=1),L1797,0)</f>
        <v>0</v>
      </c>
    </row>
    <row r="1798" spans="1:13" ht="15" customHeight="1">
      <c r="A1798" s="1">
        <v>7335</v>
      </c>
      <c r="B1798" s="1" t="s">
        <v>9</v>
      </c>
      <c r="C1798" s="2" t="s">
        <v>2097</v>
      </c>
      <c r="D1798" s="2" t="s">
        <v>2103</v>
      </c>
      <c r="E1798" s="1">
        <v>0</v>
      </c>
      <c r="F1798" s="2" t="s">
        <v>2105</v>
      </c>
      <c r="H1798" s="1" t="str">
        <f t="shared" si="28"/>
        <v/>
      </c>
      <c r="K1798" s="1">
        <f>IF(E1798=0,SUMPRODUCT(($A$2:$A$4734=A1798)*($B$2:$B$4734=B1798)*($D$2:$D$4734=D1798)*($E$2:$E$4734=0)),0)</f>
        <v>6</v>
      </c>
      <c r="L1798" s="1">
        <f>IF(E1798=0,SUMPRODUCT(MIN($K$2:$K$4734+((($A$2:$A$4734&lt;&gt;A1798)+($E$2:$E$4734&lt;&gt;0))&gt;0)*1000000)),"")</f>
        <v>3</v>
      </c>
      <c r="M1798" s="1">
        <f>IF(AND(E1798=0,COUNTIFS($A$2:A1798,A1798,$E$2:E1798,0)=1),L1798,0)</f>
        <v>0</v>
      </c>
    </row>
    <row r="1799" spans="1:13" ht="15" customHeight="1">
      <c r="A1799" s="1">
        <v>7335</v>
      </c>
      <c r="B1799" s="1" t="s">
        <v>9</v>
      </c>
      <c r="C1799" s="2" t="s">
        <v>2097</v>
      </c>
      <c r="D1799" s="2" t="s">
        <v>2103</v>
      </c>
      <c r="E1799" s="1">
        <v>0</v>
      </c>
      <c r="F1799" s="2" t="s">
        <v>2106</v>
      </c>
      <c r="H1799" s="1" t="str">
        <f t="shared" si="28"/>
        <v/>
      </c>
      <c r="K1799" s="1">
        <f>IF(E1799=0,SUMPRODUCT(($A$2:$A$4734=A1799)*($B$2:$B$4734=B1799)*($D$2:$D$4734=D1799)*($E$2:$E$4734=0)),0)</f>
        <v>6</v>
      </c>
      <c r="L1799" s="1">
        <f>IF(E1799=0,SUMPRODUCT(MIN($K$2:$K$4734+((($A$2:$A$4734&lt;&gt;A1799)+($E$2:$E$4734&lt;&gt;0))&gt;0)*1000000)),"")</f>
        <v>3</v>
      </c>
      <c r="M1799" s="1">
        <f>IF(AND(E1799=0,COUNTIFS($A$2:A1799,A1799,$E$2:E1799,0)=1),L1799,0)</f>
        <v>0</v>
      </c>
    </row>
    <row r="1800" spans="1:13" ht="15" customHeight="1">
      <c r="A1800" s="1">
        <v>7335</v>
      </c>
      <c r="B1800" s="1" t="s">
        <v>9</v>
      </c>
      <c r="C1800" s="2" t="s">
        <v>2097</v>
      </c>
      <c r="D1800" s="2" t="s">
        <v>2103</v>
      </c>
      <c r="E1800" s="1">
        <v>0</v>
      </c>
      <c r="F1800" s="2" t="s">
        <v>2107</v>
      </c>
      <c r="H1800" s="1" t="str">
        <f t="shared" si="28"/>
        <v/>
      </c>
      <c r="K1800" s="1">
        <f>IF(E1800=0,SUMPRODUCT(($A$2:$A$4734=A1800)*($B$2:$B$4734=B1800)*($D$2:$D$4734=D1800)*($E$2:$E$4734=0)),0)</f>
        <v>6</v>
      </c>
      <c r="L1800" s="1">
        <f>IF(E1800=0,SUMPRODUCT(MIN($K$2:$K$4734+((($A$2:$A$4734&lt;&gt;A1800)+($E$2:$E$4734&lt;&gt;0))&gt;0)*1000000)),"")</f>
        <v>3</v>
      </c>
      <c r="M1800" s="1">
        <f>IF(AND(E1800=0,COUNTIFS($A$2:A1800,A1800,$E$2:E1800,0)=1),L1800,0)</f>
        <v>0</v>
      </c>
    </row>
    <row r="1801" spans="1:13" ht="15" customHeight="1">
      <c r="A1801" s="1">
        <v>7335</v>
      </c>
      <c r="B1801" s="1" t="s">
        <v>9</v>
      </c>
      <c r="C1801" s="2" t="s">
        <v>2097</v>
      </c>
      <c r="D1801" s="2" t="s">
        <v>2103</v>
      </c>
      <c r="E1801" s="1">
        <v>0</v>
      </c>
      <c r="F1801" s="2" t="s">
        <v>2108</v>
      </c>
      <c r="H1801" s="1" t="str">
        <f t="shared" si="28"/>
        <v/>
      </c>
      <c r="K1801" s="1">
        <f>IF(E1801=0,SUMPRODUCT(($A$2:$A$4734=A1801)*($B$2:$B$4734=B1801)*($D$2:$D$4734=D1801)*($E$2:$E$4734=0)),0)</f>
        <v>6</v>
      </c>
      <c r="L1801" s="1">
        <f>IF(E1801=0,SUMPRODUCT(MIN($K$2:$K$4734+((($A$2:$A$4734&lt;&gt;A1801)+($E$2:$E$4734&lt;&gt;0))&gt;0)*1000000)),"")</f>
        <v>3</v>
      </c>
      <c r="M1801" s="1">
        <f>IF(AND(E1801=0,COUNTIFS($A$2:A1801,A1801,$E$2:E1801,0)=1),L1801,0)</f>
        <v>0</v>
      </c>
    </row>
    <row r="1802" spans="1:13" ht="15" customHeight="1">
      <c r="A1802" s="1">
        <v>7335</v>
      </c>
      <c r="B1802" s="1" t="s">
        <v>9</v>
      </c>
      <c r="C1802" s="2" t="s">
        <v>2097</v>
      </c>
      <c r="D1802" s="2" t="s">
        <v>2103</v>
      </c>
      <c r="E1802" s="1">
        <v>0</v>
      </c>
      <c r="F1802" s="2" t="s">
        <v>2109</v>
      </c>
      <c r="H1802" s="1" t="str">
        <f t="shared" si="28"/>
        <v/>
      </c>
      <c r="K1802" s="1">
        <f>IF(E1802=0,SUMPRODUCT(($A$2:$A$4734=A1802)*($B$2:$B$4734=B1802)*($D$2:$D$4734=D1802)*($E$2:$E$4734=0)),0)</f>
        <v>6</v>
      </c>
      <c r="L1802" s="1">
        <f>IF(E1802=0,SUMPRODUCT(MIN($K$2:$K$4734+((($A$2:$A$4734&lt;&gt;A1802)+($E$2:$E$4734&lt;&gt;0))&gt;0)*1000000)),"")</f>
        <v>3</v>
      </c>
      <c r="M1802" s="1">
        <f>IF(AND(E1802=0,COUNTIFS($A$2:A1802,A1802,$E$2:E1802,0)=1),L1802,0)</f>
        <v>0</v>
      </c>
    </row>
    <row r="1803" spans="1:13" ht="15" customHeight="1">
      <c r="A1803" s="1">
        <v>7335</v>
      </c>
      <c r="B1803" s="1" t="s">
        <v>16</v>
      </c>
      <c r="C1803" s="2" t="s">
        <v>2097</v>
      </c>
      <c r="D1803" s="2" t="s">
        <v>2098</v>
      </c>
      <c r="E1803" s="1">
        <v>0</v>
      </c>
      <c r="F1803" s="2" t="s">
        <v>2100</v>
      </c>
      <c r="H1803" s="1" t="str">
        <f t="shared" si="28"/>
        <v/>
      </c>
      <c r="K1803" s="1">
        <f>IF(E1803=0,SUMPRODUCT(($A$2:$A$4734=A1803)*($B$2:$B$4734=B1803)*($D$2:$D$4734=D1803)*($E$2:$E$4734=0)),0)</f>
        <v>4</v>
      </c>
      <c r="L1803" s="1">
        <f>IF(E1803=0,SUMPRODUCT(MIN($K$2:$K$4734+((($A$2:$A$4734&lt;&gt;A1803)+($E$2:$E$4734&lt;&gt;0))&gt;0)*1000000)),"")</f>
        <v>3</v>
      </c>
      <c r="M1803" s="1">
        <f>IF(AND(E1803=0,COUNTIFS($A$2:A1803,A1803,$E$2:E1803,0)=1),L1803,0)</f>
        <v>0</v>
      </c>
    </row>
    <row r="1804" spans="1:13" ht="15" customHeight="1">
      <c r="A1804" s="1">
        <v>7335</v>
      </c>
      <c r="B1804" s="1" t="s">
        <v>16</v>
      </c>
      <c r="C1804" s="2" t="s">
        <v>2097</v>
      </c>
      <c r="D1804" s="2" t="s">
        <v>2098</v>
      </c>
      <c r="E1804" s="1">
        <v>0</v>
      </c>
      <c r="F1804" s="2" t="s">
        <v>2110</v>
      </c>
      <c r="H1804" s="1" t="str">
        <f t="shared" si="28"/>
        <v/>
      </c>
      <c r="K1804" s="1">
        <f>IF(E1804=0,SUMPRODUCT(($A$2:$A$4734=A1804)*($B$2:$B$4734=B1804)*($D$2:$D$4734=D1804)*($E$2:$E$4734=0)),0)</f>
        <v>4</v>
      </c>
      <c r="L1804" s="1">
        <f>IF(E1804=0,SUMPRODUCT(MIN($K$2:$K$4734+((($A$2:$A$4734&lt;&gt;A1804)+($E$2:$E$4734&lt;&gt;0))&gt;0)*1000000)),"")</f>
        <v>3</v>
      </c>
      <c r="M1804" s="1">
        <f>IF(AND(E1804=0,COUNTIFS($A$2:A1804,A1804,$E$2:E1804,0)=1),L1804,0)</f>
        <v>0</v>
      </c>
    </row>
    <row r="1805" spans="1:13" ht="15" customHeight="1">
      <c r="A1805" s="1">
        <v>7335</v>
      </c>
      <c r="B1805" s="1" t="s">
        <v>16</v>
      </c>
      <c r="C1805" s="2" t="s">
        <v>2097</v>
      </c>
      <c r="D1805" s="2" t="s">
        <v>2098</v>
      </c>
      <c r="E1805" s="1">
        <v>0</v>
      </c>
      <c r="F1805" s="2" t="s">
        <v>2111</v>
      </c>
      <c r="H1805" s="1" t="str">
        <f t="shared" si="28"/>
        <v/>
      </c>
      <c r="K1805" s="1">
        <f>IF(E1805=0,SUMPRODUCT(($A$2:$A$4734=A1805)*($B$2:$B$4734=B1805)*($D$2:$D$4734=D1805)*($E$2:$E$4734=0)),0)</f>
        <v>4</v>
      </c>
      <c r="L1805" s="1">
        <f>IF(E1805=0,SUMPRODUCT(MIN($K$2:$K$4734+((($A$2:$A$4734&lt;&gt;A1805)+($E$2:$E$4734&lt;&gt;0))&gt;0)*1000000)),"")</f>
        <v>3</v>
      </c>
      <c r="M1805" s="1">
        <f>IF(AND(E1805=0,COUNTIFS($A$2:A1805,A1805,$E$2:E1805,0)=1),L1805,0)</f>
        <v>0</v>
      </c>
    </row>
    <row r="1806" spans="1:13" ht="15" customHeight="1">
      <c r="A1806" s="1">
        <v>7335</v>
      </c>
      <c r="B1806" s="1" t="s">
        <v>16</v>
      </c>
      <c r="C1806" s="2" t="s">
        <v>2097</v>
      </c>
      <c r="D1806" s="2" t="s">
        <v>2098</v>
      </c>
      <c r="E1806" s="1">
        <v>0</v>
      </c>
      <c r="F1806" s="2" t="s">
        <v>2112</v>
      </c>
      <c r="H1806" s="1" t="str">
        <f t="shared" si="28"/>
        <v/>
      </c>
      <c r="K1806" s="1">
        <f>IF(E1806=0,SUMPRODUCT(($A$2:$A$4734=A1806)*($B$2:$B$4734=B1806)*($D$2:$D$4734=D1806)*($E$2:$E$4734=0)),0)</f>
        <v>4</v>
      </c>
      <c r="L1806" s="1">
        <f>IF(E1806=0,SUMPRODUCT(MIN($K$2:$K$4734+((($A$2:$A$4734&lt;&gt;A1806)+($E$2:$E$4734&lt;&gt;0))&gt;0)*1000000)),"")</f>
        <v>3</v>
      </c>
      <c r="M1806" s="1">
        <f>IF(AND(E1806=0,COUNTIFS($A$2:A1806,A1806,$E$2:E1806,0)=1),L1806,0)</f>
        <v>0</v>
      </c>
    </row>
    <row r="1807" spans="1:13" ht="15" customHeight="1">
      <c r="A1807" s="1">
        <v>7336</v>
      </c>
      <c r="B1807" s="1" t="s">
        <v>173</v>
      </c>
      <c r="C1807" s="2" t="s">
        <v>2113</v>
      </c>
      <c r="D1807" s="2" t="s">
        <v>2113</v>
      </c>
      <c r="E1807" s="1">
        <v>1</v>
      </c>
      <c r="F1807" s="2" t="s">
        <v>2114</v>
      </c>
      <c r="G1807" s="1">
        <v>1</v>
      </c>
      <c r="H1807" s="1" t="str">
        <f t="shared" si="28"/>
        <v>k7336_1</v>
      </c>
      <c r="K1807" s="1">
        <f>IF(E1807=0,SUMPRODUCT(($A$2:$A$4734=A1807)*($B$2:$B$4734=B1807)*($D$2:$D$4734=D1807)*($E$2:$E$4734=0)),0)</f>
        <v>0</v>
      </c>
      <c r="L1807" s="1" t="str">
        <f>IF(E1807=0,SUMPRODUCT(MIN($K$2:$K$4734+((($A$2:$A$4734&lt;&gt;A1807)+($E$2:$E$4734&lt;&gt;0))&gt;0)*1000000)),"")</f>
        <v/>
      </c>
      <c r="M1807" s="1">
        <f>IF(AND(E1807=0,COUNTIFS($A$2:A1807,A1807,$E$2:E1807,0)=1),L1807,0)</f>
        <v>0</v>
      </c>
    </row>
    <row r="1808" spans="1:13" ht="15" customHeight="1">
      <c r="A1808" s="1">
        <v>7336</v>
      </c>
      <c r="B1808" s="1" t="s">
        <v>173</v>
      </c>
      <c r="C1808" s="2" t="s">
        <v>2113</v>
      </c>
      <c r="D1808" s="2" t="s">
        <v>2113</v>
      </c>
      <c r="E1808" s="1">
        <v>1</v>
      </c>
      <c r="F1808" s="2" t="s">
        <v>2115</v>
      </c>
      <c r="G1808" s="1">
        <v>2</v>
      </c>
      <c r="H1808" s="1" t="str">
        <f t="shared" si="28"/>
        <v>k7336_2</v>
      </c>
      <c r="K1808" s="1">
        <f>IF(E1808=0,SUMPRODUCT(($A$2:$A$4734=A1808)*($B$2:$B$4734=B1808)*($D$2:$D$4734=D1808)*($E$2:$E$4734=0)),0)</f>
        <v>0</v>
      </c>
      <c r="L1808" s="1" t="str">
        <f>IF(E1808=0,SUMPRODUCT(MIN($K$2:$K$4734+((($A$2:$A$4734&lt;&gt;A1808)+($E$2:$E$4734&lt;&gt;0))&gt;0)*1000000)),"")</f>
        <v/>
      </c>
      <c r="M1808" s="1">
        <f>IF(AND(E1808=0,COUNTIFS($A$2:A1808,A1808,$E$2:E1808,0)=1),L1808,0)</f>
        <v>0</v>
      </c>
    </row>
    <row r="1809" spans="1:13" ht="15" customHeight="1">
      <c r="A1809" s="1">
        <v>7336</v>
      </c>
      <c r="B1809" s="1" t="s">
        <v>173</v>
      </c>
      <c r="C1809" s="2" t="s">
        <v>2113</v>
      </c>
      <c r="D1809" s="2" t="s">
        <v>2113</v>
      </c>
      <c r="E1809" s="1">
        <v>1</v>
      </c>
      <c r="F1809" s="2" t="s">
        <v>2116</v>
      </c>
      <c r="G1809" s="1">
        <v>3</v>
      </c>
      <c r="H1809" s="1" t="str">
        <f t="shared" si="28"/>
        <v>k7336_3</v>
      </c>
      <c r="K1809" s="1">
        <f>IF(E1809=0,SUMPRODUCT(($A$2:$A$4734=A1809)*($B$2:$B$4734=B1809)*($D$2:$D$4734=D1809)*($E$2:$E$4734=0)),0)</f>
        <v>0</v>
      </c>
      <c r="L1809" s="1" t="str">
        <f>IF(E1809=0,SUMPRODUCT(MIN($K$2:$K$4734+((($A$2:$A$4734&lt;&gt;A1809)+($E$2:$E$4734&lt;&gt;0))&gt;0)*1000000)),"")</f>
        <v/>
      </c>
      <c r="M1809" s="1">
        <f>IF(AND(E1809=0,COUNTIFS($A$2:A1809,A1809,$E$2:E1809,0)=1),L1809,0)</f>
        <v>0</v>
      </c>
    </row>
    <row r="1810" spans="1:13" ht="15" customHeight="1">
      <c r="A1810" s="1">
        <v>7336</v>
      </c>
      <c r="B1810" s="1" t="s">
        <v>173</v>
      </c>
      <c r="C1810" s="2" t="s">
        <v>2113</v>
      </c>
      <c r="D1810" s="2" t="s">
        <v>2113</v>
      </c>
      <c r="E1810" s="1">
        <v>1</v>
      </c>
      <c r="F1810" s="2" t="s">
        <v>2117</v>
      </c>
      <c r="G1810" s="1">
        <v>4</v>
      </c>
      <c r="H1810" s="1" t="str">
        <f t="shared" si="28"/>
        <v>k7336_4</v>
      </c>
      <c r="K1810" s="1">
        <f>IF(E1810=0,SUMPRODUCT(($A$2:$A$4734=A1810)*($B$2:$B$4734=B1810)*($D$2:$D$4734=D1810)*($E$2:$E$4734=0)),0)</f>
        <v>0</v>
      </c>
      <c r="L1810" s="1" t="str">
        <f>IF(E1810=0,SUMPRODUCT(MIN($K$2:$K$4734+((($A$2:$A$4734&lt;&gt;A1810)+($E$2:$E$4734&lt;&gt;0))&gt;0)*1000000)),"")</f>
        <v/>
      </c>
      <c r="M1810" s="1">
        <f>IF(AND(E1810=0,COUNTIFS($A$2:A1810,A1810,$E$2:E1810,0)=1),L1810,0)</f>
        <v>0</v>
      </c>
    </row>
    <row r="1811" spans="1:13" ht="15" customHeight="1">
      <c r="A1811" s="1">
        <v>7336</v>
      </c>
      <c r="B1811" s="1" t="s">
        <v>173</v>
      </c>
      <c r="C1811" s="2" t="s">
        <v>2113</v>
      </c>
      <c r="D1811" s="2" t="s">
        <v>2113</v>
      </c>
      <c r="E1811" s="1">
        <v>1</v>
      </c>
      <c r="F1811" s="2" t="s">
        <v>2118</v>
      </c>
      <c r="G1811" s="1">
        <v>5</v>
      </c>
      <c r="H1811" s="1" t="str">
        <f t="shared" si="28"/>
        <v>k7336_5</v>
      </c>
      <c r="K1811" s="1">
        <f>IF(E1811=0,SUMPRODUCT(($A$2:$A$4734=A1811)*($B$2:$B$4734=B1811)*($D$2:$D$4734=D1811)*($E$2:$E$4734=0)),0)</f>
        <v>0</v>
      </c>
      <c r="L1811" s="1" t="str">
        <f>IF(E1811=0,SUMPRODUCT(MIN($K$2:$K$4734+((($A$2:$A$4734&lt;&gt;A1811)+($E$2:$E$4734&lt;&gt;0))&gt;0)*1000000)),"")</f>
        <v/>
      </c>
      <c r="M1811" s="1">
        <f>IF(AND(E1811=0,COUNTIFS($A$2:A1811,A1811,$E$2:E1811,0)=1),L1811,0)</f>
        <v>0</v>
      </c>
    </row>
    <row r="1812" spans="1:13" ht="15" customHeight="1">
      <c r="A1812" s="1">
        <v>7336</v>
      </c>
      <c r="B1812" s="1" t="s">
        <v>173</v>
      </c>
      <c r="C1812" s="2" t="s">
        <v>2113</v>
      </c>
      <c r="D1812" s="2" t="s">
        <v>2113</v>
      </c>
      <c r="E1812" s="1">
        <v>1</v>
      </c>
      <c r="F1812" s="2" t="s">
        <v>2119</v>
      </c>
      <c r="G1812" s="1">
        <v>6</v>
      </c>
      <c r="H1812" s="1" t="str">
        <f t="shared" si="28"/>
        <v>k7336_6</v>
      </c>
      <c r="K1812" s="1">
        <f>IF(E1812=0,SUMPRODUCT(($A$2:$A$4734=A1812)*($B$2:$B$4734=B1812)*($D$2:$D$4734=D1812)*($E$2:$E$4734=0)),0)</f>
        <v>0</v>
      </c>
      <c r="L1812" s="1" t="str">
        <f>IF(E1812=0,SUMPRODUCT(MIN($K$2:$K$4734+((($A$2:$A$4734&lt;&gt;A1812)+($E$2:$E$4734&lt;&gt;0))&gt;0)*1000000)),"")</f>
        <v/>
      </c>
      <c r="M1812" s="1">
        <f>IF(AND(E1812=0,COUNTIFS($A$2:A1812,A1812,$E$2:E1812,0)=1),L1812,0)</f>
        <v>0</v>
      </c>
    </row>
    <row r="1813" spans="1:13" ht="15" customHeight="1">
      <c r="A1813" s="1">
        <v>7337</v>
      </c>
      <c r="B1813" s="1" t="s">
        <v>69</v>
      </c>
      <c r="C1813" s="2" t="s">
        <v>2120</v>
      </c>
      <c r="D1813" s="2" t="s">
        <v>2120</v>
      </c>
      <c r="E1813" s="1">
        <v>1</v>
      </c>
      <c r="F1813" s="2" t="s">
        <v>2121</v>
      </c>
      <c r="G1813" s="1">
        <v>1</v>
      </c>
      <c r="H1813" s="1" t="str">
        <f t="shared" si="28"/>
        <v>k7337_1</v>
      </c>
      <c r="K1813" s="1">
        <f>IF(E1813=0,SUMPRODUCT(($A$2:$A$4734=A1813)*($B$2:$B$4734=B1813)*($D$2:$D$4734=D1813)*($E$2:$E$4734=0)),0)</f>
        <v>0</v>
      </c>
      <c r="L1813" s="1" t="str">
        <f>IF(E1813=0,SUMPRODUCT(MIN($K$2:$K$4734+((($A$2:$A$4734&lt;&gt;A1813)+($E$2:$E$4734&lt;&gt;0))&gt;0)*1000000)),"")</f>
        <v/>
      </c>
      <c r="M1813" s="1">
        <f>IF(AND(E1813=0,COUNTIFS($A$2:A1813,A1813,$E$2:E1813,0)=1),L1813,0)</f>
        <v>0</v>
      </c>
    </row>
    <row r="1814" spans="1:13" ht="15" customHeight="1">
      <c r="A1814" s="1">
        <v>7337</v>
      </c>
      <c r="B1814" s="1" t="s">
        <v>69</v>
      </c>
      <c r="C1814" s="2" t="s">
        <v>2120</v>
      </c>
      <c r="D1814" s="2" t="s">
        <v>2120</v>
      </c>
      <c r="E1814" s="1">
        <v>1</v>
      </c>
      <c r="F1814" s="2" t="s">
        <v>2122</v>
      </c>
      <c r="G1814" s="1">
        <v>2</v>
      </c>
      <c r="H1814" s="1" t="str">
        <f t="shared" si="28"/>
        <v>k7337_2</v>
      </c>
      <c r="K1814" s="1">
        <f>IF(E1814=0,SUMPRODUCT(($A$2:$A$4734=A1814)*($B$2:$B$4734=B1814)*($D$2:$D$4734=D1814)*($E$2:$E$4734=0)),0)</f>
        <v>0</v>
      </c>
      <c r="L1814" s="1" t="str">
        <f>IF(E1814=0,SUMPRODUCT(MIN($K$2:$K$4734+((($A$2:$A$4734&lt;&gt;A1814)+($E$2:$E$4734&lt;&gt;0))&gt;0)*1000000)),"")</f>
        <v/>
      </c>
      <c r="M1814" s="1">
        <f>IF(AND(E1814=0,COUNTIFS($A$2:A1814,A1814,$E$2:E1814,0)=1),L1814,0)</f>
        <v>0</v>
      </c>
    </row>
    <row r="1815" spans="1:13" ht="15" customHeight="1">
      <c r="A1815" s="1">
        <v>7337</v>
      </c>
      <c r="B1815" s="1" t="s">
        <v>69</v>
      </c>
      <c r="C1815" s="2" t="s">
        <v>2120</v>
      </c>
      <c r="D1815" s="2" t="s">
        <v>2120</v>
      </c>
      <c r="E1815" s="1">
        <v>1</v>
      </c>
      <c r="F1815" s="2" t="s">
        <v>2123</v>
      </c>
      <c r="G1815" s="1">
        <v>3</v>
      </c>
      <c r="H1815" s="1" t="str">
        <f t="shared" si="28"/>
        <v>k7337_3</v>
      </c>
      <c r="K1815" s="1">
        <f>IF(E1815=0,SUMPRODUCT(($A$2:$A$4734=A1815)*($B$2:$B$4734=B1815)*($D$2:$D$4734=D1815)*($E$2:$E$4734=0)),0)</f>
        <v>0</v>
      </c>
      <c r="L1815" s="1" t="str">
        <f>IF(E1815=0,SUMPRODUCT(MIN($K$2:$K$4734+((($A$2:$A$4734&lt;&gt;A1815)+($E$2:$E$4734&lt;&gt;0))&gt;0)*1000000)),"")</f>
        <v/>
      </c>
      <c r="M1815" s="1">
        <f>IF(AND(E1815=0,COUNTIFS($A$2:A1815,A1815,$E$2:E1815,0)=1),L1815,0)</f>
        <v>0</v>
      </c>
    </row>
    <row r="1816" spans="1:13" ht="15" customHeight="1">
      <c r="A1816" s="1">
        <v>7337</v>
      </c>
      <c r="B1816" s="1" t="s">
        <v>69</v>
      </c>
      <c r="C1816" s="2" t="s">
        <v>2120</v>
      </c>
      <c r="D1816" s="2" t="s">
        <v>2120</v>
      </c>
      <c r="E1816" s="1">
        <v>1</v>
      </c>
      <c r="F1816" s="2" t="s">
        <v>2124</v>
      </c>
      <c r="G1816" s="1">
        <v>4</v>
      </c>
      <c r="H1816" s="1" t="str">
        <f t="shared" si="28"/>
        <v>k7337_4</v>
      </c>
      <c r="K1816" s="1">
        <f>IF(E1816=0,SUMPRODUCT(($A$2:$A$4734=A1816)*($B$2:$B$4734=B1816)*($D$2:$D$4734=D1816)*($E$2:$E$4734=0)),0)</f>
        <v>0</v>
      </c>
      <c r="L1816" s="1" t="str">
        <f>IF(E1816=0,SUMPRODUCT(MIN($K$2:$K$4734+((($A$2:$A$4734&lt;&gt;A1816)+($E$2:$E$4734&lt;&gt;0))&gt;0)*1000000)),"")</f>
        <v/>
      </c>
      <c r="M1816" s="1">
        <f>IF(AND(E1816=0,COUNTIFS($A$2:A1816,A1816,$E$2:E1816,0)=1),L1816,0)</f>
        <v>0</v>
      </c>
    </row>
    <row r="1817" spans="1:13" ht="15" customHeight="1">
      <c r="A1817" s="1">
        <v>7337</v>
      </c>
      <c r="B1817" s="1" t="s">
        <v>16</v>
      </c>
      <c r="C1817" s="2" t="s">
        <v>2120</v>
      </c>
      <c r="D1817" s="2" t="s">
        <v>1469</v>
      </c>
      <c r="E1817" s="1">
        <v>1</v>
      </c>
      <c r="F1817" s="2" t="s">
        <v>2125</v>
      </c>
      <c r="G1817" s="1">
        <v>1</v>
      </c>
      <c r="H1817" s="1" t="str">
        <f t="shared" si="28"/>
        <v>k7337_1</v>
      </c>
      <c r="K1817" s="1">
        <f>IF(E1817=0,SUMPRODUCT(($A$2:$A$4734=A1817)*($B$2:$B$4734=B1817)*($D$2:$D$4734=D1817)*($E$2:$E$4734=0)),0)</f>
        <v>0</v>
      </c>
      <c r="L1817" s="1" t="str">
        <f>IF(E1817=0,SUMPRODUCT(MIN($K$2:$K$4734+((($A$2:$A$4734&lt;&gt;A1817)+($E$2:$E$4734&lt;&gt;0))&gt;0)*1000000)),"")</f>
        <v/>
      </c>
      <c r="M1817" s="1">
        <f>IF(AND(E1817=0,COUNTIFS($A$2:A1817,A1817,$E$2:E1817,0)=1),L1817,0)</f>
        <v>0</v>
      </c>
    </row>
    <row r="1818" spans="1:13" ht="15" customHeight="1">
      <c r="A1818" s="1">
        <v>7337</v>
      </c>
      <c r="B1818" s="1" t="s">
        <v>16</v>
      </c>
      <c r="C1818" s="2" t="s">
        <v>2120</v>
      </c>
      <c r="D1818" s="2" t="s">
        <v>1469</v>
      </c>
      <c r="E1818" s="1">
        <v>1</v>
      </c>
      <c r="F1818" s="2" t="s">
        <v>2126</v>
      </c>
      <c r="G1818" s="1">
        <v>2</v>
      </c>
      <c r="H1818" s="1" t="str">
        <f t="shared" si="28"/>
        <v>k7337_2</v>
      </c>
      <c r="K1818" s="1">
        <f>IF(E1818=0,SUMPRODUCT(($A$2:$A$4734=A1818)*($B$2:$B$4734=B1818)*($D$2:$D$4734=D1818)*($E$2:$E$4734=0)),0)</f>
        <v>0</v>
      </c>
      <c r="L1818" s="1" t="str">
        <f>IF(E1818=0,SUMPRODUCT(MIN($K$2:$K$4734+((($A$2:$A$4734&lt;&gt;A1818)+($E$2:$E$4734&lt;&gt;0))&gt;0)*1000000)),"")</f>
        <v/>
      </c>
      <c r="M1818" s="1">
        <f>IF(AND(E1818=0,COUNTIFS($A$2:A1818,A1818,$E$2:E1818,0)=1),L1818,0)</f>
        <v>0</v>
      </c>
    </row>
    <row r="1819" spans="1:13" ht="15" customHeight="1">
      <c r="A1819" s="1">
        <v>7337</v>
      </c>
      <c r="B1819" s="1" t="s">
        <v>16</v>
      </c>
      <c r="C1819" s="2" t="s">
        <v>2120</v>
      </c>
      <c r="D1819" s="2" t="s">
        <v>1469</v>
      </c>
      <c r="E1819" s="1">
        <v>1</v>
      </c>
      <c r="F1819" s="2" t="s">
        <v>2127</v>
      </c>
      <c r="G1819" s="1">
        <v>3</v>
      </c>
      <c r="H1819" s="1" t="str">
        <f t="shared" si="28"/>
        <v>k7337_3</v>
      </c>
      <c r="K1819" s="1">
        <f>IF(E1819=0,SUMPRODUCT(($A$2:$A$4734=A1819)*($B$2:$B$4734=B1819)*($D$2:$D$4734=D1819)*($E$2:$E$4734=0)),0)</f>
        <v>0</v>
      </c>
      <c r="L1819" s="1" t="str">
        <f>IF(E1819=0,SUMPRODUCT(MIN($K$2:$K$4734+((($A$2:$A$4734&lt;&gt;A1819)+($E$2:$E$4734&lt;&gt;0))&gt;0)*1000000)),"")</f>
        <v/>
      </c>
      <c r="M1819" s="1">
        <f>IF(AND(E1819=0,COUNTIFS($A$2:A1819,A1819,$E$2:E1819,0)=1),L1819,0)</f>
        <v>0</v>
      </c>
    </row>
    <row r="1820" spans="1:13" ht="15" customHeight="1">
      <c r="A1820" s="1">
        <v>7337</v>
      </c>
      <c r="B1820" s="1" t="s">
        <v>16</v>
      </c>
      <c r="C1820" s="2" t="s">
        <v>2120</v>
      </c>
      <c r="D1820" s="2" t="s">
        <v>1469</v>
      </c>
      <c r="E1820" s="1">
        <v>1</v>
      </c>
      <c r="F1820" s="2" t="s">
        <v>2128</v>
      </c>
      <c r="G1820" s="1">
        <v>4</v>
      </c>
      <c r="H1820" s="1" t="str">
        <f t="shared" si="28"/>
        <v>k7337_4</v>
      </c>
      <c r="K1820" s="1">
        <f>IF(E1820=0,SUMPRODUCT(($A$2:$A$4734=A1820)*($B$2:$B$4734=B1820)*($D$2:$D$4734=D1820)*($E$2:$E$4734=0)),0)</f>
        <v>0</v>
      </c>
      <c r="L1820" s="1" t="str">
        <f>IF(E1820=0,SUMPRODUCT(MIN($K$2:$K$4734+((($A$2:$A$4734&lt;&gt;A1820)+($E$2:$E$4734&lt;&gt;0))&gt;0)*1000000)),"")</f>
        <v/>
      </c>
      <c r="M1820" s="1">
        <f>IF(AND(E1820=0,COUNTIFS($A$2:A1820,A1820,$E$2:E1820,0)=1),L1820,0)</f>
        <v>0</v>
      </c>
    </row>
    <row r="1821" spans="1:13" ht="15" customHeight="1">
      <c r="A1821" s="1">
        <v>7337</v>
      </c>
      <c r="B1821" s="1" t="s">
        <v>16</v>
      </c>
      <c r="C1821" s="2" t="s">
        <v>2120</v>
      </c>
      <c r="D1821" s="2" t="s">
        <v>2129</v>
      </c>
      <c r="E1821" s="1">
        <v>1</v>
      </c>
      <c r="F1821" s="2" t="s">
        <v>2130</v>
      </c>
      <c r="G1821" s="1">
        <v>1</v>
      </c>
      <c r="H1821" s="1" t="str">
        <f t="shared" si="28"/>
        <v>k7337_1</v>
      </c>
      <c r="K1821" s="1">
        <f>IF(E1821=0,SUMPRODUCT(($A$2:$A$4734=A1821)*($B$2:$B$4734=B1821)*($D$2:$D$4734=D1821)*($E$2:$E$4734=0)),0)</f>
        <v>0</v>
      </c>
      <c r="L1821" s="1" t="str">
        <f>IF(E1821=0,SUMPRODUCT(MIN($K$2:$K$4734+((($A$2:$A$4734&lt;&gt;A1821)+($E$2:$E$4734&lt;&gt;0))&gt;0)*1000000)),"")</f>
        <v/>
      </c>
      <c r="M1821" s="1">
        <f>IF(AND(E1821=0,COUNTIFS($A$2:A1821,A1821,$E$2:E1821,0)=1),L1821,0)</f>
        <v>0</v>
      </c>
    </row>
    <row r="1822" spans="1:13" ht="15" customHeight="1">
      <c r="A1822" s="1">
        <v>7337</v>
      </c>
      <c r="B1822" s="1" t="s">
        <v>16</v>
      </c>
      <c r="C1822" s="2" t="s">
        <v>2120</v>
      </c>
      <c r="D1822" s="2" t="s">
        <v>2129</v>
      </c>
      <c r="E1822" s="1">
        <v>1</v>
      </c>
      <c r="F1822" s="2" t="s">
        <v>2131</v>
      </c>
      <c r="G1822" s="1">
        <v>2</v>
      </c>
      <c r="H1822" s="1" t="str">
        <f t="shared" si="28"/>
        <v>k7337_2</v>
      </c>
      <c r="K1822" s="1">
        <f>IF(E1822=0,SUMPRODUCT(($A$2:$A$4734=A1822)*($B$2:$B$4734=B1822)*($D$2:$D$4734=D1822)*($E$2:$E$4734=0)),0)</f>
        <v>0</v>
      </c>
      <c r="L1822" s="1" t="str">
        <f>IF(E1822=0,SUMPRODUCT(MIN($K$2:$K$4734+((($A$2:$A$4734&lt;&gt;A1822)+($E$2:$E$4734&lt;&gt;0))&gt;0)*1000000)),"")</f>
        <v/>
      </c>
      <c r="M1822" s="1">
        <f>IF(AND(E1822=0,COUNTIFS($A$2:A1822,A1822,$E$2:E1822,0)=1),L1822,0)</f>
        <v>0</v>
      </c>
    </row>
    <row r="1823" spans="1:13" ht="15" customHeight="1">
      <c r="A1823" s="1">
        <v>7337</v>
      </c>
      <c r="B1823" s="1" t="s">
        <v>16</v>
      </c>
      <c r="C1823" s="2" t="s">
        <v>2120</v>
      </c>
      <c r="D1823" s="2" t="s">
        <v>2129</v>
      </c>
      <c r="E1823" s="1">
        <v>1</v>
      </c>
      <c r="F1823" s="2" t="s">
        <v>2132</v>
      </c>
      <c r="G1823" s="1">
        <v>3</v>
      </c>
      <c r="H1823" s="1" t="str">
        <f t="shared" si="28"/>
        <v>k7337_3</v>
      </c>
      <c r="K1823" s="1">
        <f>IF(E1823=0,SUMPRODUCT(($A$2:$A$4734=A1823)*($B$2:$B$4734=B1823)*($D$2:$D$4734=D1823)*($E$2:$E$4734=0)),0)</f>
        <v>0</v>
      </c>
      <c r="L1823" s="1" t="str">
        <f>IF(E1823=0,SUMPRODUCT(MIN($K$2:$K$4734+((($A$2:$A$4734&lt;&gt;A1823)+($E$2:$E$4734&lt;&gt;0))&gt;0)*1000000)),"")</f>
        <v/>
      </c>
      <c r="M1823" s="1">
        <f>IF(AND(E1823=0,COUNTIFS($A$2:A1823,A1823,$E$2:E1823,0)=1),L1823,0)</f>
        <v>0</v>
      </c>
    </row>
    <row r="1824" spans="1:13" ht="15" customHeight="1">
      <c r="A1824" s="1">
        <v>7337</v>
      </c>
      <c r="B1824" s="1" t="s">
        <v>16</v>
      </c>
      <c r="C1824" s="2" t="s">
        <v>2120</v>
      </c>
      <c r="D1824" s="2" t="s">
        <v>2129</v>
      </c>
      <c r="E1824" s="1">
        <v>1</v>
      </c>
      <c r="F1824" s="2" t="s">
        <v>2133</v>
      </c>
      <c r="G1824" s="1">
        <v>4</v>
      </c>
      <c r="H1824" s="1" t="str">
        <f t="shared" si="28"/>
        <v>k7337_4</v>
      </c>
      <c r="K1824" s="1">
        <f>IF(E1824=0,SUMPRODUCT(($A$2:$A$4734=A1824)*($B$2:$B$4734=B1824)*($D$2:$D$4734=D1824)*($E$2:$E$4734=0)),0)</f>
        <v>0</v>
      </c>
      <c r="L1824" s="1" t="str">
        <f>IF(E1824=0,SUMPRODUCT(MIN($K$2:$K$4734+((($A$2:$A$4734&lt;&gt;A1824)+($E$2:$E$4734&lt;&gt;0))&gt;0)*1000000)),"")</f>
        <v/>
      </c>
      <c r="M1824" s="1">
        <f>IF(AND(E1824=0,COUNTIFS($A$2:A1824,A1824,$E$2:E1824,0)=1),L1824,0)</f>
        <v>0</v>
      </c>
    </row>
    <row r="1825" spans="1:13" ht="15" customHeight="1">
      <c r="A1825" s="1">
        <v>7338</v>
      </c>
      <c r="B1825" s="1" t="s">
        <v>16</v>
      </c>
      <c r="C1825" s="2" t="s">
        <v>2134</v>
      </c>
      <c r="D1825" s="2" t="s">
        <v>2135</v>
      </c>
      <c r="E1825" s="1">
        <v>0</v>
      </c>
      <c r="F1825" s="2" t="s">
        <v>2136</v>
      </c>
      <c r="H1825" s="1" t="str">
        <f t="shared" si="28"/>
        <v/>
      </c>
      <c r="K1825" s="1">
        <f>IF(E1825=0,SUMPRODUCT(($A$2:$A$4734=A1825)*($B$2:$B$4734=B1825)*($D$2:$D$4734=D1825)*($E$2:$E$4734=0)),0)</f>
        <v>6</v>
      </c>
      <c r="L1825" s="1">
        <f>IF(E1825=0,SUMPRODUCT(MIN($K$2:$K$4734+((($A$2:$A$4734&lt;&gt;A1825)+($E$2:$E$4734&lt;&gt;0))&gt;0)*1000000)),"")</f>
        <v>2</v>
      </c>
      <c r="M1825" s="1">
        <f>IF(AND(E1825=0,COUNTIFS($A$2:A1825,A1825,$E$2:E1825,0)=1),L1825,0)</f>
        <v>2</v>
      </c>
    </row>
    <row r="1826" spans="1:13" ht="15" customHeight="1">
      <c r="A1826" s="1">
        <v>7338</v>
      </c>
      <c r="B1826" s="1" t="s">
        <v>16</v>
      </c>
      <c r="C1826" s="2" t="s">
        <v>2134</v>
      </c>
      <c r="D1826" s="2" t="s">
        <v>2135</v>
      </c>
      <c r="E1826" s="1">
        <v>0</v>
      </c>
      <c r="F1826" s="2" t="s">
        <v>2137</v>
      </c>
      <c r="H1826" s="1" t="str">
        <f t="shared" ref="H1826:H1884" si="29">IF(OR(E1826&lt;&gt;1,G1826=""),"","k"&amp;A1826&amp;"_"&amp;G1826)</f>
        <v/>
      </c>
      <c r="K1826" s="1">
        <f>IF(E1826=0,SUMPRODUCT(($A$2:$A$4734=A1826)*($B$2:$B$4734=B1826)*($D$2:$D$4734=D1826)*($E$2:$E$4734=0)),0)</f>
        <v>6</v>
      </c>
      <c r="L1826" s="1">
        <f>IF(E1826=0,SUMPRODUCT(MIN($K$2:$K$4734+((($A$2:$A$4734&lt;&gt;A1826)+($E$2:$E$4734&lt;&gt;0))&gt;0)*1000000)),"")</f>
        <v>2</v>
      </c>
      <c r="M1826" s="1">
        <f>IF(AND(E1826=0,COUNTIFS($A$2:A1826,A1826,$E$2:E1826,0)=1),L1826,0)</f>
        <v>0</v>
      </c>
    </row>
    <row r="1827" spans="1:13" ht="15" customHeight="1">
      <c r="A1827" s="1">
        <v>7338</v>
      </c>
      <c r="B1827" s="1" t="s">
        <v>16</v>
      </c>
      <c r="C1827" s="2" t="s">
        <v>2134</v>
      </c>
      <c r="D1827" s="2" t="s">
        <v>2135</v>
      </c>
      <c r="E1827" s="1">
        <v>0</v>
      </c>
      <c r="F1827" s="2" t="s">
        <v>2138</v>
      </c>
      <c r="H1827" s="1" t="str">
        <f t="shared" si="29"/>
        <v/>
      </c>
      <c r="K1827" s="1">
        <f>IF(E1827=0,SUMPRODUCT(($A$2:$A$4734=A1827)*($B$2:$B$4734=B1827)*($D$2:$D$4734=D1827)*($E$2:$E$4734=0)),0)</f>
        <v>6</v>
      </c>
      <c r="L1827" s="1">
        <f>IF(E1827=0,SUMPRODUCT(MIN($K$2:$K$4734+((($A$2:$A$4734&lt;&gt;A1827)+($E$2:$E$4734&lt;&gt;0))&gt;0)*1000000)),"")</f>
        <v>2</v>
      </c>
      <c r="M1827" s="1">
        <f>IF(AND(E1827=0,COUNTIFS($A$2:A1827,A1827,$E$2:E1827,0)=1),L1827,0)</f>
        <v>0</v>
      </c>
    </row>
    <row r="1828" spans="1:13" ht="15" customHeight="1">
      <c r="A1828" s="1">
        <v>7338</v>
      </c>
      <c r="B1828" s="1" t="s">
        <v>16</v>
      </c>
      <c r="C1828" s="2" t="s">
        <v>2134</v>
      </c>
      <c r="D1828" s="2" t="s">
        <v>2135</v>
      </c>
      <c r="E1828" s="1">
        <v>0</v>
      </c>
      <c r="F1828" s="2" t="s">
        <v>2139</v>
      </c>
      <c r="H1828" s="1" t="str">
        <f t="shared" si="29"/>
        <v/>
      </c>
      <c r="K1828" s="1">
        <f>IF(E1828=0,SUMPRODUCT(($A$2:$A$4734=A1828)*($B$2:$B$4734=B1828)*($D$2:$D$4734=D1828)*($E$2:$E$4734=0)),0)</f>
        <v>6</v>
      </c>
      <c r="L1828" s="1">
        <f>IF(E1828=0,SUMPRODUCT(MIN($K$2:$K$4734+((($A$2:$A$4734&lt;&gt;A1828)+($E$2:$E$4734&lt;&gt;0))&gt;0)*1000000)),"")</f>
        <v>2</v>
      </c>
      <c r="M1828" s="1">
        <f>IF(AND(E1828=0,COUNTIFS($A$2:A1828,A1828,$E$2:E1828,0)=1),L1828,0)</f>
        <v>0</v>
      </c>
    </row>
    <row r="1829" spans="1:13" ht="15" customHeight="1">
      <c r="A1829" s="1">
        <v>7338</v>
      </c>
      <c r="B1829" s="1" t="s">
        <v>16</v>
      </c>
      <c r="C1829" s="2" t="s">
        <v>2134</v>
      </c>
      <c r="D1829" s="2" t="s">
        <v>2135</v>
      </c>
      <c r="E1829" s="1">
        <v>0</v>
      </c>
      <c r="F1829" s="2" t="s">
        <v>2140</v>
      </c>
      <c r="H1829" s="1" t="str">
        <f t="shared" si="29"/>
        <v/>
      </c>
      <c r="K1829" s="1">
        <f>IF(E1829=0,SUMPRODUCT(($A$2:$A$4734=A1829)*($B$2:$B$4734=B1829)*($D$2:$D$4734=D1829)*($E$2:$E$4734=0)),0)</f>
        <v>6</v>
      </c>
      <c r="L1829" s="1">
        <f>IF(E1829=0,SUMPRODUCT(MIN($K$2:$K$4734+((($A$2:$A$4734&lt;&gt;A1829)+($E$2:$E$4734&lt;&gt;0))&gt;0)*1000000)),"")</f>
        <v>2</v>
      </c>
      <c r="M1829" s="1">
        <f>IF(AND(E1829=0,COUNTIFS($A$2:A1829,A1829,$E$2:E1829,0)=1),L1829,0)</f>
        <v>0</v>
      </c>
    </row>
    <row r="1830" spans="1:13" ht="15" customHeight="1">
      <c r="A1830" s="1">
        <v>7338</v>
      </c>
      <c r="B1830" s="1" t="s">
        <v>16</v>
      </c>
      <c r="C1830" s="2" t="s">
        <v>2134</v>
      </c>
      <c r="D1830" s="2" t="s">
        <v>2135</v>
      </c>
      <c r="E1830" s="1">
        <v>0</v>
      </c>
      <c r="F1830" s="2" t="s">
        <v>2141</v>
      </c>
      <c r="H1830" s="1" t="str">
        <f t="shared" si="29"/>
        <v/>
      </c>
      <c r="K1830" s="1">
        <f>IF(E1830=0,SUMPRODUCT(($A$2:$A$4734=A1830)*($B$2:$B$4734=B1830)*($D$2:$D$4734=D1830)*($E$2:$E$4734=0)),0)</f>
        <v>6</v>
      </c>
      <c r="L1830" s="1">
        <f>IF(E1830=0,SUMPRODUCT(MIN($K$2:$K$4734+((($A$2:$A$4734&lt;&gt;A1830)+($E$2:$E$4734&lt;&gt;0))&gt;0)*1000000)),"")</f>
        <v>2</v>
      </c>
      <c r="M1830" s="1">
        <f>IF(AND(E1830=0,COUNTIFS($A$2:A1830,A1830,$E$2:E1830,0)=1),L1830,0)</f>
        <v>0</v>
      </c>
    </row>
    <row r="1831" spans="1:13" ht="15" customHeight="1">
      <c r="A1831" s="1">
        <v>7338</v>
      </c>
      <c r="B1831" s="1" t="s">
        <v>9</v>
      </c>
      <c r="C1831" s="2" t="s">
        <v>2134</v>
      </c>
      <c r="D1831" s="2" t="s">
        <v>2142</v>
      </c>
      <c r="E1831" s="1">
        <v>0</v>
      </c>
      <c r="F1831" s="2" t="s">
        <v>2143</v>
      </c>
      <c r="H1831" s="1" t="str">
        <f t="shared" si="29"/>
        <v/>
      </c>
      <c r="K1831" s="1">
        <f>IF(E1831=0,SUMPRODUCT(($A$2:$A$4734=A1831)*($B$2:$B$4734=B1831)*($D$2:$D$4734=D1831)*($E$2:$E$4734=0)),0)</f>
        <v>2</v>
      </c>
      <c r="L1831" s="1">
        <f>IF(E1831=0,SUMPRODUCT(MIN($K$2:$K$4734+((($A$2:$A$4734&lt;&gt;A1831)+($E$2:$E$4734&lt;&gt;0))&gt;0)*1000000)),"")</f>
        <v>2</v>
      </c>
      <c r="M1831" s="1">
        <f>IF(AND(E1831=0,COUNTIFS($A$2:A1831,A1831,$E$2:E1831,0)=1),L1831,0)</f>
        <v>0</v>
      </c>
    </row>
    <row r="1832" spans="1:13" ht="15" customHeight="1">
      <c r="A1832" s="1">
        <v>7338</v>
      </c>
      <c r="B1832" s="1" t="s">
        <v>9</v>
      </c>
      <c r="C1832" s="2" t="s">
        <v>2134</v>
      </c>
      <c r="D1832" s="2" t="s">
        <v>2142</v>
      </c>
      <c r="E1832" s="1">
        <v>0</v>
      </c>
      <c r="F1832" s="2" t="s">
        <v>2145</v>
      </c>
      <c r="H1832" s="1" t="str">
        <f t="shared" si="29"/>
        <v/>
      </c>
      <c r="K1832" s="1">
        <f>IF(E1832=0,SUMPRODUCT(($A$2:$A$4734=A1832)*($B$2:$B$4734=B1832)*($D$2:$D$4734=D1832)*($E$2:$E$4734=0)),0)</f>
        <v>2</v>
      </c>
      <c r="L1832" s="1">
        <f>IF(E1832=0,SUMPRODUCT(MIN($K$2:$K$4734+((($A$2:$A$4734&lt;&gt;A1832)+($E$2:$E$4734&lt;&gt;0))&gt;0)*1000000)),"")</f>
        <v>2</v>
      </c>
      <c r="M1832" s="1">
        <f>IF(AND(E1832=0,COUNTIFS($A$2:A1832,A1832,$E$2:E1832,0)=1),L1832,0)</f>
        <v>0</v>
      </c>
    </row>
    <row r="1833" spans="1:13" ht="15" customHeight="1">
      <c r="A1833" s="1">
        <v>7338</v>
      </c>
      <c r="B1833" s="1" t="s">
        <v>16</v>
      </c>
      <c r="C1833" s="2" t="s">
        <v>2134</v>
      </c>
      <c r="D1833" s="2" t="s">
        <v>2147</v>
      </c>
      <c r="E1833" s="1">
        <v>0</v>
      </c>
      <c r="F1833" s="2" t="s">
        <v>2148</v>
      </c>
      <c r="H1833" s="1" t="str">
        <f t="shared" si="29"/>
        <v/>
      </c>
      <c r="K1833" s="1">
        <f>IF(E1833=0,SUMPRODUCT(($A$2:$A$4734=A1833)*($B$2:$B$4734=B1833)*($D$2:$D$4734=D1833)*($E$2:$E$4734=0)),0)</f>
        <v>5</v>
      </c>
      <c r="L1833" s="1">
        <f>IF(E1833=0,SUMPRODUCT(MIN($K$2:$K$4734+((($A$2:$A$4734&lt;&gt;A1833)+($E$2:$E$4734&lt;&gt;0))&gt;0)*1000000)),"")</f>
        <v>2</v>
      </c>
      <c r="M1833" s="1">
        <f>IF(AND(E1833=0,COUNTIFS($A$2:A1833,A1833,$E$2:E1833,0)=1),L1833,0)</f>
        <v>0</v>
      </c>
    </row>
    <row r="1834" spans="1:13" ht="15" customHeight="1">
      <c r="A1834" s="1">
        <v>7338</v>
      </c>
      <c r="B1834" s="1" t="s">
        <v>16</v>
      </c>
      <c r="C1834" s="2" t="s">
        <v>2134</v>
      </c>
      <c r="D1834" s="2" t="s">
        <v>2147</v>
      </c>
      <c r="E1834" s="1">
        <v>0</v>
      </c>
      <c r="F1834" s="2" t="s">
        <v>2149</v>
      </c>
      <c r="H1834" s="1" t="str">
        <f t="shared" si="29"/>
        <v/>
      </c>
      <c r="K1834" s="1">
        <f>IF(E1834=0,SUMPRODUCT(($A$2:$A$4734=A1834)*($B$2:$B$4734=B1834)*($D$2:$D$4734=D1834)*($E$2:$E$4734=0)),0)</f>
        <v>5</v>
      </c>
      <c r="L1834" s="1">
        <f>IF(E1834=0,SUMPRODUCT(MIN($K$2:$K$4734+((($A$2:$A$4734&lt;&gt;A1834)+($E$2:$E$4734&lt;&gt;0))&gt;0)*1000000)),"")</f>
        <v>2</v>
      </c>
      <c r="M1834" s="1">
        <f>IF(AND(E1834=0,COUNTIFS($A$2:A1834,A1834,$E$2:E1834,0)=1),L1834,0)</f>
        <v>0</v>
      </c>
    </row>
    <row r="1835" spans="1:13" ht="15" customHeight="1">
      <c r="A1835" s="1">
        <v>7338</v>
      </c>
      <c r="B1835" s="1" t="s">
        <v>16</v>
      </c>
      <c r="C1835" s="2" t="s">
        <v>2134</v>
      </c>
      <c r="D1835" s="2" t="s">
        <v>2147</v>
      </c>
      <c r="E1835" s="1">
        <v>0</v>
      </c>
      <c r="F1835" s="2" t="s">
        <v>2150</v>
      </c>
      <c r="H1835" s="1" t="str">
        <f t="shared" si="29"/>
        <v/>
      </c>
      <c r="K1835" s="1">
        <f>IF(E1835=0,SUMPRODUCT(($A$2:$A$4734=A1835)*($B$2:$B$4734=B1835)*($D$2:$D$4734=D1835)*($E$2:$E$4734=0)),0)</f>
        <v>5</v>
      </c>
      <c r="L1835" s="1">
        <f>IF(E1835=0,SUMPRODUCT(MIN($K$2:$K$4734+((($A$2:$A$4734&lt;&gt;A1835)+($E$2:$E$4734&lt;&gt;0))&gt;0)*1000000)),"")</f>
        <v>2</v>
      </c>
      <c r="M1835" s="1">
        <f>IF(AND(E1835=0,COUNTIFS($A$2:A1835,A1835,$E$2:E1835,0)=1),L1835,0)</f>
        <v>0</v>
      </c>
    </row>
    <row r="1836" spans="1:13" ht="15" customHeight="1">
      <c r="A1836" s="1">
        <v>7338</v>
      </c>
      <c r="B1836" s="1" t="s">
        <v>16</v>
      </c>
      <c r="C1836" s="2" t="s">
        <v>2134</v>
      </c>
      <c r="D1836" s="2" t="s">
        <v>2147</v>
      </c>
      <c r="E1836" s="1">
        <v>0</v>
      </c>
      <c r="F1836" s="2" t="s">
        <v>2151</v>
      </c>
      <c r="H1836" s="1" t="str">
        <f t="shared" si="29"/>
        <v/>
      </c>
      <c r="K1836" s="1">
        <f>IF(E1836=0,SUMPRODUCT(($A$2:$A$4734=A1836)*($B$2:$B$4734=B1836)*($D$2:$D$4734=D1836)*($E$2:$E$4734=0)),0)</f>
        <v>5</v>
      </c>
      <c r="L1836" s="1">
        <f>IF(E1836=0,SUMPRODUCT(MIN($K$2:$K$4734+((($A$2:$A$4734&lt;&gt;A1836)+($E$2:$E$4734&lt;&gt;0))&gt;0)*1000000)),"")</f>
        <v>2</v>
      </c>
      <c r="M1836" s="1">
        <f>IF(AND(E1836=0,COUNTIFS($A$2:A1836,A1836,$E$2:E1836,0)=1),L1836,0)</f>
        <v>0</v>
      </c>
    </row>
    <row r="1837" spans="1:13" ht="15" customHeight="1">
      <c r="A1837" s="1">
        <v>7338</v>
      </c>
      <c r="B1837" s="1" t="s">
        <v>16</v>
      </c>
      <c r="C1837" s="2" t="s">
        <v>2134</v>
      </c>
      <c r="D1837" s="2" t="s">
        <v>2147</v>
      </c>
      <c r="E1837" s="1">
        <v>0</v>
      </c>
      <c r="F1837" s="2" t="s">
        <v>2152</v>
      </c>
      <c r="H1837" s="1" t="str">
        <f t="shared" si="29"/>
        <v/>
      </c>
      <c r="K1837" s="1">
        <f>IF(E1837=0,SUMPRODUCT(($A$2:$A$4734=A1837)*($B$2:$B$4734=B1837)*($D$2:$D$4734=D1837)*($E$2:$E$4734=0)),0)</f>
        <v>5</v>
      </c>
      <c r="L1837" s="1">
        <f>IF(E1837=0,SUMPRODUCT(MIN($K$2:$K$4734+((($A$2:$A$4734&lt;&gt;A1837)+($E$2:$E$4734&lt;&gt;0))&gt;0)*1000000)),"")</f>
        <v>2</v>
      </c>
      <c r="M1837" s="1">
        <f>IF(AND(E1837=0,COUNTIFS($A$2:A1837,A1837,$E$2:E1837,0)=1),L1837,0)</f>
        <v>0</v>
      </c>
    </row>
    <row r="1838" spans="1:13" ht="15" customHeight="1">
      <c r="A1838" s="1">
        <v>7339</v>
      </c>
      <c r="B1838" s="1" t="s">
        <v>393</v>
      </c>
      <c r="C1838" s="2" t="s">
        <v>2153</v>
      </c>
      <c r="D1838" s="2" t="s">
        <v>2154</v>
      </c>
      <c r="E1838" s="1">
        <v>1</v>
      </c>
      <c r="F1838" s="2" t="s">
        <v>2155</v>
      </c>
      <c r="G1838" s="1">
        <v>1</v>
      </c>
      <c r="H1838" s="1" t="str">
        <f t="shared" si="29"/>
        <v>k7339_1</v>
      </c>
      <c r="K1838" s="1">
        <f>IF(E1838=0,SUMPRODUCT(($A$2:$A$4734=A1838)*($B$2:$B$4734=B1838)*($D$2:$D$4734=D1838)*($E$2:$E$4734=0)),0)</f>
        <v>0</v>
      </c>
      <c r="L1838" s="1" t="str">
        <f>IF(E1838=0,SUMPRODUCT(MIN($K$2:$K$4734+((($A$2:$A$4734&lt;&gt;A1838)+($E$2:$E$4734&lt;&gt;0))&gt;0)*1000000)),"")</f>
        <v/>
      </c>
      <c r="M1838" s="1">
        <f>IF(AND(E1838=0,COUNTIFS($A$2:A1838,A1838,$E$2:E1838,0)=1),L1838,0)</f>
        <v>0</v>
      </c>
    </row>
    <row r="1839" spans="1:13" ht="15" customHeight="1">
      <c r="A1839" s="1">
        <v>7339</v>
      </c>
      <c r="B1839" s="1" t="s">
        <v>393</v>
      </c>
      <c r="C1839" s="2" t="s">
        <v>2153</v>
      </c>
      <c r="D1839" s="2" t="s">
        <v>2154</v>
      </c>
      <c r="E1839" s="1">
        <v>1</v>
      </c>
      <c r="F1839" s="2" t="s">
        <v>2156</v>
      </c>
      <c r="G1839" s="1">
        <v>2</v>
      </c>
      <c r="H1839" s="1" t="str">
        <f t="shared" si="29"/>
        <v>k7339_2</v>
      </c>
      <c r="K1839" s="1">
        <f>IF(E1839=0,SUMPRODUCT(($A$2:$A$4734=A1839)*($B$2:$B$4734=B1839)*($D$2:$D$4734=D1839)*($E$2:$E$4734=0)),0)</f>
        <v>0</v>
      </c>
      <c r="L1839" s="1" t="str">
        <f>IF(E1839=0,SUMPRODUCT(MIN($K$2:$K$4734+((($A$2:$A$4734&lt;&gt;A1839)+($E$2:$E$4734&lt;&gt;0))&gt;0)*1000000)),"")</f>
        <v/>
      </c>
      <c r="M1839" s="1">
        <f>IF(AND(E1839=0,COUNTIFS($A$2:A1839,A1839,$E$2:E1839,0)=1),L1839,0)</f>
        <v>0</v>
      </c>
    </row>
    <row r="1840" spans="1:13" ht="15" customHeight="1">
      <c r="A1840" s="1">
        <v>7339</v>
      </c>
      <c r="B1840" s="1" t="s">
        <v>393</v>
      </c>
      <c r="C1840" s="2" t="s">
        <v>2153</v>
      </c>
      <c r="D1840" s="2" t="s">
        <v>2154</v>
      </c>
      <c r="E1840" s="1">
        <v>1</v>
      </c>
      <c r="F1840" s="2" t="s">
        <v>2157</v>
      </c>
      <c r="G1840" s="1">
        <v>3</v>
      </c>
      <c r="H1840" s="1" t="str">
        <f t="shared" si="29"/>
        <v>k7339_3</v>
      </c>
      <c r="K1840" s="1">
        <f>IF(E1840=0,SUMPRODUCT(($A$2:$A$4734=A1840)*($B$2:$B$4734=B1840)*($D$2:$D$4734=D1840)*($E$2:$E$4734=0)),0)</f>
        <v>0</v>
      </c>
      <c r="L1840" s="1" t="str">
        <f>IF(E1840=0,SUMPRODUCT(MIN($K$2:$K$4734+((($A$2:$A$4734&lt;&gt;A1840)+($E$2:$E$4734&lt;&gt;0))&gt;0)*1000000)),"")</f>
        <v/>
      </c>
      <c r="M1840" s="1">
        <f>IF(AND(E1840=0,COUNTIFS($A$2:A1840,A1840,$E$2:E1840,0)=1),L1840,0)</f>
        <v>0</v>
      </c>
    </row>
    <row r="1841" spans="1:13" ht="15" customHeight="1">
      <c r="A1841" s="1">
        <v>7339</v>
      </c>
      <c r="B1841" s="1" t="s">
        <v>393</v>
      </c>
      <c r="C1841" s="2" t="s">
        <v>2153</v>
      </c>
      <c r="D1841" s="2" t="s">
        <v>2154</v>
      </c>
      <c r="E1841" s="1">
        <v>1</v>
      </c>
      <c r="F1841" s="2" t="s">
        <v>2158</v>
      </c>
      <c r="G1841" s="1">
        <v>4</v>
      </c>
      <c r="H1841" s="1" t="str">
        <f t="shared" si="29"/>
        <v>k7339_4</v>
      </c>
      <c r="K1841" s="1">
        <f>IF(E1841=0,SUMPRODUCT(($A$2:$A$4734=A1841)*($B$2:$B$4734=B1841)*($D$2:$D$4734=D1841)*($E$2:$E$4734=0)),0)</f>
        <v>0</v>
      </c>
      <c r="L1841" s="1" t="str">
        <f>IF(E1841=0,SUMPRODUCT(MIN($K$2:$K$4734+((($A$2:$A$4734&lt;&gt;A1841)+($E$2:$E$4734&lt;&gt;0))&gt;0)*1000000)),"")</f>
        <v/>
      </c>
      <c r="M1841" s="1">
        <f>IF(AND(E1841=0,COUNTIFS($A$2:A1841,A1841,$E$2:E1841,0)=1),L1841,0)</f>
        <v>0</v>
      </c>
    </row>
    <row r="1842" spans="1:13" ht="15" customHeight="1">
      <c r="A1842" s="1">
        <v>7340</v>
      </c>
      <c r="B1842" s="1" t="s">
        <v>9</v>
      </c>
      <c r="C1842" s="2" t="s">
        <v>2159</v>
      </c>
      <c r="D1842" s="2" t="s">
        <v>2160</v>
      </c>
      <c r="E1842" s="1">
        <v>0</v>
      </c>
      <c r="F1842" s="2" t="s">
        <v>2161</v>
      </c>
      <c r="H1842" s="1" t="str">
        <f t="shared" si="29"/>
        <v/>
      </c>
      <c r="K1842" s="1">
        <f>IF(E1842=0,SUMPRODUCT(($A$2:$A$4734=A1842)*($B$2:$B$4734=B1842)*($D$2:$D$4734=D1842)*($E$2:$E$4734=0)),0)</f>
        <v>2</v>
      </c>
      <c r="L1842" s="1">
        <f>IF(E1842=0,SUMPRODUCT(MIN($K$2:$K$4734+((($A$2:$A$4734&lt;&gt;A1842)+($E$2:$E$4734&lt;&gt;0))&gt;0)*1000000)),"")</f>
        <v>2</v>
      </c>
      <c r="M1842" s="1">
        <f>IF(AND(E1842=0,COUNTIFS($A$2:A1842,A1842,$E$2:E1842,0)=1),L1842,0)</f>
        <v>2</v>
      </c>
    </row>
    <row r="1843" spans="1:13" ht="15" customHeight="1">
      <c r="A1843" s="1">
        <v>7340</v>
      </c>
      <c r="B1843" s="1" t="s">
        <v>9</v>
      </c>
      <c r="C1843" s="2" t="s">
        <v>2159</v>
      </c>
      <c r="D1843" s="2" t="s">
        <v>2160</v>
      </c>
      <c r="E1843" s="1">
        <v>0</v>
      </c>
      <c r="F1843" s="2" t="s">
        <v>2162</v>
      </c>
      <c r="H1843" s="1" t="str">
        <f t="shared" si="29"/>
        <v/>
      </c>
      <c r="K1843" s="1">
        <f>IF(E1843=0,SUMPRODUCT(($A$2:$A$4734=A1843)*($B$2:$B$4734=B1843)*($D$2:$D$4734=D1843)*($E$2:$E$4734=0)),0)</f>
        <v>2</v>
      </c>
      <c r="L1843" s="1">
        <f>IF(E1843=0,SUMPRODUCT(MIN($K$2:$K$4734+((($A$2:$A$4734&lt;&gt;A1843)+($E$2:$E$4734&lt;&gt;0))&gt;0)*1000000)),"")</f>
        <v>2</v>
      </c>
      <c r="M1843" s="1">
        <f>IF(AND(E1843=0,COUNTIFS($A$2:A1843,A1843,$E$2:E1843,0)=1),L1843,0)</f>
        <v>0</v>
      </c>
    </row>
    <row r="1844" spans="1:13" ht="15" customHeight="1">
      <c r="A1844" s="1">
        <v>7340</v>
      </c>
      <c r="B1844" s="1" t="s">
        <v>9</v>
      </c>
      <c r="C1844" s="2" t="s">
        <v>2159</v>
      </c>
      <c r="D1844" s="2" t="s">
        <v>2163</v>
      </c>
      <c r="E1844" s="1">
        <v>0</v>
      </c>
      <c r="F1844" s="2" t="s">
        <v>2164</v>
      </c>
      <c r="H1844" s="1" t="str">
        <f t="shared" si="29"/>
        <v/>
      </c>
      <c r="K1844" s="1">
        <f>IF(E1844=0,SUMPRODUCT(($A$2:$A$4734=A1844)*($B$2:$B$4734=B1844)*($D$2:$D$4734=D1844)*($E$2:$E$4734=0)),0)</f>
        <v>5</v>
      </c>
      <c r="L1844" s="1">
        <f>IF(E1844=0,SUMPRODUCT(MIN($K$2:$K$4734+((($A$2:$A$4734&lt;&gt;A1844)+($E$2:$E$4734&lt;&gt;0))&gt;0)*1000000)),"")</f>
        <v>2</v>
      </c>
      <c r="M1844" s="1">
        <f>IF(AND(E1844=0,COUNTIFS($A$2:A1844,A1844,$E$2:E1844,0)=1),L1844,0)</f>
        <v>0</v>
      </c>
    </row>
    <row r="1845" spans="1:13" ht="15" customHeight="1">
      <c r="A1845" s="1">
        <v>7340</v>
      </c>
      <c r="B1845" s="1" t="s">
        <v>9</v>
      </c>
      <c r="C1845" s="2" t="s">
        <v>2159</v>
      </c>
      <c r="D1845" s="2" t="s">
        <v>2163</v>
      </c>
      <c r="E1845" s="1">
        <v>0</v>
      </c>
      <c r="F1845" s="2" t="s">
        <v>2165</v>
      </c>
      <c r="H1845" s="1" t="str">
        <f t="shared" si="29"/>
        <v/>
      </c>
      <c r="K1845" s="1">
        <f>IF(E1845=0,SUMPRODUCT(($A$2:$A$4734=A1845)*($B$2:$B$4734=B1845)*($D$2:$D$4734=D1845)*($E$2:$E$4734=0)),0)</f>
        <v>5</v>
      </c>
      <c r="L1845" s="1">
        <f>IF(E1845=0,SUMPRODUCT(MIN($K$2:$K$4734+((($A$2:$A$4734&lt;&gt;A1845)+($E$2:$E$4734&lt;&gt;0))&gt;0)*1000000)),"")</f>
        <v>2</v>
      </c>
      <c r="M1845" s="1">
        <f>IF(AND(E1845=0,COUNTIFS($A$2:A1845,A1845,$E$2:E1845,0)=1),L1845,0)</f>
        <v>0</v>
      </c>
    </row>
    <row r="1846" spans="1:13" ht="15" customHeight="1">
      <c r="A1846" s="1">
        <v>7340</v>
      </c>
      <c r="B1846" s="1" t="s">
        <v>9</v>
      </c>
      <c r="C1846" s="2" t="s">
        <v>2159</v>
      </c>
      <c r="D1846" s="2" t="s">
        <v>2163</v>
      </c>
      <c r="E1846" s="1">
        <v>0</v>
      </c>
      <c r="F1846" s="2" t="s">
        <v>2166</v>
      </c>
      <c r="H1846" s="1" t="str">
        <f t="shared" si="29"/>
        <v/>
      </c>
      <c r="K1846" s="1">
        <f>IF(E1846=0,SUMPRODUCT(($A$2:$A$4734=A1846)*($B$2:$B$4734=B1846)*($D$2:$D$4734=D1846)*($E$2:$E$4734=0)),0)</f>
        <v>5</v>
      </c>
      <c r="L1846" s="1">
        <f>IF(E1846=0,SUMPRODUCT(MIN($K$2:$K$4734+((($A$2:$A$4734&lt;&gt;A1846)+($E$2:$E$4734&lt;&gt;0))&gt;0)*1000000)),"")</f>
        <v>2</v>
      </c>
      <c r="M1846" s="1">
        <f>IF(AND(E1846=0,COUNTIFS($A$2:A1846,A1846,$E$2:E1846,0)=1),L1846,0)</f>
        <v>0</v>
      </c>
    </row>
    <row r="1847" spans="1:13" ht="15" customHeight="1">
      <c r="A1847" s="1">
        <v>7340</v>
      </c>
      <c r="B1847" s="1" t="s">
        <v>9</v>
      </c>
      <c r="C1847" s="2" t="s">
        <v>2159</v>
      </c>
      <c r="D1847" s="2" t="s">
        <v>2163</v>
      </c>
      <c r="E1847" s="1">
        <v>0</v>
      </c>
      <c r="F1847" s="2" t="s">
        <v>2167</v>
      </c>
      <c r="H1847" s="1" t="str">
        <f t="shared" si="29"/>
        <v/>
      </c>
      <c r="K1847" s="1">
        <f>IF(E1847=0,SUMPRODUCT(($A$2:$A$4734=A1847)*($B$2:$B$4734=B1847)*($D$2:$D$4734=D1847)*($E$2:$E$4734=0)),0)</f>
        <v>5</v>
      </c>
      <c r="L1847" s="1">
        <f>IF(E1847=0,SUMPRODUCT(MIN($K$2:$K$4734+((($A$2:$A$4734&lt;&gt;A1847)+($E$2:$E$4734&lt;&gt;0))&gt;0)*1000000)),"")</f>
        <v>2</v>
      </c>
      <c r="M1847" s="1">
        <f>IF(AND(E1847=0,COUNTIFS($A$2:A1847,A1847,$E$2:E1847,0)=1),L1847,0)</f>
        <v>0</v>
      </c>
    </row>
    <row r="1848" spans="1:13" ht="15" customHeight="1">
      <c r="A1848" s="1">
        <v>7340</v>
      </c>
      <c r="B1848" s="1" t="s">
        <v>9</v>
      </c>
      <c r="C1848" s="2" t="s">
        <v>2159</v>
      </c>
      <c r="D1848" s="2" t="s">
        <v>2163</v>
      </c>
      <c r="E1848" s="1">
        <v>0</v>
      </c>
      <c r="F1848" s="2" t="s">
        <v>2168</v>
      </c>
      <c r="H1848" s="1" t="str">
        <f t="shared" si="29"/>
        <v/>
      </c>
      <c r="K1848" s="1">
        <f>IF(E1848=0,SUMPRODUCT(($A$2:$A$4734=A1848)*($B$2:$B$4734=B1848)*($D$2:$D$4734=D1848)*($E$2:$E$4734=0)),0)</f>
        <v>5</v>
      </c>
      <c r="L1848" s="1">
        <f>IF(E1848=0,SUMPRODUCT(MIN($K$2:$K$4734+((($A$2:$A$4734&lt;&gt;A1848)+($E$2:$E$4734&lt;&gt;0))&gt;0)*1000000)),"")</f>
        <v>2</v>
      </c>
      <c r="M1848" s="1">
        <f>IF(AND(E1848=0,COUNTIFS($A$2:A1848,A1848,$E$2:E1848,0)=1),L1848,0)</f>
        <v>0</v>
      </c>
    </row>
    <row r="1849" spans="1:13" ht="15" customHeight="1">
      <c r="A1849" s="1">
        <v>7340</v>
      </c>
      <c r="B1849" s="1" t="s">
        <v>9</v>
      </c>
      <c r="C1849" s="2" t="s">
        <v>2159</v>
      </c>
      <c r="D1849" s="2" t="s">
        <v>2169</v>
      </c>
      <c r="E1849" s="1">
        <v>0</v>
      </c>
      <c r="F1849" s="2" t="s">
        <v>2170</v>
      </c>
      <c r="H1849" s="1" t="str">
        <f t="shared" si="29"/>
        <v/>
      </c>
      <c r="K1849" s="1">
        <f>IF(E1849=0,SUMPRODUCT(($A$2:$A$4734=A1849)*($B$2:$B$4734=B1849)*($D$2:$D$4734=D1849)*($E$2:$E$4734=0)),0)</f>
        <v>5</v>
      </c>
      <c r="L1849" s="1">
        <f>IF(E1849=0,SUMPRODUCT(MIN($K$2:$K$4734+((($A$2:$A$4734&lt;&gt;A1849)+($E$2:$E$4734&lt;&gt;0))&gt;0)*1000000)),"")</f>
        <v>2</v>
      </c>
      <c r="M1849" s="1">
        <f>IF(AND(E1849=0,COUNTIFS($A$2:A1849,A1849,$E$2:E1849,0)=1),L1849,0)</f>
        <v>0</v>
      </c>
    </row>
    <row r="1850" spans="1:13" ht="15" customHeight="1">
      <c r="A1850" s="1">
        <v>7340</v>
      </c>
      <c r="B1850" s="1" t="s">
        <v>9</v>
      </c>
      <c r="C1850" s="2" t="s">
        <v>2159</v>
      </c>
      <c r="D1850" s="2" t="s">
        <v>2169</v>
      </c>
      <c r="E1850" s="1">
        <v>0</v>
      </c>
      <c r="F1850" s="2" t="s">
        <v>2171</v>
      </c>
      <c r="H1850" s="1" t="str">
        <f t="shared" si="29"/>
        <v/>
      </c>
      <c r="K1850" s="1">
        <f>IF(E1850=0,SUMPRODUCT(($A$2:$A$4734=A1850)*($B$2:$B$4734=B1850)*($D$2:$D$4734=D1850)*($E$2:$E$4734=0)),0)</f>
        <v>5</v>
      </c>
      <c r="L1850" s="1">
        <f>IF(E1850=0,SUMPRODUCT(MIN($K$2:$K$4734+((($A$2:$A$4734&lt;&gt;A1850)+($E$2:$E$4734&lt;&gt;0))&gt;0)*1000000)),"")</f>
        <v>2</v>
      </c>
      <c r="M1850" s="1">
        <f>IF(AND(E1850=0,COUNTIFS($A$2:A1850,A1850,$E$2:E1850,0)=1),L1850,0)</f>
        <v>0</v>
      </c>
    </row>
    <row r="1851" spans="1:13" ht="15" customHeight="1">
      <c r="A1851" s="1">
        <v>7340</v>
      </c>
      <c r="B1851" s="1" t="s">
        <v>9</v>
      </c>
      <c r="C1851" s="2" t="s">
        <v>2159</v>
      </c>
      <c r="D1851" s="2" t="s">
        <v>2169</v>
      </c>
      <c r="E1851" s="1">
        <v>0</v>
      </c>
      <c r="F1851" s="2" t="s">
        <v>2172</v>
      </c>
      <c r="H1851" s="1" t="str">
        <f t="shared" si="29"/>
        <v/>
      </c>
      <c r="K1851" s="1">
        <f>IF(E1851=0,SUMPRODUCT(($A$2:$A$4734=A1851)*($B$2:$B$4734=B1851)*($D$2:$D$4734=D1851)*($E$2:$E$4734=0)),0)</f>
        <v>5</v>
      </c>
      <c r="L1851" s="1">
        <f>IF(E1851=0,SUMPRODUCT(MIN($K$2:$K$4734+((($A$2:$A$4734&lt;&gt;A1851)+($E$2:$E$4734&lt;&gt;0))&gt;0)*1000000)),"")</f>
        <v>2</v>
      </c>
      <c r="M1851" s="1">
        <f>IF(AND(E1851=0,COUNTIFS($A$2:A1851,A1851,$E$2:E1851,0)=1),L1851,0)</f>
        <v>0</v>
      </c>
    </row>
    <row r="1852" spans="1:13" ht="15" customHeight="1">
      <c r="A1852" s="1">
        <v>7340</v>
      </c>
      <c r="B1852" s="1" t="s">
        <v>9</v>
      </c>
      <c r="C1852" s="2" t="s">
        <v>2159</v>
      </c>
      <c r="D1852" s="2" t="s">
        <v>2169</v>
      </c>
      <c r="E1852" s="1">
        <v>0</v>
      </c>
      <c r="F1852" s="2" t="s">
        <v>2173</v>
      </c>
      <c r="H1852" s="1" t="str">
        <f t="shared" si="29"/>
        <v/>
      </c>
      <c r="K1852" s="1">
        <f>IF(E1852=0,SUMPRODUCT(($A$2:$A$4734=A1852)*($B$2:$B$4734=B1852)*($D$2:$D$4734=D1852)*($E$2:$E$4734=0)),0)</f>
        <v>5</v>
      </c>
      <c r="L1852" s="1">
        <f>IF(E1852=0,SUMPRODUCT(MIN($K$2:$K$4734+((($A$2:$A$4734&lt;&gt;A1852)+($E$2:$E$4734&lt;&gt;0))&gt;0)*1000000)),"")</f>
        <v>2</v>
      </c>
      <c r="M1852" s="1">
        <f>IF(AND(E1852=0,COUNTIFS($A$2:A1852,A1852,$E$2:E1852,0)=1),L1852,0)</f>
        <v>0</v>
      </c>
    </row>
    <row r="1853" spans="1:13" ht="15" customHeight="1">
      <c r="A1853" s="1">
        <v>7340</v>
      </c>
      <c r="B1853" s="1" t="s">
        <v>9</v>
      </c>
      <c r="C1853" s="2" t="s">
        <v>2159</v>
      </c>
      <c r="D1853" s="2" t="s">
        <v>2169</v>
      </c>
      <c r="E1853" s="1">
        <v>0</v>
      </c>
      <c r="F1853" s="2" t="s">
        <v>2174</v>
      </c>
      <c r="H1853" s="1" t="str">
        <f t="shared" si="29"/>
        <v/>
      </c>
      <c r="K1853" s="1">
        <f>IF(E1853=0,SUMPRODUCT(($A$2:$A$4734=A1853)*($B$2:$B$4734=B1853)*($D$2:$D$4734=D1853)*($E$2:$E$4734=0)),0)</f>
        <v>5</v>
      </c>
      <c r="L1853" s="1">
        <f>IF(E1853=0,SUMPRODUCT(MIN($K$2:$K$4734+((($A$2:$A$4734&lt;&gt;A1853)+($E$2:$E$4734&lt;&gt;0))&gt;0)*1000000)),"")</f>
        <v>2</v>
      </c>
      <c r="M1853" s="1">
        <f>IF(AND(E1853=0,COUNTIFS($A$2:A1853,A1853,$E$2:E1853,0)=1),L1853,0)</f>
        <v>0</v>
      </c>
    </row>
    <row r="1854" spans="1:13" ht="15" customHeight="1">
      <c r="A1854" s="1">
        <v>7340</v>
      </c>
      <c r="B1854" s="1" t="s">
        <v>16</v>
      </c>
      <c r="C1854" s="2" t="s">
        <v>2159</v>
      </c>
      <c r="D1854" s="2" t="s">
        <v>2175</v>
      </c>
      <c r="E1854" s="1">
        <v>0</v>
      </c>
      <c r="F1854" s="2" t="s">
        <v>2176</v>
      </c>
      <c r="H1854" s="1" t="str">
        <f t="shared" si="29"/>
        <v/>
      </c>
      <c r="K1854" s="1">
        <f>IF(E1854=0,SUMPRODUCT(($A$2:$A$4734=A1854)*($B$2:$B$4734=B1854)*($D$2:$D$4734=D1854)*($E$2:$E$4734=0)),0)</f>
        <v>6</v>
      </c>
      <c r="L1854" s="1">
        <f>IF(E1854=0,SUMPRODUCT(MIN($K$2:$K$4734+((($A$2:$A$4734&lt;&gt;A1854)+($E$2:$E$4734&lt;&gt;0))&gt;0)*1000000)),"")</f>
        <v>2</v>
      </c>
      <c r="M1854" s="1">
        <f>IF(AND(E1854=0,COUNTIFS($A$2:A1854,A1854,$E$2:E1854,0)=1),L1854,0)</f>
        <v>0</v>
      </c>
    </row>
    <row r="1855" spans="1:13" ht="15" customHeight="1">
      <c r="A1855" s="1">
        <v>7340</v>
      </c>
      <c r="B1855" s="1" t="s">
        <v>16</v>
      </c>
      <c r="C1855" s="2" t="s">
        <v>2159</v>
      </c>
      <c r="D1855" s="2" t="s">
        <v>2175</v>
      </c>
      <c r="E1855" s="1">
        <v>0</v>
      </c>
      <c r="F1855" s="2" t="s">
        <v>2177</v>
      </c>
      <c r="H1855" s="1" t="str">
        <f t="shared" si="29"/>
        <v/>
      </c>
      <c r="K1855" s="1">
        <f>IF(E1855=0,SUMPRODUCT(($A$2:$A$4734=A1855)*($B$2:$B$4734=B1855)*($D$2:$D$4734=D1855)*($E$2:$E$4734=0)),0)</f>
        <v>6</v>
      </c>
      <c r="L1855" s="1">
        <f>IF(E1855=0,SUMPRODUCT(MIN($K$2:$K$4734+((($A$2:$A$4734&lt;&gt;A1855)+($E$2:$E$4734&lt;&gt;0))&gt;0)*1000000)),"")</f>
        <v>2</v>
      </c>
      <c r="M1855" s="1">
        <f>IF(AND(E1855=0,COUNTIFS($A$2:A1855,A1855,$E$2:E1855,0)=1),L1855,0)</f>
        <v>0</v>
      </c>
    </row>
    <row r="1856" spans="1:13" ht="15" customHeight="1">
      <c r="A1856" s="1">
        <v>7340</v>
      </c>
      <c r="B1856" s="1" t="s">
        <v>16</v>
      </c>
      <c r="C1856" s="2" t="s">
        <v>2159</v>
      </c>
      <c r="D1856" s="2" t="s">
        <v>2175</v>
      </c>
      <c r="E1856" s="1">
        <v>0</v>
      </c>
      <c r="F1856" s="2" t="s">
        <v>2178</v>
      </c>
      <c r="H1856" s="1" t="str">
        <f t="shared" si="29"/>
        <v/>
      </c>
      <c r="K1856" s="1">
        <f>IF(E1856=0,SUMPRODUCT(($A$2:$A$4734=A1856)*($B$2:$B$4734=B1856)*($D$2:$D$4734=D1856)*($E$2:$E$4734=0)),0)</f>
        <v>6</v>
      </c>
      <c r="L1856" s="1">
        <f>IF(E1856=0,SUMPRODUCT(MIN($K$2:$K$4734+((($A$2:$A$4734&lt;&gt;A1856)+($E$2:$E$4734&lt;&gt;0))&gt;0)*1000000)),"")</f>
        <v>2</v>
      </c>
      <c r="M1856" s="1">
        <f>IF(AND(E1856=0,COUNTIFS($A$2:A1856,A1856,$E$2:E1856,0)=1),L1856,0)</f>
        <v>0</v>
      </c>
    </row>
    <row r="1857" spans="1:13" ht="15" customHeight="1">
      <c r="A1857" s="1">
        <v>7340</v>
      </c>
      <c r="B1857" s="1" t="s">
        <v>16</v>
      </c>
      <c r="C1857" s="2" t="s">
        <v>2159</v>
      </c>
      <c r="D1857" s="2" t="s">
        <v>2175</v>
      </c>
      <c r="E1857" s="1">
        <v>0</v>
      </c>
      <c r="F1857" s="2" t="s">
        <v>2179</v>
      </c>
      <c r="H1857" s="1" t="str">
        <f t="shared" si="29"/>
        <v/>
      </c>
      <c r="K1857" s="1">
        <f>IF(E1857=0,SUMPRODUCT(($A$2:$A$4734=A1857)*($B$2:$B$4734=B1857)*($D$2:$D$4734=D1857)*($E$2:$E$4734=0)),0)</f>
        <v>6</v>
      </c>
      <c r="L1857" s="1">
        <f>IF(E1857=0,SUMPRODUCT(MIN($K$2:$K$4734+((($A$2:$A$4734&lt;&gt;A1857)+($E$2:$E$4734&lt;&gt;0))&gt;0)*1000000)),"")</f>
        <v>2</v>
      </c>
      <c r="M1857" s="1">
        <f>IF(AND(E1857=0,COUNTIFS($A$2:A1857,A1857,$E$2:E1857,0)=1),L1857,0)</f>
        <v>0</v>
      </c>
    </row>
    <row r="1858" spans="1:13" ht="15" customHeight="1">
      <c r="A1858" s="1">
        <v>7340</v>
      </c>
      <c r="B1858" s="1" t="s">
        <v>16</v>
      </c>
      <c r="C1858" s="2" t="s">
        <v>2159</v>
      </c>
      <c r="D1858" s="2" t="s">
        <v>2175</v>
      </c>
      <c r="E1858" s="1">
        <v>0</v>
      </c>
      <c r="F1858" s="2" t="s">
        <v>2180</v>
      </c>
      <c r="H1858" s="1" t="str">
        <f t="shared" si="29"/>
        <v/>
      </c>
      <c r="K1858" s="1">
        <f>IF(E1858=0,SUMPRODUCT(($A$2:$A$4734=A1858)*($B$2:$B$4734=B1858)*($D$2:$D$4734=D1858)*($E$2:$E$4734=0)),0)</f>
        <v>6</v>
      </c>
      <c r="L1858" s="1">
        <f>IF(E1858=0,SUMPRODUCT(MIN($K$2:$K$4734+((($A$2:$A$4734&lt;&gt;A1858)+($E$2:$E$4734&lt;&gt;0))&gt;0)*1000000)),"")</f>
        <v>2</v>
      </c>
      <c r="M1858" s="1">
        <f>IF(AND(E1858=0,COUNTIFS($A$2:A1858,A1858,$E$2:E1858,0)=1),L1858,0)</f>
        <v>0</v>
      </c>
    </row>
    <row r="1859" spans="1:13" ht="15" customHeight="1">
      <c r="A1859" s="1">
        <v>7340</v>
      </c>
      <c r="B1859" s="1" t="s">
        <v>16</v>
      </c>
      <c r="C1859" s="2" t="s">
        <v>2159</v>
      </c>
      <c r="D1859" s="2" t="s">
        <v>2175</v>
      </c>
      <c r="E1859" s="1">
        <v>0</v>
      </c>
      <c r="F1859" s="2" t="s">
        <v>2181</v>
      </c>
      <c r="H1859" s="1" t="str">
        <f t="shared" si="29"/>
        <v/>
      </c>
      <c r="K1859" s="1">
        <f>IF(E1859=0,SUMPRODUCT(($A$2:$A$4734=A1859)*($B$2:$B$4734=B1859)*($D$2:$D$4734=D1859)*($E$2:$E$4734=0)),0)</f>
        <v>6</v>
      </c>
      <c r="L1859" s="1">
        <f>IF(E1859=0,SUMPRODUCT(MIN($K$2:$K$4734+((($A$2:$A$4734&lt;&gt;A1859)+($E$2:$E$4734&lt;&gt;0))&gt;0)*1000000)),"")</f>
        <v>2</v>
      </c>
      <c r="M1859" s="1">
        <f>IF(AND(E1859=0,COUNTIFS($A$2:A1859,A1859,$E$2:E1859,0)=1),L1859,0)</f>
        <v>0</v>
      </c>
    </row>
    <row r="1860" spans="1:13" ht="15" customHeight="1">
      <c r="A1860" s="1">
        <v>7341</v>
      </c>
      <c r="B1860" s="1" t="s">
        <v>16</v>
      </c>
      <c r="C1860" s="2" t="s">
        <v>2182</v>
      </c>
      <c r="D1860" s="2" t="s">
        <v>2183</v>
      </c>
      <c r="E1860" s="1">
        <v>1</v>
      </c>
      <c r="F1860" s="2" t="s">
        <v>2184</v>
      </c>
      <c r="G1860" s="1">
        <v>1</v>
      </c>
      <c r="H1860" s="1" t="str">
        <f t="shared" si="29"/>
        <v>k7341_1</v>
      </c>
      <c r="K1860" s="1">
        <f>IF(E1860=0,SUMPRODUCT(($A$2:$A$4734=A1860)*($B$2:$B$4734=B1860)*($D$2:$D$4734=D1860)*($E$2:$E$4734=0)),0)</f>
        <v>0</v>
      </c>
      <c r="L1860" s="1" t="str">
        <f>IF(E1860=0,SUMPRODUCT(MIN($K$2:$K$4734+((($A$2:$A$4734&lt;&gt;A1860)+($E$2:$E$4734&lt;&gt;0))&gt;0)*1000000)),"")</f>
        <v/>
      </c>
      <c r="M1860" s="1">
        <f>IF(AND(E1860=0,COUNTIFS($A$2:A1860,A1860,$E$2:E1860,0)=1),L1860,0)</f>
        <v>0</v>
      </c>
    </row>
    <row r="1861" spans="1:13" ht="15" customHeight="1">
      <c r="A1861" s="1">
        <v>7341</v>
      </c>
      <c r="B1861" s="1" t="s">
        <v>16</v>
      </c>
      <c r="C1861" s="2" t="s">
        <v>2182</v>
      </c>
      <c r="D1861" s="2" t="s">
        <v>2183</v>
      </c>
      <c r="E1861" s="1">
        <v>1</v>
      </c>
      <c r="F1861" s="2" t="s">
        <v>2185</v>
      </c>
      <c r="G1861" s="1">
        <v>2</v>
      </c>
      <c r="H1861" s="1" t="str">
        <f t="shared" si="29"/>
        <v>k7341_2</v>
      </c>
      <c r="K1861" s="1">
        <f>IF(E1861=0,SUMPRODUCT(($A$2:$A$4734=A1861)*($B$2:$B$4734=B1861)*($D$2:$D$4734=D1861)*($E$2:$E$4734=0)),0)</f>
        <v>0</v>
      </c>
      <c r="L1861" s="1" t="str">
        <f>IF(E1861=0,SUMPRODUCT(MIN($K$2:$K$4734+((($A$2:$A$4734&lt;&gt;A1861)+($E$2:$E$4734&lt;&gt;0))&gt;0)*1000000)),"")</f>
        <v/>
      </c>
      <c r="M1861" s="1">
        <f>IF(AND(E1861=0,COUNTIFS($A$2:A1861,A1861,$E$2:E1861,0)=1),L1861,0)</f>
        <v>0</v>
      </c>
    </row>
    <row r="1862" spans="1:13" ht="15" customHeight="1">
      <c r="A1862" s="1">
        <v>7341</v>
      </c>
      <c r="B1862" s="1" t="s">
        <v>16</v>
      </c>
      <c r="C1862" s="2" t="s">
        <v>2182</v>
      </c>
      <c r="D1862" s="2" t="s">
        <v>2183</v>
      </c>
      <c r="E1862" s="1">
        <v>1</v>
      </c>
      <c r="F1862" s="2" t="s">
        <v>2185</v>
      </c>
      <c r="G1862" s="1">
        <v>3</v>
      </c>
      <c r="H1862" s="1" t="str">
        <f t="shared" si="29"/>
        <v>k7341_3</v>
      </c>
      <c r="K1862" s="1">
        <f>IF(E1862=0,SUMPRODUCT(($A$2:$A$4734=A1862)*($B$2:$B$4734=B1862)*($D$2:$D$4734=D1862)*($E$2:$E$4734=0)),0)</f>
        <v>0</v>
      </c>
      <c r="L1862" s="1" t="str">
        <f>IF(E1862=0,SUMPRODUCT(MIN($K$2:$K$4734+((($A$2:$A$4734&lt;&gt;A1862)+($E$2:$E$4734&lt;&gt;0))&gt;0)*1000000)),"")</f>
        <v/>
      </c>
      <c r="M1862" s="1">
        <f>IF(AND(E1862=0,COUNTIFS($A$2:A1862,A1862,$E$2:E1862,0)=1),L1862,0)</f>
        <v>0</v>
      </c>
    </row>
    <row r="1863" spans="1:13" ht="15" customHeight="1">
      <c r="A1863" s="1">
        <v>7341</v>
      </c>
      <c r="B1863" s="1" t="s">
        <v>16</v>
      </c>
      <c r="C1863" s="2" t="s">
        <v>2182</v>
      </c>
      <c r="D1863" s="2" t="s">
        <v>2183</v>
      </c>
      <c r="E1863" s="1">
        <v>1</v>
      </c>
      <c r="F1863" s="2" t="s">
        <v>2186</v>
      </c>
      <c r="G1863" s="1">
        <v>4</v>
      </c>
      <c r="H1863" s="1" t="str">
        <f t="shared" si="29"/>
        <v>k7341_4</v>
      </c>
      <c r="K1863" s="1">
        <f>IF(E1863=0,SUMPRODUCT(($A$2:$A$4734=A1863)*($B$2:$B$4734=B1863)*($D$2:$D$4734=D1863)*($E$2:$E$4734=0)),0)</f>
        <v>0</v>
      </c>
      <c r="L1863" s="1" t="str">
        <f>IF(E1863=0,SUMPRODUCT(MIN($K$2:$K$4734+((($A$2:$A$4734&lt;&gt;A1863)+($E$2:$E$4734&lt;&gt;0))&gt;0)*1000000)),"")</f>
        <v/>
      </c>
      <c r="M1863" s="1">
        <f>IF(AND(E1863=0,COUNTIFS($A$2:A1863,A1863,$E$2:E1863,0)=1),L1863,0)</f>
        <v>0</v>
      </c>
    </row>
    <row r="1864" spans="1:13" ht="15" customHeight="1">
      <c r="A1864" s="1">
        <v>7341</v>
      </c>
      <c r="B1864" s="1" t="s">
        <v>16</v>
      </c>
      <c r="C1864" s="2" t="s">
        <v>2182</v>
      </c>
      <c r="D1864" s="2" t="s">
        <v>2183</v>
      </c>
      <c r="E1864" s="1">
        <v>1</v>
      </c>
      <c r="F1864" s="2" t="s">
        <v>2187</v>
      </c>
      <c r="G1864" s="1">
        <v>5</v>
      </c>
      <c r="H1864" s="1" t="str">
        <f t="shared" si="29"/>
        <v>k7341_5</v>
      </c>
      <c r="K1864" s="1">
        <f>IF(E1864=0,SUMPRODUCT(($A$2:$A$4734=A1864)*($B$2:$B$4734=B1864)*($D$2:$D$4734=D1864)*($E$2:$E$4734=0)),0)</f>
        <v>0</v>
      </c>
      <c r="L1864" s="1" t="str">
        <f>IF(E1864=0,SUMPRODUCT(MIN($K$2:$K$4734+((($A$2:$A$4734&lt;&gt;A1864)+($E$2:$E$4734&lt;&gt;0))&gt;0)*1000000)),"")</f>
        <v/>
      </c>
      <c r="M1864" s="1">
        <f>IF(AND(E1864=0,COUNTIFS($A$2:A1864,A1864,$E$2:E1864,0)=1),L1864,0)</f>
        <v>0</v>
      </c>
    </row>
    <row r="1865" spans="1:13" ht="15" customHeight="1">
      <c r="A1865" s="1">
        <v>7341</v>
      </c>
      <c r="B1865" s="1" t="s">
        <v>69</v>
      </c>
      <c r="C1865" s="2" t="s">
        <v>2182</v>
      </c>
      <c r="D1865" s="1" t="s">
        <v>2188</v>
      </c>
      <c r="E1865" s="1">
        <v>1</v>
      </c>
      <c r="F1865" s="2" t="s">
        <v>2189</v>
      </c>
      <c r="G1865" s="1">
        <v>1</v>
      </c>
      <c r="H1865" s="1" t="str">
        <f t="shared" si="29"/>
        <v>k7341_1</v>
      </c>
      <c r="K1865" s="1">
        <f>IF(E1865=0,SUMPRODUCT(($A$2:$A$4734=A1865)*($B$2:$B$4734=B1865)*($D$2:$D$4734=D1865)*($E$2:$E$4734=0)),0)</f>
        <v>0</v>
      </c>
      <c r="L1865" s="1" t="str">
        <f>IF(E1865=0,SUMPRODUCT(MIN($K$2:$K$4734+((($A$2:$A$4734&lt;&gt;A1865)+($E$2:$E$4734&lt;&gt;0))&gt;0)*1000000)),"")</f>
        <v/>
      </c>
      <c r="M1865" s="1">
        <f>IF(AND(E1865=0,COUNTIFS($A$2:A1865,A1865,$E$2:E1865,0)=1),L1865,0)</f>
        <v>0</v>
      </c>
    </row>
    <row r="1866" spans="1:13" ht="15" customHeight="1">
      <c r="A1866" s="1">
        <v>7341</v>
      </c>
      <c r="B1866" s="1" t="s">
        <v>69</v>
      </c>
      <c r="C1866" s="2" t="s">
        <v>2182</v>
      </c>
      <c r="D1866" s="1" t="s">
        <v>2188</v>
      </c>
      <c r="E1866" s="1">
        <v>1</v>
      </c>
      <c r="F1866" s="2" t="s">
        <v>2190</v>
      </c>
      <c r="G1866" s="1">
        <v>2</v>
      </c>
      <c r="H1866" s="1" t="str">
        <f t="shared" si="29"/>
        <v>k7341_2</v>
      </c>
      <c r="K1866" s="1">
        <f>IF(E1866=0,SUMPRODUCT(($A$2:$A$4734=A1866)*($B$2:$B$4734=B1866)*($D$2:$D$4734=D1866)*($E$2:$E$4734=0)),0)</f>
        <v>0</v>
      </c>
      <c r="L1866" s="1" t="str">
        <f>IF(E1866=0,SUMPRODUCT(MIN($K$2:$K$4734+((($A$2:$A$4734&lt;&gt;A1866)+($E$2:$E$4734&lt;&gt;0))&gt;0)*1000000)),"")</f>
        <v/>
      </c>
      <c r="M1866" s="1">
        <f>IF(AND(E1866=0,COUNTIFS($A$2:A1866,A1866,$E$2:E1866,0)=1),L1866,0)</f>
        <v>0</v>
      </c>
    </row>
    <row r="1867" spans="1:13" ht="15" customHeight="1">
      <c r="A1867" s="1">
        <v>7341</v>
      </c>
      <c r="B1867" s="1" t="s">
        <v>69</v>
      </c>
      <c r="C1867" s="2" t="s">
        <v>2182</v>
      </c>
      <c r="D1867" s="1" t="s">
        <v>2188</v>
      </c>
      <c r="E1867" s="1">
        <v>1</v>
      </c>
      <c r="F1867" s="2" t="s">
        <v>2191</v>
      </c>
      <c r="G1867" s="1">
        <v>3</v>
      </c>
      <c r="H1867" s="1" t="str">
        <f t="shared" si="29"/>
        <v>k7341_3</v>
      </c>
      <c r="K1867" s="1">
        <f>IF(E1867=0,SUMPRODUCT(($A$2:$A$4734=A1867)*($B$2:$B$4734=B1867)*($D$2:$D$4734=D1867)*($E$2:$E$4734=0)),0)</f>
        <v>0</v>
      </c>
      <c r="L1867" s="1" t="str">
        <f>IF(E1867=0,SUMPRODUCT(MIN($K$2:$K$4734+((($A$2:$A$4734&lt;&gt;A1867)+($E$2:$E$4734&lt;&gt;0))&gt;0)*1000000)),"")</f>
        <v/>
      </c>
      <c r="M1867" s="1">
        <f>IF(AND(E1867=0,COUNTIFS($A$2:A1867,A1867,$E$2:E1867,0)=1),L1867,0)</f>
        <v>0</v>
      </c>
    </row>
    <row r="1868" spans="1:13" ht="15" customHeight="1">
      <c r="A1868" s="1">
        <v>7341</v>
      </c>
      <c r="B1868" s="1" t="s">
        <v>69</v>
      </c>
      <c r="C1868" s="2" t="s">
        <v>2182</v>
      </c>
      <c r="D1868" s="1" t="s">
        <v>2188</v>
      </c>
      <c r="E1868" s="1">
        <v>1</v>
      </c>
      <c r="F1868" s="2" t="s">
        <v>2192</v>
      </c>
      <c r="G1868" s="1">
        <v>4</v>
      </c>
      <c r="H1868" s="1" t="str">
        <f t="shared" si="29"/>
        <v>k7341_4</v>
      </c>
      <c r="K1868" s="1">
        <f>IF(E1868=0,SUMPRODUCT(($A$2:$A$4734=A1868)*($B$2:$B$4734=B1868)*($D$2:$D$4734=D1868)*($E$2:$E$4734=0)),0)</f>
        <v>0</v>
      </c>
      <c r="L1868" s="1" t="str">
        <f>IF(E1868=0,SUMPRODUCT(MIN($K$2:$K$4734+((($A$2:$A$4734&lt;&gt;A1868)+($E$2:$E$4734&lt;&gt;0))&gt;0)*1000000)),"")</f>
        <v/>
      </c>
      <c r="M1868" s="1">
        <f>IF(AND(E1868=0,COUNTIFS($A$2:A1868,A1868,$E$2:E1868,0)=1),L1868,0)</f>
        <v>0</v>
      </c>
    </row>
    <row r="1869" spans="1:13" ht="15" customHeight="1">
      <c r="A1869" s="1">
        <v>7341</v>
      </c>
      <c r="B1869" s="1" t="s">
        <v>69</v>
      </c>
      <c r="C1869" s="2" t="s">
        <v>2182</v>
      </c>
      <c r="D1869" s="1" t="s">
        <v>2188</v>
      </c>
      <c r="E1869" s="1">
        <v>1</v>
      </c>
      <c r="F1869" s="2" t="s">
        <v>2193</v>
      </c>
      <c r="G1869" s="1">
        <v>5</v>
      </c>
      <c r="H1869" s="1" t="str">
        <f t="shared" si="29"/>
        <v>k7341_5</v>
      </c>
      <c r="K1869" s="1">
        <f>IF(E1869=0,SUMPRODUCT(($A$2:$A$4734=A1869)*($B$2:$B$4734=B1869)*($D$2:$D$4734=D1869)*($E$2:$E$4734=0)),0)</f>
        <v>0</v>
      </c>
      <c r="L1869" s="1" t="str">
        <f>IF(E1869=0,SUMPRODUCT(MIN($K$2:$K$4734+((($A$2:$A$4734&lt;&gt;A1869)+($E$2:$E$4734&lt;&gt;0))&gt;0)*1000000)),"")</f>
        <v/>
      </c>
      <c r="M1869" s="1">
        <f>IF(AND(E1869=0,COUNTIFS($A$2:A1869,A1869,$E$2:E1869,0)=1),L1869,0)</f>
        <v>0</v>
      </c>
    </row>
    <row r="1870" spans="1:13" ht="15" customHeight="1">
      <c r="A1870" s="1">
        <v>7341</v>
      </c>
      <c r="B1870" s="1" t="s">
        <v>9</v>
      </c>
      <c r="C1870" s="2" t="s">
        <v>2182</v>
      </c>
      <c r="D1870" s="2" t="s">
        <v>2194</v>
      </c>
      <c r="E1870" s="1">
        <v>1</v>
      </c>
      <c r="F1870" s="2" t="s">
        <v>2195</v>
      </c>
      <c r="G1870" s="1">
        <v>1</v>
      </c>
      <c r="H1870" s="1" t="str">
        <f t="shared" si="29"/>
        <v>k7341_1</v>
      </c>
      <c r="K1870" s="1">
        <f>IF(E1870=0,SUMPRODUCT(($A$2:$A$4734=A1870)*($B$2:$B$4734=B1870)*($D$2:$D$4734=D1870)*($E$2:$E$4734=0)),0)</f>
        <v>0</v>
      </c>
      <c r="L1870" s="1" t="str">
        <f>IF(E1870=0,SUMPRODUCT(MIN($K$2:$K$4734+((($A$2:$A$4734&lt;&gt;A1870)+($E$2:$E$4734&lt;&gt;0))&gt;0)*1000000)),"")</f>
        <v/>
      </c>
      <c r="M1870" s="1">
        <f>IF(AND(E1870=0,COUNTIFS($A$2:A1870,A1870,$E$2:E1870,0)=1),L1870,0)</f>
        <v>0</v>
      </c>
    </row>
    <row r="1871" spans="1:13" ht="15" customHeight="1">
      <c r="A1871" s="1">
        <v>7341</v>
      </c>
      <c r="B1871" s="1" t="s">
        <v>9</v>
      </c>
      <c r="C1871" s="2" t="s">
        <v>2182</v>
      </c>
      <c r="D1871" s="2" t="s">
        <v>2194</v>
      </c>
      <c r="E1871" s="1">
        <v>1</v>
      </c>
      <c r="F1871" s="2" t="s">
        <v>2196</v>
      </c>
      <c r="G1871" s="1">
        <v>2</v>
      </c>
      <c r="H1871" s="1" t="str">
        <f t="shared" si="29"/>
        <v>k7341_2</v>
      </c>
      <c r="K1871" s="1">
        <f>IF(E1871=0,SUMPRODUCT(($A$2:$A$4734=A1871)*($B$2:$B$4734=B1871)*($D$2:$D$4734=D1871)*($E$2:$E$4734=0)),0)</f>
        <v>0</v>
      </c>
      <c r="L1871" s="1" t="str">
        <f>IF(E1871=0,SUMPRODUCT(MIN($K$2:$K$4734+((($A$2:$A$4734&lt;&gt;A1871)+($E$2:$E$4734&lt;&gt;0))&gt;0)*1000000)),"")</f>
        <v/>
      </c>
      <c r="M1871" s="1">
        <f>IF(AND(E1871=0,COUNTIFS($A$2:A1871,A1871,$E$2:E1871,0)=1),L1871,0)</f>
        <v>0</v>
      </c>
    </row>
    <row r="1872" spans="1:13" ht="15" customHeight="1">
      <c r="A1872" s="1">
        <v>7341</v>
      </c>
      <c r="B1872" s="1" t="s">
        <v>9</v>
      </c>
      <c r="C1872" s="2" t="s">
        <v>2182</v>
      </c>
      <c r="D1872" s="2" t="s">
        <v>2194</v>
      </c>
      <c r="E1872" s="1">
        <v>1</v>
      </c>
      <c r="F1872" s="2" t="s">
        <v>2197</v>
      </c>
      <c r="G1872" s="1">
        <v>3</v>
      </c>
      <c r="H1872" s="1" t="str">
        <f t="shared" si="29"/>
        <v>k7341_3</v>
      </c>
      <c r="K1872" s="1">
        <f>IF(E1872=0,SUMPRODUCT(($A$2:$A$4734=A1872)*($B$2:$B$4734=B1872)*($D$2:$D$4734=D1872)*($E$2:$E$4734=0)),0)</f>
        <v>0</v>
      </c>
      <c r="L1872" s="1" t="str">
        <f>IF(E1872=0,SUMPRODUCT(MIN($K$2:$K$4734+((($A$2:$A$4734&lt;&gt;A1872)+($E$2:$E$4734&lt;&gt;0))&gt;0)*1000000)),"")</f>
        <v/>
      </c>
      <c r="M1872" s="1">
        <f>IF(AND(E1872=0,COUNTIFS($A$2:A1872,A1872,$E$2:E1872,0)=1),L1872,0)</f>
        <v>0</v>
      </c>
    </row>
    <row r="1873" spans="1:13" ht="15" customHeight="1">
      <c r="A1873" s="1">
        <v>7341</v>
      </c>
      <c r="B1873" s="1" t="s">
        <v>9</v>
      </c>
      <c r="C1873" s="2" t="s">
        <v>2182</v>
      </c>
      <c r="D1873" s="2" t="s">
        <v>2194</v>
      </c>
      <c r="E1873" s="1">
        <v>1</v>
      </c>
      <c r="F1873" s="2" t="s">
        <v>2198</v>
      </c>
      <c r="G1873" s="1">
        <v>4</v>
      </c>
      <c r="H1873" s="1" t="str">
        <f t="shared" si="29"/>
        <v>k7341_4</v>
      </c>
      <c r="K1873" s="1">
        <f>IF(E1873=0,SUMPRODUCT(($A$2:$A$4734=A1873)*($B$2:$B$4734=B1873)*($D$2:$D$4734=D1873)*($E$2:$E$4734=0)),0)</f>
        <v>0</v>
      </c>
      <c r="L1873" s="1" t="str">
        <f>IF(E1873=0,SUMPRODUCT(MIN($K$2:$K$4734+((($A$2:$A$4734&lt;&gt;A1873)+($E$2:$E$4734&lt;&gt;0))&gt;0)*1000000)),"")</f>
        <v/>
      </c>
      <c r="M1873" s="1">
        <f>IF(AND(E1873=0,COUNTIFS($A$2:A1873,A1873,$E$2:E1873,0)=1),L1873,0)</f>
        <v>0</v>
      </c>
    </row>
    <row r="1874" spans="1:13" ht="15" customHeight="1">
      <c r="A1874" s="1">
        <v>7341</v>
      </c>
      <c r="B1874" s="1" t="s">
        <v>9</v>
      </c>
      <c r="C1874" s="2" t="s">
        <v>2182</v>
      </c>
      <c r="D1874" s="2" t="s">
        <v>2194</v>
      </c>
      <c r="E1874" s="1">
        <v>1</v>
      </c>
      <c r="F1874" s="2" t="s">
        <v>2199</v>
      </c>
      <c r="G1874" s="1">
        <v>5</v>
      </c>
      <c r="H1874" s="1" t="str">
        <f t="shared" si="29"/>
        <v>k7341_5</v>
      </c>
      <c r="K1874" s="1">
        <f>IF(E1874=0,SUMPRODUCT(($A$2:$A$4734=A1874)*($B$2:$B$4734=B1874)*($D$2:$D$4734=D1874)*($E$2:$E$4734=0)),0)</f>
        <v>0</v>
      </c>
      <c r="L1874" s="1" t="str">
        <f>IF(E1874=0,SUMPRODUCT(MIN($K$2:$K$4734+((($A$2:$A$4734&lt;&gt;A1874)+($E$2:$E$4734&lt;&gt;0))&gt;0)*1000000)),"")</f>
        <v/>
      </c>
      <c r="M1874" s="1">
        <f>IF(AND(E1874=0,COUNTIFS($A$2:A1874,A1874,$E$2:E1874,0)=1),L1874,0)</f>
        <v>0</v>
      </c>
    </row>
    <row r="1875" spans="1:13" ht="15" customHeight="1">
      <c r="A1875" s="1">
        <v>7341</v>
      </c>
      <c r="B1875" s="1" t="s">
        <v>9</v>
      </c>
      <c r="C1875" s="2" t="s">
        <v>2182</v>
      </c>
      <c r="D1875" s="2" t="s">
        <v>2183</v>
      </c>
      <c r="E1875" s="1">
        <v>1</v>
      </c>
      <c r="F1875" s="2" t="s">
        <v>2200</v>
      </c>
      <c r="G1875" s="1">
        <v>1</v>
      </c>
      <c r="H1875" s="1" t="str">
        <f t="shared" si="29"/>
        <v>k7341_1</v>
      </c>
      <c r="K1875" s="1">
        <f>IF(E1875=0,SUMPRODUCT(($A$2:$A$4734=A1875)*($B$2:$B$4734=B1875)*($D$2:$D$4734=D1875)*($E$2:$E$4734=0)),0)</f>
        <v>0</v>
      </c>
      <c r="L1875" s="1" t="str">
        <f>IF(E1875=0,SUMPRODUCT(MIN($K$2:$K$4734+((($A$2:$A$4734&lt;&gt;A1875)+($E$2:$E$4734&lt;&gt;0))&gt;0)*1000000)),"")</f>
        <v/>
      </c>
      <c r="M1875" s="1">
        <f>IF(AND(E1875=0,COUNTIFS($A$2:A1875,A1875,$E$2:E1875,0)=1),L1875,0)</f>
        <v>0</v>
      </c>
    </row>
    <row r="1876" spans="1:13" ht="15" customHeight="1">
      <c r="A1876" s="1">
        <v>7341</v>
      </c>
      <c r="B1876" s="1" t="s">
        <v>9</v>
      </c>
      <c r="C1876" s="2" t="s">
        <v>2182</v>
      </c>
      <c r="D1876" s="2" t="s">
        <v>2183</v>
      </c>
      <c r="E1876" s="1">
        <v>1</v>
      </c>
      <c r="F1876" s="2" t="s">
        <v>2201</v>
      </c>
      <c r="G1876" s="1">
        <v>2</v>
      </c>
      <c r="H1876" s="1" t="str">
        <f t="shared" si="29"/>
        <v>k7341_2</v>
      </c>
      <c r="K1876" s="1">
        <f>IF(E1876=0,SUMPRODUCT(($A$2:$A$4734=A1876)*($B$2:$B$4734=B1876)*($D$2:$D$4734=D1876)*($E$2:$E$4734=0)),0)</f>
        <v>0</v>
      </c>
      <c r="L1876" s="1" t="str">
        <f>IF(E1876=0,SUMPRODUCT(MIN($K$2:$K$4734+((($A$2:$A$4734&lt;&gt;A1876)+($E$2:$E$4734&lt;&gt;0))&gt;0)*1000000)),"")</f>
        <v/>
      </c>
      <c r="M1876" s="1">
        <f>IF(AND(E1876=0,COUNTIFS($A$2:A1876,A1876,$E$2:E1876,0)=1),L1876,0)</f>
        <v>0</v>
      </c>
    </row>
    <row r="1877" spans="1:13" ht="15" customHeight="1">
      <c r="A1877" s="1">
        <v>7341</v>
      </c>
      <c r="B1877" s="1" t="s">
        <v>9</v>
      </c>
      <c r="C1877" s="2" t="s">
        <v>2182</v>
      </c>
      <c r="D1877" s="2" t="s">
        <v>2183</v>
      </c>
      <c r="E1877" s="1">
        <v>1</v>
      </c>
      <c r="F1877" s="2" t="s">
        <v>2202</v>
      </c>
      <c r="G1877" s="1">
        <v>3</v>
      </c>
      <c r="H1877" s="1" t="str">
        <f t="shared" si="29"/>
        <v>k7341_3</v>
      </c>
      <c r="K1877" s="1">
        <f>IF(E1877=0,SUMPRODUCT(($A$2:$A$4734=A1877)*($B$2:$B$4734=B1877)*($D$2:$D$4734=D1877)*($E$2:$E$4734=0)),0)</f>
        <v>0</v>
      </c>
      <c r="L1877" s="1" t="str">
        <f>IF(E1877=0,SUMPRODUCT(MIN($K$2:$K$4734+((($A$2:$A$4734&lt;&gt;A1877)+($E$2:$E$4734&lt;&gt;0))&gt;0)*1000000)),"")</f>
        <v/>
      </c>
      <c r="M1877" s="1">
        <f>IF(AND(E1877=0,COUNTIFS($A$2:A1877,A1877,$E$2:E1877,0)=1),L1877,0)</f>
        <v>0</v>
      </c>
    </row>
    <row r="1878" spans="1:13" ht="15" customHeight="1">
      <c r="A1878" s="1">
        <v>7341</v>
      </c>
      <c r="B1878" s="1" t="s">
        <v>9</v>
      </c>
      <c r="C1878" s="2" t="s">
        <v>2182</v>
      </c>
      <c r="D1878" s="2" t="s">
        <v>2183</v>
      </c>
      <c r="E1878" s="1">
        <v>1</v>
      </c>
      <c r="F1878" s="2" t="s">
        <v>2202</v>
      </c>
      <c r="G1878" s="1">
        <v>4</v>
      </c>
      <c r="H1878" s="1" t="str">
        <f t="shared" si="29"/>
        <v>k7341_4</v>
      </c>
      <c r="K1878" s="1">
        <f>IF(E1878=0,SUMPRODUCT(($A$2:$A$4734=A1878)*($B$2:$B$4734=B1878)*($D$2:$D$4734=D1878)*($E$2:$E$4734=0)),0)</f>
        <v>0</v>
      </c>
      <c r="L1878" s="1" t="str">
        <f>IF(E1878=0,SUMPRODUCT(MIN($K$2:$K$4734+((($A$2:$A$4734&lt;&gt;A1878)+($E$2:$E$4734&lt;&gt;0))&gt;0)*1000000)),"")</f>
        <v/>
      </c>
      <c r="M1878" s="1">
        <f>IF(AND(E1878=0,COUNTIFS($A$2:A1878,A1878,$E$2:E1878,0)=1),L1878,0)</f>
        <v>0</v>
      </c>
    </row>
    <row r="1879" spans="1:13" ht="15" customHeight="1">
      <c r="A1879" s="1">
        <v>7341</v>
      </c>
      <c r="B1879" s="1" t="s">
        <v>9</v>
      </c>
      <c r="C1879" s="2" t="s">
        <v>2182</v>
      </c>
      <c r="D1879" s="2" t="s">
        <v>2183</v>
      </c>
      <c r="E1879" s="1">
        <v>1</v>
      </c>
      <c r="F1879" s="2" t="s">
        <v>2203</v>
      </c>
      <c r="G1879" s="1">
        <v>5</v>
      </c>
      <c r="H1879" s="1" t="str">
        <f t="shared" si="29"/>
        <v>k7341_5</v>
      </c>
      <c r="K1879" s="1">
        <f>IF(E1879=0,SUMPRODUCT(($A$2:$A$4734=A1879)*($B$2:$B$4734=B1879)*($D$2:$D$4734=D1879)*($E$2:$E$4734=0)),0)</f>
        <v>0</v>
      </c>
      <c r="L1879" s="1" t="str">
        <f>IF(E1879=0,SUMPRODUCT(MIN($K$2:$K$4734+((($A$2:$A$4734&lt;&gt;A1879)+($E$2:$E$4734&lt;&gt;0))&gt;0)*1000000)),"")</f>
        <v/>
      </c>
      <c r="M1879" s="1">
        <f>IF(AND(E1879=0,COUNTIFS($A$2:A1879,A1879,$E$2:E1879,0)=1),L1879,0)</f>
        <v>0</v>
      </c>
    </row>
    <row r="1880" spans="1:13" ht="15" customHeight="1">
      <c r="A1880" s="1">
        <v>7342</v>
      </c>
      <c r="B1880" s="1" t="s">
        <v>358</v>
      </c>
      <c r="C1880" s="2" t="s">
        <v>2204</v>
      </c>
      <c r="D1880" s="2" t="s">
        <v>2205</v>
      </c>
      <c r="E1880" s="1">
        <v>1</v>
      </c>
      <c r="F1880" s="2" t="s">
        <v>2206</v>
      </c>
      <c r="G1880" s="1">
        <v>1</v>
      </c>
      <c r="H1880" s="1" t="str">
        <f t="shared" si="29"/>
        <v>k7342_1</v>
      </c>
      <c r="K1880" s="1">
        <f>IF(E1880=0,SUMPRODUCT(($A$2:$A$4734=A1880)*($B$2:$B$4734=B1880)*($D$2:$D$4734=D1880)*($E$2:$E$4734=0)),0)</f>
        <v>0</v>
      </c>
      <c r="L1880" s="1" t="str">
        <f>IF(E1880=0,SUMPRODUCT(MIN($K$2:$K$4734+((($A$2:$A$4734&lt;&gt;A1880)+($E$2:$E$4734&lt;&gt;0))&gt;0)*1000000)),"")</f>
        <v/>
      </c>
      <c r="M1880" s="1">
        <f>IF(AND(E1880=0,COUNTIFS($A$2:A1880,A1880,$E$2:E1880,0)=1),L1880,0)</f>
        <v>0</v>
      </c>
    </row>
    <row r="1881" spans="1:13" ht="15" customHeight="1">
      <c r="A1881" s="1">
        <v>7342</v>
      </c>
      <c r="B1881" s="1" t="s">
        <v>358</v>
      </c>
      <c r="C1881" s="2" t="s">
        <v>2204</v>
      </c>
      <c r="D1881" s="2" t="s">
        <v>2205</v>
      </c>
      <c r="E1881" s="1">
        <v>1</v>
      </c>
      <c r="F1881" s="2" t="s">
        <v>2207</v>
      </c>
      <c r="G1881" s="1">
        <v>2</v>
      </c>
      <c r="H1881" s="1" t="str">
        <f t="shared" si="29"/>
        <v>k7342_2</v>
      </c>
      <c r="K1881" s="1">
        <f>IF(E1881=0,SUMPRODUCT(($A$2:$A$4734=A1881)*($B$2:$B$4734=B1881)*($D$2:$D$4734=D1881)*($E$2:$E$4734=0)),0)</f>
        <v>0</v>
      </c>
      <c r="L1881" s="1" t="str">
        <f>IF(E1881=0,SUMPRODUCT(MIN($K$2:$K$4734+((($A$2:$A$4734&lt;&gt;A1881)+($E$2:$E$4734&lt;&gt;0))&gt;0)*1000000)),"")</f>
        <v/>
      </c>
      <c r="M1881" s="1">
        <f>IF(AND(E1881=0,COUNTIFS($A$2:A1881,A1881,$E$2:E1881,0)=1),L1881,0)</f>
        <v>0</v>
      </c>
    </row>
    <row r="1882" spans="1:13" ht="15" customHeight="1">
      <c r="A1882" s="1">
        <v>7342</v>
      </c>
      <c r="B1882" s="1" t="s">
        <v>358</v>
      </c>
      <c r="C1882" s="2" t="s">
        <v>2204</v>
      </c>
      <c r="D1882" s="2" t="s">
        <v>2205</v>
      </c>
      <c r="E1882" s="1">
        <v>1</v>
      </c>
      <c r="F1882" s="2" t="s">
        <v>2208</v>
      </c>
      <c r="G1882" s="1">
        <v>3</v>
      </c>
      <c r="H1882" s="1" t="str">
        <f t="shared" si="29"/>
        <v>k7342_3</v>
      </c>
      <c r="K1882" s="1">
        <f>IF(E1882=0,SUMPRODUCT(($A$2:$A$4734=A1882)*($B$2:$B$4734=B1882)*($D$2:$D$4734=D1882)*($E$2:$E$4734=0)),0)</f>
        <v>0</v>
      </c>
      <c r="L1882" s="1" t="str">
        <f>IF(E1882=0,SUMPRODUCT(MIN($K$2:$K$4734+((($A$2:$A$4734&lt;&gt;A1882)+($E$2:$E$4734&lt;&gt;0))&gt;0)*1000000)),"")</f>
        <v/>
      </c>
      <c r="M1882" s="1">
        <f>IF(AND(E1882=0,COUNTIFS($A$2:A1882,A1882,$E$2:E1882,0)=1),L1882,0)</f>
        <v>0</v>
      </c>
    </row>
    <row r="1883" spans="1:13" ht="15" customHeight="1">
      <c r="A1883" s="1">
        <v>7342</v>
      </c>
      <c r="B1883" s="1" t="s">
        <v>358</v>
      </c>
      <c r="C1883" s="2" t="s">
        <v>2204</v>
      </c>
      <c r="D1883" s="2" t="s">
        <v>2205</v>
      </c>
      <c r="E1883" s="1">
        <v>1</v>
      </c>
      <c r="F1883" s="2" t="s">
        <v>2209</v>
      </c>
      <c r="G1883" s="1">
        <v>4</v>
      </c>
      <c r="H1883" s="1" t="str">
        <f t="shared" si="29"/>
        <v>k7342_4</v>
      </c>
      <c r="K1883" s="1">
        <f>IF(E1883=0,SUMPRODUCT(($A$2:$A$4734=A1883)*($B$2:$B$4734=B1883)*($D$2:$D$4734=D1883)*($E$2:$E$4734=0)),0)</f>
        <v>0</v>
      </c>
      <c r="L1883" s="1" t="str">
        <f>IF(E1883=0,SUMPRODUCT(MIN($K$2:$K$4734+((($A$2:$A$4734&lt;&gt;A1883)+($E$2:$E$4734&lt;&gt;0))&gt;0)*1000000)),"")</f>
        <v/>
      </c>
      <c r="M1883" s="1">
        <f>IF(AND(E1883=0,COUNTIFS($A$2:A1883,A1883,$E$2:E1883,0)=1),L1883,0)</f>
        <v>0</v>
      </c>
    </row>
    <row r="1884" spans="1:13" ht="15" customHeight="1">
      <c r="A1884" s="1">
        <v>7342</v>
      </c>
      <c r="B1884" s="1" t="s">
        <v>358</v>
      </c>
      <c r="C1884" s="2" t="s">
        <v>2204</v>
      </c>
      <c r="D1884" s="2" t="s">
        <v>2205</v>
      </c>
      <c r="E1884" s="1">
        <v>1</v>
      </c>
      <c r="F1884" s="2" t="s">
        <v>2210</v>
      </c>
      <c r="G1884" s="1">
        <v>5</v>
      </c>
      <c r="H1884" s="1" t="str">
        <f t="shared" si="29"/>
        <v>k7342_5</v>
      </c>
      <c r="K1884" s="1">
        <f>IF(E1884=0,SUMPRODUCT(($A$2:$A$4734=A1884)*($B$2:$B$4734=B1884)*($D$2:$D$4734=D1884)*($E$2:$E$4734=0)),0)</f>
        <v>0</v>
      </c>
      <c r="L1884" s="1" t="str">
        <f>IF(E1884=0,SUMPRODUCT(MIN($K$2:$K$4734+((($A$2:$A$4734&lt;&gt;A1884)+($E$2:$E$4734&lt;&gt;0))&gt;0)*1000000)),"")</f>
        <v/>
      </c>
      <c r="M1884" s="1">
        <f>IF(AND(E1884=0,COUNTIFS($A$2:A1884,A1884,$E$2:E1884,0)=1),L1884,0)</f>
        <v>0</v>
      </c>
    </row>
    <row r="1885" spans="1:13" ht="15" customHeight="1">
      <c r="A1885" s="1">
        <v>7342</v>
      </c>
      <c r="B1885" s="1" t="s">
        <v>9</v>
      </c>
      <c r="C1885" s="2" t="s">
        <v>2204</v>
      </c>
      <c r="D1885" s="2" t="s">
        <v>2211</v>
      </c>
      <c r="E1885" s="1">
        <v>1</v>
      </c>
      <c r="F1885" s="2" t="s">
        <v>2212</v>
      </c>
      <c r="G1885" s="1">
        <v>1</v>
      </c>
      <c r="H1885" s="1" t="str">
        <f t="shared" ref="H1885:H1945" si="30">IF(OR(E1885&lt;&gt;1,G1885=""),"","k"&amp;A1885&amp;"_"&amp;G1885)</f>
        <v>k7342_1</v>
      </c>
      <c r="K1885" s="1">
        <f>IF(E1885=0,SUMPRODUCT(($A$2:$A$4734=A1885)*($B$2:$B$4734=B1885)*($D$2:$D$4734=D1885)*($E$2:$E$4734=0)),0)</f>
        <v>0</v>
      </c>
      <c r="L1885" s="1" t="str">
        <f>IF(E1885=0,SUMPRODUCT(MIN($K$2:$K$4734+((($A$2:$A$4734&lt;&gt;A1885)+($E$2:$E$4734&lt;&gt;0))&gt;0)*1000000)),"")</f>
        <v/>
      </c>
      <c r="M1885" s="1">
        <f>IF(AND(E1885=0,COUNTIFS($A$2:A1885,A1885,$E$2:E1885,0)=1),L1885,0)</f>
        <v>0</v>
      </c>
    </row>
    <row r="1886" spans="1:13" ht="15" customHeight="1">
      <c r="A1886" s="1">
        <v>7342</v>
      </c>
      <c r="B1886" s="1" t="s">
        <v>9</v>
      </c>
      <c r="C1886" s="2" t="s">
        <v>2204</v>
      </c>
      <c r="D1886" s="2" t="s">
        <v>2211</v>
      </c>
      <c r="E1886" s="1">
        <v>1</v>
      </c>
      <c r="F1886" s="2" t="s">
        <v>2213</v>
      </c>
      <c r="G1886" s="1">
        <v>2</v>
      </c>
      <c r="H1886" s="1" t="str">
        <f t="shared" si="30"/>
        <v>k7342_2</v>
      </c>
      <c r="K1886" s="1">
        <f>IF(E1886=0,SUMPRODUCT(($A$2:$A$4734=A1886)*($B$2:$B$4734=B1886)*($D$2:$D$4734=D1886)*($E$2:$E$4734=0)),0)</f>
        <v>0</v>
      </c>
      <c r="L1886" s="1" t="str">
        <f>IF(E1886=0,SUMPRODUCT(MIN($K$2:$K$4734+((($A$2:$A$4734&lt;&gt;A1886)+($E$2:$E$4734&lt;&gt;0))&gt;0)*1000000)),"")</f>
        <v/>
      </c>
      <c r="M1886" s="1">
        <f>IF(AND(E1886=0,COUNTIFS($A$2:A1886,A1886,$E$2:E1886,0)=1),L1886,0)</f>
        <v>0</v>
      </c>
    </row>
    <row r="1887" spans="1:13" ht="15" customHeight="1">
      <c r="A1887" s="1">
        <v>7342</v>
      </c>
      <c r="B1887" s="1" t="s">
        <v>9</v>
      </c>
      <c r="C1887" s="2" t="s">
        <v>2204</v>
      </c>
      <c r="D1887" s="2" t="s">
        <v>2211</v>
      </c>
      <c r="E1887" s="1">
        <v>1</v>
      </c>
      <c r="F1887" s="2" t="s">
        <v>2214</v>
      </c>
      <c r="G1887" s="1">
        <v>3</v>
      </c>
      <c r="H1887" s="1" t="str">
        <f t="shared" si="30"/>
        <v>k7342_3</v>
      </c>
      <c r="K1887" s="1">
        <f>IF(E1887=0,SUMPRODUCT(($A$2:$A$4734=A1887)*($B$2:$B$4734=B1887)*($D$2:$D$4734=D1887)*($E$2:$E$4734=0)),0)</f>
        <v>0</v>
      </c>
      <c r="L1887" s="1" t="str">
        <f>IF(E1887=0,SUMPRODUCT(MIN($K$2:$K$4734+((($A$2:$A$4734&lt;&gt;A1887)+($E$2:$E$4734&lt;&gt;0))&gt;0)*1000000)),"")</f>
        <v/>
      </c>
      <c r="M1887" s="1">
        <f>IF(AND(E1887=0,COUNTIFS($A$2:A1887,A1887,$E$2:E1887,0)=1),L1887,0)</f>
        <v>0</v>
      </c>
    </row>
    <row r="1888" spans="1:13" ht="15" customHeight="1">
      <c r="A1888" s="1">
        <v>7342</v>
      </c>
      <c r="B1888" s="1" t="s">
        <v>9</v>
      </c>
      <c r="C1888" s="2" t="s">
        <v>2204</v>
      </c>
      <c r="D1888" s="2" t="s">
        <v>2211</v>
      </c>
      <c r="E1888" s="1">
        <v>1</v>
      </c>
      <c r="F1888" s="2" t="s">
        <v>2214</v>
      </c>
      <c r="G1888" s="1">
        <v>4</v>
      </c>
      <c r="H1888" s="1" t="str">
        <f t="shared" si="30"/>
        <v>k7342_4</v>
      </c>
      <c r="K1888" s="1">
        <f>IF(E1888=0,SUMPRODUCT(($A$2:$A$4734=A1888)*($B$2:$B$4734=B1888)*($D$2:$D$4734=D1888)*($E$2:$E$4734=0)),0)</f>
        <v>0</v>
      </c>
      <c r="L1888" s="1" t="str">
        <f>IF(E1888=0,SUMPRODUCT(MIN($K$2:$K$4734+((($A$2:$A$4734&lt;&gt;A1888)+($E$2:$E$4734&lt;&gt;0))&gt;0)*1000000)),"")</f>
        <v/>
      </c>
      <c r="M1888" s="1">
        <f>IF(AND(E1888=0,COUNTIFS($A$2:A1888,A1888,$E$2:E1888,0)=1),L1888,0)</f>
        <v>0</v>
      </c>
    </row>
    <row r="1889" spans="1:13" ht="15" customHeight="1">
      <c r="A1889" s="1">
        <v>7342</v>
      </c>
      <c r="B1889" s="1" t="s">
        <v>9</v>
      </c>
      <c r="C1889" s="2" t="s">
        <v>2204</v>
      </c>
      <c r="D1889" s="2" t="s">
        <v>2211</v>
      </c>
      <c r="E1889" s="1">
        <v>1</v>
      </c>
      <c r="F1889" s="2" t="s">
        <v>2215</v>
      </c>
      <c r="G1889" s="1">
        <v>5</v>
      </c>
      <c r="H1889" s="1" t="str">
        <f t="shared" si="30"/>
        <v>k7342_5</v>
      </c>
      <c r="K1889" s="1">
        <f>IF(E1889=0,SUMPRODUCT(($A$2:$A$4734=A1889)*($B$2:$B$4734=B1889)*($D$2:$D$4734=D1889)*($E$2:$E$4734=0)),0)</f>
        <v>0</v>
      </c>
      <c r="L1889" s="1" t="str">
        <f>IF(E1889=0,SUMPRODUCT(MIN($K$2:$K$4734+((($A$2:$A$4734&lt;&gt;A1889)+($E$2:$E$4734&lt;&gt;0))&gt;0)*1000000)),"")</f>
        <v/>
      </c>
      <c r="M1889" s="1">
        <f>IF(AND(E1889=0,COUNTIFS($A$2:A1889,A1889,$E$2:E1889,0)=1),L1889,0)</f>
        <v>0</v>
      </c>
    </row>
    <row r="1890" spans="1:13" ht="15" customHeight="1">
      <c r="A1890" s="1">
        <v>7343</v>
      </c>
      <c r="B1890" s="1" t="s">
        <v>9</v>
      </c>
      <c r="C1890" s="2" t="s">
        <v>2216</v>
      </c>
      <c r="D1890" s="2" t="s">
        <v>2217</v>
      </c>
      <c r="E1890" s="1">
        <v>0</v>
      </c>
      <c r="F1890" s="2" t="s">
        <v>2218</v>
      </c>
      <c r="H1890" s="1" t="str">
        <f t="shared" si="30"/>
        <v/>
      </c>
      <c r="K1890" s="1">
        <f>IF(E1890=0,SUMPRODUCT(($A$2:$A$4734=A1890)*($B$2:$B$4734=B1890)*($D$2:$D$4734=D1890)*($E$2:$E$4734=0)),0)</f>
        <v>3</v>
      </c>
      <c r="L1890" s="1">
        <f>IF(E1890=0,SUMPRODUCT(MIN($K$2:$K$4734+((($A$2:$A$4734&lt;&gt;A1890)+($E$2:$E$4734&lt;&gt;0))&gt;0)*1000000)),"")</f>
        <v>3</v>
      </c>
      <c r="M1890" s="1">
        <f>IF(AND(E1890=0,COUNTIFS($A$2:A1890,A1890,$E$2:E1890,0)=1),L1890,0)</f>
        <v>3</v>
      </c>
    </row>
    <row r="1891" spans="1:13" ht="15" customHeight="1">
      <c r="A1891" s="1">
        <v>7343</v>
      </c>
      <c r="B1891" s="1" t="s">
        <v>9</v>
      </c>
      <c r="C1891" s="2" t="s">
        <v>2216</v>
      </c>
      <c r="D1891" s="2" t="s">
        <v>2217</v>
      </c>
      <c r="E1891" s="1">
        <v>0</v>
      </c>
      <c r="F1891" s="2" t="s">
        <v>2219</v>
      </c>
      <c r="H1891" s="1" t="str">
        <f t="shared" si="30"/>
        <v/>
      </c>
      <c r="K1891" s="1">
        <f>IF(E1891=0,SUMPRODUCT(($A$2:$A$4734=A1891)*($B$2:$B$4734=B1891)*($D$2:$D$4734=D1891)*($E$2:$E$4734=0)),0)</f>
        <v>3</v>
      </c>
      <c r="L1891" s="1">
        <f>IF(E1891=0,SUMPRODUCT(MIN($K$2:$K$4734+((($A$2:$A$4734&lt;&gt;A1891)+($E$2:$E$4734&lt;&gt;0))&gt;0)*1000000)),"")</f>
        <v>3</v>
      </c>
      <c r="M1891" s="1">
        <f>IF(AND(E1891=0,COUNTIFS($A$2:A1891,A1891,$E$2:E1891,0)=1),L1891,0)</f>
        <v>0</v>
      </c>
    </row>
    <row r="1892" spans="1:13" ht="15" customHeight="1">
      <c r="A1892" s="1">
        <v>7343</v>
      </c>
      <c r="B1892" s="1" t="s">
        <v>9</v>
      </c>
      <c r="C1892" s="2" t="s">
        <v>2216</v>
      </c>
      <c r="D1892" s="2" t="s">
        <v>2217</v>
      </c>
      <c r="E1892" s="1">
        <v>0</v>
      </c>
      <c r="F1892" s="2" t="s">
        <v>2220</v>
      </c>
      <c r="H1892" s="1" t="str">
        <f t="shared" si="30"/>
        <v/>
      </c>
      <c r="K1892" s="1">
        <f>IF(E1892=0,SUMPRODUCT(($A$2:$A$4734=A1892)*($B$2:$B$4734=B1892)*($D$2:$D$4734=D1892)*($E$2:$E$4734=0)),0)</f>
        <v>3</v>
      </c>
      <c r="L1892" s="1">
        <f>IF(E1892=0,SUMPRODUCT(MIN($K$2:$K$4734+((($A$2:$A$4734&lt;&gt;A1892)+($E$2:$E$4734&lt;&gt;0))&gt;0)*1000000)),"")</f>
        <v>3</v>
      </c>
      <c r="M1892" s="1">
        <f>IF(AND(E1892=0,COUNTIFS($A$2:A1892,A1892,$E$2:E1892,0)=1),L1892,0)</f>
        <v>0</v>
      </c>
    </row>
    <row r="1893" spans="1:13" ht="15" customHeight="1">
      <c r="A1893" s="1">
        <v>7344</v>
      </c>
      <c r="B1893" s="1" t="s">
        <v>9</v>
      </c>
      <c r="C1893" s="2" t="s">
        <v>2221</v>
      </c>
      <c r="D1893" s="2" t="s">
        <v>2222</v>
      </c>
      <c r="E1893" s="1">
        <v>1</v>
      </c>
      <c r="F1893" s="2" t="s">
        <v>2223</v>
      </c>
      <c r="G1893" s="1">
        <v>1</v>
      </c>
      <c r="H1893" s="1" t="str">
        <f t="shared" si="30"/>
        <v>k7344_1</v>
      </c>
      <c r="K1893" s="1">
        <f>IF(E1893=0,SUMPRODUCT(($A$2:$A$4734=A1893)*($B$2:$B$4734=B1893)*($D$2:$D$4734=D1893)*($E$2:$E$4734=0)),0)</f>
        <v>0</v>
      </c>
      <c r="L1893" s="1" t="str">
        <f>IF(E1893=0,SUMPRODUCT(MIN($K$2:$K$4734+((($A$2:$A$4734&lt;&gt;A1893)+($E$2:$E$4734&lt;&gt;0))&gt;0)*1000000)),"")</f>
        <v/>
      </c>
      <c r="M1893" s="1">
        <f>IF(AND(E1893=0,COUNTIFS($A$2:A1893,A1893,$E$2:E1893,0)=1),L1893,0)</f>
        <v>0</v>
      </c>
    </row>
    <row r="1894" spans="1:13" ht="15" customHeight="1">
      <c r="A1894" s="1">
        <v>7344</v>
      </c>
      <c r="B1894" s="1" t="s">
        <v>9</v>
      </c>
      <c r="C1894" s="2" t="s">
        <v>2221</v>
      </c>
      <c r="D1894" s="2" t="s">
        <v>2222</v>
      </c>
      <c r="E1894" s="1">
        <v>1</v>
      </c>
      <c r="F1894" s="2" t="s">
        <v>2224</v>
      </c>
      <c r="G1894" s="1">
        <v>2</v>
      </c>
      <c r="H1894" s="1" t="str">
        <f t="shared" si="30"/>
        <v>k7344_2</v>
      </c>
      <c r="K1894" s="1">
        <f>IF(E1894=0,SUMPRODUCT(($A$2:$A$4734=A1894)*($B$2:$B$4734=B1894)*($D$2:$D$4734=D1894)*($E$2:$E$4734=0)),0)</f>
        <v>0</v>
      </c>
      <c r="L1894" s="1" t="str">
        <f>IF(E1894=0,SUMPRODUCT(MIN($K$2:$K$4734+((($A$2:$A$4734&lt;&gt;A1894)+($E$2:$E$4734&lt;&gt;0))&gt;0)*1000000)),"")</f>
        <v/>
      </c>
      <c r="M1894" s="1">
        <f>IF(AND(E1894=0,COUNTIFS($A$2:A1894,A1894,$E$2:E1894,0)=1),L1894,0)</f>
        <v>0</v>
      </c>
    </row>
    <row r="1895" spans="1:13" ht="15" customHeight="1">
      <c r="A1895" s="1">
        <v>7344</v>
      </c>
      <c r="B1895" s="1" t="s">
        <v>9</v>
      </c>
      <c r="C1895" s="2" t="s">
        <v>2221</v>
      </c>
      <c r="D1895" s="2" t="s">
        <v>2222</v>
      </c>
      <c r="E1895" s="1">
        <v>1</v>
      </c>
      <c r="F1895" s="2" t="s">
        <v>2225</v>
      </c>
      <c r="G1895" s="1">
        <v>3</v>
      </c>
      <c r="H1895" s="1" t="str">
        <f t="shared" si="30"/>
        <v>k7344_3</v>
      </c>
      <c r="K1895" s="1">
        <f>IF(E1895=0,SUMPRODUCT(($A$2:$A$4734=A1895)*($B$2:$B$4734=B1895)*($D$2:$D$4734=D1895)*($E$2:$E$4734=0)),0)</f>
        <v>0</v>
      </c>
      <c r="L1895" s="1" t="str">
        <f>IF(E1895=0,SUMPRODUCT(MIN($K$2:$K$4734+((($A$2:$A$4734&lt;&gt;A1895)+($E$2:$E$4734&lt;&gt;0))&gt;0)*1000000)),"")</f>
        <v/>
      </c>
      <c r="M1895" s="1">
        <f>IF(AND(E1895=0,COUNTIFS($A$2:A1895,A1895,$E$2:E1895,0)=1),L1895,0)</f>
        <v>0</v>
      </c>
    </row>
    <row r="1896" spans="1:13" ht="15" customHeight="1">
      <c r="A1896" s="1">
        <v>7344</v>
      </c>
      <c r="B1896" s="1" t="s">
        <v>9</v>
      </c>
      <c r="C1896" s="2" t="s">
        <v>2221</v>
      </c>
      <c r="D1896" s="2" t="s">
        <v>2222</v>
      </c>
      <c r="E1896" s="1">
        <v>1</v>
      </c>
      <c r="F1896" s="2" t="s">
        <v>2226</v>
      </c>
      <c r="G1896" s="1">
        <v>4</v>
      </c>
      <c r="H1896" s="1" t="str">
        <f t="shared" si="30"/>
        <v>k7344_4</v>
      </c>
      <c r="K1896" s="1">
        <f>IF(E1896=0,SUMPRODUCT(($A$2:$A$4734=A1896)*($B$2:$B$4734=B1896)*($D$2:$D$4734=D1896)*($E$2:$E$4734=0)),0)</f>
        <v>0</v>
      </c>
      <c r="L1896" s="1" t="str">
        <f>IF(E1896=0,SUMPRODUCT(MIN($K$2:$K$4734+((($A$2:$A$4734&lt;&gt;A1896)+($E$2:$E$4734&lt;&gt;0))&gt;0)*1000000)),"")</f>
        <v/>
      </c>
      <c r="M1896" s="1">
        <f>IF(AND(E1896=0,COUNTIFS($A$2:A1896,A1896,$E$2:E1896,0)=1),L1896,0)</f>
        <v>0</v>
      </c>
    </row>
    <row r="1897" spans="1:13" ht="15" customHeight="1">
      <c r="A1897" s="1">
        <v>7344</v>
      </c>
      <c r="B1897" s="1" t="s">
        <v>9</v>
      </c>
      <c r="C1897" s="2" t="s">
        <v>2221</v>
      </c>
      <c r="D1897" s="2" t="s">
        <v>2222</v>
      </c>
      <c r="E1897" s="1">
        <v>1</v>
      </c>
      <c r="F1897" s="2" t="s">
        <v>2227</v>
      </c>
      <c r="G1897" s="1">
        <v>5</v>
      </c>
      <c r="H1897" s="1" t="str">
        <f t="shared" si="30"/>
        <v>k7344_5</v>
      </c>
      <c r="K1897" s="1">
        <f>IF(E1897=0,SUMPRODUCT(($A$2:$A$4734=A1897)*($B$2:$B$4734=B1897)*($D$2:$D$4734=D1897)*($E$2:$E$4734=0)),0)</f>
        <v>0</v>
      </c>
      <c r="L1897" s="1" t="str">
        <f>IF(E1897=0,SUMPRODUCT(MIN($K$2:$K$4734+((($A$2:$A$4734&lt;&gt;A1897)+($E$2:$E$4734&lt;&gt;0))&gt;0)*1000000)),"")</f>
        <v/>
      </c>
      <c r="M1897" s="1">
        <f>IF(AND(E1897=0,COUNTIFS($A$2:A1897,A1897,$E$2:E1897,0)=1),L1897,0)</f>
        <v>0</v>
      </c>
    </row>
    <row r="1898" spans="1:13" ht="15" customHeight="1">
      <c r="A1898" s="1">
        <v>7344</v>
      </c>
      <c r="B1898" s="1" t="s">
        <v>9</v>
      </c>
      <c r="C1898" s="2" t="s">
        <v>2221</v>
      </c>
      <c r="D1898" s="2" t="s">
        <v>2222</v>
      </c>
      <c r="E1898" s="1">
        <v>1</v>
      </c>
      <c r="F1898" s="2" t="s">
        <v>2228</v>
      </c>
      <c r="G1898" s="1">
        <v>6</v>
      </c>
      <c r="H1898" s="1" t="str">
        <f t="shared" si="30"/>
        <v>k7344_6</v>
      </c>
      <c r="K1898" s="1">
        <f>IF(E1898=0,SUMPRODUCT(($A$2:$A$4734=A1898)*($B$2:$B$4734=B1898)*($D$2:$D$4734=D1898)*($E$2:$E$4734=0)),0)</f>
        <v>0</v>
      </c>
      <c r="L1898" s="1" t="str">
        <f>IF(E1898=0,SUMPRODUCT(MIN($K$2:$K$4734+((($A$2:$A$4734&lt;&gt;A1898)+($E$2:$E$4734&lt;&gt;0))&gt;0)*1000000)),"")</f>
        <v/>
      </c>
      <c r="M1898" s="1">
        <f>IF(AND(E1898=0,COUNTIFS($A$2:A1898,A1898,$E$2:E1898,0)=1),L1898,0)</f>
        <v>0</v>
      </c>
    </row>
    <row r="1899" spans="1:13" ht="15" customHeight="1">
      <c r="A1899" s="1">
        <v>7344</v>
      </c>
      <c r="B1899" s="1" t="s">
        <v>9</v>
      </c>
      <c r="C1899" s="2" t="s">
        <v>2221</v>
      </c>
      <c r="D1899" s="2" t="s">
        <v>14</v>
      </c>
      <c r="E1899" s="1">
        <v>1</v>
      </c>
      <c r="F1899" s="2" t="s">
        <v>11</v>
      </c>
      <c r="G1899" s="1">
        <v>1</v>
      </c>
      <c r="H1899" s="1" t="str">
        <f t="shared" si="30"/>
        <v>k7344_1</v>
      </c>
      <c r="K1899" s="1">
        <f>IF(E1899=0,SUMPRODUCT(($A$2:$A$4734=A1899)*($B$2:$B$4734=B1899)*($D$2:$D$4734=D1899)*($E$2:$E$4734=0)),0)</f>
        <v>0</v>
      </c>
      <c r="L1899" s="1" t="str">
        <f>IF(E1899=0,SUMPRODUCT(MIN($K$2:$K$4734+((($A$2:$A$4734&lt;&gt;A1899)+($E$2:$E$4734&lt;&gt;0))&gt;0)*1000000)),"")</f>
        <v/>
      </c>
      <c r="M1899" s="1">
        <f>IF(AND(E1899=0,COUNTIFS($A$2:A1899,A1899,$E$2:E1899,0)=1),L1899,0)</f>
        <v>0</v>
      </c>
    </row>
    <row r="1900" spans="1:13" ht="15" customHeight="1">
      <c r="A1900" s="1">
        <v>7344</v>
      </c>
      <c r="B1900" s="1" t="s">
        <v>9</v>
      </c>
      <c r="C1900" s="2" t="s">
        <v>2221</v>
      </c>
      <c r="D1900" s="2" t="s">
        <v>14</v>
      </c>
      <c r="E1900" s="1">
        <v>1</v>
      </c>
      <c r="F1900" s="2" t="s">
        <v>2229</v>
      </c>
      <c r="G1900" s="1">
        <v>2</v>
      </c>
      <c r="H1900" s="1" t="str">
        <f t="shared" si="30"/>
        <v>k7344_2</v>
      </c>
      <c r="K1900" s="1">
        <f>IF(E1900=0,SUMPRODUCT(($A$2:$A$4734=A1900)*($B$2:$B$4734=B1900)*($D$2:$D$4734=D1900)*($E$2:$E$4734=0)),0)</f>
        <v>0</v>
      </c>
      <c r="L1900" s="1" t="str">
        <f>IF(E1900=0,SUMPRODUCT(MIN($K$2:$K$4734+((($A$2:$A$4734&lt;&gt;A1900)+($E$2:$E$4734&lt;&gt;0))&gt;0)*1000000)),"")</f>
        <v/>
      </c>
      <c r="M1900" s="1">
        <f>IF(AND(E1900=0,COUNTIFS($A$2:A1900,A1900,$E$2:E1900,0)=1),L1900,0)</f>
        <v>0</v>
      </c>
    </row>
    <row r="1901" spans="1:13" ht="15" customHeight="1">
      <c r="A1901" s="1">
        <v>7344</v>
      </c>
      <c r="B1901" s="1" t="s">
        <v>9</v>
      </c>
      <c r="C1901" s="2" t="s">
        <v>2221</v>
      </c>
      <c r="D1901" s="2" t="s">
        <v>14</v>
      </c>
      <c r="E1901" s="1">
        <v>1</v>
      </c>
      <c r="F1901" s="2" t="s">
        <v>2047</v>
      </c>
      <c r="G1901" s="1">
        <v>3</v>
      </c>
      <c r="H1901" s="1" t="str">
        <f t="shared" si="30"/>
        <v>k7344_3</v>
      </c>
      <c r="K1901" s="1">
        <f>IF(E1901=0,SUMPRODUCT(($A$2:$A$4734=A1901)*($B$2:$B$4734=B1901)*($D$2:$D$4734=D1901)*($E$2:$E$4734=0)),0)</f>
        <v>0</v>
      </c>
      <c r="L1901" s="1" t="str">
        <f>IF(E1901=0,SUMPRODUCT(MIN($K$2:$K$4734+((($A$2:$A$4734&lt;&gt;A1901)+($E$2:$E$4734&lt;&gt;0))&gt;0)*1000000)),"")</f>
        <v/>
      </c>
      <c r="M1901" s="1">
        <f>IF(AND(E1901=0,COUNTIFS($A$2:A1901,A1901,$E$2:E1901,0)=1),L1901,0)</f>
        <v>0</v>
      </c>
    </row>
    <row r="1902" spans="1:13" ht="15" customHeight="1">
      <c r="A1902" s="1">
        <v>7344</v>
      </c>
      <c r="B1902" s="1" t="s">
        <v>9</v>
      </c>
      <c r="C1902" s="2" t="s">
        <v>2221</v>
      </c>
      <c r="D1902" s="2" t="s">
        <v>14</v>
      </c>
      <c r="E1902" s="1">
        <v>1</v>
      </c>
      <c r="F1902" s="2" t="s">
        <v>2047</v>
      </c>
      <c r="G1902" s="1">
        <v>4</v>
      </c>
      <c r="H1902" s="1" t="str">
        <f t="shared" si="30"/>
        <v>k7344_4</v>
      </c>
      <c r="K1902" s="1">
        <f>IF(E1902=0,SUMPRODUCT(($A$2:$A$4734=A1902)*($B$2:$B$4734=B1902)*($D$2:$D$4734=D1902)*($E$2:$E$4734=0)),0)</f>
        <v>0</v>
      </c>
      <c r="L1902" s="1" t="str">
        <f>IF(E1902=0,SUMPRODUCT(MIN($K$2:$K$4734+((($A$2:$A$4734&lt;&gt;A1902)+($E$2:$E$4734&lt;&gt;0))&gt;0)*1000000)),"")</f>
        <v/>
      </c>
      <c r="M1902" s="1">
        <f>IF(AND(E1902=0,COUNTIFS($A$2:A1902,A1902,$E$2:E1902,0)=1),L1902,0)</f>
        <v>0</v>
      </c>
    </row>
    <row r="1903" spans="1:13" ht="15" customHeight="1">
      <c r="A1903" s="1">
        <v>7344</v>
      </c>
      <c r="B1903" s="1" t="s">
        <v>9</v>
      </c>
      <c r="C1903" s="2" t="s">
        <v>2221</v>
      </c>
      <c r="D1903" s="2" t="s">
        <v>14</v>
      </c>
      <c r="E1903" s="1">
        <v>1</v>
      </c>
      <c r="F1903" s="2" t="s">
        <v>2230</v>
      </c>
      <c r="G1903" s="1">
        <v>5</v>
      </c>
      <c r="H1903" s="1" t="str">
        <f t="shared" si="30"/>
        <v>k7344_5</v>
      </c>
      <c r="K1903" s="1">
        <f>IF(E1903=0,SUMPRODUCT(($A$2:$A$4734=A1903)*($B$2:$B$4734=B1903)*($D$2:$D$4734=D1903)*($E$2:$E$4734=0)),0)</f>
        <v>0</v>
      </c>
      <c r="L1903" s="1" t="str">
        <f>IF(E1903=0,SUMPRODUCT(MIN($K$2:$K$4734+((($A$2:$A$4734&lt;&gt;A1903)+($E$2:$E$4734&lt;&gt;0))&gt;0)*1000000)),"")</f>
        <v/>
      </c>
      <c r="M1903" s="1">
        <f>IF(AND(E1903=0,COUNTIFS($A$2:A1903,A1903,$E$2:E1903,0)=1),L1903,0)</f>
        <v>0</v>
      </c>
    </row>
    <row r="1904" spans="1:13" ht="15" customHeight="1">
      <c r="A1904" s="1">
        <v>7344</v>
      </c>
      <c r="B1904" s="1" t="s">
        <v>9</v>
      </c>
      <c r="C1904" s="2" t="s">
        <v>2221</v>
      </c>
      <c r="D1904" s="2" t="s">
        <v>14</v>
      </c>
      <c r="E1904" s="1">
        <v>1</v>
      </c>
      <c r="F1904" s="2" t="s">
        <v>2231</v>
      </c>
      <c r="G1904" s="1">
        <v>6</v>
      </c>
      <c r="H1904" s="1" t="str">
        <f t="shared" si="30"/>
        <v>k7344_6</v>
      </c>
      <c r="K1904" s="1">
        <f>IF(E1904=0,SUMPRODUCT(($A$2:$A$4734=A1904)*($B$2:$B$4734=B1904)*($D$2:$D$4734=D1904)*($E$2:$E$4734=0)),0)</f>
        <v>0</v>
      </c>
      <c r="L1904" s="1" t="str">
        <f>IF(E1904=0,SUMPRODUCT(MIN($K$2:$K$4734+((($A$2:$A$4734&lt;&gt;A1904)+($E$2:$E$4734&lt;&gt;0))&gt;0)*1000000)),"")</f>
        <v/>
      </c>
      <c r="M1904" s="1">
        <f>IF(AND(E1904=0,COUNTIFS($A$2:A1904,A1904,$E$2:E1904,0)=1),L1904,0)</f>
        <v>0</v>
      </c>
    </row>
    <row r="1905" spans="1:13" ht="15" customHeight="1">
      <c r="A1905" s="1">
        <v>7344</v>
      </c>
      <c r="B1905" s="1" t="s">
        <v>16</v>
      </c>
      <c r="C1905" s="2" t="s">
        <v>2221</v>
      </c>
      <c r="D1905" s="2" t="s">
        <v>2232</v>
      </c>
      <c r="E1905" s="1">
        <v>1</v>
      </c>
      <c r="F1905" s="2" t="s">
        <v>2233</v>
      </c>
      <c r="G1905" s="1">
        <v>1</v>
      </c>
      <c r="H1905" s="1" t="str">
        <f t="shared" si="30"/>
        <v>k7344_1</v>
      </c>
      <c r="K1905" s="1">
        <f>IF(E1905=0,SUMPRODUCT(($A$2:$A$4734=A1905)*($B$2:$B$4734=B1905)*($D$2:$D$4734=D1905)*($E$2:$E$4734=0)),0)</f>
        <v>0</v>
      </c>
      <c r="L1905" s="1" t="str">
        <f>IF(E1905=0,SUMPRODUCT(MIN($K$2:$K$4734+((($A$2:$A$4734&lt;&gt;A1905)+($E$2:$E$4734&lt;&gt;0))&gt;0)*1000000)),"")</f>
        <v/>
      </c>
      <c r="M1905" s="1">
        <f>IF(AND(E1905=0,COUNTIFS($A$2:A1905,A1905,$E$2:E1905,0)=1),L1905,0)</f>
        <v>0</v>
      </c>
    </row>
    <row r="1906" spans="1:13" ht="15" customHeight="1">
      <c r="A1906" s="1">
        <v>7344</v>
      </c>
      <c r="B1906" s="1" t="s">
        <v>16</v>
      </c>
      <c r="C1906" s="2" t="s">
        <v>2221</v>
      </c>
      <c r="D1906" s="2" t="s">
        <v>2232</v>
      </c>
      <c r="E1906" s="1">
        <v>1</v>
      </c>
      <c r="F1906" s="2" t="s">
        <v>2234</v>
      </c>
      <c r="G1906" s="1">
        <v>2</v>
      </c>
      <c r="H1906" s="1" t="str">
        <f t="shared" si="30"/>
        <v>k7344_2</v>
      </c>
      <c r="K1906" s="1">
        <f>IF(E1906=0,SUMPRODUCT(($A$2:$A$4734=A1906)*($B$2:$B$4734=B1906)*($D$2:$D$4734=D1906)*($E$2:$E$4734=0)),0)</f>
        <v>0</v>
      </c>
      <c r="L1906" s="1" t="str">
        <f>IF(E1906=0,SUMPRODUCT(MIN($K$2:$K$4734+((($A$2:$A$4734&lt;&gt;A1906)+($E$2:$E$4734&lt;&gt;0))&gt;0)*1000000)),"")</f>
        <v/>
      </c>
      <c r="M1906" s="1">
        <f>IF(AND(E1906=0,COUNTIFS($A$2:A1906,A1906,$E$2:E1906,0)=1),L1906,0)</f>
        <v>0</v>
      </c>
    </row>
    <row r="1907" spans="1:13" ht="15" customHeight="1">
      <c r="A1907" s="1">
        <v>7344</v>
      </c>
      <c r="B1907" s="1" t="s">
        <v>16</v>
      </c>
      <c r="C1907" s="2" t="s">
        <v>2221</v>
      </c>
      <c r="D1907" s="2" t="s">
        <v>2232</v>
      </c>
      <c r="E1907" s="1">
        <v>1</v>
      </c>
      <c r="F1907" s="2" t="s">
        <v>2235</v>
      </c>
      <c r="G1907" s="1">
        <v>3</v>
      </c>
      <c r="H1907" s="1" t="str">
        <f t="shared" si="30"/>
        <v>k7344_3</v>
      </c>
      <c r="K1907" s="1">
        <f>IF(E1907=0,SUMPRODUCT(($A$2:$A$4734=A1907)*($B$2:$B$4734=B1907)*($D$2:$D$4734=D1907)*($E$2:$E$4734=0)),0)</f>
        <v>0</v>
      </c>
      <c r="L1907" s="1" t="str">
        <f>IF(E1907=0,SUMPRODUCT(MIN($K$2:$K$4734+((($A$2:$A$4734&lt;&gt;A1907)+($E$2:$E$4734&lt;&gt;0))&gt;0)*1000000)),"")</f>
        <v/>
      </c>
      <c r="M1907" s="1">
        <f>IF(AND(E1907=0,COUNTIFS($A$2:A1907,A1907,$E$2:E1907,0)=1),L1907,0)</f>
        <v>0</v>
      </c>
    </row>
    <row r="1908" spans="1:13" ht="15" customHeight="1">
      <c r="A1908" s="1">
        <v>7344</v>
      </c>
      <c r="B1908" s="1" t="s">
        <v>16</v>
      </c>
      <c r="C1908" s="2" t="s">
        <v>2221</v>
      </c>
      <c r="D1908" s="2" t="s">
        <v>2232</v>
      </c>
      <c r="E1908" s="1">
        <v>1</v>
      </c>
      <c r="F1908" s="2" t="s">
        <v>2236</v>
      </c>
      <c r="G1908" s="1">
        <v>4</v>
      </c>
      <c r="H1908" s="1" t="str">
        <f t="shared" si="30"/>
        <v>k7344_4</v>
      </c>
      <c r="K1908" s="1">
        <f>IF(E1908=0,SUMPRODUCT(($A$2:$A$4734=A1908)*($B$2:$B$4734=B1908)*($D$2:$D$4734=D1908)*($E$2:$E$4734=0)),0)</f>
        <v>0</v>
      </c>
      <c r="L1908" s="1" t="str">
        <f>IF(E1908=0,SUMPRODUCT(MIN($K$2:$K$4734+((($A$2:$A$4734&lt;&gt;A1908)+($E$2:$E$4734&lt;&gt;0))&gt;0)*1000000)),"")</f>
        <v/>
      </c>
      <c r="M1908" s="1">
        <f>IF(AND(E1908=0,COUNTIFS($A$2:A1908,A1908,$E$2:E1908,0)=1),L1908,0)</f>
        <v>0</v>
      </c>
    </row>
    <row r="1909" spans="1:13" ht="15" customHeight="1">
      <c r="A1909" s="1">
        <v>7344</v>
      </c>
      <c r="B1909" s="1" t="s">
        <v>16</v>
      </c>
      <c r="C1909" s="2" t="s">
        <v>2221</v>
      </c>
      <c r="D1909" s="2" t="s">
        <v>2232</v>
      </c>
      <c r="E1909" s="1">
        <v>1</v>
      </c>
      <c r="F1909" s="2" t="s">
        <v>2237</v>
      </c>
      <c r="G1909" s="1">
        <v>5</v>
      </c>
      <c r="H1909" s="1" t="str">
        <f t="shared" si="30"/>
        <v>k7344_5</v>
      </c>
      <c r="K1909" s="1">
        <f>IF(E1909=0,SUMPRODUCT(($A$2:$A$4734=A1909)*($B$2:$B$4734=B1909)*($D$2:$D$4734=D1909)*($E$2:$E$4734=0)),0)</f>
        <v>0</v>
      </c>
      <c r="L1909" s="1" t="str">
        <f>IF(E1909=0,SUMPRODUCT(MIN($K$2:$K$4734+((($A$2:$A$4734&lt;&gt;A1909)+($E$2:$E$4734&lt;&gt;0))&gt;0)*1000000)),"")</f>
        <v/>
      </c>
      <c r="M1909" s="1">
        <f>IF(AND(E1909=0,COUNTIFS($A$2:A1909,A1909,$E$2:E1909,0)=1),L1909,0)</f>
        <v>0</v>
      </c>
    </row>
    <row r="1910" spans="1:13" ht="15" customHeight="1">
      <c r="A1910" s="1">
        <v>7344</v>
      </c>
      <c r="B1910" s="1" t="s">
        <v>16</v>
      </c>
      <c r="C1910" s="2" t="s">
        <v>2221</v>
      </c>
      <c r="D1910" s="2" t="s">
        <v>2232</v>
      </c>
      <c r="E1910" s="1">
        <v>1</v>
      </c>
      <c r="F1910" s="2" t="s">
        <v>2238</v>
      </c>
      <c r="G1910" s="1">
        <v>6</v>
      </c>
      <c r="H1910" s="1" t="str">
        <f t="shared" si="30"/>
        <v>k7344_6</v>
      </c>
      <c r="K1910" s="1">
        <f>IF(E1910=0,SUMPRODUCT(($A$2:$A$4734=A1910)*($B$2:$B$4734=B1910)*($D$2:$D$4734=D1910)*($E$2:$E$4734=0)),0)</f>
        <v>0</v>
      </c>
      <c r="L1910" s="1" t="str">
        <f>IF(E1910=0,SUMPRODUCT(MIN($K$2:$K$4734+((($A$2:$A$4734&lt;&gt;A1910)+($E$2:$E$4734&lt;&gt;0))&gt;0)*1000000)),"")</f>
        <v/>
      </c>
      <c r="M1910" s="1">
        <f>IF(AND(E1910=0,COUNTIFS($A$2:A1910,A1910,$E$2:E1910,0)=1),L1910,0)</f>
        <v>0</v>
      </c>
    </row>
    <row r="1911" spans="1:13" ht="15" customHeight="1">
      <c r="A1911" s="1">
        <v>7344</v>
      </c>
      <c r="B1911" s="1" t="s">
        <v>16</v>
      </c>
      <c r="C1911" s="2" t="s">
        <v>2221</v>
      </c>
      <c r="D1911" s="1" t="s">
        <v>2239</v>
      </c>
      <c r="E1911" s="1">
        <v>1</v>
      </c>
      <c r="F1911" s="2" t="s">
        <v>2240</v>
      </c>
      <c r="G1911" s="1">
        <v>1</v>
      </c>
      <c r="H1911" s="1" t="str">
        <f t="shared" si="30"/>
        <v>k7344_1</v>
      </c>
      <c r="K1911" s="1">
        <f>IF(E1911=0,SUMPRODUCT(($A$2:$A$4734=A1911)*($B$2:$B$4734=B1911)*($D$2:$D$4734=D1911)*($E$2:$E$4734=0)),0)</f>
        <v>0</v>
      </c>
      <c r="L1911" s="1" t="str">
        <f>IF(E1911=0,SUMPRODUCT(MIN($K$2:$K$4734+((($A$2:$A$4734&lt;&gt;A1911)+($E$2:$E$4734&lt;&gt;0))&gt;0)*1000000)),"")</f>
        <v/>
      </c>
      <c r="M1911" s="1">
        <f>IF(AND(E1911=0,COUNTIFS($A$2:A1911,A1911,$E$2:E1911,0)=1),L1911,0)</f>
        <v>0</v>
      </c>
    </row>
    <row r="1912" spans="1:13" ht="15" customHeight="1">
      <c r="A1912" s="1">
        <v>7344</v>
      </c>
      <c r="B1912" s="1" t="s">
        <v>16</v>
      </c>
      <c r="C1912" s="2" t="s">
        <v>2221</v>
      </c>
      <c r="D1912" s="1" t="s">
        <v>2239</v>
      </c>
      <c r="E1912" s="1">
        <v>1</v>
      </c>
      <c r="F1912" s="2" t="s">
        <v>2241</v>
      </c>
      <c r="G1912" s="1">
        <v>2</v>
      </c>
      <c r="H1912" s="1" t="str">
        <f t="shared" si="30"/>
        <v>k7344_2</v>
      </c>
      <c r="K1912" s="1">
        <f>IF(E1912=0,SUMPRODUCT(($A$2:$A$4734=A1912)*($B$2:$B$4734=B1912)*($D$2:$D$4734=D1912)*($E$2:$E$4734=0)),0)</f>
        <v>0</v>
      </c>
      <c r="L1912" s="1" t="str">
        <f>IF(E1912=0,SUMPRODUCT(MIN($K$2:$K$4734+((($A$2:$A$4734&lt;&gt;A1912)+($E$2:$E$4734&lt;&gt;0))&gt;0)*1000000)),"")</f>
        <v/>
      </c>
      <c r="M1912" s="1">
        <f>IF(AND(E1912=0,COUNTIFS($A$2:A1912,A1912,$E$2:E1912,0)=1),L1912,0)</f>
        <v>0</v>
      </c>
    </row>
    <row r="1913" spans="1:13" ht="15" customHeight="1">
      <c r="A1913" s="1">
        <v>7344</v>
      </c>
      <c r="B1913" s="1" t="s">
        <v>16</v>
      </c>
      <c r="C1913" s="2" t="s">
        <v>2221</v>
      </c>
      <c r="D1913" s="1" t="s">
        <v>2239</v>
      </c>
      <c r="E1913" s="1">
        <v>1</v>
      </c>
      <c r="F1913" s="2" t="s">
        <v>2242</v>
      </c>
      <c r="G1913" s="1">
        <v>3</v>
      </c>
      <c r="H1913" s="1" t="str">
        <f t="shared" si="30"/>
        <v>k7344_3</v>
      </c>
      <c r="K1913" s="1">
        <f>IF(E1913=0,SUMPRODUCT(($A$2:$A$4734=A1913)*($B$2:$B$4734=B1913)*($D$2:$D$4734=D1913)*($E$2:$E$4734=0)),0)</f>
        <v>0</v>
      </c>
      <c r="L1913" s="1" t="str">
        <f>IF(E1913=0,SUMPRODUCT(MIN($K$2:$K$4734+((($A$2:$A$4734&lt;&gt;A1913)+($E$2:$E$4734&lt;&gt;0))&gt;0)*1000000)),"")</f>
        <v/>
      </c>
      <c r="M1913" s="1">
        <f>IF(AND(E1913=0,COUNTIFS($A$2:A1913,A1913,$E$2:E1913,0)=1),L1913,0)</f>
        <v>0</v>
      </c>
    </row>
    <row r="1914" spans="1:13" ht="15" customHeight="1">
      <c r="A1914" s="1">
        <v>7344</v>
      </c>
      <c r="B1914" s="1" t="s">
        <v>16</v>
      </c>
      <c r="C1914" s="2" t="s">
        <v>2221</v>
      </c>
      <c r="D1914" s="1" t="s">
        <v>2239</v>
      </c>
      <c r="E1914" s="1">
        <v>1</v>
      </c>
      <c r="F1914" s="2" t="s">
        <v>2243</v>
      </c>
      <c r="G1914" s="1">
        <v>4</v>
      </c>
      <c r="H1914" s="1" t="str">
        <f t="shared" si="30"/>
        <v>k7344_4</v>
      </c>
      <c r="K1914" s="1">
        <f>IF(E1914=0,SUMPRODUCT(($A$2:$A$4734=A1914)*($B$2:$B$4734=B1914)*($D$2:$D$4734=D1914)*($E$2:$E$4734=0)),0)</f>
        <v>0</v>
      </c>
      <c r="L1914" s="1" t="str">
        <f>IF(E1914=0,SUMPRODUCT(MIN($K$2:$K$4734+((($A$2:$A$4734&lt;&gt;A1914)+($E$2:$E$4734&lt;&gt;0))&gt;0)*1000000)),"")</f>
        <v/>
      </c>
      <c r="M1914" s="1">
        <f>IF(AND(E1914=0,COUNTIFS($A$2:A1914,A1914,$E$2:E1914,0)=1),L1914,0)</f>
        <v>0</v>
      </c>
    </row>
    <row r="1915" spans="1:13" ht="15" customHeight="1">
      <c r="A1915" s="1">
        <v>7344</v>
      </c>
      <c r="B1915" s="1" t="s">
        <v>16</v>
      </c>
      <c r="C1915" s="2" t="s">
        <v>2221</v>
      </c>
      <c r="D1915" s="1" t="s">
        <v>2239</v>
      </c>
      <c r="E1915" s="1">
        <v>1</v>
      </c>
      <c r="F1915" s="2" t="s">
        <v>2242</v>
      </c>
      <c r="G1915" s="1">
        <v>5</v>
      </c>
      <c r="H1915" s="1" t="str">
        <f t="shared" si="30"/>
        <v>k7344_5</v>
      </c>
      <c r="K1915" s="1">
        <f>IF(E1915=0,SUMPRODUCT(($A$2:$A$4734=A1915)*($B$2:$B$4734=B1915)*($D$2:$D$4734=D1915)*($E$2:$E$4734=0)),0)</f>
        <v>0</v>
      </c>
      <c r="L1915" s="1" t="str">
        <f>IF(E1915=0,SUMPRODUCT(MIN($K$2:$K$4734+((($A$2:$A$4734&lt;&gt;A1915)+($E$2:$E$4734&lt;&gt;0))&gt;0)*1000000)),"")</f>
        <v/>
      </c>
      <c r="M1915" s="1">
        <f>IF(AND(E1915=0,COUNTIFS($A$2:A1915,A1915,$E$2:E1915,0)=1),L1915,0)</f>
        <v>0</v>
      </c>
    </row>
    <row r="1916" spans="1:13" ht="15" customHeight="1">
      <c r="A1916" s="1">
        <v>7344</v>
      </c>
      <c r="B1916" s="1" t="s">
        <v>16</v>
      </c>
      <c r="C1916" s="2" t="s">
        <v>2221</v>
      </c>
      <c r="D1916" s="1" t="s">
        <v>2239</v>
      </c>
      <c r="E1916" s="1">
        <v>1</v>
      </c>
      <c r="F1916" s="2" t="s">
        <v>2243</v>
      </c>
      <c r="G1916" s="1">
        <v>6</v>
      </c>
      <c r="H1916" s="1" t="str">
        <f t="shared" si="30"/>
        <v>k7344_6</v>
      </c>
      <c r="K1916" s="1">
        <f>IF(E1916=0,SUMPRODUCT(($A$2:$A$4734=A1916)*($B$2:$B$4734=B1916)*($D$2:$D$4734=D1916)*($E$2:$E$4734=0)),0)</f>
        <v>0</v>
      </c>
      <c r="L1916" s="1" t="str">
        <f>IF(E1916=0,SUMPRODUCT(MIN($K$2:$K$4734+((($A$2:$A$4734&lt;&gt;A1916)+($E$2:$E$4734&lt;&gt;0))&gt;0)*1000000)),"")</f>
        <v/>
      </c>
      <c r="M1916" s="1">
        <f>IF(AND(E1916=0,COUNTIFS($A$2:A1916,A1916,$E$2:E1916,0)=1),L1916,0)</f>
        <v>0</v>
      </c>
    </row>
    <row r="1917" spans="1:13" ht="15" customHeight="1">
      <c r="A1917" s="1">
        <v>7344</v>
      </c>
      <c r="B1917" s="1" t="s">
        <v>69</v>
      </c>
      <c r="C1917" s="2" t="s">
        <v>2221</v>
      </c>
      <c r="D1917" s="2" t="s">
        <v>2221</v>
      </c>
      <c r="E1917" s="1">
        <v>1</v>
      </c>
      <c r="F1917" s="2" t="s">
        <v>2244</v>
      </c>
      <c r="G1917" s="1">
        <v>1</v>
      </c>
      <c r="H1917" s="1" t="str">
        <f t="shared" si="30"/>
        <v>k7344_1</v>
      </c>
      <c r="K1917" s="1">
        <f>IF(E1917=0,SUMPRODUCT(($A$2:$A$4734=A1917)*($B$2:$B$4734=B1917)*($D$2:$D$4734=D1917)*($E$2:$E$4734=0)),0)</f>
        <v>0</v>
      </c>
      <c r="L1917" s="1" t="str">
        <f>IF(E1917=0,SUMPRODUCT(MIN($K$2:$K$4734+((($A$2:$A$4734&lt;&gt;A1917)+($E$2:$E$4734&lt;&gt;0))&gt;0)*1000000)),"")</f>
        <v/>
      </c>
      <c r="M1917" s="1">
        <f>IF(AND(E1917=0,COUNTIFS($A$2:A1917,A1917,$E$2:E1917,0)=1),L1917,0)</f>
        <v>0</v>
      </c>
    </row>
    <row r="1918" spans="1:13" ht="15" customHeight="1">
      <c r="A1918" s="1">
        <v>7344</v>
      </c>
      <c r="B1918" s="1" t="s">
        <v>69</v>
      </c>
      <c r="C1918" s="2" t="s">
        <v>2221</v>
      </c>
      <c r="D1918" s="2" t="s">
        <v>2221</v>
      </c>
      <c r="E1918" s="1">
        <v>1</v>
      </c>
      <c r="F1918" s="2" t="s">
        <v>2245</v>
      </c>
      <c r="G1918" s="1">
        <v>2</v>
      </c>
      <c r="H1918" s="1" t="str">
        <f t="shared" si="30"/>
        <v>k7344_2</v>
      </c>
      <c r="K1918" s="1">
        <f>IF(E1918=0,SUMPRODUCT(($A$2:$A$4734=A1918)*($B$2:$B$4734=B1918)*($D$2:$D$4734=D1918)*($E$2:$E$4734=0)),0)</f>
        <v>0</v>
      </c>
      <c r="L1918" s="1" t="str">
        <f>IF(E1918=0,SUMPRODUCT(MIN($K$2:$K$4734+((($A$2:$A$4734&lt;&gt;A1918)+($E$2:$E$4734&lt;&gt;0))&gt;0)*1000000)),"")</f>
        <v/>
      </c>
      <c r="M1918" s="1">
        <f>IF(AND(E1918=0,COUNTIFS($A$2:A1918,A1918,$E$2:E1918,0)=1),L1918,0)</f>
        <v>0</v>
      </c>
    </row>
    <row r="1919" spans="1:13" ht="15" customHeight="1">
      <c r="A1919" s="1">
        <v>7344</v>
      </c>
      <c r="B1919" s="1" t="s">
        <v>69</v>
      </c>
      <c r="C1919" s="2" t="s">
        <v>2221</v>
      </c>
      <c r="D1919" s="2" t="s">
        <v>2221</v>
      </c>
      <c r="E1919" s="1">
        <v>1</v>
      </c>
      <c r="F1919" s="2" t="s">
        <v>2246</v>
      </c>
      <c r="G1919" s="1">
        <v>3</v>
      </c>
      <c r="H1919" s="1" t="str">
        <f t="shared" si="30"/>
        <v>k7344_3</v>
      </c>
      <c r="K1919" s="1">
        <f>IF(E1919=0,SUMPRODUCT(($A$2:$A$4734=A1919)*($B$2:$B$4734=B1919)*($D$2:$D$4734=D1919)*($E$2:$E$4734=0)),0)</f>
        <v>0</v>
      </c>
      <c r="L1919" s="1" t="str">
        <f>IF(E1919=0,SUMPRODUCT(MIN($K$2:$K$4734+((($A$2:$A$4734&lt;&gt;A1919)+($E$2:$E$4734&lt;&gt;0))&gt;0)*1000000)),"")</f>
        <v/>
      </c>
      <c r="M1919" s="1">
        <f>IF(AND(E1919=0,COUNTIFS($A$2:A1919,A1919,$E$2:E1919,0)=1),L1919,0)</f>
        <v>0</v>
      </c>
    </row>
    <row r="1920" spans="1:13" ht="15" customHeight="1">
      <c r="A1920" s="1">
        <v>7344</v>
      </c>
      <c r="B1920" s="1" t="s">
        <v>69</v>
      </c>
      <c r="C1920" s="2" t="s">
        <v>2221</v>
      </c>
      <c r="D1920" s="2" t="s">
        <v>2221</v>
      </c>
      <c r="E1920" s="1">
        <v>1</v>
      </c>
      <c r="F1920" s="2" t="s">
        <v>2247</v>
      </c>
      <c r="G1920" s="1">
        <v>4</v>
      </c>
      <c r="H1920" s="1" t="str">
        <f t="shared" si="30"/>
        <v>k7344_4</v>
      </c>
      <c r="K1920" s="1">
        <f>IF(E1920=0,SUMPRODUCT(($A$2:$A$4734=A1920)*($B$2:$B$4734=B1920)*($D$2:$D$4734=D1920)*($E$2:$E$4734=0)),0)</f>
        <v>0</v>
      </c>
      <c r="L1920" s="1" t="str">
        <f>IF(E1920=0,SUMPRODUCT(MIN($K$2:$K$4734+((($A$2:$A$4734&lt;&gt;A1920)+($E$2:$E$4734&lt;&gt;0))&gt;0)*1000000)),"")</f>
        <v/>
      </c>
      <c r="M1920" s="1">
        <f>IF(AND(E1920=0,COUNTIFS($A$2:A1920,A1920,$E$2:E1920,0)=1),L1920,0)</f>
        <v>0</v>
      </c>
    </row>
    <row r="1921" spans="1:13" ht="15" customHeight="1">
      <c r="A1921" s="1">
        <v>7344</v>
      </c>
      <c r="B1921" s="1" t="s">
        <v>69</v>
      </c>
      <c r="C1921" s="2" t="s">
        <v>2221</v>
      </c>
      <c r="D1921" s="2" t="s">
        <v>2221</v>
      </c>
      <c r="E1921" s="1">
        <v>1</v>
      </c>
      <c r="F1921" s="2" t="s">
        <v>2248</v>
      </c>
      <c r="G1921" s="1">
        <v>5</v>
      </c>
      <c r="H1921" s="1" t="str">
        <f t="shared" si="30"/>
        <v>k7344_5</v>
      </c>
      <c r="K1921" s="1">
        <f>IF(E1921=0,SUMPRODUCT(($A$2:$A$4734=A1921)*($B$2:$B$4734=B1921)*($D$2:$D$4734=D1921)*($E$2:$E$4734=0)),0)</f>
        <v>0</v>
      </c>
      <c r="L1921" s="1" t="str">
        <f>IF(E1921=0,SUMPRODUCT(MIN($K$2:$K$4734+((($A$2:$A$4734&lt;&gt;A1921)+($E$2:$E$4734&lt;&gt;0))&gt;0)*1000000)),"")</f>
        <v/>
      </c>
      <c r="M1921" s="1">
        <f>IF(AND(E1921=0,COUNTIFS($A$2:A1921,A1921,$E$2:E1921,0)=1),L1921,0)</f>
        <v>0</v>
      </c>
    </row>
    <row r="1922" spans="1:13" ht="15" customHeight="1">
      <c r="A1922" s="1">
        <v>7344</v>
      </c>
      <c r="B1922" s="1" t="s">
        <v>69</v>
      </c>
      <c r="C1922" s="2" t="s">
        <v>2221</v>
      </c>
      <c r="D1922" s="2" t="s">
        <v>2221</v>
      </c>
      <c r="E1922" s="1">
        <v>1</v>
      </c>
      <c r="F1922" s="2" t="s">
        <v>2249</v>
      </c>
      <c r="G1922" s="1">
        <v>6</v>
      </c>
      <c r="H1922" s="1" t="str">
        <f t="shared" si="30"/>
        <v>k7344_6</v>
      </c>
      <c r="K1922" s="1">
        <f>IF(E1922=0,SUMPRODUCT(($A$2:$A$4734=A1922)*($B$2:$B$4734=B1922)*($D$2:$D$4734=D1922)*($E$2:$E$4734=0)),0)</f>
        <v>0</v>
      </c>
      <c r="L1922" s="1" t="str">
        <f>IF(E1922=0,SUMPRODUCT(MIN($K$2:$K$4734+((($A$2:$A$4734&lt;&gt;A1922)+($E$2:$E$4734&lt;&gt;0))&gt;0)*1000000)),"")</f>
        <v/>
      </c>
      <c r="M1922" s="1">
        <f>IF(AND(E1922=0,COUNTIFS($A$2:A1922,A1922,$E$2:E1922,0)=1),L1922,0)</f>
        <v>0</v>
      </c>
    </row>
    <row r="1923" spans="1:13" ht="15" customHeight="1">
      <c r="A1923" s="1">
        <v>7345</v>
      </c>
      <c r="B1923" s="1" t="s">
        <v>9</v>
      </c>
      <c r="C1923" s="2" t="s">
        <v>2250</v>
      </c>
      <c r="D1923" s="2" t="s">
        <v>696</v>
      </c>
      <c r="E1923" s="1">
        <v>0</v>
      </c>
      <c r="F1923" s="2" t="s">
        <v>2251</v>
      </c>
      <c r="H1923" s="1" t="str">
        <f t="shared" si="30"/>
        <v/>
      </c>
      <c r="K1923" s="1">
        <f>IF(E1923=0,SUMPRODUCT(($A$2:$A$4734=A1923)*($B$2:$B$4734=B1923)*($D$2:$D$4734=D1923)*($E$2:$E$4734=0)),0)</f>
        <v>3</v>
      </c>
      <c r="L1923" s="1">
        <f>IF(E1923=0,SUMPRODUCT(MIN($K$2:$K$4734+((($A$2:$A$4734&lt;&gt;A1923)+($E$2:$E$4734&lt;&gt;0))&gt;0)*1000000)),"")</f>
        <v>3</v>
      </c>
      <c r="M1923" s="1">
        <f>IF(AND(E1923=0,COUNTIFS($A$2:A1923,A1923,$E$2:E1923,0)=1),L1923,0)</f>
        <v>3</v>
      </c>
    </row>
    <row r="1924" spans="1:13" ht="15" customHeight="1">
      <c r="A1924" s="1">
        <v>7345</v>
      </c>
      <c r="B1924" s="1" t="s">
        <v>9</v>
      </c>
      <c r="C1924" s="2" t="s">
        <v>2250</v>
      </c>
      <c r="D1924" s="2" t="s">
        <v>696</v>
      </c>
      <c r="E1924" s="1">
        <v>0</v>
      </c>
      <c r="F1924" s="2" t="s">
        <v>933</v>
      </c>
      <c r="H1924" s="1" t="str">
        <f t="shared" si="30"/>
        <v/>
      </c>
      <c r="K1924" s="1">
        <f>IF(E1924=0,SUMPRODUCT(($A$2:$A$4734=A1924)*($B$2:$B$4734=B1924)*($D$2:$D$4734=D1924)*($E$2:$E$4734=0)),0)</f>
        <v>3</v>
      </c>
      <c r="L1924" s="1">
        <f>IF(E1924=0,SUMPRODUCT(MIN($K$2:$K$4734+((($A$2:$A$4734&lt;&gt;A1924)+($E$2:$E$4734&lt;&gt;0))&gt;0)*1000000)),"")</f>
        <v>3</v>
      </c>
      <c r="M1924" s="1">
        <f>IF(AND(E1924=0,COUNTIFS($A$2:A1924,A1924,$E$2:E1924,0)=1),L1924,0)</f>
        <v>0</v>
      </c>
    </row>
    <row r="1925" spans="1:13" ht="15" customHeight="1">
      <c r="A1925" s="1">
        <v>7345</v>
      </c>
      <c r="B1925" s="1" t="s">
        <v>9</v>
      </c>
      <c r="C1925" s="2" t="s">
        <v>2250</v>
      </c>
      <c r="D1925" s="2" t="s">
        <v>696</v>
      </c>
      <c r="E1925" s="1">
        <v>0</v>
      </c>
      <c r="F1925" s="2" t="s">
        <v>2252</v>
      </c>
      <c r="H1925" s="1" t="str">
        <f t="shared" si="30"/>
        <v/>
      </c>
      <c r="K1925" s="1">
        <f>IF(E1925=0,SUMPRODUCT(($A$2:$A$4734=A1925)*($B$2:$B$4734=B1925)*($D$2:$D$4734=D1925)*($E$2:$E$4734=0)),0)</f>
        <v>3</v>
      </c>
      <c r="L1925" s="1">
        <f>IF(E1925=0,SUMPRODUCT(MIN($K$2:$K$4734+((($A$2:$A$4734&lt;&gt;A1925)+($E$2:$E$4734&lt;&gt;0))&gt;0)*1000000)),"")</f>
        <v>3</v>
      </c>
      <c r="M1925" s="1">
        <f>IF(AND(E1925=0,COUNTIFS($A$2:A1925,A1925,$E$2:E1925,0)=1),L1925,0)</f>
        <v>0</v>
      </c>
    </row>
    <row r="1926" spans="1:13" ht="15" customHeight="1">
      <c r="A1926" s="1">
        <v>7346</v>
      </c>
      <c r="B1926" s="1" t="s">
        <v>161</v>
      </c>
      <c r="C1926" s="2" t="s">
        <v>2253</v>
      </c>
      <c r="D1926" s="2" t="s">
        <v>2253</v>
      </c>
      <c r="E1926" s="1">
        <v>1</v>
      </c>
      <c r="F1926" s="2" t="s">
        <v>2254</v>
      </c>
      <c r="G1926" s="1">
        <v>1</v>
      </c>
      <c r="H1926" s="1" t="str">
        <f t="shared" si="30"/>
        <v>k7346_1</v>
      </c>
      <c r="K1926" s="1">
        <f>IF(E1926=0,SUMPRODUCT(($A$2:$A$4734=A1926)*($B$2:$B$4734=B1926)*($D$2:$D$4734=D1926)*($E$2:$E$4734=0)),0)</f>
        <v>0</v>
      </c>
      <c r="L1926" s="1" t="str">
        <f>IF(E1926=0,SUMPRODUCT(MIN($K$2:$K$4734+((($A$2:$A$4734&lt;&gt;A1926)+($E$2:$E$4734&lt;&gt;0))&gt;0)*1000000)),"")</f>
        <v/>
      </c>
      <c r="M1926" s="1">
        <f>IF(AND(E1926=0,COUNTIFS($A$2:A1926,A1926,$E$2:E1926,0)=1),L1926,0)</f>
        <v>0</v>
      </c>
    </row>
    <row r="1927" spans="1:13" ht="15" customHeight="1">
      <c r="A1927" s="1">
        <v>7346</v>
      </c>
      <c r="B1927" s="1" t="s">
        <v>161</v>
      </c>
      <c r="C1927" s="2" t="s">
        <v>2253</v>
      </c>
      <c r="D1927" s="2" t="s">
        <v>2253</v>
      </c>
      <c r="E1927" s="1">
        <v>1</v>
      </c>
      <c r="F1927" s="2" t="s">
        <v>2255</v>
      </c>
      <c r="G1927" s="1">
        <v>2</v>
      </c>
      <c r="H1927" s="1" t="str">
        <f t="shared" si="30"/>
        <v>k7346_2</v>
      </c>
      <c r="K1927" s="1">
        <f>IF(E1927=0,SUMPRODUCT(($A$2:$A$4734=A1927)*($B$2:$B$4734=B1927)*($D$2:$D$4734=D1927)*($E$2:$E$4734=0)),0)</f>
        <v>0</v>
      </c>
      <c r="L1927" s="1" t="str">
        <f>IF(E1927=0,SUMPRODUCT(MIN($K$2:$K$4734+((($A$2:$A$4734&lt;&gt;A1927)+($E$2:$E$4734&lt;&gt;0))&gt;0)*1000000)),"")</f>
        <v/>
      </c>
      <c r="M1927" s="1">
        <f>IF(AND(E1927=0,COUNTIFS($A$2:A1927,A1927,$E$2:E1927,0)=1),L1927,0)</f>
        <v>0</v>
      </c>
    </row>
    <row r="1928" spans="1:13" ht="15" customHeight="1">
      <c r="A1928" s="1">
        <v>7346</v>
      </c>
      <c r="B1928" s="1" t="s">
        <v>161</v>
      </c>
      <c r="C1928" s="2" t="s">
        <v>2253</v>
      </c>
      <c r="D1928" s="2" t="s">
        <v>2253</v>
      </c>
      <c r="E1928" s="1">
        <v>1</v>
      </c>
      <c r="F1928" s="2" t="s">
        <v>2256</v>
      </c>
      <c r="G1928" s="1">
        <v>3</v>
      </c>
      <c r="H1928" s="1" t="str">
        <f t="shared" si="30"/>
        <v>k7346_3</v>
      </c>
      <c r="K1928" s="1">
        <f>IF(E1928=0,SUMPRODUCT(($A$2:$A$4734=A1928)*($B$2:$B$4734=B1928)*($D$2:$D$4734=D1928)*($E$2:$E$4734=0)),0)</f>
        <v>0</v>
      </c>
      <c r="L1928" s="1" t="str">
        <f>IF(E1928=0,SUMPRODUCT(MIN($K$2:$K$4734+((($A$2:$A$4734&lt;&gt;A1928)+($E$2:$E$4734&lt;&gt;0))&gt;0)*1000000)),"")</f>
        <v/>
      </c>
      <c r="M1928" s="1">
        <f>IF(AND(E1928=0,COUNTIFS($A$2:A1928,A1928,$E$2:E1928,0)=1),L1928,0)</f>
        <v>0</v>
      </c>
    </row>
    <row r="1929" spans="1:13" ht="15" customHeight="1">
      <c r="A1929" s="1">
        <v>7346</v>
      </c>
      <c r="B1929" s="1" t="s">
        <v>161</v>
      </c>
      <c r="C1929" s="2" t="s">
        <v>2253</v>
      </c>
      <c r="D1929" s="2" t="s">
        <v>2253</v>
      </c>
      <c r="E1929" s="1">
        <v>1</v>
      </c>
      <c r="F1929" s="2" t="s">
        <v>2257</v>
      </c>
      <c r="G1929" s="1">
        <v>4</v>
      </c>
      <c r="H1929" s="1" t="str">
        <f t="shared" si="30"/>
        <v>k7346_4</v>
      </c>
      <c r="K1929" s="1">
        <f>IF(E1929=0,SUMPRODUCT(($A$2:$A$4734=A1929)*($B$2:$B$4734=B1929)*($D$2:$D$4734=D1929)*($E$2:$E$4734=0)),0)</f>
        <v>0</v>
      </c>
      <c r="L1929" s="1" t="str">
        <f>IF(E1929=0,SUMPRODUCT(MIN($K$2:$K$4734+((($A$2:$A$4734&lt;&gt;A1929)+($E$2:$E$4734&lt;&gt;0))&gt;0)*1000000)),"")</f>
        <v/>
      </c>
      <c r="M1929" s="1">
        <f>IF(AND(E1929=0,COUNTIFS($A$2:A1929,A1929,$E$2:E1929,0)=1),L1929,0)</f>
        <v>0</v>
      </c>
    </row>
    <row r="1930" spans="1:13" ht="15" customHeight="1">
      <c r="A1930" s="1">
        <v>7346</v>
      </c>
      <c r="B1930" s="1" t="s">
        <v>161</v>
      </c>
      <c r="C1930" s="2" t="s">
        <v>2253</v>
      </c>
      <c r="D1930" s="2" t="s">
        <v>2253</v>
      </c>
      <c r="E1930" s="1">
        <v>1</v>
      </c>
      <c r="F1930" s="2" t="s">
        <v>2258</v>
      </c>
      <c r="G1930" s="1">
        <v>5</v>
      </c>
      <c r="H1930" s="1" t="str">
        <f t="shared" si="30"/>
        <v>k7346_5</v>
      </c>
      <c r="K1930" s="1">
        <f>IF(E1930=0,SUMPRODUCT(($A$2:$A$4734=A1930)*($B$2:$B$4734=B1930)*($D$2:$D$4734=D1930)*($E$2:$E$4734=0)),0)</f>
        <v>0</v>
      </c>
      <c r="L1930" s="1" t="str">
        <f>IF(E1930=0,SUMPRODUCT(MIN($K$2:$K$4734+((($A$2:$A$4734&lt;&gt;A1930)+($E$2:$E$4734&lt;&gt;0))&gt;0)*1000000)),"")</f>
        <v/>
      </c>
      <c r="M1930" s="1">
        <f>IF(AND(E1930=0,COUNTIFS($A$2:A1930,A1930,$E$2:E1930,0)=1),L1930,0)</f>
        <v>0</v>
      </c>
    </row>
    <row r="1931" spans="1:13" ht="15" customHeight="1">
      <c r="A1931" s="1">
        <v>7346</v>
      </c>
      <c r="B1931" s="1" t="s">
        <v>161</v>
      </c>
      <c r="C1931" s="2" t="s">
        <v>2253</v>
      </c>
      <c r="D1931" s="2" t="s">
        <v>2253</v>
      </c>
      <c r="E1931" s="1">
        <v>1</v>
      </c>
      <c r="F1931" s="2" t="s">
        <v>2259</v>
      </c>
      <c r="G1931" s="1">
        <v>6</v>
      </c>
      <c r="H1931" s="1" t="str">
        <f t="shared" si="30"/>
        <v>k7346_6</v>
      </c>
      <c r="K1931" s="1">
        <f>IF(E1931=0,SUMPRODUCT(($A$2:$A$4734=A1931)*($B$2:$B$4734=B1931)*($D$2:$D$4734=D1931)*($E$2:$E$4734=0)),0)</f>
        <v>0</v>
      </c>
      <c r="L1931" s="1" t="str">
        <f>IF(E1931=0,SUMPRODUCT(MIN($K$2:$K$4734+((($A$2:$A$4734&lt;&gt;A1931)+($E$2:$E$4734&lt;&gt;0))&gt;0)*1000000)),"")</f>
        <v/>
      </c>
      <c r="M1931" s="1">
        <f>IF(AND(E1931=0,COUNTIFS($A$2:A1931,A1931,$E$2:E1931,0)=1),L1931,0)</f>
        <v>0</v>
      </c>
    </row>
    <row r="1932" spans="1:13" ht="15" customHeight="1">
      <c r="A1932" s="1">
        <v>7346</v>
      </c>
      <c r="B1932" s="1" t="s">
        <v>16</v>
      </c>
      <c r="C1932" s="2" t="s">
        <v>2253</v>
      </c>
      <c r="D1932" s="2" t="s">
        <v>2260</v>
      </c>
      <c r="E1932" s="1">
        <v>1</v>
      </c>
      <c r="F1932" s="2" t="s">
        <v>2261</v>
      </c>
      <c r="G1932" s="1">
        <v>1</v>
      </c>
      <c r="H1932" s="1" t="str">
        <f t="shared" si="30"/>
        <v>k7346_1</v>
      </c>
      <c r="K1932" s="1">
        <f>IF(E1932=0,SUMPRODUCT(($A$2:$A$4734=A1932)*($B$2:$B$4734=B1932)*($D$2:$D$4734=D1932)*($E$2:$E$4734=0)),0)</f>
        <v>0</v>
      </c>
      <c r="L1932" s="1" t="str">
        <f>IF(E1932=0,SUMPRODUCT(MIN($K$2:$K$4734+((($A$2:$A$4734&lt;&gt;A1932)+($E$2:$E$4734&lt;&gt;0))&gt;0)*1000000)),"")</f>
        <v/>
      </c>
      <c r="M1932" s="1">
        <f>IF(AND(E1932=0,COUNTIFS($A$2:A1932,A1932,$E$2:E1932,0)=1),L1932,0)</f>
        <v>0</v>
      </c>
    </row>
    <row r="1933" spans="1:13" ht="15" customHeight="1">
      <c r="A1933" s="1">
        <v>7346</v>
      </c>
      <c r="B1933" s="1" t="s">
        <v>16</v>
      </c>
      <c r="C1933" s="2" t="s">
        <v>2253</v>
      </c>
      <c r="D1933" s="2" t="s">
        <v>2260</v>
      </c>
      <c r="E1933" s="1">
        <v>1</v>
      </c>
      <c r="F1933" s="2" t="s">
        <v>2262</v>
      </c>
      <c r="G1933" s="1">
        <v>2</v>
      </c>
      <c r="H1933" s="1" t="str">
        <f t="shared" si="30"/>
        <v>k7346_2</v>
      </c>
      <c r="K1933" s="1">
        <f>IF(E1933=0,SUMPRODUCT(($A$2:$A$4734=A1933)*($B$2:$B$4734=B1933)*($D$2:$D$4734=D1933)*($E$2:$E$4734=0)),0)</f>
        <v>0</v>
      </c>
      <c r="L1933" s="1" t="str">
        <f>IF(E1933=0,SUMPRODUCT(MIN($K$2:$K$4734+((($A$2:$A$4734&lt;&gt;A1933)+($E$2:$E$4734&lt;&gt;0))&gt;0)*1000000)),"")</f>
        <v/>
      </c>
      <c r="M1933" s="1">
        <f>IF(AND(E1933=0,COUNTIFS($A$2:A1933,A1933,$E$2:E1933,0)=1),L1933,0)</f>
        <v>0</v>
      </c>
    </row>
    <row r="1934" spans="1:13" ht="15" customHeight="1">
      <c r="A1934" s="1">
        <v>7346</v>
      </c>
      <c r="B1934" s="1" t="s">
        <v>16</v>
      </c>
      <c r="C1934" s="2" t="s">
        <v>2253</v>
      </c>
      <c r="D1934" s="2" t="s">
        <v>2260</v>
      </c>
      <c r="E1934" s="1">
        <v>1</v>
      </c>
      <c r="F1934" s="2" t="s">
        <v>2263</v>
      </c>
      <c r="G1934" s="1">
        <v>3</v>
      </c>
      <c r="H1934" s="1" t="str">
        <f t="shared" si="30"/>
        <v>k7346_3</v>
      </c>
      <c r="K1934" s="1">
        <f>IF(E1934=0,SUMPRODUCT(($A$2:$A$4734=A1934)*($B$2:$B$4734=B1934)*($D$2:$D$4734=D1934)*($E$2:$E$4734=0)),0)</f>
        <v>0</v>
      </c>
      <c r="L1934" s="1" t="str">
        <f>IF(E1934=0,SUMPRODUCT(MIN($K$2:$K$4734+((($A$2:$A$4734&lt;&gt;A1934)+($E$2:$E$4734&lt;&gt;0))&gt;0)*1000000)),"")</f>
        <v/>
      </c>
      <c r="M1934" s="1">
        <f>IF(AND(E1934=0,COUNTIFS($A$2:A1934,A1934,$E$2:E1934,0)=1),L1934,0)</f>
        <v>0</v>
      </c>
    </row>
    <row r="1935" spans="1:13" ht="15" customHeight="1">
      <c r="A1935" s="1">
        <v>7346</v>
      </c>
      <c r="B1935" s="1" t="s">
        <v>16</v>
      </c>
      <c r="C1935" s="2" t="s">
        <v>2253</v>
      </c>
      <c r="D1935" s="2" t="s">
        <v>2260</v>
      </c>
      <c r="E1935" s="1">
        <v>1</v>
      </c>
      <c r="F1935" s="2" t="s">
        <v>2264</v>
      </c>
      <c r="G1935" s="1">
        <v>4</v>
      </c>
      <c r="H1935" s="1" t="str">
        <f t="shared" si="30"/>
        <v>k7346_4</v>
      </c>
      <c r="K1935" s="1">
        <f>IF(E1935=0,SUMPRODUCT(($A$2:$A$4734=A1935)*($B$2:$B$4734=B1935)*($D$2:$D$4734=D1935)*($E$2:$E$4734=0)),0)</f>
        <v>0</v>
      </c>
      <c r="L1935" s="1" t="str">
        <f>IF(E1935=0,SUMPRODUCT(MIN($K$2:$K$4734+((($A$2:$A$4734&lt;&gt;A1935)+($E$2:$E$4734&lt;&gt;0))&gt;0)*1000000)),"")</f>
        <v/>
      </c>
      <c r="M1935" s="1">
        <f>IF(AND(E1935=0,COUNTIFS($A$2:A1935,A1935,$E$2:E1935,0)=1),L1935,0)</f>
        <v>0</v>
      </c>
    </row>
    <row r="1936" spans="1:13" ht="15" customHeight="1">
      <c r="A1936" s="1">
        <v>7346</v>
      </c>
      <c r="B1936" s="1" t="s">
        <v>16</v>
      </c>
      <c r="C1936" s="2" t="s">
        <v>2253</v>
      </c>
      <c r="D1936" s="2" t="s">
        <v>2260</v>
      </c>
      <c r="E1936" s="1">
        <v>1</v>
      </c>
      <c r="F1936" s="2" t="s">
        <v>2265</v>
      </c>
      <c r="G1936" s="1">
        <v>5</v>
      </c>
      <c r="H1936" s="1" t="str">
        <f t="shared" si="30"/>
        <v>k7346_5</v>
      </c>
      <c r="K1936" s="1">
        <f>IF(E1936=0,SUMPRODUCT(($A$2:$A$4734=A1936)*($B$2:$B$4734=B1936)*($D$2:$D$4734=D1936)*($E$2:$E$4734=0)),0)</f>
        <v>0</v>
      </c>
      <c r="L1936" s="1" t="str">
        <f>IF(E1936=0,SUMPRODUCT(MIN($K$2:$K$4734+((($A$2:$A$4734&lt;&gt;A1936)+($E$2:$E$4734&lt;&gt;0))&gt;0)*1000000)),"")</f>
        <v/>
      </c>
      <c r="M1936" s="1">
        <f>IF(AND(E1936=0,COUNTIFS($A$2:A1936,A1936,$E$2:E1936,0)=1),L1936,0)</f>
        <v>0</v>
      </c>
    </row>
    <row r="1937" spans="1:13" ht="15" customHeight="1">
      <c r="A1937" s="1">
        <v>7346</v>
      </c>
      <c r="B1937" s="1" t="s">
        <v>16</v>
      </c>
      <c r="C1937" s="2" t="s">
        <v>2253</v>
      </c>
      <c r="D1937" s="2" t="s">
        <v>2260</v>
      </c>
      <c r="E1937" s="1">
        <v>1</v>
      </c>
      <c r="F1937" s="2" t="s">
        <v>2266</v>
      </c>
      <c r="G1937" s="1">
        <v>6</v>
      </c>
      <c r="H1937" s="1" t="str">
        <f t="shared" si="30"/>
        <v>k7346_6</v>
      </c>
      <c r="K1937" s="1">
        <f>IF(E1937=0,SUMPRODUCT(($A$2:$A$4734=A1937)*($B$2:$B$4734=B1937)*($D$2:$D$4734=D1937)*($E$2:$E$4734=0)),0)</f>
        <v>0</v>
      </c>
      <c r="L1937" s="1" t="str">
        <f>IF(E1937=0,SUMPRODUCT(MIN($K$2:$K$4734+((($A$2:$A$4734&lt;&gt;A1937)+($E$2:$E$4734&lt;&gt;0))&gt;0)*1000000)),"")</f>
        <v/>
      </c>
      <c r="M1937" s="1">
        <f>IF(AND(E1937=0,COUNTIFS($A$2:A1937,A1937,$E$2:E1937,0)=1),L1937,0)</f>
        <v>0</v>
      </c>
    </row>
    <row r="1938" spans="1:13" ht="15" customHeight="1">
      <c r="A1938" s="1">
        <v>7348</v>
      </c>
      <c r="B1938" s="1" t="s">
        <v>144</v>
      </c>
      <c r="C1938" s="2" t="s">
        <v>2267</v>
      </c>
      <c r="D1938" s="2" t="s">
        <v>2267</v>
      </c>
      <c r="E1938" s="1">
        <v>1</v>
      </c>
      <c r="F1938" s="2" t="s">
        <v>2268</v>
      </c>
      <c r="G1938" s="1">
        <v>1</v>
      </c>
      <c r="H1938" s="1" t="str">
        <f t="shared" si="30"/>
        <v>k7348_1</v>
      </c>
      <c r="K1938" s="1">
        <f>IF(E1938=0,SUMPRODUCT(($A$2:$A$4734=A1938)*($B$2:$B$4734=B1938)*($D$2:$D$4734=D1938)*($E$2:$E$4734=0)),0)</f>
        <v>0</v>
      </c>
      <c r="L1938" s="1" t="str">
        <f>IF(E1938=0,SUMPRODUCT(MIN($K$2:$K$4734+((($A$2:$A$4734&lt;&gt;A1938)+($E$2:$E$4734&lt;&gt;0))&gt;0)*1000000)),"")</f>
        <v/>
      </c>
      <c r="M1938" s="1">
        <f>IF(AND(E1938=0,COUNTIFS($A$2:A1938,A1938,$E$2:E1938,0)=1),L1938,0)</f>
        <v>0</v>
      </c>
    </row>
    <row r="1939" spans="1:13" ht="15" customHeight="1">
      <c r="A1939" s="1">
        <v>7348</v>
      </c>
      <c r="B1939" s="1" t="s">
        <v>144</v>
      </c>
      <c r="C1939" s="2" t="s">
        <v>2267</v>
      </c>
      <c r="D1939" s="2" t="s">
        <v>2267</v>
      </c>
      <c r="E1939" s="1">
        <v>1</v>
      </c>
      <c r="F1939" s="2" t="s">
        <v>2269</v>
      </c>
      <c r="G1939" s="1">
        <v>2</v>
      </c>
      <c r="H1939" s="1" t="str">
        <f t="shared" si="30"/>
        <v>k7348_2</v>
      </c>
      <c r="K1939" s="1">
        <f>IF(E1939=0,SUMPRODUCT(($A$2:$A$4734=A1939)*($B$2:$B$4734=B1939)*($D$2:$D$4734=D1939)*($E$2:$E$4734=0)),0)</f>
        <v>0</v>
      </c>
      <c r="L1939" s="1" t="str">
        <f>IF(E1939=0,SUMPRODUCT(MIN($K$2:$K$4734+((($A$2:$A$4734&lt;&gt;A1939)+($E$2:$E$4734&lt;&gt;0))&gt;0)*1000000)),"")</f>
        <v/>
      </c>
      <c r="M1939" s="1">
        <f>IF(AND(E1939=0,COUNTIFS($A$2:A1939,A1939,$E$2:E1939,0)=1),L1939,0)</f>
        <v>0</v>
      </c>
    </row>
    <row r="1940" spans="1:13" ht="15" customHeight="1">
      <c r="A1940" s="1">
        <v>7348</v>
      </c>
      <c r="B1940" s="1" t="s">
        <v>144</v>
      </c>
      <c r="C1940" s="2" t="s">
        <v>2267</v>
      </c>
      <c r="D1940" s="2" t="s">
        <v>2267</v>
      </c>
      <c r="E1940" s="1">
        <v>1</v>
      </c>
      <c r="F1940" s="2" t="s">
        <v>2270</v>
      </c>
      <c r="G1940" s="1">
        <v>3</v>
      </c>
      <c r="H1940" s="1" t="str">
        <f t="shared" si="30"/>
        <v>k7348_3</v>
      </c>
      <c r="K1940" s="1">
        <f>IF(E1940=0,SUMPRODUCT(($A$2:$A$4734=A1940)*($B$2:$B$4734=B1940)*($D$2:$D$4734=D1940)*($E$2:$E$4734=0)),0)</f>
        <v>0</v>
      </c>
      <c r="L1940" s="1" t="str">
        <f>IF(E1940=0,SUMPRODUCT(MIN($K$2:$K$4734+((($A$2:$A$4734&lt;&gt;A1940)+($E$2:$E$4734&lt;&gt;0))&gt;0)*1000000)),"")</f>
        <v/>
      </c>
      <c r="M1940" s="1">
        <f>IF(AND(E1940=0,COUNTIFS($A$2:A1940,A1940,$E$2:E1940,0)=1),L1940,0)</f>
        <v>0</v>
      </c>
    </row>
    <row r="1941" spans="1:13" ht="15" customHeight="1">
      <c r="A1941" s="1">
        <v>7348</v>
      </c>
      <c r="B1941" s="1" t="s">
        <v>144</v>
      </c>
      <c r="C1941" s="2" t="s">
        <v>2267</v>
      </c>
      <c r="D1941" s="2" t="s">
        <v>2267</v>
      </c>
      <c r="E1941" s="1">
        <v>1</v>
      </c>
      <c r="F1941" s="2" t="s">
        <v>2271</v>
      </c>
      <c r="G1941" s="1">
        <v>4</v>
      </c>
      <c r="H1941" s="1" t="str">
        <f t="shared" si="30"/>
        <v>k7348_4</v>
      </c>
      <c r="K1941" s="1">
        <f>IF(E1941=0,SUMPRODUCT(($A$2:$A$4734=A1941)*($B$2:$B$4734=B1941)*($D$2:$D$4734=D1941)*($E$2:$E$4734=0)),0)</f>
        <v>0</v>
      </c>
      <c r="L1941" s="1" t="str">
        <f>IF(E1941=0,SUMPRODUCT(MIN($K$2:$K$4734+((($A$2:$A$4734&lt;&gt;A1941)+($E$2:$E$4734&lt;&gt;0))&gt;0)*1000000)),"")</f>
        <v/>
      </c>
      <c r="M1941" s="1">
        <f>IF(AND(E1941=0,COUNTIFS($A$2:A1941,A1941,$E$2:E1941,0)=1),L1941,0)</f>
        <v>0</v>
      </c>
    </row>
    <row r="1942" spans="1:13" ht="15" customHeight="1">
      <c r="A1942" s="1">
        <v>7348</v>
      </c>
      <c r="B1942" s="1" t="s">
        <v>144</v>
      </c>
      <c r="C1942" s="2" t="s">
        <v>2267</v>
      </c>
      <c r="D1942" s="2" t="s">
        <v>2267</v>
      </c>
      <c r="E1942" s="1">
        <v>1</v>
      </c>
      <c r="F1942" s="2" t="s">
        <v>2272</v>
      </c>
      <c r="G1942" s="1">
        <v>5</v>
      </c>
      <c r="H1942" s="1" t="str">
        <f t="shared" si="30"/>
        <v>k7348_5</v>
      </c>
      <c r="K1942" s="1">
        <f>IF(E1942=0,SUMPRODUCT(($A$2:$A$4734=A1942)*($B$2:$B$4734=B1942)*($D$2:$D$4734=D1942)*($E$2:$E$4734=0)),0)</f>
        <v>0</v>
      </c>
      <c r="L1942" s="1" t="str">
        <f>IF(E1942=0,SUMPRODUCT(MIN($K$2:$K$4734+((($A$2:$A$4734&lt;&gt;A1942)+($E$2:$E$4734&lt;&gt;0))&gt;0)*1000000)),"")</f>
        <v/>
      </c>
      <c r="M1942" s="1">
        <f>IF(AND(E1942=0,COUNTIFS($A$2:A1942,A1942,$E$2:E1942,0)=1),L1942,0)</f>
        <v>0</v>
      </c>
    </row>
    <row r="1943" spans="1:13" ht="15" customHeight="1">
      <c r="A1943" s="1">
        <v>7349</v>
      </c>
      <c r="B1943" s="1" t="s">
        <v>144</v>
      </c>
      <c r="C1943" s="2" t="s">
        <v>2273</v>
      </c>
      <c r="D1943" s="2" t="s">
        <v>2274</v>
      </c>
      <c r="E1943" s="1">
        <v>1</v>
      </c>
      <c r="F1943" s="2" t="s">
        <v>2275</v>
      </c>
      <c r="G1943" s="1">
        <v>1</v>
      </c>
      <c r="H1943" s="1" t="str">
        <f t="shared" si="30"/>
        <v>k7349_1</v>
      </c>
      <c r="K1943" s="1">
        <f>IF(E1943=0,SUMPRODUCT(($A$2:$A$4734=A1943)*($B$2:$B$4734=B1943)*($D$2:$D$4734=D1943)*($E$2:$E$4734=0)),0)</f>
        <v>0</v>
      </c>
      <c r="L1943" s="1" t="str">
        <f>IF(E1943=0,SUMPRODUCT(MIN($K$2:$K$4734+((($A$2:$A$4734&lt;&gt;A1943)+($E$2:$E$4734&lt;&gt;0))&gt;0)*1000000)),"")</f>
        <v/>
      </c>
      <c r="M1943" s="1">
        <f>IF(AND(E1943=0,COUNTIFS($A$2:A1943,A1943,$E$2:E1943,0)=1),L1943,0)</f>
        <v>0</v>
      </c>
    </row>
    <row r="1944" spans="1:13" ht="15" customHeight="1">
      <c r="A1944" s="1">
        <v>7349</v>
      </c>
      <c r="B1944" s="1" t="s">
        <v>144</v>
      </c>
      <c r="C1944" s="2" t="s">
        <v>2273</v>
      </c>
      <c r="D1944" s="2" t="s">
        <v>2274</v>
      </c>
      <c r="E1944" s="1">
        <v>1</v>
      </c>
      <c r="F1944" s="2" t="s">
        <v>2276</v>
      </c>
      <c r="G1944" s="1">
        <v>2</v>
      </c>
      <c r="H1944" s="1" t="str">
        <f t="shared" si="30"/>
        <v>k7349_2</v>
      </c>
      <c r="K1944" s="1">
        <f>IF(E1944=0,SUMPRODUCT(($A$2:$A$4734=A1944)*($B$2:$B$4734=B1944)*($D$2:$D$4734=D1944)*($E$2:$E$4734=0)),0)</f>
        <v>0</v>
      </c>
      <c r="L1944" s="1" t="str">
        <f>IF(E1944=0,SUMPRODUCT(MIN($K$2:$K$4734+((($A$2:$A$4734&lt;&gt;A1944)+($E$2:$E$4734&lt;&gt;0))&gt;0)*1000000)),"")</f>
        <v/>
      </c>
      <c r="M1944" s="1">
        <f>IF(AND(E1944=0,COUNTIFS($A$2:A1944,A1944,$E$2:E1944,0)=1),L1944,0)</f>
        <v>0</v>
      </c>
    </row>
    <row r="1945" spans="1:13" ht="15" customHeight="1">
      <c r="A1945" s="1">
        <v>7349</v>
      </c>
      <c r="B1945" s="1" t="s">
        <v>144</v>
      </c>
      <c r="C1945" s="2" t="s">
        <v>2273</v>
      </c>
      <c r="D1945" s="2" t="s">
        <v>2274</v>
      </c>
      <c r="E1945" s="1">
        <v>1</v>
      </c>
      <c r="F1945" s="2" t="s">
        <v>2277</v>
      </c>
      <c r="G1945" s="1">
        <v>3</v>
      </c>
      <c r="H1945" s="1" t="str">
        <f t="shared" si="30"/>
        <v>k7349_3</v>
      </c>
      <c r="K1945" s="1">
        <f>IF(E1945=0,SUMPRODUCT(($A$2:$A$4734=A1945)*($B$2:$B$4734=B1945)*($D$2:$D$4734=D1945)*($E$2:$E$4734=0)),0)</f>
        <v>0</v>
      </c>
      <c r="L1945" s="1" t="str">
        <f>IF(E1945=0,SUMPRODUCT(MIN($K$2:$K$4734+((($A$2:$A$4734&lt;&gt;A1945)+($E$2:$E$4734&lt;&gt;0))&gt;0)*1000000)),"")</f>
        <v/>
      </c>
      <c r="M1945" s="1">
        <f>IF(AND(E1945=0,COUNTIFS($A$2:A1945,A1945,$E$2:E1945,0)=1),L1945,0)</f>
        <v>0</v>
      </c>
    </row>
    <row r="1946" spans="1:13" ht="15" customHeight="1">
      <c r="A1946" s="1">
        <v>7349</v>
      </c>
      <c r="B1946" s="1" t="s">
        <v>144</v>
      </c>
      <c r="C1946" s="2" t="s">
        <v>2273</v>
      </c>
      <c r="D1946" s="2" t="s">
        <v>2274</v>
      </c>
      <c r="E1946" s="1">
        <v>1</v>
      </c>
      <c r="F1946" s="2" t="s">
        <v>2278</v>
      </c>
      <c r="G1946" s="1">
        <v>4</v>
      </c>
      <c r="H1946" s="1" t="str">
        <f t="shared" ref="H1946:H2007" si="31">IF(OR(E1946&lt;&gt;1,G1946=""),"","k"&amp;A1946&amp;"_"&amp;G1946)</f>
        <v>k7349_4</v>
      </c>
      <c r="K1946" s="1">
        <f>IF(E1946=0,SUMPRODUCT(($A$2:$A$4734=A1946)*($B$2:$B$4734=B1946)*($D$2:$D$4734=D1946)*($E$2:$E$4734=0)),0)</f>
        <v>0</v>
      </c>
      <c r="L1946" s="1" t="str">
        <f>IF(E1946=0,SUMPRODUCT(MIN($K$2:$K$4734+((($A$2:$A$4734&lt;&gt;A1946)+($E$2:$E$4734&lt;&gt;0))&gt;0)*1000000)),"")</f>
        <v/>
      </c>
      <c r="M1946" s="1">
        <f>IF(AND(E1946=0,COUNTIFS($A$2:A1946,A1946,$E$2:E1946,0)=1),L1946,0)</f>
        <v>0</v>
      </c>
    </row>
    <row r="1947" spans="1:13" ht="15" customHeight="1">
      <c r="A1947" s="1">
        <v>7349</v>
      </c>
      <c r="B1947" s="1" t="s">
        <v>144</v>
      </c>
      <c r="C1947" s="2" t="s">
        <v>2273</v>
      </c>
      <c r="D1947" s="2" t="s">
        <v>2274</v>
      </c>
      <c r="E1947" s="1">
        <v>1</v>
      </c>
      <c r="F1947" s="2" t="s">
        <v>2279</v>
      </c>
      <c r="G1947" s="1">
        <v>5</v>
      </c>
      <c r="H1947" s="1" t="str">
        <f t="shared" si="31"/>
        <v>k7349_5</v>
      </c>
      <c r="K1947" s="1">
        <f>IF(E1947=0,SUMPRODUCT(($A$2:$A$4734=A1947)*($B$2:$B$4734=B1947)*($D$2:$D$4734=D1947)*($E$2:$E$4734=0)),0)</f>
        <v>0</v>
      </c>
      <c r="L1947" s="1" t="str">
        <f>IF(E1947=0,SUMPRODUCT(MIN($K$2:$K$4734+((($A$2:$A$4734&lt;&gt;A1947)+($E$2:$E$4734&lt;&gt;0))&gt;0)*1000000)),"")</f>
        <v/>
      </c>
      <c r="M1947" s="1">
        <f>IF(AND(E1947=0,COUNTIFS($A$2:A1947,A1947,$E$2:E1947,0)=1),L1947,0)</f>
        <v>0</v>
      </c>
    </row>
    <row r="1948" spans="1:13" ht="15" customHeight="1">
      <c r="A1948" s="1">
        <v>7349</v>
      </c>
      <c r="B1948" s="1" t="s">
        <v>9</v>
      </c>
      <c r="C1948" s="2" t="s">
        <v>2273</v>
      </c>
      <c r="D1948" s="2" t="s">
        <v>2280</v>
      </c>
      <c r="E1948" s="1">
        <v>1</v>
      </c>
      <c r="F1948" s="2" t="s">
        <v>2281</v>
      </c>
      <c r="G1948" s="1">
        <v>1</v>
      </c>
      <c r="H1948" s="1" t="str">
        <f t="shared" si="31"/>
        <v>k7349_1</v>
      </c>
      <c r="K1948" s="1">
        <f>IF(E1948=0,SUMPRODUCT(($A$2:$A$4734=A1948)*($B$2:$B$4734=B1948)*($D$2:$D$4734=D1948)*($E$2:$E$4734=0)),0)</f>
        <v>0</v>
      </c>
      <c r="L1948" s="1" t="str">
        <f>IF(E1948=0,SUMPRODUCT(MIN($K$2:$K$4734+((($A$2:$A$4734&lt;&gt;A1948)+($E$2:$E$4734&lt;&gt;0))&gt;0)*1000000)),"")</f>
        <v/>
      </c>
      <c r="M1948" s="1">
        <f>IF(AND(E1948=0,COUNTIFS($A$2:A1948,A1948,$E$2:E1948,0)=1),L1948,0)</f>
        <v>0</v>
      </c>
    </row>
    <row r="1949" spans="1:13" ht="15" customHeight="1">
      <c r="A1949" s="1">
        <v>7349</v>
      </c>
      <c r="B1949" s="1" t="s">
        <v>9</v>
      </c>
      <c r="C1949" s="2" t="s">
        <v>2273</v>
      </c>
      <c r="D1949" s="2" t="s">
        <v>2280</v>
      </c>
      <c r="E1949" s="1">
        <v>1</v>
      </c>
      <c r="F1949" s="2" t="s">
        <v>2282</v>
      </c>
      <c r="G1949" s="1">
        <v>2</v>
      </c>
      <c r="H1949" s="1" t="str">
        <f t="shared" si="31"/>
        <v>k7349_2</v>
      </c>
      <c r="K1949" s="1">
        <f>IF(E1949=0,SUMPRODUCT(($A$2:$A$4734=A1949)*($B$2:$B$4734=B1949)*($D$2:$D$4734=D1949)*($E$2:$E$4734=0)),0)</f>
        <v>0</v>
      </c>
      <c r="L1949" s="1" t="str">
        <f>IF(E1949=0,SUMPRODUCT(MIN($K$2:$K$4734+((($A$2:$A$4734&lt;&gt;A1949)+($E$2:$E$4734&lt;&gt;0))&gt;0)*1000000)),"")</f>
        <v/>
      </c>
      <c r="M1949" s="1">
        <f>IF(AND(E1949=0,COUNTIFS($A$2:A1949,A1949,$E$2:E1949,0)=1),L1949,0)</f>
        <v>0</v>
      </c>
    </row>
    <row r="1950" spans="1:13" ht="15" customHeight="1">
      <c r="A1950" s="1">
        <v>7349</v>
      </c>
      <c r="B1950" s="1" t="s">
        <v>9</v>
      </c>
      <c r="C1950" s="2" t="s">
        <v>2273</v>
      </c>
      <c r="D1950" s="2" t="s">
        <v>2280</v>
      </c>
      <c r="E1950" s="1">
        <v>1</v>
      </c>
      <c r="F1950" s="2" t="s">
        <v>2283</v>
      </c>
      <c r="G1950" s="1">
        <v>3</v>
      </c>
      <c r="H1950" s="1" t="str">
        <f t="shared" si="31"/>
        <v>k7349_3</v>
      </c>
      <c r="K1950" s="1">
        <f>IF(E1950=0,SUMPRODUCT(($A$2:$A$4734=A1950)*($B$2:$B$4734=B1950)*($D$2:$D$4734=D1950)*($E$2:$E$4734=0)),0)</f>
        <v>0</v>
      </c>
      <c r="L1950" s="1" t="str">
        <f>IF(E1950=0,SUMPRODUCT(MIN($K$2:$K$4734+((($A$2:$A$4734&lt;&gt;A1950)+($E$2:$E$4734&lt;&gt;0))&gt;0)*1000000)),"")</f>
        <v/>
      </c>
      <c r="M1950" s="1">
        <f>IF(AND(E1950=0,COUNTIFS($A$2:A1950,A1950,$E$2:E1950,0)=1),L1950,0)</f>
        <v>0</v>
      </c>
    </row>
    <row r="1951" spans="1:13" ht="15" customHeight="1">
      <c r="A1951" s="1">
        <v>7349</v>
      </c>
      <c r="B1951" s="1" t="s">
        <v>9</v>
      </c>
      <c r="C1951" s="2" t="s">
        <v>2273</v>
      </c>
      <c r="D1951" s="2" t="s">
        <v>2280</v>
      </c>
      <c r="E1951" s="1">
        <v>1</v>
      </c>
      <c r="F1951" s="2" t="s">
        <v>2284</v>
      </c>
      <c r="G1951" s="1">
        <v>4</v>
      </c>
      <c r="H1951" s="1" t="str">
        <f t="shared" si="31"/>
        <v>k7349_4</v>
      </c>
      <c r="K1951" s="1">
        <f>IF(E1951=0,SUMPRODUCT(($A$2:$A$4734=A1951)*($B$2:$B$4734=B1951)*($D$2:$D$4734=D1951)*($E$2:$E$4734=0)),0)</f>
        <v>0</v>
      </c>
      <c r="L1951" s="1" t="str">
        <f>IF(E1951=0,SUMPRODUCT(MIN($K$2:$K$4734+((($A$2:$A$4734&lt;&gt;A1951)+($E$2:$E$4734&lt;&gt;0))&gt;0)*1000000)),"")</f>
        <v/>
      </c>
      <c r="M1951" s="1">
        <f>IF(AND(E1951=0,COUNTIFS($A$2:A1951,A1951,$E$2:E1951,0)=1),L1951,0)</f>
        <v>0</v>
      </c>
    </row>
    <row r="1952" spans="1:13" ht="15" customHeight="1">
      <c r="A1952" s="1">
        <v>7349</v>
      </c>
      <c r="B1952" s="1" t="s">
        <v>9</v>
      </c>
      <c r="C1952" s="2" t="s">
        <v>2273</v>
      </c>
      <c r="D1952" s="2" t="s">
        <v>2280</v>
      </c>
      <c r="E1952" s="1">
        <v>1</v>
      </c>
      <c r="F1952" s="2" t="s">
        <v>2285</v>
      </c>
      <c r="G1952" s="1">
        <v>5</v>
      </c>
      <c r="H1952" s="1" t="str">
        <f t="shared" si="31"/>
        <v>k7349_5</v>
      </c>
      <c r="K1952" s="1">
        <f>IF(E1952=0,SUMPRODUCT(($A$2:$A$4734=A1952)*($B$2:$B$4734=B1952)*($D$2:$D$4734=D1952)*($E$2:$E$4734=0)),0)</f>
        <v>0</v>
      </c>
      <c r="L1952" s="1" t="str">
        <f>IF(E1952=0,SUMPRODUCT(MIN($K$2:$K$4734+((($A$2:$A$4734&lt;&gt;A1952)+($E$2:$E$4734&lt;&gt;0))&gt;0)*1000000)),"")</f>
        <v/>
      </c>
      <c r="M1952" s="1">
        <f>IF(AND(E1952=0,COUNTIFS($A$2:A1952,A1952,$E$2:E1952,0)=1),L1952,0)</f>
        <v>0</v>
      </c>
    </row>
    <row r="1953" spans="1:13" ht="15" customHeight="1">
      <c r="A1953" s="1">
        <v>7350</v>
      </c>
      <c r="B1953" s="1" t="s">
        <v>9</v>
      </c>
      <c r="C1953" s="2" t="s">
        <v>2286</v>
      </c>
      <c r="D1953" s="2" t="s">
        <v>2287</v>
      </c>
      <c r="E1953" s="1">
        <v>1</v>
      </c>
      <c r="F1953" s="2" t="s">
        <v>2288</v>
      </c>
      <c r="G1953" s="1">
        <v>1</v>
      </c>
      <c r="H1953" s="1" t="str">
        <f t="shared" si="31"/>
        <v>k7350_1</v>
      </c>
      <c r="K1953" s="1">
        <f>IF(E1953=0,SUMPRODUCT(($A$2:$A$4734=A1953)*($B$2:$B$4734=B1953)*($D$2:$D$4734=D1953)*($E$2:$E$4734=0)),0)</f>
        <v>0</v>
      </c>
      <c r="L1953" s="1" t="str">
        <f>IF(E1953=0,SUMPRODUCT(MIN($K$2:$K$4734+((($A$2:$A$4734&lt;&gt;A1953)+($E$2:$E$4734&lt;&gt;0))&gt;0)*1000000)),"")</f>
        <v/>
      </c>
      <c r="M1953" s="1">
        <f>IF(AND(E1953=0,COUNTIFS($A$2:A1953,A1953,$E$2:E1953,0)=1),L1953,0)</f>
        <v>0</v>
      </c>
    </row>
    <row r="1954" spans="1:13" ht="15" customHeight="1">
      <c r="A1954" s="1">
        <v>7350</v>
      </c>
      <c r="B1954" s="1" t="s">
        <v>9</v>
      </c>
      <c r="C1954" s="2" t="s">
        <v>2286</v>
      </c>
      <c r="D1954" s="2" t="s">
        <v>2287</v>
      </c>
      <c r="E1954" s="1">
        <v>1</v>
      </c>
      <c r="F1954" s="2" t="s">
        <v>2289</v>
      </c>
      <c r="G1954" s="1">
        <v>2</v>
      </c>
      <c r="H1954" s="1" t="str">
        <f t="shared" si="31"/>
        <v>k7350_2</v>
      </c>
      <c r="K1954" s="1">
        <f>IF(E1954=0,SUMPRODUCT(($A$2:$A$4734=A1954)*($B$2:$B$4734=B1954)*($D$2:$D$4734=D1954)*($E$2:$E$4734=0)),0)</f>
        <v>0</v>
      </c>
      <c r="L1954" s="1" t="str">
        <f>IF(E1954=0,SUMPRODUCT(MIN($K$2:$K$4734+((($A$2:$A$4734&lt;&gt;A1954)+($E$2:$E$4734&lt;&gt;0))&gt;0)*1000000)),"")</f>
        <v/>
      </c>
      <c r="M1954" s="1">
        <f>IF(AND(E1954=0,COUNTIFS($A$2:A1954,A1954,$E$2:E1954,0)=1),L1954,0)</f>
        <v>0</v>
      </c>
    </row>
    <row r="1955" spans="1:13" ht="15" customHeight="1">
      <c r="A1955" s="1">
        <v>7350</v>
      </c>
      <c r="B1955" s="1" t="s">
        <v>9</v>
      </c>
      <c r="C1955" s="2" t="s">
        <v>2286</v>
      </c>
      <c r="D1955" s="2" t="s">
        <v>2287</v>
      </c>
      <c r="E1955" s="1">
        <v>1</v>
      </c>
      <c r="F1955" s="2" t="s">
        <v>2288</v>
      </c>
      <c r="G1955" s="1">
        <v>3</v>
      </c>
      <c r="H1955" s="1" t="str">
        <f t="shared" si="31"/>
        <v>k7350_3</v>
      </c>
      <c r="K1955" s="1">
        <f>IF(E1955=0,SUMPRODUCT(($A$2:$A$4734=A1955)*($B$2:$B$4734=B1955)*($D$2:$D$4734=D1955)*($E$2:$E$4734=0)),0)</f>
        <v>0</v>
      </c>
      <c r="L1955" s="1" t="str">
        <f>IF(E1955=0,SUMPRODUCT(MIN($K$2:$K$4734+((($A$2:$A$4734&lt;&gt;A1955)+($E$2:$E$4734&lt;&gt;0))&gt;0)*1000000)),"")</f>
        <v/>
      </c>
      <c r="M1955" s="1">
        <f>IF(AND(E1955=0,COUNTIFS($A$2:A1955,A1955,$E$2:E1955,0)=1),L1955,0)</f>
        <v>0</v>
      </c>
    </row>
    <row r="1956" spans="1:13" ht="15" customHeight="1">
      <c r="A1956" s="1">
        <v>7350</v>
      </c>
      <c r="B1956" s="1" t="s">
        <v>9</v>
      </c>
      <c r="C1956" s="2" t="s">
        <v>2286</v>
      </c>
      <c r="D1956" s="2" t="s">
        <v>2287</v>
      </c>
      <c r="E1956" s="1">
        <v>1</v>
      </c>
      <c r="F1956" s="2" t="s">
        <v>2289</v>
      </c>
      <c r="G1956" s="1">
        <v>4</v>
      </c>
      <c r="H1956" s="1" t="str">
        <f t="shared" si="31"/>
        <v>k7350_4</v>
      </c>
      <c r="K1956" s="1">
        <f>IF(E1956=0,SUMPRODUCT(($A$2:$A$4734=A1956)*($B$2:$B$4734=B1956)*($D$2:$D$4734=D1956)*($E$2:$E$4734=0)),0)</f>
        <v>0</v>
      </c>
      <c r="L1956" s="1" t="str">
        <f>IF(E1956=0,SUMPRODUCT(MIN($K$2:$K$4734+((($A$2:$A$4734&lt;&gt;A1956)+($E$2:$E$4734&lt;&gt;0))&gt;0)*1000000)),"")</f>
        <v/>
      </c>
      <c r="M1956" s="1">
        <f>IF(AND(E1956=0,COUNTIFS($A$2:A1956,A1956,$E$2:E1956,0)=1),L1956,0)</f>
        <v>0</v>
      </c>
    </row>
    <row r="1957" spans="1:13" ht="15" customHeight="1">
      <c r="A1957" s="1">
        <v>7350</v>
      </c>
      <c r="B1957" s="1" t="s">
        <v>9</v>
      </c>
      <c r="C1957" s="2" t="s">
        <v>2286</v>
      </c>
      <c r="D1957" s="2" t="s">
        <v>2287</v>
      </c>
      <c r="E1957" s="1">
        <v>1</v>
      </c>
      <c r="F1957" s="2" t="s">
        <v>2290</v>
      </c>
      <c r="G1957" s="1">
        <v>5</v>
      </c>
      <c r="H1957" s="1" t="str">
        <f t="shared" si="31"/>
        <v>k7350_5</v>
      </c>
      <c r="K1957" s="1">
        <f>IF(E1957=0,SUMPRODUCT(($A$2:$A$4734=A1957)*($B$2:$B$4734=B1957)*($D$2:$D$4734=D1957)*($E$2:$E$4734=0)),0)</f>
        <v>0</v>
      </c>
      <c r="L1957" s="1" t="str">
        <f>IF(E1957=0,SUMPRODUCT(MIN($K$2:$K$4734+((($A$2:$A$4734&lt;&gt;A1957)+($E$2:$E$4734&lt;&gt;0))&gt;0)*1000000)),"")</f>
        <v/>
      </c>
      <c r="M1957" s="1">
        <f>IF(AND(E1957=0,COUNTIFS($A$2:A1957,A1957,$E$2:E1957,0)=1),L1957,0)</f>
        <v>0</v>
      </c>
    </row>
    <row r="1958" spans="1:13" ht="15" customHeight="1">
      <c r="A1958" s="1">
        <v>7350</v>
      </c>
      <c r="B1958" s="1" t="s">
        <v>16</v>
      </c>
      <c r="C1958" s="2" t="s">
        <v>2286</v>
      </c>
      <c r="D1958" s="2" t="s">
        <v>2291</v>
      </c>
      <c r="E1958" s="1">
        <v>1</v>
      </c>
      <c r="F1958" s="2" t="s">
        <v>2292</v>
      </c>
      <c r="G1958" s="1">
        <v>1</v>
      </c>
      <c r="H1958" s="1" t="str">
        <f t="shared" si="31"/>
        <v>k7350_1</v>
      </c>
      <c r="K1958" s="1">
        <f>IF(E1958=0,SUMPRODUCT(($A$2:$A$4734=A1958)*($B$2:$B$4734=B1958)*($D$2:$D$4734=D1958)*($E$2:$E$4734=0)),0)</f>
        <v>0</v>
      </c>
      <c r="L1958" s="1" t="str">
        <f>IF(E1958=0,SUMPRODUCT(MIN($K$2:$K$4734+((($A$2:$A$4734&lt;&gt;A1958)+($E$2:$E$4734&lt;&gt;0))&gt;0)*1000000)),"")</f>
        <v/>
      </c>
      <c r="M1958" s="1">
        <f>IF(AND(E1958=0,COUNTIFS($A$2:A1958,A1958,$E$2:E1958,0)=1),L1958,0)</f>
        <v>0</v>
      </c>
    </row>
    <row r="1959" spans="1:13" ht="15" customHeight="1">
      <c r="A1959" s="1">
        <v>7350</v>
      </c>
      <c r="B1959" s="1" t="s">
        <v>16</v>
      </c>
      <c r="C1959" s="2" t="s">
        <v>2286</v>
      </c>
      <c r="D1959" s="2" t="s">
        <v>2291</v>
      </c>
      <c r="E1959" s="1">
        <v>1</v>
      </c>
      <c r="F1959" s="2" t="s">
        <v>2293</v>
      </c>
      <c r="G1959" s="1">
        <v>2</v>
      </c>
      <c r="H1959" s="1" t="str">
        <f t="shared" si="31"/>
        <v>k7350_2</v>
      </c>
      <c r="K1959" s="1">
        <f>IF(E1959=0,SUMPRODUCT(($A$2:$A$4734=A1959)*($B$2:$B$4734=B1959)*($D$2:$D$4734=D1959)*($E$2:$E$4734=0)),0)</f>
        <v>0</v>
      </c>
      <c r="L1959" s="1" t="str">
        <f>IF(E1959=0,SUMPRODUCT(MIN($K$2:$K$4734+((($A$2:$A$4734&lt;&gt;A1959)+($E$2:$E$4734&lt;&gt;0))&gt;0)*1000000)),"")</f>
        <v/>
      </c>
      <c r="M1959" s="1">
        <f>IF(AND(E1959=0,COUNTIFS($A$2:A1959,A1959,$E$2:E1959,0)=1),L1959,0)</f>
        <v>0</v>
      </c>
    </row>
    <row r="1960" spans="1:13" ht="15" customHeight="1">
      <c r="A1960" s="1">
        <v>7350</v>
      </c>
      <c r="B1960" s="1" t="s">
        <v>16</v>
      </c>
      <c r="C1960" s="2" t="s">
        <v>2286</v>
      </c>
      <c r="D1960" s="2" t="s">
        <v>2291</v>
      </c>
      <c r="E1960" s="1">
        <v>1</v>
      </c>
      <c r="F1960" s="2" t="s">
        <v>2294</v>
      </c>
      <c r="G1960" s="1">
        <v>3</v>
      </c>
      <c r="H1960" s="1" t="str">
        <f t="shared" si="31"/>
        <v>k7350_3</v>
      </c>
      <c r="K1960" s="1">
        <f>IF(E1960=0,SUMPRODUCT(($A$2:$A$4734=A1960)*($B$2:$B$4734=B1960)*($D$2:$D$4734=D1960)*($E$2:$E$4734=0)),0)</f>
        <v>0</v>
      </c>
      <c r="L1960" s="1" t="str">
        <f>IF(E1960=0,SUMPRODUCT(MIN($K$2:$K$4734+((($A$2:$A$4734&lt;&gt;A1960)+($E$2:$E$4734&lt;&gt;0))&gt;0)*1000000)),"")</f>
        <v/>
      </c>
      <c r="M1960" s="1">
        <f>IF(AND(E1960=0,COUNTIFS($A$2:A1960,A1960,$E$2:E1960,0)=1),L1960,0)</f>
        <v>0</v>
      </c>
    </row>
    <row r="1961" spans="1:13" ht="15" customHeight="1">
      <c r="A1961" s="1">
        <v>7350</v>
      </c>
      <c r="B1961" s="1" t="s">
        <v>16</v>
      </c>
      <c r="C1961" s="2" t="s">
        <v>2286</v>
      </c>
      <c r="D1961" s="2" t="s">
        <v>2291</v>
      </c>
      <c r="E1961" s="1">
        <v>1</v>
      </c>
      <c r="F1961" s="2" t="s">
        <v>2295</v>
      </c>
      <c r="G1961" s="1">
        <v>4</v>
      </c>
      <c r="H1961" s="1" t="str">
        <f t="shared" si="31"/>
        <v>k7350_4</v>
      </c>
      <c r="K1961" s="1">
        <f>IF(E1961=0,SUMPRODUCT(($A$2:$A$4734=A1961)*($B$2:$B$4734=B1961)*($D$2:$D$4734=D1961)*($E$2:$E$4734=0)),0)</f>
        <v>0</v>
      </c>
      <c r="L1961" s="1" t="str">
        <f>IF(E1961=0,SUMPRODUCT(MIN($K$2:$K$4734+((($A$2:$A$4734&lt;&gt;A1961)+($E$2:$E$4734&lt;&gt;0))&gt;0)*1000000)),"")</f>
        <v/>
      </c>
      <c r="M1961" s="1">
        <f>IF(AND(E1961=0,COUNTIFS($A$2:A1961,A1961,$E$2:E1961,0)=1),L1961,0)</f>
        <v>0</v>
      </c>
    </row>
    <row r="1962" spans="1:13" ht="15" customHeight="1">
      <c r="A1962" s="1">
        <v>7350</v>
      </c>
      <c r="B1962" s="1" t="s">
        <v>16</v>
      </c>
      <c r="C1962" s="2" t="s">
        <v>2286</v>
      </c>
      <c r="D1962" s="2" t="s">
        <v>2291</v>
      </c>
      <c r="E1962" s="1">
        <v>1</v>
      </c>
      <c r="F1962" s="2" t="s">
        <v>2296</v>
      </c>
      <c r="G1962" s="1">
        <v>5</v>
      </c>
      <c r="H1962" s="1" t="str">
        <f t="shared" si="31"/>
        <v>k7350_5</v>
      </c>
      <c r="K1962" s="1">
        <f>IF(E1962=0,SUMPRODUCT(($A$2:$A$4734=A1962)*($B$2:$B$4734=B1962)*($D$2:$D$4734=D1962)*($E$2:$E$4734=0)),0)</f>
        <v>0</v>
      </c>
      <c r="L1962" s="1" t="str">
        <f>IF(E1962=0,SUMPRODUCT(MIN($K$2:$K$4734+((($A$2:$A$4734&lt;&gt;A1962)+($E$2:$E$4734&lt;&gt;0))&gt;0)*1000000)),"")</f>
        <v/>
      </c>
      <c r="M1962" s="1">
        <f>IF(AND(E1962=0,COUNTIFS($A$2:A1962,A1962,$E$2:E1962,0)=1),L1962,0)</f>
        <v>0</v>
      </c>
    </row>
    <row r="1963" spans="1:13" ht="15" customHeight="1">
      <c r="A1963" s="1">
        <v>7350</v>
      </c>
      <c r="B1963" s="1" t="s">
        <v>16</v>
      </c>
      <c r="C1963" s="2" t="s">
        <v>2286</v>
      </c>
      <c r="D1963" s="2" t="s">
        <v>2297</v>
      </c>
      <c r="E1963" s="1">
        <v>1</v>
      </c>
      <c r="F1963" s="2" t="s">
        <v>2298</v>
      </c>
      <c r="G1963" s="1">
        <v>1</v>
      </c>
      <c r="H1963" s="1" t="str">
        <f t="shared" si="31"/>
        <v>k7350_1</v>
      </c>
      <c r="K1963" s="1">
        <f>IF(E1963=0,SUMPRODUCT(($A$2:$A$4734=A1963)*($B$2:$B$4734=B1963)*($D$2:$D$4734=D1963)*($E$2:$E$4734=0)),0)</f>
        <v>0</v>
      </c>
      <c r="L1963" s="1" t="str">
        <f>IF(E1963=0,SUMPRODUCT(MIN($K$2:$K$4734+((($A$2:$A$4734&lt;&gt;A1963)+($E$2:$E$4734&lt;&gt;0))&gt;0)*1000000)),"")</f>
        <v/>
      </c>
      <c r="M1963" s="1">
        <f>IF(AND(E1963=0,COUNTIFS($A$2:A1963,A1963,$E$2:E1963,0)=1),L1963,0)</f>
        <v>0</v>
      </c>
    </row>
    <row r="1964" spans="1:13" ht="15" customHeight="1">
      <c r="A1964" s="1">
        <v>7350</v>
      </c>
      <c r="B1964" s="1" t="s">
        <v>16</v>
      </c>
      <c r="C1964" s="2" t="s">
        <v>2286</v>
      </c>
      <c r="D1964" s="2" t="s">
        <v>2297</v>
      </c>
      <c r="E1964" s="1">
        <v>1</v>
      </c>
      <c r="F1964" s="2" t="s">
        <v>2299</v>
      </c>
      <c r="G1964" s="1">
        <v>2</v>
      </c>
      <c r="H1964" s="1" t="str">
        <f t="shared" si="31"/>
        <v>k7350_2</v>
      </c>
      <c r="K1964" s="1">
        <f>IF(E1964=0,SUMPRODUCT(($A$2:$A$4734=A1964)*($B$2:$B$4734=B1964)*($D$2:$D$4734=D1964)*($E$2:$E$4734=0)),0)</f>
        <v>0</v>
      </c>
      <c r="L1964" s="1" t="str">
        <f>IF(E1964=0,SUMPRODUCT(MIN($K$2:$K$4734+((($A$2:$A$4734&lt;&gt;A1964)+($E$2:$E$4734&lt;&gt;0))&gt;0)*1000000)),"")</f>
        <v/>
      </c>
      <c r="M1964" s="1">
        <f>IF(AND(E1964=0,COUNTIFS($A$2:A1964,A1964,$E$2:E1964,0)=1),L1964,0)</f>
        <v>0</v>
      </c>
    </row>
    <row r="1965" spans="1:13" ht="15" customHeight="1">
      <c r="A1965" s="1">
        <v>7350</v>
      </c>
      <c r="B1965" s="1" t="s">
        <v>16</v>
      </c>
      <c r="C1965" s="2" t="s">
        <v>2286</v>
      </c>
      <c r="D1965" s="2" t="s">
        <v>2297</v>
      </c>
      <c r="E1965" s="1">
        <v>1</v>
      </c>
      <c r="F1965" s="2" t="s">
        <v>2300</v>
      </c>
      <c r="G1965" s="1">
        <v>3</v>
      </c>
      <c r="H1965" s="1" t="str">
        <f t="shared" si="31"/>
        <v>k7350_3</v>
      </c>
      <c r="K1965" s="1">
        <f>IF(E1965=0,SUMPRODUCT(($A$2:$A$4734=A1965)*($B$2:$B$4734=B1965)*($D$2:$D$4734=D1965)*($E$2:$E$4734=0)),0)</f>
        <v>0</v>
      </c>
      <c r="L1965" s="1" t="str">
        <f>IF(E1965=0,SUMPRODUCT(MIN($K$2:$K$4734+((($A$2:$A$4734&lt;&gt;A1965)+($E$2:$E$4734&lt;&gt;0))&gt;0)*1000000)),"")</f>
        <v/>
      </c>
      <c r="M1965" s="1">
        <f>IF(AND(E1965=0,COUNTIFS($A$2:A1965,A1965,$E$2:E1965,0)=1),L1965,0)</f>
        <v>0</v>
      </c>
    </row>
    <row r="1966" spans="1:13" ht="15" customHeight="1">
      <c r="A1966" s="1">
        <v>7350</v>
      </c>
      <c r="B1966" s="1" t="s">
        <v>16</v>
      </c>
      <c r="C1966" s="2" t="s">
        <v>2286</v>
      </c>
      <c r="D1966" s="2" t="s">
        <v>2297</v>
      </c>
      <c r="E1966" s="1">
        <v>1</v>
      </c>
      <c r="F1966" s="2" t="s">
        <v>2301</v>
      </c>
      <c r="G1966" s="1">
        <v>4</v>
      </c>
      <c r="H1966" s="1" t="str">
        <f t="shared" si="31"/>
        <v>k7350_4</v>
      </c>
      <c r="K1966" s="1">
        <f>IF(E1966=0,SUMPRODUCT(($A$2:$A$4734=A1966)*($B$2:$B$4734=B1966)*($D$2:$D$4734=D1966)*($E$2:$E$4734=0)),0)</f>
        <v>0</v>
      </c>
      <c r="L1966" s="1" t="str">
        <f>IF(E1966=0,SUMPRODUCT(MIN($K$2:$K$4734+((($A$2:$A$4734&lt;&gt;A1966)+($E$2:$E$4734&lt;&gt;0))&gt;0)*1000000)),"")</f>
        <v/>
      </c>
      <c r="M1966" s="1">
        <f>IF(AND(E1966=0,COUNTIFS($A$2:A1966,A1966,$E$2:E1966,0)=1),L1966,0)</f>
        <v>0</v>
      </c>
    </row>
    <row r="1967" spans="1:13" ht="15" customHeight="1">
      <c r="A1967" s="1">
        <v>7350</v>
      </c>
      <c r="B1967" s="1" t="s">
        <v>16</v>
      </c>
      <c r="C1967" s="2" t="s">
        <v>2286</v>
      </c>
      <c r="D1967" s="2" t="s">
        <v>2297</v>
      </c>
      <c r="E1967" s="1">
        <v>1</v>
      </c>
      <c r="F1967" s="2" t="s">
        <v>2301</v>
      </c>
      <c r="G1967" s="1">
        <v>5</v>
      </c>
      <c r="H1967" s="1" t="str">
        <f t="shared" si="31"/>
        <v>k7350_5</v>
      </c>
      <c r="K1967" s="1">
        <f>IF(E1967=0,SUMPRODUCT(($A$2:$A$4734=A1967)*($B$2:$B$4734=B1967)*($D$2:$D$4734=D1967)*($E$2:$E$4734=0)),0)</f>
        <v>0</v>
      </c>
      <c r="L1967" s="1" t="str">
        <f>IF(E1967=0,SUMPRODUCT(MIN($K$2:$K$4734+((($A$2:$A$4734&lt;&gt;A1967)+($E$2:$E$4734&lt;&gt;0))&gt;0)*1000000)),"")</f>
        <v/>
      </c>
      <c r="M1967" s="1">
        <f>IF(AND(E1967=0,COUNTIFS($A$2:A1967,A1967,$E$2:E1967,0)=1),L1967,0)</f>
        <v>0</v>
      </c>
    </row>
    <row r="1968" spans="1:13" ht="15" customHeight="1">
      <c r="A1968" s="1">
        <v>7350</v>
      </c>
      <c r="B1968" s="1" t="s">
        <v>9</v>
      </c>
      <c r="C1968" s="2" t="s">
        <v>2286</v>
      </c>
      <c r="D1968" s="2" t="s">
        <v>2297</v>
      </c>
      <c r="E1968" s="1">
        <v>1</v>
      </c>
      <c r="F1968" s="2" t="s">
        <v>2302</v>
      </c>
      <c r="G1968" s="1">
        <v>1</v>
      </c>
      <c r="H1968" s="1" t="str">
        <f t="shared" si="31"/>
        <v>k7350_1</v>
      </c>
      <c r="K1968" s="1">
        <f>IF(E1968=0,SUMPRODUCT(($A$2:$A$4734=A1968)*($B$2:$B$4734=B1968)*($D$2:$D$4734=D1968)*($E$2:$E$4734=0)),0)</f>
        <v>0</v>
      </c>
      <c r="L1968" s="1" t="str">
        <f>IF(E1968=0,SUMPRODUCT(MIN($K$2:$K$4734+((($A$2:$A$4734&lt;&gt;A1968)+($E$2:$E$4734&lt;&gt;0))&gt;0)*1000000)),"")</f>
        <v/>
      </c>
      <c r="M1968" s="1">
        <f>IF(AND(E1968=0,COUNTIFS($A$2:A1968,A1968,$E$2:E1968,0)=1),L1968,0)</f>
        <v>0</v>
      </c>
    </row>
    <row r="1969" spans="1:13" ht="15" customHeight="1">
      <c r="A1969" s="1">
        <v>7350</v>
      </c>
      <c r="B1969" s="1" t="s">
        <v>9</v>
      </c>
      <c r="C1969" s="2" t="s">
        <v>2286</v>
      </c>
      <c r="D1969" s="2" t="s">
        <v>2297</v>
      </c>
      <c r="E1969" s="1">
        <v>1</v>
      </c>
      <c r="F1969" s="2" t="s">
        <v>2303</v>
      </c>
      <c r="G1969" s="1">
        <v>2</v>
      </c>
      <c r="H1969" s="1" t="str">
        <f t="shared" si="31"/>
        <v>k7350_2</v>
      </c>
      <c r="K1969" s="1">
        <f>IF(E1969=0,SUMPRODUCT(($A$2:$A$4734=A1969)*($B$2:$B$4734=B1969)*($D$2:$D$4734=D1969)*($E$2:$E$4734=0)),0)</f>
        <v>0</v>
      </c>
      <c r="L1969" s="1" t="str">
        <f>IF(E1969=0,SUMPRODUCT(MIN($K$2:$K$4734+((($A$2:$A$4734&lt;&gt;A1969)+($E$2:$E$4734&lt;&gt;0))&gt;0)*1000000)),"")</f>
        <v/>
      </c>
      <c r="M1969" s="1">
        <f>IF(AND(E1969=0,COUNTIFS($A$2:A1969,A1969,$E$2:E1969,0)=1),L1969,0)</f>
        <v>0</v>
      </c>
    </row>
    <row r="1970" spans="1:13" ht="15" customHeight="1">
      <c r="A1970" s="1">
        <v>7350</v>
      </c>
      <c r="B1970" s="1" t="s">
        <v>9</v>
      </c>
      <c r="C1970" s="2" t="s">
        <v>2286</v>
      </c>
      <c r="D1970" s="2" t="s">
        <v>2297</v>
      </c>
      <c r="E1970" s="1">
        <v>1</v>
      </c>
      <c r="F1970" s="2" t="s">
        <v>2304</v>
      </c>
      <c r="G1970" s="1">
        <v>3</v>
      </c>
      <c r="H1970" s="1" t="str">
        <f t="shared" si="31"/>
        <v>k7350_3</v>
      </c>
      <c r="K1970" s="1">
        <f>IF(E1970=0,SUMPRODUCT(($A$2:$A$4734=A1970)*($B$2:$B$4734=B1970)*($D$2:$D$4734=D1970)*($E$2:$E$4734=0)),0)</f>
        <v>0</v>
      </c>
      <c r="L1970" s="1" t="str">
        <f>IF(E1970=0,SUMPRODUCT(MIN($K$2:$K$4734+((($A$2:$A$4734&lt;&gt;A1970)+($E$2:$E$4734&lt;&gt;0))&gt;0)*1000000)),"")</f>
        <v/>
      </c>
      <c r="M1970" s="1">
        <f>IF(AND(E1970=0,COUNTIFS($A$2:A1970,A1970,$E$2:E1970,0)=1),L1970,0)</f>
        <v>0</v>
      </c>
    </row>
    <row r="1971" spans="1:13" ht="15" customHeight="1">
      <c r="A1971" s="1">
        <v>7350</v>
      </c>
      <c r="B1971" s="1" t="s">
        <v>9</v>
      </c>
      <c r="C1971" s="2" t="s">
        <v>2286</v>
      </c>
      <c r="D1971" s="2" t="s">
        <v>2297</v>
      </c>
      <c r="E1971" s="1">
        <v>1</v>
      </c>
      <c r="F1971" s="2" t="s">
        <v>2305</v>
      </c>
      <c r="G1971" s="1">
        <v>4</v>
      </c>
      <c r="H1971" s="1" t="str">
        <f t="shared" si="31"/>
        <v>k7350_4</v>
      </c>
      <c r="K1971" s="1">
        <f>IF(E1971=0,SUMPRODUCT(($A$2:$A$4734=A1971)*($B$2:$B$4734=B1971)*($D$2:$D$4734=D1971)*($E$2:$E$4734=0)),0)</f>
        <v>0</v>
      </c>
      <c r="L1971" s="1" t="str">
        <f>IF(E1971=0,SUMPRODUCT(MIN($K$2:$K$4734+((($A$2:$A$4734&lt;&gt;A1971)+($E$2:$E$4734&lt;&gt;0))&gt;0)*1000000)),"")</f>
        <v/>
      </c>
      <c r="M1971" s="1">
        <f>IF(AND(E1971=0,COUNTIFS($A$2:A1971,A1971,$E$2:E1971,0)=1),L1971,0)</f>
        <v>0</v>
      </c>
    </row>
    <row r="1972" spans="1:13" ht="15" customHeight="1">
      <c r="A1972" s="1">
        <v>7350</v>
      </c>
      <c r="B1972" s="1" t="s">
        <v>9</v>
      </c>
      <c r="C1972" s="2" t="s">
        <v>2286</v>
      </c>
      <c r="D1972" s="2" t="s">
        <v>2297</v>
      </c>
      <c r="E1972" s="1">
        <v>1</v>
      </c>
      <c r="F1972" s="2" t="s">
        <v>2306</v>
      </c>
      <c r="G1972" s="1">
        <v>5</v>
      </c>
      <c r="H1972" s="1" t="str">
        <f t="shared" si="31"/>
        <v>k7350_5</v>
      </c>
      <c r="K1972" s="1">
        <f>IF(E1972=0,SUMPRODUCT(($A$2:$A$4734=A1972)*($B$2:$B$4734=B1972)*($D$2:$D$4734=D1972)*($E$2:$E$4734=0)),0)</f>
        <v>0</v>
      </c>
      <c r="L1972" s="1" t="str">
        <f>IF(E1972=0,SUMPRODUCT(MIN($K$2:$K$4734+((($A$2:$A$4734&lt;&gt;A1972)+($E$2:$E$4734&lt;&gt;0))&gt;0)*1000000)),"")</f>
        <v/>
      </c>
      <c r="M1972" s="1">
        <f>IF(AND(E1972=0,COUNTIFS($A$2:A1972,A1972,$E$2:E1972,0)=1),L1972,0)</f>
        <v>0</v>
      </c>
    </row>
    <row r="1973" spans="1:13" ht="15" customHeight="1">
      <c r="A1973" s="1">
        <v>7350</v>
      </c>
      <c r="B1973" s="1" t="s">
        <v>16</v>
      </c>
      <c r="C1973" s="2" t="s">
        <v>2286</v>
      </c>
      <c r="D1973" s="2" t="s">
        <v>2307</v>
      </c>
      <c r="E1973" s="1">
        <v>1</v>
      </c>
      <c r="F1973" s="2" t="s">
        <v>2308</v>
      </c>
      <c r="G1973" s="1">
        <v>1</v>
      </c>
      <c r="H1973" s="1" t="str">
        <f t="shared" si="31"/>
        <v>k7350_1</v>
      </c>
      <c r="K1973" s="1">
        <f>IF(E1973=0,SUMPRODUCT(($A$2:$A$4734=A1973)*($B$2:$B$4734=B1973)*($D$2:$D$4734=D1973)*($E$2:$E$4734=0)),0)</f>
        <v>0</v>
      </c>
      <c r="L1973" s="1" t="str">
        <f>IF(E1973=0,SUMPRODUCT(MIN($K$2:$K$4734+((($A$2:$A$4734&lt;&gt;A1973)+($E$2:$E$4734&lt;&gt;0))&gt;0)*1000000)),"")</f>
        <v/>
      </c>
      <c r="M1973" s="1">
        <f>IF(AND(E1973=0,COUNTIFS($A$2:A1973,A1973,$E$2:E1973,0)=1),L1973,0)</f>
        <v>0</v>
      </c>
    </row>
    <row r="1974" spans="1:13" ht="15" customHeight="1">
      <c r="A1974" s="1">
        <v>7350</v>
      </c>
      <c r="B1974" s="1" t="s">
        <v>16</v>
      </c>
      <c r="C1974" s="2" t="s">
        <v>2286</v>
      </c>
      <c r="D1974" s="2" t="s">
        <v>2307</v>
      </c>
      <c r="E1974" s="1">
        <v>1</v>
      </c>
      <c r="F1974" s="2" t="s">
        <v>2309</v>
      </c>
      <c r="G1974" s="1">
        <v>2</v>
      </c>
      <c r="H1974" s="1" t="str">
        <f t="shared" si="31"/>
        <v>k7350_2</v>
      </c>
      <c r="K1974" s="1">
        <f>IF(E1974=0,SUMPRODUCT(($A$2:$A$4734=A1974)*($B$2:$B$4734=B1974)*($D$2:$D$4734=D1974)*($E$2:$E$4734=0)),0)</f>
        <v>0</v>
      </c>
      <c r="L1974" s="1" t="str">
        <f>IF(E1974=0,SUMPRODUCT(MIN($K$2:$K$4734+((($A$2:$A$4734&lt;&gt;A1974)+($E$2:$E$4734&lt;&gt;0))&gt;0)*1000000)),"")</f>
        <v/>
      </c>
      <c r="M1974" s="1">
        <f>IF(AND(E1974=0,COUNTIFS($A$2:A1974,A1974,$E$2:E1974,0)=1),L1974,0)</f>
        <v>0</v>
      </c>
    </row>
    <row r="1975" spans="1:13" ht="15" customHeight="1">
      <c r="A1975" s="1">
        <v>7350</v>
      </c>
      <c r="B1975" s="1" t="s">
        <v>16</v>
      </c>
      <c r="C1975" s="2" t="s">
        <v>2286</v>
      </c>
      <c r="D1975" s="2" t="s">
        <v>2307</v>
      </c>
      <c r="E1975" s="1">
        <v>1</v>
      </c>
      <c r="F1975" s="2" t="s">
        <v>2310</v>
      </c>
      <c r="G1975" s="1">
        <v>3</v>
      </c>
      <c r="H1975" s="1" t="str">
        <f t="shared" si="31"/>
        <v>k7350_3</v>
      </c>
      <c r="K1975" s="1">
        <f>IF(E1975=0,SUMPRODUCT(($A$2:$A$4734=A1975)*($B$2:$B$4734=B1975)*($D$2:$D$4734=D1975)*($E$2:$E$4734=0)),0)</f>
        <v>0</v>
      </c>
      <c r="L1975" s="1" t="str">
        <f>IF(E1975=0,SUMPRODUCT(MIN($K$2:$K$4734+((($A$2:$A$4734&lt;&gt;A1975)+($E$2:$E$4734&lt;&gt;0))&gt;0)*1000000)),"")</f>
        <v/>
      </c>
      <c r="M1975" s="1">
        <f>IF(AND(E1975=0,COUNTIFS($A$2:A1975,A1975,$E$2:E1975,0)=1),L1975,0)</f>
        <v>0</v>
      </c>
    </row>
    <row r="1976" spans="1:13" ht="15" customHeight="1">
      <c r="A1976" s="1">
        <v>7350</v>
      </c>
      <c r="B1976" s="1" t="s">
        <v>16</v>
      </c>
      <c r="C1976" s="2" t="s">
        <v>2286</v>
      </c>
      <c r="D1976" s="2" t="s">
        <v>2307</v>
      </c>
      <c r="E1976" s="1">
        <v>1</v>
      </c>
      <c r="F1976" s="2" t="s">
        <v>2311</v>
      </c>
      <c r="G1976" s="1">
        <v>4</v>
      </c>
      <c r="H1976" s="1" t="str">
        <f t="shared" si="31"/>
        <v>k7350_4</v>
      </c>
      <c r="K1976" s="1">
        <f>IF(E1976=0,SUMPRODUCT(($A$2:$A$4734=A1976)*($B$2:$B$4734=B1976)*($D$2:$D$4734=D1976)*($E$2:$E$4734=0)),0)</f>
        <v>0</v>
      </c>
      <c r="L1976" s="1" t="str">
        <f>IF(E1976=0,SUMPRODUCT(MIN($K$2:$K$4734+((($A$2:$A$4734&lt;&gt;A1976)+($E$2:$E$4734&lt;&gt;0))&gt;0)*1000000)),"")</f>
        <v/>
      </c>
      <c r="M1976" s="1">
        <f>IF(AND(E1976=0,COUNTIFS($A$2:A1976,A1976,$E$2:E1976,0)=1),L1976,0)</f>
        <v>0</v>
      </c>
    </row>
    <row r="1977" spans="1:13" ht="15" customHeight="1">
      <c r="A1977" s="1">
        <v>7350</v>
      </c>
      <c r="B1977" s="1" t="s">
        <v>16</v>
      </c>
      <c r="C1977" s="2" t="s">
        <v>2286</v>
      </c>
      <c r="D1977" s="2" t="s">
        <v>2307</v>
      </c>
      <c r="E1977" s="1">
        <v>1</v>
      </c>
      <c r="F1977" s="2" t="s">
        <v>2312</v>
      </c>
      <c r="G1977" s="1">
        <v>5</v>
      </c>
      <c r="H1977" s="1" t="str">
        <f t="shared" si="31"/>
        <v>k7350_5</v>
      </c>
      <c r="K1977" s="1">
        <f>IF(E1977=0,SUMPRODUCT(($A$2:$A$4734=A1977)*($B$2:$B$4734=B1977)*($D$2:$D$4734=D1977)*($E$2:$E$4734=0)),0)</f>
        <v>0</v>
      </c>
      <c r="L1977" s="1" t="str">
        <f>IF(E1977=0,SUMPRODUCT(MIN($K$2:$K$4734+((($A$2:$A$4734&lt;&gt;A1977)+($E$2:$E$4734&lt;&gt;0))&gt;0)*1000000)),"")</f>
        <v/>
      </c>
      <c r="M1977" s="1">
        <f>IF(AND(E1977=0,COUNTIFS($A$2:A1977,A1977,$E$2:E1977,0)=1),L1977,0)</f>
        <v>0</v>
      </c>
    </row>
    <row r="1978" spans="1:13" ht="15" customHeight="1">
      <c r="A1978" s="1">
        <v>7350</v>
      </c>
      <c r="B1978" s="1" t="s">
        <v>69</v>
      </c>
      <c r="C1978" s="2" t="s">
        <v>2286</v>
      </c>
      <c r="D1978" s="2" t="s">
        <v>2313</v>
      </c>
      <c r="E1978" s="1">
        <v>1</v>
      </c>
      <c r="F1978" s="2" t="s">
        <v>2314</v>
      </c>
      <c r="G1978" s="1">
        <v>1</v>
      </c>
      <c r="H1978" s="1" t="str">
        <f t="shared" si="31"/>
        <v>k7350_1</v>
      </c>
      <c r="K1978" s="1">
        <f>IF(E1978=0,SUMPRODUCT(($A$2:$A$4734=A1978)*($B$2:$B$4734=B1978)*($D$2:$D$4734=D1978)*($E$2:$E$4734=0)),0)</f>
        <v>0</v>
      </c>
      <c r="L1978" s="1" t="str">
        <f>IF(E1978=0,SUMPRODUCT(MIN($K$2:$K$4734+((($A$2:$A$4734&lt;&gt;A1978)+($E$2:$E$4734&lt;&gt;0))&gt;0)*1000000)),"")</f>
        <v/>
      </c>
      <c r="M1978" s="1">
        <f>IF(AND(E1978=0,COUNTIFS($A$2:A1978,A1978,$E$2:E1978,0)=1),L1978,0)</f>
        <v>0</v>
      </c>
    </row>
    <row r="1979" spans="1:13" ht="15" customHeight="1">
      <c r="A1979" s="1">
        <v>7350</v>
      </c>
      <c r="B1979" s="1" t="s">
        <v>69</v>
      </c>
      <c r="C1979" s="2" t="s">
        <v>2286</v>
      </c>
      <c r="D1979" s="2" t="s">
        <v>2313</v>
      </c>
      <c r="E1979" s="1">
        <v>1</v>
      </c>
      <c r="F1979" s="2" t="s">
        <v>2314</v>
      </c>
      <c r="G1979" s="1">
        <v>2</v>
      </c>
      <c r="H1979" s="1" t="str">
        <f t="shared" si="31"/>
        <v>k7350_2</v>
      </c>
      <c r="K1979" s="1">
        <f>IF(E1979=0,SUMPRODUCT(($A$2:$A$4734=A1979)*($B$2:$B$4734=B1979)*($D$2:$D$4734=D1979)*($E$2:$E$4734=0)),0)</f>
        <v>0</v>
      </c>
      <c r="L1979" s="1" t="str">
        <f>IF(E1979=0,SUMPRODUCT(MIN($K$2:$K$4734+((($A$2:$A$4734&lt;&gt;A1979)+($E$2:$E$4734&lt;&gt;0))&gt;0)*1000000)),"")</f>
        <v/>
      </c>
      <c r="M1979" s="1">
        <f>IF(AND(E1979=0,COUNTIFS($A$2:A1979,A1979,$E$2:E1979,0)=1),L1979,0)</f>
        <v>0</v>
      </c>
    </row>
    <row r="1980" spans="1:13" ht="15" customHeight="1">
      <c r="A1980" s="1">
        <v>7350</v>
      </c>
      <c r="B1980" s="1" t="s">
        <v>69</v>
      </c>
      <c r="C1980" s="2" t="s">
        <v>2286</v>
      </c>
      <c r="D1980" s="2" t="s">
        <v>2313</v>
      </c>
      <c r="E1980" s="1">
        <v>1</v>
      </c>
      <c r="F1980" s="2" t="s">
        <v>2314</v>
      </c>
      <c r="G1980" s="1">
        <v>3</v>
      </c>
      <c r="H1980" s="1" t="str">
        <f t="shared" si="31"/>
        <v>k7350_3</v>
      </c>
      <c r="K1980" s="1">
        <f>IF(E1980=0,SUMPRODUCT(($A$2:$A$4734=A1980)*($B$2:$B$4734=B1980)*($D$2:$D$4734=D1980)*($E$2:$E$4734=0)),0)</f>
        <v>0</v>
      </c>
      <c r="L1980" s="1" t="str">
        <f>IF(E1980=0,SUMPRODUCT(MIN($K$2:$K$4734+((($A$2:$A$4734&lt;&gt;A1980)+($E$2:$E$4734&lt;&gt;0))&gt;0)*1000000)),"")</f>
        <v/>
      </c>
      <c r="M1980" s="1">
        <f>IF(AND(E1980=0,COUNTIFS($A$2:A1980,A1980,$E$2:E1980,0)=1),L1980,0)</f>
        <v>0</v>
      </c>
    </row>
    <row r="1981" spans="1:13" ht="15" customHeight="1">
      <c r="A1981" s="1">
        <v>7350</v>
      </c>
      <c r="B1981" s="1" t="s">
        <v>69</v>
      </c>
      <c r="C1981" s="2" t="s">
        <v>2286</v>
      </c>
      <c r="D1981" s="2" t="s">
        <v>2313</v>
      </c>
      <c r="E1981" s="1">
        <v>1</v>
      </c>
      <c r="F1981" s="2" t="s">
        <v>2314</v>
      </c>
      <c r="G1981" s="1">
        <v>4</v>
      </c>
      <c r="H1981" s="1" t="str">
        <f t="shared" si="31"/>
        <v>k7350_4</v>
      </c>
      <c r="K1981" s="1">
        <f>IF(E1981=0,SUMPRODUCT(($A$2:$A$4734=A1981)*($B$2:$B$4734=B1981)*($D$2:$D$4734=D1981)*($E$2:$E$4734=0)),0)</f>
        <v>0</v>
      </c>
      <c r="L1981" s="1" t="str">
        <f>IF(E1981=0,SUMPRODUCT(MIN($K$2:$K$4734+((($A$2:$A$4734&lt;&gt;A1981)+($E$2:$E$4734&lt;&gt;0))&gt;0)*1000000)),"")</f>
        <v/>
      </c>
      <c r="M1981" s="1">
        <f>IF(AND(E1981=0,COUNTIFS($A$2:A1981,A1981,$E$2:E1981,0)=1),L1981,0)</f>
        <v>0</v>
      </c>
    </row>
    <row r="1982" spans="1:13" ht="15" customHeight="1">
      <c r="A1982" s="1">
        <v>7350</v>
      </c>
      <c r="B1982" s="1" t="s">
        <v>69</v>
      </c>
      <c r="C1982" s="2" t="s">
        <v>2286</v>
      </c>
      <c r="D1982" s="2" t="s">
        <v>2313</v>
      </c>
      <c r="E1982" s="1">
        <v>1</v>
      </c>
      <c r="F1982" s="2" t="s">
        <v>2314</v>
      </c>
      <c r="G1982" s="1">
        <v>5</v>
      </c>
      <c r="H1982" s="1" t="str">
        <f t="shared" si="31"/>
        <v>k7350_5</v>
      </c>
      <c r="K1982" s="1">
        <f>IF(E1982=0,SUMPRODUCT(($A$2:$A$4734=A1982)*($B$2:$B$4734=B1982)*($D$2:$D$4734=D1982)*($E$2:$E$4734=0)),0)</f>
        <v>0</v>
      </c>
      <c r="L1982" s="1" t="str">
        <f>IF(E1982=0,SUMPRODUCT(MIN($K$2:$K$4734+((($A$2:$A$4734&lt;&gt;A1982)+($E$2:$E$4734&lt;&gt;0))&gt;0)*1000000)),"")</f>
        <v/>
      </c>
      <c r="M1982" s="1">
        <f>IF(AND(E1982=0,COUNTIFS($A$2:A1982,A1982,$E$2:E1982,0)=1),L1982,0)</f>
        <v>0</v>
      </c>
    </row>
    <row r="1983" spans="1:13" ht="15" customHeight="1">
      <c r="A1983" s="1">
        <v>1.3906940766186099E+18</v>
      </c>
      <c r="B1983" s="1" t="s">
        <v>9</v>
      </c>
      <c r="C1983" s="2" t="s">
        <v>2315</v>
      </c>
      <c r="D1983" s="2" t="s">
        <v>2316</v>
      </c>
      <c r="E1983" s="1">
        <v>0</v>
      </c>
      <c r="F1983" s="2" t="s">
        <v>2317</v>
      </c>
      <c r="H1983" s="1" t="str">
        <f t="shared" si="31"/>
        <v/>
      </c>
      <c r="K1983" s="1">
        <f>IF(E1983=0,SUMPRODUCT(($A$2:$A$4734=A1983)*($B$2:$B$4734=B1983)*($D$2:$D$4734=D1983)*($E$2:$E$4734=0)),0)</f>
        <v>3</v>
      </c>
      <c r="L1983" s="1">
        <f>IF(E1983=0,SUMPRODUCT(MIN($K$2:$K$4734+((($A$2:$A$4734&lt;&gt;A1983)+($E$2:$E$4734&lt;&gt;0))&gt;0)*1000000)),"")</f>
        <v>3</v>
      </c>
      <c r="M1983" s="1">
        <f>IF(AND(E1983=0,COUNTIFS($A$2:A1983,A1983,$E$2:E1983,0)=1),L1983,0)</f>
        <v>3</v>
      </c>
    </row>
    <row r="1984" spans="1:13" ht="15" customHeight="1">
      <c r="A1984" s="1">
        <v>1.3906940766186099E+18</v>
      </c>
      <c r="B1984" s="1" t="s">
        <v>9</v>
      </c>
      <c r="C1984" s="2" t="s">
        <v>2315</v>
      </c>
      <c r="D1984" s="2" t="s">
        <v>2316</v>
      </c>
      <c r="E1984" s="1">
        <v>0</v>
      </c>
      <c r="F1984" s="2" t="s">
        <v>2318</v>
      </c>
      <c r="H1984" s="1" t="str">
        <f t="shared" si="31"/>
        <v/>
      </c>
      <c r="K1984" s="1">
        <f>IF(E1984=0,SUMPRODUCT(($A$2:$A$4734=A1984)*($B$2:$B$4734=B1984)*($D$2:$D$4734=D1984)*($E$2:$E$4734=0)),0)</f>
        <v>3</v>
      </c>
      <c r="L1984" s="1">
        <f>IF(E1984=0,SUMPRODUCT(MIN($K$2:$K$4734+((($A$2:$A$4734&lt;&gt;A1984)+($E$2:$E$4734&lt;&gt;0))&gt;0)*1000000)),"")</f>
        <v>3</v>
      </c>
      <c r="M1984" s="1">
        <f>IF(AND(E1984=0,COUNTIFS($A$2:A1984,A1984,$E$2:E1984,0)=1),L1984,0)</f>
        <v>0</v>
      </c>
    </row>
    <row r="1985" spans="1:13" ht="15" customHeight="1">
      <c r="A1985" s="1">
        <v>1.3906940766186099E+18</v>
      </c>
      <c r="B1985" s="1" t="s">
        <v>9</v>
      </c>
      <c r="C1985" s="2" t="s">
        <v>2315</v>
      </c>
      <c r="D1985" s="2" t="s">
        <v>2316</v>
      </c>
      <c r="E1985" s="1">
        <v>0</v>
      </c>
      <c r="F1985" s="2" t="s">
        <v>2320</v>
      </c>
      <c r="H1985" s="1" t="str">
        <f t="shared" si="31"/>
        <v/>
      </c>
      <c r="K1985" s="1">
        <f>IF(E1985=0,SUMPRODUCT(($A$2:$A$4734=A1985)*($B$2:$B$4734=B1985)*($D$2:$D$4734=D1985)*($E$2:$E$4734=0)),0)</f>
        <v>3</v>
      </c>
      <c r="L1985" s="1">
        <f>IF(E1985=0,SUMPRODUCT(MIN($K$2:$K$4734+((($A$2:$A$4734&lt;&gt;A1985)+($E$2:$E$4734&lt;&gt;0))&gt;0)*1000000)),"")</f>
        <v>3</v>
      </c>
      <c r="M1985" s="1">
        <f>IF(AND(E1985=0,COUNTIFS($A$2:A1985,A1985,$E$2:E1985,0)=1),L1985,0)</f>
        <v>0</v>
      </c>
    </row>
    <row r="1986" spans="1:13" ht="15" customHeight="1">
      <c r="A1986" s="1">
        <v>1</v>
      </c>
      <c r="B1986" s="1" t="s">
        <v>95</v>
      </c>
      <c r="C1986" s="2" t="s">
        <v>2321</v>
      </c>
      <c r="D1986" s="2" t="s">
        <v>2322</v>
      </c>
      <c r="E1986" s="1">
        <v>1</v>
      </c>
      <c r="F1986" s="2" t="s">
        <v>2323</v>
      </c>
      <c r="G1986" s="1">
        <v>1</v>
      </c>
      <c r="H1986" s="1" t="str">
        <f t="shared" si="31"/>
        <v>k1_1</v>
      </c>
      <c r="K1986" s="1">
        <f>IF(E1986=0,SUMPRODUCT(($A$2:$A$4734=A1986)*($B$2:$B$4734=B1986)*($D$2:$D$4734=D1986)*($E$2:$E$4734=0)),0)</f>
        <v>0</v>
      </c>
      <c r="L1986" s="1" t="str">
        <f>IF(E1986=0,SUMPRODUCT(MIN($K$2:$K$4734+((($A$2:$A$4734&lt;&gt;A1986)+($E$2:$E$4734&lt;&gt;0))&gt;0)*1000000)),"")</f>
        <v/>
      </c>
      <c r="M1986" s="1">
        <f>IF(AND(E1986=0,COUNTIFS($A$2:A1986,A1986,$E$2:E1986,0)=1),L1986,0)</f>
        <v>0</v>
      </c>
    </row>
    <row r="1987" spans="1:13" ht="15" customHeight="1">
      <c r="A1987" s="1">
        <v>1</v>
      </c>
      <c r="B1987" s="1" t="s">
        <v>95</v>
      </c>
      <c r="C1987" s="2" t="s">
        <v>2321</v>
      </c>
      <c r="D1987" s="2" t="s">
        <v>2322</v>
      </c>
      <c r="E1987" s="1">
        <v>1</v>
      </c>
      <c r="F1987" s="2" t="s">
        <v>2324</v>
      </c>
      <c r="G1987" s="1">
        <v>2</v>
      </c>
      <c r="H1987" s="1" t="str">
        <f t="shared" si="31"/>
        <v>k1_2</v>
      </c>
      <c r="K1987" s="1">
        <f>IF(E1987=0,SUMPRODUCT(($A$2:$A$4734=A1987)*($B$2:$B$4734=B1987)*($D$2:$D$4734=D1987)*($E$2:$E$4734=0)),0)</f>
        <v>0</v>
      </c>
      <c r="L1987" s="1" t="str">
        <f>IF(E1987=0,SUMPRODUCT(MIN($K$2:$K$4734+((($A$2:$A$4734&lt;&gt;A1987)+($E$2:$E$4734&lt;&gt;0))&gt;0)*1000000)),"")</f>
        <v/>
      </c>
      <c r="M1987" s="1">
        <f>IF(AND(E1987=0,COUNTIFS($A$2:A1987,A1987,$E$2:E1987,0)=1),L1987,0)</f>
        <v>0</v>
      </c>
    </row>
    <row r="1988" spans="1:13" ht="15" customHeight="1">
      <c r="A1988" s="1">
        <v>1</v>
      </c>
      <c r="B1988" s="1" t="s">
        <v>95</v>
      </c>
      <c r="C1988" s="2" t="s">
        <v>2321</v>
      </c>
      <c r="D1988" s="2" t="s">
        <v>2322</v>
      </c>
      <c r="E1988" s="1">
        <v>1</v>
      </c>
      <c r="F1988" s="2" t="s">
        <v>2325</v>
      </c>
      <c r="G1988" s="1">
        <v>3</v>
      </c>
      <c r="H1988" s="1" t="str">
        <f t="shared" si="31"/>
        <v>k1_3</v>
      </c>
      <c r="K1988" s="1">
        <f>IF(E1988=0,SUMPRODUCT(($A$2:$A$4734=A1988)*($B$2:$B$4734=B1988)*($D$2:$D$4734=D1988)*($E$2:$E$4734=0)),0)</f>
        <v>0</v>
      </c>
      <c r="L1988" s="1" t="str">
        <f>IF(E1988=0,SUMPRODUCT(MIN($K$2:$K$4734+((($A$2:$A$4734&lt;&gt;A1988)+($E$2:$E$4734&lt;&gt;0))&gt;0)*1000000)),"")</f>
        <v/>
      </c>
      <c r="M1988" s="1">
        <f>IF(AND(E1988=0,COUNTIFS($A$2:A1988,A1988,$E$2:E1988,0)=1),L1988,0)</f>
        <v>0</v>
      </c>
    </row>
    <row r="1989" spans="1:13" ht="15" customHeight="1">
      <c r="A1989" s="1">
        <v>1</v>
      </c>
      <c r="B1989" s="1" t="s">
        <v>95</v>
      </c>
      <c r="C1989" s="2" t="s">
        <v>2321</v>
      </c>
      <c r="D1989" s="2" t="s">
        <v>2322</v>
      </c>
      <c r="E1989" s="1">
        <v>1</v>
      </c>
      <c r="F1989" s="2" t="s">
        <v>2326</v>
      </c>
      <c r="G1989" s="1">
        <v>4</v>
      </c>
      <c r="H1989" s="1" t="str">
        <f t="shared" si="31"/>
        <v>k1_4</v>
      </c>
      <c r="K1989" s="1">
        <f>IF(E1989=0,SUMPRODUCT(($A$2:$A$4734=A1989)*($B$2:$B$4734=B1989)*($D$2:$D$4734=D1989)*($E$2:$E$4734=0)),0)</f>
        <v>0</v>
      </c>
      <c r="L1989" s="1" t="str">
        <f>IF(E1989=0,SUMPRODUCT(MIN($K$2:$K$4734+((($A$2:$A$4734&lt;&gt;A1989)+($E$2:$E$4734&lt;&gt;0))&gt;0)*1000000)),"")</f>
        <v/>
      </c>
      <c r="M1989" s="1">
        <f>IF(AND(E1989=0,COUNTIFS($A$2:A1989,A1989,$E$2:E1989,0)=1),L1989,0)</f>
        <v>0</v>
      </c>
    </row>
    <row r="1990" spans="1:13" ht="15" customHeight="1">
      <c r="A1990" s="1">
        <v>1</v>
      </c>
      <c r="B1990" s="1" t="s">
        <v>69</v>
      </c>
      <c r="C1990" s="2" t="s">
        <v>2321</v>
      </c>
      <c r="D1990" s="2" t="s">
        <v>2327</v>
      </c>
      <c r="E1990" s="1">
        <v>1</v>
      </c>
      <c r="F1990" s="2" t="s">
        <v>2328</v>
      </c>
      <c r="G1990" s="1">
        <v>1</v>
      </c>
      <c r="H1990" s="1" t="str">
        <f t="shared" si="31"/>
        <v>k1_1</v>
      </c>
      <c r="K1990" s="1">
        <f>IF(E1990=0,SUMPRODUCT(($A$2:$A$4734=A1990)*($B$2:$B$4734=B1990)*($D$2:$D$4734=D1990)*($E$2:$E$4734=0)),0)</f>
        <v>0</v>
      </c>
      <c r="L1990" s="1" t="str">
        <f>IF(E1990=0,SUMPRODUCT(MIN($K$2:$K$4734+((($A$2:$A$4734&lt;&gt;A1990)+($E$2:$E$4734&lt;&gt;0))&gt;0)*1000000)),"")</f>
        <v/>
      </c>
      <c r="M1990" s="1">
        <f>IF(AND(E1990=0,COUNTIFS($A$2:A1990,A1990,$E$2:E1990,0)=1),L1990,0)</f>
        <v>0</v>
      </c>
    </row>
    <row r="1991" spans="1:13" ht="15" customHeight="1">
      <c r="A1991" s="1">
        <v>1</v>
      </c>
      <c r="B1991" s="1" t="s">
        <v>69</v>
      </c>
      <c r="C1991" s="2" t="s">
        <v>2321</v>
      </c>
      <c r="D1991" s="2" t="s">
        <v>2327</v>
      </c>
      <c r="E1991" s="1">
        <v>1</v>
      </c>
      <c r="F1991" s="2" t="s">
        <v>2329</v>
      </c>
      <c r="G1991" s="1">
        <v>2</v>
      </c>
      <c r="H1991" s="1" t="str">
        <f t="shared" si="31"/>
        <v>k1_2</v>
      </c>
      <c r="K1991" s="1">
        <f>IF(E1991=0,SUMPRODUCT(($A$2:$A$4734=A1991)*($B$2:$B$4734=B1991)*($D$2:$D$4734=D1991)*($E$2:$E$4734=0)),0)</f>
        <v>0</v>
      </c>
      <c r="L1991" s="1" t="str">
        <f>IF(E1991=0,SUMPRODUCT(MIN($K$2:$K$4734+((($A$2:$A$4734&lt;&gt;A1991)+($E$2:$E$4734&lt;&gt;0))&gt;0)*1000000)),"")</f>
        <v/>
      </c>
      <c r="M1991" s="1">
        <f>IF(AND(E1991=0,COUNTIFS($A$2:A1991,A1991,$E$2:E1991,0)=1),L1991,0)</f>
        <v>0</v>
      </c>
    </row>
    <row r="1992" spans="1:13" ht="15" customHeight="1">
      <c r="A1992" s="1">
        <v>1</v>
      </c>
      <c r="B1992" s="1" t="s">
        <v>69</v>
      </c>
      <c r="C1992" s="2" t="s">
        <v>2321</v>
      </c>
      <c r="D1992" s="2" t="s">
        <v>2327</v>
      </c>
      <c r="E1992" s="1">
        <v>1</v>
      </c>
      <c r="F1992" s="2" t="s">
        <v>2330</v>
      </c>
      <c r="G1992" s="1">
        <v>3</v>
      </c>
      <c r="H1992" s="1" t="str">
        <f t="shared" si="31"/>
        <v>k1_3</v>
      </c>
      <c r="K1992" s="1">
        <f>IF(E1992=0,SUMPRODUCT(($A$2:$A$4734=A1992)*($B$2:$B$4734=B1992)*($D$2:$D$4734=D1992)*($E$2:$E$4734=0)),0)</f>
        <v>0</v>
      </c>
      <c r="L1992" s="1" t="str">
        <f>IF(E1992=0,SUMPRODUCT(MIN($K$2:$K$4734+((($A$2:$A$4734&lt;&gt;A1992)+($E$2:$E$4734&lt;&gt;0))&gt;0)*1000000)),"")</f>
        <v/>
      </c>
      <c r="M1992" s="1">
        <f>IF(AND(E1992=0,COUNTIFS($A$2:A1992,A1992,$E$2:E1992,0)=1),L1992,0)</f>
        <v>0</v>
      </c>
    </row>
    <row r="1993" spans="1:13" ht="15" customHeight="1">
      <c r="A1993" s="1">
        <v>1</v>
      </c>
      <c r="B1993" s="1" t="s">
        <v>69</v>
      </c>
      <c r="C1993" s="2" t="s">
        <v>2321</v>
      </c>
      <c r="D1993" s="2" t="s">
        <v>2327</v>
      </c>
      <c r="E1993" s="1">
        <v>1</v>
      </c>
      <c r="F1993" s="2" t="s">
        <v>2331</v>
      </c>
      <c r="G1993" s="1">
        <v>4</v>
      </c>
      <c r="H1993" s="1" t="str">
        <f t="shared" si="31"/>
        <v>k1_4</v>
      </c>
      <c r="K1993" s="1">
        <f>IF(E1993=0,SUMPRODUCT(($A$2:$A$4734=A1993)*($B$2:$B$4734=B1993)*($D$2:$D$4734=D1993)*($E$2:$E$4734=0)),0)</f>
        <v>0</v>
      </c>
      <c r="L1993" s="1" t="str">
        <f>IF(E1993=0,SUMPRODUCT(MIN($K$2:$K$4734+((($A$2:$A$4734&lt;&gt;A1993)+($E$2:$E$4734&lt;&gt;0))&gt;0)*1000000)),"")</f>
        <v/>
      </c>
      <c r="M1993" s="1">
        <f>IF(AND(E1993=0,COUNTIFS($A$2:A1993,A1993,$E$2:E1993,0)=1),L1993,0)</f>
        <v>0</v>
      </c>
    </row>
    <row r="1994" spans="1:13" ht="15" customHeight="1">
      <c r="A1994" s="1">
        <v>2</v>
      </c>
      <c r="B1994" s="1" t="s">
        <v>9</v>
      </c>
      <c r="C1994" s="1" t="s">
        <v>2332</v>
      </c>
      <c r="D1994" s="2" t="s">
        <v>2333</v>
      </c>
      <c r="E1994" s="1">
        <v>1</v>
      </c>
      <c r="F1994" s="2" t="s">
        <v>2334</v>
      </c>
      <c r="G1994" s="1">
        <v>1</v>
      </c>
      <c r="H1994" s="1" t="str">
        <f t="shared" si="31"/>
        <v>k2_1</v>
      </c>
      <c r="K1994" s="1">
        <f>IF(E1994=0,SUMPRODUCT(($A$2:$A$4734=A1994)*($B$2:$B$4734=B1994)*($D$2:$D$4734=D1994)*($E$2:$E$4734=0)),0)</f>
        <v>0</v>
      </c>
      <c r="L1994" s="1" t="str">
        <f>IF(E1994=0,SUMPRODUCT(MIN($K$2:$K$4734+((($A$2:$A$4734&lt;&gt;A1994)+($E$2:$E$4734&lt;&gt;0))&gt;0)*1000000)),"")</f>
        <v/>
      </c>
      <c r="M1994" s="1">
        <f>IF(AND(E1994=0,COUNTIFS($A$2:A1994,A1994,$E$2:E1994,0)=1),L1994,0)</f>
        <v>0</v>
      </c>
    </row>
    <row r="1995" spans="1:13" ht="15" customHeight="1">
      <c r="A1995" s="1">
        <v>2</v>
      </c>
      <c r="B1995" s="1" t="s">
        <v>9</v>
      </c>
      <c r="C1995" s="1" t="s">
        <v>2332</v>
      </c>
      <c r="D1995" s="2" t="s">
        <v>2333</v>
      </c>
      <c r="E1995" s="1">
        <v>1</v>
      </c>
      <c r="F1995" s="2" t="s">
        <v>2335</v>
      </c>
      <c r="G1995" s="1">
        <v>2</v>
      </c>
      <c r="H1995" s="1" t="str">
        <f t="shared" si="31"/>
        <v>k2_2</v>
      </c>
      <c r="K1995" s="1">
        <f>IF(E1995=0,SUMPRODUCT(($A$2:$A$4734=A1995)*($B$2:$B$4734=B1995)*($D$2:$D$4734=D1995)*($E$2:$E$4734=0)),0)</f>
        <v>0</v>
      </c>
      <c r="L1995" s="1" t="str">
        <f>IF(E1995=0,SUMPRODUCT(MIN($K$2:$K$4734+((($A$2:$A$4734&lt;&gt;A1995)+($E$2:$E$4734&lt;&gt;0))&gt;0)*1000000)),"")</f>
        <v/>
      </c>
      <c r="M1995" s="1">
        <f>IF(AND(E1995=0,COUNTIFS($A$2:A1995,A1995,$E$2:E1995,0)=1),L1995,0)</f>
        <v>0</v>
      </c>
    </row>
    <row r="1996" spans="1:13" ht="15" customHeight="1">
      <c r="A1996" s="1">
        <v>2</v>
      </c>
      <c r="B1996" s="1" t="s">
        <v>9</v>
      </c>
      <c r="C1996" s="1" t="s">
        <v>2332</v>
      </c>
      <c r="D1996" s="2" t="s">
        <v>2333</v>
      </c>
      <c r="E1996" s="1">
        <v>1</v>
      </c>
      <c r="F1996" s="2" t="s">
        <v>2335</v>
      </c>
      <c r="G1996" s="1">
        <v>5</v>
      </c>
      <c r="H1996" s="1" t="str">
        <f t="shared" si="31"/>
        <v>k2_5</v>
      </c>
      <c r="K1996" s="1">
        <f>IF(E1996=0,SUMPRODUCT(($A$2:$A$4734=A1996)*($B$2:$B$4734=B1996)*($D$2:$D$4734=D1996)*($E$2:$E$4734=0)),0)</f>
        <v>0</v>
      </c>
      <c r="L1996" s="1" t="str">
        <f>IF(E1996=0,SUMPRODUCT(MIN($K$2:$K$4734+((($A$2:$A$4734&lt;&gt;A1996)+($E$2:$E$4734&lt;&gt;0))&gt;0)*1000000)),"")</f>
        <v/>
      </c>
      <c r="M1996" s="1">
        <f>IF(AND(E1996=0,COUNTIFS($A$2:A1996,A1996,$E$2:E1996,0)=1),L1996,0)</f>
        <v>0</v>
      </c>
    </row>
    <row r="1997" spans="1:13" ht="15" customHeight="1">
      <c r="A1997" s="1">
        <v>2</v>
      </c>
      <c r="B1997" s="1" t="s">
        <v>9</v>
      </c>
      <c r="C1997" s="1" t="s">
        <v>2332</v>
      </c>
      <c r="D1997" s="2" t="s">
        <v>2333</v>
      </c>
      <c r="E1997" s="1">
        <v>1</v>
      </c>
      <c r="F1997" s="2" t="s">
        <v>2336</v>
      </c>
      <c r="G1997" s="1">
        <v>3</v>
      </c>
      <c r="H1997" s="1" t="str">
        <f t="shared" si="31"/>
        <v>k2_3</v>
      </c>
      <c r="K1997" s="1">
        <f>IF(E1997=0,SUMPRODUCT(($A$2:$A$4734=A1997)*($B$2:$B$4734=B1997)*($D$2:$D$4734=D1997)*($E$2:$E$4734=0)),0)</f>
        <v>0</v>
      </c>
      <c r="L1997" s="1" t="str">
        <f>IF(E1997=0,SUMPRODUCT(MIN($K$2:$K$4734+((($A$2:$A$4734&lt;&gt;A1997)+($E$2:$E$4734&lt;&gt;0))&gt;0)*1000000)),"")</f>
        <v/>
      </c>
      <c r="M1997" s="1">
        <f>IF(AND(E1997=0,COUNTIFS($A$2:A1997,A1997,$E$2:E1997,0)=1),L1997,0)</f>
        <v>0</v>
      </c>
    </row>
    <row r="1998" spans="1:13" ht="15" customHeight="1">
      <c r="A1998" s="1">
        <v>2</v>
      </c>
      <c r="B1998" s="1" t="s">
        <v>9</v>
      </c>
      <c r="C1998" s="1" t="s">
        <v>2332</v>
      </c>
      <c r="D1998" s="2" t="s">
        <v>2333</v>
      </c>
      <c r="E1998" s="1">
        <v>1</v>
      </c>
      <c r="F1998" s="2" t="s">
        <v>2337</v>
      </c>
      <c r="G1998" s="1">
        <v>4</v>
      </c>
      <c r="H1998" s="1" t="str">
        <f t="shared" si="31"/>
        <v>k2_4</v>
      </c>
      <c r="K1998" s="1">
        <f>IF(E1998=0,SUMPRODUCT(($A$2:$A$4734=A1998)*($B$2:$B$4734=B1998)*($D$2:$D$4734=D1998)*($E$2:$E$4734=0)),0)</f>
        <v>0</v>
      </c>
      <c r="L1998" s="1" t="str">
        <f>IF(E1998=0,SUMPRODUCT(MIN($K$2:$K$4734+((($A$2:$A$4734&lt;&gt;A1998)+($E$2:$E$4734&lt;&gt;0))&gt;0)*1000000)),"")</f>
        <v/>
      </c>
      <c r="M1998" s="1">
        <f>IF(AND(E1998=0,COUNTIFS($A$2:A1998,A1998,$E$2:E1998,0)=1),L1998,0)</f>
        <v>0</v>
      </c>
    </row>
    <row r="1999" spans="1:13" ht="15" customHeight="1">
      <c r="A1999" s="1">
        <v>2</v>
      </c>
      <c r="B1999" s="1" t="s">
        <v>144</v>
      </c>
      <c r="C1999" s="1" t="s">
        <v>2332</v>
      </c>
      <c r="D1999" s="2" t="s">
        <v>2338</v>
      </c>
      <c r="E1999" s="1">
        <v>1</v>
      </c>
      <c r="F1999" s="2" t="s">
        <v>2339</v>
      </c>
      <c r="G1999" s="1">
        <v>1</v>
      </c>
      <c r="H1999" s="1" t="str">
        <f t="shared" si="31"/>
        <v>k2_1</v>
      </c>
      <c r="K1999" s="1">
        <f>IF(E1999=0,SUMPRODUCT(($A$2:$A$4734=A1999)*($B$2:$B$4734=B1999)*($D$2:$D$4734=D1999)*($E$2:$E$4734=0)),0)</f>
        <v>0</v>
      </c>
      <c r="L1999" s="1" t="str">
        <f>IF(E1999=0,SUMPRODUCT(MIN($K$2:$K$4734+((($A$2:$A$4734&lt;&gt;A1999)+($E$2:$E$4734&lt;&gt;0))&gt;0)*1000000)),"")</f>
        <v/>
      </c>
      <c r="M1999" s="1">
        <f>IF(AND(E1999=0,COUNTIFS($A$2:A1999,A1999,$E$2:E1999,0)=1),L1999,0)</f>
        <v>0</v>
      </c>
    </row>
    <row r="2000" spans="1:13" ht="15" customHeight="1">
      <c r="A2000" s="1">
        <v>2</v>
      </c>
      <c r="B2000" s="1" t="s">
        <v>144</v>
      </c>
      <c r="C2000" s="1" t="s">
        <v>2332</v>
      </c>
      <c r="D2000" s="2" t="s">
        <v>2338</v>
      </c>
      <c r="E2000" s="1">
        <v>1</v>
      </c>
      <c r="F2000" s="2" t="s">
        <v>2340</v>
      </c>
      <c r="G2000" s="1">
        <v>2</v>
      </c>
      <c r="H2000" s="1" t="str">
        <f t="shared" si="31"/>
        <v>k2_2</v>
      </c>
      <c r="K2000" s="1">
        <f>IF(E2000=0,SUMPRODUCT(($A$2:$A$4734=A2000)*($B$2:$B$4734=B2000)*($D$2:$D$4734=D2000)*($E$2:$E$4734=0)),0)</f>
        <v>0</v>
      </c>
      <c r="L2000" s="1" t="str">
        <f>IF(E2000=0,SUMPRODUCT(MIN($K$2:$K$4734+((($A$2:$A$4734&lt;&gt;A2000)+($E$2:$E$4734&lt;&gt;0))&gt;0)*1000000)),"")</f>
        <v/>
      </c>
      <c r="M2000" s="1">
        <f>IF(AND(E2000=0,COUNTIFS($A$2:A2000,A2000,$E$2:E2000,0)=1),L2000,0)</f>
        <v>0</v>
      </c>
    </row>
    <row r="2001" spans="1:13" ht="15" customHeight="1">
      <c r="A2001" s="1">
        <v>2</v>
      </c>
      <c r="B2001" s="1" t="s">
        <v>144</v>
      </c>
      <c r="C2001" s="1" t="s">
        <v>2332</v>
      </c>
      <c r="D2001" s="2" t="s">
        <v>2338</v>
      </c>
      <c r="E2001" s="1">
        <v>1</v>
      </c>
      <c r="F2001" s="2" t="s">
        <v>2341</v>
      </c>
      <c r="G2001" s="1">
        <v>3</v>
      </c>
      <c r="H2001" s="1" t="str">
        <f t="shared" si="31"/>
        <v>k2_3</v>
      </c>
      <c r="K2001" s="1">
        <f>IF(E2001=0,SUMPRODUCT(($A$2:$A$4734=A2001)*($B$2:$B$4734=B2001)*($D$2:$D$4734=D2001)*($E$2:$E$4734=0)),0)</f>
        <v>0</v>
      </c>
      <c r="L2001" s="1" t="str">
        <f>IF(E2001=0,SUMPRODUCT(MIN($K$2:$K$4734+((($A$2:$A$4734&lt;&gt;A2001)+($E$2:$E$4734&lt;&gt;0))&gt;0)*1000000)),"")</f>
        <v/>
      </c>
      <c r="M2001" s="1">
        <f>IF(AND(E2001=0,COUNTIFS($A$2:A2001,A2001,$E$2:E2001,0)=1),L2001,0)</f>
        <v>0</v>
      </c>
    </row>
    <row r="2002" spans="1:13" ht="15" customHeight="1">
      <c r="A2002" s="1">
        <v>2</v>
      </c>
      <c r="B2002" s="1" t="s">
        <v>144</v>
      </c>
      <c r="C2002" s="1" t="s">
        <v>2332</v>
      </c>
      <c r="D2002" s="2" t="s">
        <v>2338</v>
      </c>
      <c r="E2002" s="1">
        <v>1</v>
      </c>
      <c r="F2002" s="2" t="s">
        <v>2342</v>
      </c>
      <c r="G2002" s="1">
        <v>5</v>
      </c>
      <c r="H2002" s="1" t="str">
        <f t="shared" si="31"/>
        <v>k2_5</v>
      </c>
      <c r="K2002" s="1">
        <f>IF(E2002=0,SUMPRODUCT(($A$2:$A$4734=A2002)*($B$2:$B$4734=B2002)*($D$2:$D$4734=D2002)*($E$2:$E$4734=0)),0)</f>
        <v>0</v>
      </c>
      <c r="L2002" s="1" t="str">
        <f>IF(E2002=0,SUMPRODUCT(MIN($K$2:$K$4734+((($A$2:$A$4734&lt;&gt;A2002)+($E$2:$E$4734&lt;&gt;0))&gt;0)*1000000)),"")</f>
        <v/>
      </c>
      <c r="M2002" s="1">
        <f>IF(AND(E2002=0,COUNTIFS($A$2:A2002,A2002,$E$2:E2002,0)=1),L2002,0)</f>
        <v>0</v>
      </c>
    </row>
    <row r="2003" spans="1:13" ht="15" customHeight="1">
      <c r="A2003" s="1">
        <v>2</v>
      </c>
      <c r="B2003" s="1" t="s">
        <v>144</v>
      </c>
      <c r="C2003" s="1" t="s">
        <v>2332</v>
      </c>
      <c r="D2003" s="2" t="s">
        <v>2338</v>
      </c>
      <c r="E2003" s="1">
        <v>1</v>
      </c>
      <c r="F2003" s="2" t="s">
        <v>2343</v>
      </c>
      <c r="G2003" s="1">
        <v>4</v>
      </c>
      <c r="H2003" s="1" t="str">
        <f t="shared" si="31"/>
        <v>k2_4</v>
      </c>
      <c r="K2003" s="1">
        <f>IF(E2003=0,SUMPRODUCT(($A$2:$A$4734=A2003)*($B$2:$B$4734=B2003)*($D$2:$D$4734=D2003)*($E$2:$E$4734=0)),0)</f>
        <v>0</v>
      </c>
      <c r="L2003" s="1" t="str">
        <f>IF(E2003=0,SUMPRODUCT(MIN($K$2:$K$4734+((($A$2:$A$4734&lt;&gt;A2003)+($E$2:$E$4734&lt;&gt;0))&gt;0)*1000000)),"")</f>
        <v/>
      </c>
      <c r="M2003" s="1">
        <f>IF(AND(E2003=0,COUNTIFS($A$2:A2003,A2003,$E$2:E2003,0)=1),L2003,0)</f>
        <v>0</v>
      </c>
    </row>
    <row r="2004" spans="1:13" ht="15" customHeight="1">
      <c r="A2004" s="1">
        <v>2</v>
      </c>
      <c r="B2004" s="1" t="s">
        <v>16</v>
      </c>
      <c r="C2004" s="1" t="s">
        <v>2332</v>
      </c>
      <c r="D2004" s="2" t="s">
        <v>2344</v>
      </c>
      <c r="E2004" s="1">
        <v>1</v>
      </c>
      <c r="F2004" s="2" t="s">
        <v>2345</v>
      </c>
      <c r="G2004" s="1">
        <v>1</v>
      </c>
      <c r="H2004" s="1" t="str">
        <f t="shared" si="31"/>
        <v>k2_1</v>
      </c>
      <c r="K2004" s="1">
        <f>IF(E2004=0,SUMPRODUCT(($A$2:$A$4734=A2004)*($B$2:$B$4734=B2004)*($D$2:$D$4734=D2004)*($E$2:$E$4734=0)),0)</f>
        <v>0</v>
      </c>
      <c r="L2004" s="1" t="str">
        <f>IF(E2004=0,SUMPRODUCT(MIN($K$2:$K$4734+((($A$2:$A$4734&lt;&gt;A2004)+($E$2:$E$4734&lt;&gt;0))&gt;0)*1000000)),"")</f>
        <v/>
      </c>
      <c r="M2004" s="1">
        <f>IF(AND(E2004=0,COUNTIFS($A$2:A2004,A2004,$E$2:E2004,0)=1),L2004,0)</f>
        <v>0</v>
      </c>
    </row>
    <row r="2005" spans="1:13" ht="15" customHeight="1">
      <c r="A2005" s="1">
        <v>2</v>
      </c>
      <c r="B2005" s="1" t="s">
        <v>16</v>
      </c>
      <c r="C2005" s="1" t="s">
        <v>2332</v>
      </c>
      <c r="D2005" s="2" t="s">
        <v>2344</v>
      </c>
      <c r="E2005" s="1">
        <v>1</v>
      </c>
      <c r="F2005" s="2" t="s">
        <v>2346</v>
      </c>
      <c r="G2005" s="1">
        <v>2</v>
      </c>
      <c r="H2005" s="1" t="str">
        <f t="shared" si="31"/>
        <v>k2_2</v>
      </c>
      <c r="K2005" s="1">
        <f>IF(E2005=0,SUMPRODUCT(($A$2:$A$4734=A2005)*($B$2:$B$4734=B2005)*($D$2:$D$4734=D2005)*($E$2:$E$4734=0)),0)</f>
        <v>0</v>
      </c>
      <c r="L2005" s="1" t="str">
        <f>IF(E2005=0,SUMPRODUCT(MIN($K$2:$K$4734+((($A$2:$A$4734&lt;&gt;A2005)+($E$2:$E$4734&lt;&gt;0))&gt;0)*1000000)),"")</f>
        <v/>
      </c>
      <c r="M2005" s="1">
        <f>IF(AND(E2005=0,COUNTIFS($A$2:A2005,A2005,$E$2:E2005,0)=1),L2005,0)</f>
        <v>0</v>
      </c>
    </row>
    <row r="2006" spans="1:13" ht="15" customHeight="1">
      <c r="A2006" s="1">
        <v>2</v>
      </c>
      <c r="B2006" s="1" t="s">
        <v>16</v>
      </c>
      <c r="C2006" s="1" t="s">
        <v>2332</v>
      </c>
      <c r="D2006" s="2" t="s">
        <v>2344</v>
      </c>
      <c r="E2006" s="1">
        <v>1</v>
      </c>
      <c r="F2006" s="2" t="s">
        <v>2347</v>
      </c>
      <c r="G2006" s="1">
        <v>3</v>
      </c>
      <c r="H2006" s="1" t="str">
        <f t="shared" si="31"/>
        <v>k2_3</v>
      </c>
      <c r="K2006" s="1">
        <f>IF(E2006=0,SUMPRODUCT(($A$2:$A$4734=A2006)*($B$2:$B$4734=B2006)*($D$2:$D$4734=D2006)*($E$2:$E$4734=0)),0)</f>
        <v>0</v>
      </c>
      <c r="L2006" s="1" t="str">
        <f>IF(E2006=0,SUMPRODUCT(MIN($K$2:$K$4734+((($A$2:$A$4734&lt;&gt;A2006)+($E$2:$E$4734&lt;&gt;0))&gt;0)*1000000)),"")</f>
        <v/>
      </c>
      <c r="M2006" s="1">
        <f>IF(AND(E2006=0,COUNTIFS($A$2:A2006,A2006,$E$2:E2006,0)=1),L2006,0)</f>
        <v>0</v>
      </c>
    </row>
    <row r="2007" spans="1:13" ht="15" customHeight="1">
      <c r="A2007" s="1">
        <v>2</v>
      </c>
      <c r="B2007" s="1" t="s">
        <v>16</v>
      </c>
      <c r="C2007" s="1" t="s">
        <v>2332</v>
      </c>
      <c r="D2007" s="2" t="s">
        <v>2344</v>
      </c>
      <c r="E2007" s="1">
        <v>1</v>
      </c>
      <c r="F2007" s="2" t="s">
        <v>2347</v>
      </c>
      <c r="G2007" s="1">
        <v>5</v>
      </c>
      <c r="H2007" s="1" t="str">
        <f t="shared" si="31"/>
        <v>k2_5</v>
      </c>
      <c r="K2007" s="1">
        <f>IF(E2007=0,SUMPRODUCT(($A$2:$A$4734=A2007)*($B$2:$B$4734=B2007)*($D$2:$D$4734=D2007)*($E$2:$E$4734=0)),0)</f>
        <v>0</v>
      </c>
      <c r="L2007" s="1" t="str">
        <f>IF(E2007=0,SUMPRODUCT(MIN($K$2:$K$4734+((($A$2:$A$4734&lt;&gt;A2007)+($E$2:$E$4734&lt;&gt;0))&gt;0)*1000000)),"")</f>
        <v/>
      </c>
      <c r="M2007" s="1">
        <f>IF(AND(E2007=0,COUNTIFS($A$2:A2007,A2007,$E$2:E2007,0)=1),L2007,0)</f>
        <v>0</v>
      </c>
    </row>
    <row r="2008" spans="1:13" ht="15" customHeight="1">
      <c r="A2008" s="1">
        <v>2</v>
      </c>
      <c r="B2008" s="1" t="s">
        <v>16</v>
      </c>
      <c r="C2008" s="1" t="s">
        <v>2332</v>
      </c>
      <c r="D2008" s="2" t="s">
        <v>2344</v>
      </c>
      <c r="E2008" s="1">
        <v>1</v>
      </c>
      <c r="F2008" s="2" t="s">
        <v>2348</v>
      </c>
      <c r="G2008" s="1">
        <v>4</v>
      </c>
      <c r="H2008" s="1" t="str">
        <f t="shared" ref="H2008:H2070" si="32">IF(OR(E2008&lt;&gt;1,G2008=""),"","k"&amp;A2008&amp;"_"&amp;G2008)</f>
        <v>k2_4</v>
      </c>
      <c r="K2008" s="1">
        <f>IF(E2008=0,SUMPRODUCT(($A$2:$A$4734=A2008)*($B$2:$B$4734=B2008)*($D$2:$D$4734=D2008)*($E$2:$E$4734=0)),0)</f>
        <v>0</v>
      </c>
      <c r="L2008" s="1" t="str">
        <f>IF(E2008=0,SUMPRODUCT(MIN($K$2:$K$4734+((($A$2:$A$4734&lt;&gt;A2008)+($E$2:$E$4734&lt;&gt;0))&gt;0)*1000000)),"")</f>
        <v/>
      </c>
      <c r="M2008" s="1">
        <f>IF(AND(E2008=0,COUNTIFS($A$2:A2008,A2008,$E$2:E2008,0)=1),L2008,0)</f>
        <v>0</v>
      </c>
    </row>
    <row r="2009" spans="1:13" ht="15" customHeight="1">
      <c r="A2009" s="1">
        <v>3</v>
      </c>
      <c r="B2009" s="1" t="s">
        <v>167</v>
      </c>
      <c r="C2009" s="2" t="s">
        <v>2349</v>
      </c>
      <c r="D2009" s="2" t="s">
        <v>2350</v>
      </c>
      <c r="E2009" s="1">
        <v>1</v>
      </c>
      <c r="F2009" s="2" t="s">
        <v>2351</v>
      </c>
      <c r="G2009" s="1">
        <v>1</v>
      </c>
      <c r="H2009" s="1" t="str">
        <f t="shared" si="32"/>
        <v>k3_1</v>
      </c>
      <c r="K2009" s="1">
        <f>IF(E2009=0,SUMPRODUCT(($A$2:$A$4734=A2009)*($B$2:$B$4734=B2009)*($D$2:$D$4734=D2009)*($E$2:$E$4734=0)),0)</f>
        <v>0</v>
      </c>
      <c r="L2009" s="1" t="str">
        <f>IF(E2009=0,SUMPRODUCT(MIN($K$2:$K$4734+((($A$2:$A$4734&lt;&gt;A2009)+($E$2:$E$4734&lt;&gt;0))&gt;0)*1000000)),"")</f>
        <v/>
      </c>
      <c r="M2009" s="1">
        <f>IF(AND(E2009=0,COUNTIFS($A$2:A2009,A2009,$E$2:E2009,0)=1),L2009,0)</f>
        <v>0</v>
      </c>
    </row>
    <row r="2010" spans="1:13" ht="15" customHeight="1">
      <c r="A2010" s="1">
        <v>3</v>
      </c>
      <c r="B2010" s="1" t="s">
        <v>167</v>
      </c>
      <c r="C2010" s="2" t="s">
        <v>2349</v>
      </c>
      <c r="D2010" s="2" t="s">
        <v>2350</v>
      </c>
      <c r="E2010" s="1">
        <v>1</v>
      </c>
      <c r="F2010" s="2" t="s">
        <v>2352</v>
      </c>
      <c r="G2010" s="1">
        <v>2</v>
      </c>
      <c r="H2010" s="1" t="str">
        <f t="shared" si="32"/>
        <v>k3_2</v>
      </c>
      <c r="K2010" s="1">
        <f>IF(E2010=0,SUMPRODUCT(($A$2:$A$4734=A2010)*($B$2:$B$4734=B2010)*($D$2:$D$4734=D2010)*($E$2:$E$4734=0)),0)</f>
        <v>0</v>
      </c>
      <c r="L2010" s="1" t="str">
        <f>IF(E2010=0,SUMPRODUCT(MIN($K$2:$K$4734+((($A$2:$A$4734&lt;&gt;A2010)+($E$2:$E$4734&lt;&gt;0))&gt;0)*1000000)),"")</f>
        <v/>
      </c>
      <c r="M2010" s="1">
        <f>IF(AND(E2010=0,COUNTIFS($A$2:A2010,A2010,$E$2:E2010,0)=1),L2010,0)</f>
        <v>0</v>
      </c>
    </row>
    <row r="2011" spans="1:13" ht="15" customHeight="1">
      <c r="A2011" s="1">
        <v>3</v>
      </c>
      <c r="B2011" s="1" t="s">
        <v>167</v>
      </c>
      <c r="C2011" s="2" t="s">
        <v>2349</v>
      </c>
      <c r="D2011" s="2" t="s">
        <v>2350</v>
      </c>
      <c r="E2011" s="1">
        <v>1</v>
      </c>
      <c r="F2011" s="2" t="s">
        <v>2353</v>
      </c>
      <c r="G2011" s="1">
        <v>3</v>
      </c>
      <c r="H2011" s="1" t="str">
        <f t="shared" si="32"/>
        <v>k3_3</v>
      </c>
      <c r="K2011" s="1">
        <f>IF(E2011=0,SUMPRODUCT(($A$2:$A$4734=A2011)*($B$2:$B$4734=B2011)*($D$2:$D$4734=D2011)*($E$2:$E$4734=0)),0)</f>
        <v>0</v>
      </c>
      <c r="L2011" s="1" t="str">
        <f>IF(E2011=0,SUMPRODUCT(MIN($K$2:$K$4734+((($A$2:$A$4734&lt;&gt;A2011)+($E$2:$E$4734&lt;&gt;0))&gt;0)*1000000)),"")</f>
        <v/>
      </c>
      <c r="M2011" s="1">
        <f>IF(AND(E2011=0,COUNTIFS($A$2:A2011,A2011,$E$2:E2011,0)=1),L2011,0)</f>
        <v>0</v>
      </c>
    </row>
    <row r="2012" spans="1:13" ht="15" customHeight="1">
      <c r="A2012" s="1">
        <v>3</v>
      </c>
      <c r="B2012" s="1" t="s">
        <v>167</v>
      </c>
      <c r="C2012" s="2" t="s">
        <v>2349</v>
      </c>
      <c r="D2012" s="2" t="s">
        <v>2350</v>
      </c>
      <c r="E2012" s="1">
        <v>1</v>
      </c>
      <c r="F2012" s="2" t="s">
        <v>2354</v>
      </c>
      <c r="G2012" s="1">
        <v>4</v>
      </c>
      <c r="H2012" s="1" t="str">
        <f t="shared" si="32"/>
        <v>k3_4</v>
      </c>
      <c r="K2012" s="1">
        <f>IF(E2012=0,SUMPRODUCT(($A$2:$A$4734=A2012)*($B$2:$B$4734=B2012)*($D$2:$D$4734=D2012)*($E$2:$E$4734=0)),0)</f>
        <v>0</v>
      </c>
      <c r="L2012" s="1" t="str">
        <f>IF(E2012=0,SUMPRODUCT(MIN($K$2:$K$4734+((($A$2:$A$4734&lt;&gt;A2012)+($E$2:$E$4734&lt;&gt;0))&gt;0)*1000000)),"")</f>
        <v/>
      </c>
      <c r="M2012" s="1">
        <f>IF(AND(E2012=0,COUNTIFS($A$2:A2012,A2012,$E$2:E2012,0)=1),L2012,0)</f>
        <v>0</v>
      </c>
    </row>
    <row r="2013" spans="1:13" ht="15" customHeight="1">
      <c r="A2013" s="1">
        <v>4</v>
      </c>
      <c r="B2013" s="1" t="s">
        <v>9</v>
      </c>
      <c r="C2013" s="2" t="s">
        <v>2355</v>
      </c>
      <c r="D2013" s="2" t="s">
        <v>2356</v>
      </c>
      <c r="E2013" s="1">
        <v>1</v>
      </c>
      <c r="F2013" s="2" t="s">
        <v>2357</v>
      </c>
      <c r="G2013" s="1">
        <v>1</v>
      </c>
      <c r="H2013" s="1" t="str">
        <f t="shared" si="32"/>
        <v>k4_1</v>
      </c>
      <c r="K2013" s="1">
        <f>IF(E2013=0,SUMPRODUCT(($A$2:$A$4734=A2013)*($B$2:$B$4734=B2013)*($D$2:$D$4734=D2013)*($E$2:$E$4734=0)),0)</f>
        <v>0</v>
      </c>
      <c r="L2013" s="1" t="str">
        <f>IF(E2013=0,SUMPRODUCT(MIN($K$2:$K$4734+((($A$2:$A$4734&lt;&gt;A2013)+($E$2:$E$4734&lt;&gt;0))&gt;0)*1000000)),"")</f>
        <v/>
      </c>
      <c r="M2013" s="1">
        <f>IF(AND(E2013=0,COUNTIFS($A$2:A2013,A2013,$E$2:E2013,0)=1),L2013,0)</f>
        <v>0</v>
      </c>
    </row>
    <row r="2014" spans="1:13" ht="15" customHeight="1">
      <c r="A2014" s="1">
        <v>4</v>
      </c>
      <c r="B2014" s="1" t="s">
        <v>9</v>
      </c>
      <c r="C2014" s="2" t="s">
        <v>2355</v>
      </c>
      <c r="D2014" s="2" t="s">
        <v>2356</v>
      </c>
      <c r="E2014" s="1">
        <v>1</v>
      </c>
      <c r="F2014" s="2" t="s">
        <v>2358</v>
      </c>
      <c r="G2014" s="1">
        <v>2</v>
      </c>
      <c r="H2014" s="1" t="str">
        <f t="shared" si="32"/>
        <v>k4_2</v>
      </c>
      <c r="K2014" s="1">
        <f>IF(E2014=0,SUMPRODUCT(($A$2:$A$4734=A2014)*($B$2:$B$4734=B2014)*($D$2:$D$4734=D2014)*($E$2:$E$4734=0)),0)</f>
        <v>0</v>
      </c>
      <c r="L2014" s="1" t="str">
        <f>IF(E2014=0,SUMPRODUCT(MIN($K$2:$K$4734+((($A$2:$A$4734&lt;&gt;A2014)+($E$2:$E$4734&lt;&gt;0))&gt;0)*1000000)),"")</f>
        <v/>
      </c>
      <c r="M2014" s="1">
        <f>IF(AND(E2014=0,COUNTIFS($A$2:A2014,A2014,$E$2:E2014,0)=1),L2014,0)</f>
        <v>0</v>
      </c>
    </row>
    <row r="2015" spans="1:13" ht="15" customHeight="1">
      <c r="A2015" s="1">
        <v>4</v>
      </c>
      <c r="B2015" s="1" t="s">
        <v>9</v>
      </c>
      <c r="C2015" s="2" t="s">
        <v>2355</v>
      </c>
      <c r="D2015" s="2" t="s">
        <v>2356</v>
      </c>
      <c r="E2015" s="1">
        <v>1</v>
      </c>
      <c r="F2015" s="2" t="s">
        <v>2359</v>
      </c>
      <c r="G2015" s="1">
        <v>3</v>
      </c>
      <c r="H2015" s="1" t="str">
        <f t="shared" si="32"/>
        <v>k4_3</v>
      </c>
      <c r="K2015" s="1">
        <f>IF(E2015=0,SUMPRODUCT(($A$2:$A$4734=A2015)*($B$2:$B$4734=B2015)*($D$2:$D$4734=D2015)*($E$2:$E$4734=0)),0)</f>
        <v>0</v>
      </c>
      <c r="L2015" s="1" t="str">
        <f>IF(E2015=0,SUMPRODUCT(MIN($K$2:$K$4734+((($A$2:$A$4734&lt;&gt;A2015)+($E$2:$E$4734&lt;&gt;0))&gt;0)*1000000)),"")</f>
        <v/>
      </c>
      <c r="M2015" s="1">
        <f>IF(AND(E2015=0,COUNTIFS($A$2:A2015,A2015,$E$2:E2015,0)=1),L2015,0)</f>
        <v>0</v>
      </c>
    </row>
    <row r="2016" spans="1:13" ht="15" customHeight="1">
      <c r="A2016" s="1">
        <v>4</v>
      </c>
      <c r="B2016" s="1" t="s">
        <v>9</v>
      </c>
      <c r="C2016" s="2" t="s">
        <v>2355</v>
      </c>
      <c r="D2016" s="2" t="s">
        <v>2356</v>
      </c>
      <c r="E2016" s="1">
        <v>1</v>
      </c>
      <c r="F2016" s="2" t="s">
        <v>2360</v>
      </c>
      <c r="G2016" s="1">
        <v>4</v>
      </c>
      <c r="H2016" s="1" t="str">
        <f t="shared" si="32"/>
        <v>k4_4</v>
      </c>
      <c r="K2016" s="1">
        <f>IF(E2016=0,SUMPRODUCT(($A$2:$A$4734=A2016)*($B$2:$B$4734=B2016)*($D$2:$D$4734=D2016)*($E$2:$E$4734=0)),0)</f>
        <v>0</v>
      </c>
      <c r="L2016" s="1" t="str">
        <f>IF(E2016=0,SUMPRODUCT(MIN($K$2:$K$4734+((($A$2:$A$4734&lt;&gt;A2016)+($E$2:$E$4734&lt;&gt;0))&gt;0)*1000000)),"")</f>
        <v/>
      </c>
      <c r="M2016" s="1">
        <f>IF(AND(E2016=0,COUNTIFS($A$2:A2016,A2016,$E$2:E2016,0)=1),L2016,0)</f>
        <v>0</v>
      </c>
    </row>
    <row r="2017" spans="1:13" ht="15" customHeight="1">
      <c r="A2017" s="1">
        <v>4</v>
      </c>
      <c r="B2017" s="1" t="s">
        <v>144</v>
      </c>
      <c r="C2017" s="2" t="s">
        <v>2355</v>
      </c>
      <c r="D2017" s="2" t="s">
        <v>2356</v>
      </c>
      <c r="E2017" s="1">
        <v>1</v>
      </c>
      <c r="F2017" s="2" t="s">
        <v>2361</v>
      </c>
      <c r="G2017" s="1">
        <v>1</v>
      </c>
      <c r="H2017" s="1" t="str">
        <f t="shared" si="32"/>
        <v>k4_1</v>
      </c>
      <c r="K2017" s="1">
        <f>IF(E2017=0,SUMPRODUCT(($A$2:$A$4734=A2017)*($B$2:$B$4734=B2017)*($D$2:$D$4734=D2017)*($E$2:$E$4734=0)),0)</f>
        <v>0</v>
      </c>
      <c r="L2017" s="1" t="str">
        <f>IF(E2017=0,SUMPRODUCT(MIN($K$2:$K$4734+((($A$2:$A$4734&lt;&gt;A2017)+($E$2:$E$4734&lt;&gt;0))&gt;0)*1000000)),"")</f>
        <v/>
      </c>
      <c r="M2017" s="1">
        <f>IF(AND(E2017=0,COUNTIFS($A$2:A2017,A2017,$E$2:E2017,0)=1),L2017,0)</f>
        <v>0</v>
      </c>
    </row>
    <row r="2018" spans="1:13" ht="15" customHeight="1">
      <c r="A2018" s="1">
        <v>4</v>
      </c>
      <c r="B2018" s="1" t="s">
        <v>144</v>
      </c>
      <c r="C2018" s="2" t="s">
        <v>2355</v>
      </c>
      <c r="D2018" s="2" t="s">
        <v>2356</v>
      </c>
      <c r="E2018" s="1">
        <v>1</v>
      </c>
      <c r="F2018" s="2" t="s">
        <v>2362</v>
      </c>
      <c r="G2018" s="1">
        <v>2</v>
      </c>
      <c r="H2018" s="1" t="str">
        <f t="shared" si="32"/>
        <v>k4_2</v>
      </c>
      <c r="K2018" s="1">
        <f>IF(E2018=0,SUMPRODUCT(($A$2:$A$4734=A2018)*($B$2:$B$4734=B2018)*($D$2:$D$4734=D2018)*($E$2:$E$4734=0)),0)</f>
        <v>0</v>
      </c>
      <c r="L2018" s="1" t="str">
        <f>IF(E2018=0,SUMPRODUCT(MIN($K$2:$K$4734+((($A$2:$A$4734&lt;&gt;A2018)+($E$2:$E$4734&lt;&gt;0))&gt;0)*1000000)),"")</f>
        <v/>
      </c>
      <c r="M2018" s="1">
        <f>IF(AND(E2018=0,COUNTIFS($A$2:A2018,A2018,$E$2:E2018,0)=1),L2018,0)</f>
        <v>0</v>
      </c>
    </row>
    <row r="2019" spans="1:13" ht="15" customHeight="1">
      <c r="A2019" s="1">
        <v>4</v>
      </c>
      <c r="B2019" s="1" t="s">
        <v>144</v>
      </c>
      <c r="C2019" s="2" t="s">
        <v>2355</v>
      </c>
      <c r="D2019" s="2" t="s">
        <v>2356</v>
      </c>
      <c r="E2019" s="1">
        <v>1</v>
      </c>
      <c r="F2019" s="2" t="s">
        <v>2363</v>
      </c>
      <c r="G2019" s="1">
        <v>3</v>
      </c>
      <c r="H2019" s="1" t="str">
        <f t="shared" si="32"/>
        <v>k4_3</v>
      </c>
      <c r="K2019" s="1">
        <f>IF(E2019=0,SUMPRODUCT(($A$2:$A$4734=A2019)*($B$2:$B$4734=B2019)*($D$2:$D$4734=D2019)*($E$2:$E$4734=0)),0)</f>
        <v>0</v>
      </c>
      <c r="L2019" s="1" t="str">
        <f>IF(E2019=0,SUMPRODUCT(MIN($K$2:$K$4734+((($A$2:$A$4734&lt;&gt;A2019)+($E$2:$E$4734&lt;&gt;0))&gt;0)*1000000)),"")</f>
        <v/>
      </c>
      <c r="M2019" s="1">
        <f>IF(AND(E2019=0,COUNTIFS($A$2:A2019,A2019,$E$2:E2019,0)=1),L2019,0)</f>
        <v>0</v>
      </c>
    </row>
    <row r="2020" spans="1:13" ht="15" customHeight="1">
      <c r="A2020" s="1">
        <v>4</v>
      </c>
      <c r="B2020" s="1" t="s">
        <v>144</v>
      </c>
      <c r="C2020" s="2" t="s">
        <v>2355</v>
      </c>
      <c r="D2020" s="2" t="s">
        <v>2356</v>
      </c>
      <c r="E2020" s="1">
        <v>1</v>
      </c>
      <c r="F2020" s="2" t="s">
        <v>2364</v>
      </c>
      <c r="G2020" s="1">
        <v>4</v>
      </c>
      <c r="H2020" s="1" t="str">
        <f t="shared" si="32"/>
        <v>k4_4</v>
      </c>
      <c r="K2020" s="1">
        <f>IF(E2020=0,SUMPRODUCT(($A$2:$A$4734=A2020)*($B$2:$B$4734=B2020)*($D$2:$D$4734=D2020)*($E$2:$E$4734=0)),0)</f>
        <v>0</v>
      </c>
      <c r="L2020" s="1" t="str">
        <f>IF(E2020=0,SUMPRODUCT(MIN($K$2:$K$4734+((($A$2:$A$4734&lt;&gt;A2020)+($E$2:$E$4734&lt;&gt;0))&gt;0)*1000000)),"")</f>
        <v/>
      </c>
      <c r="M2020" s="1">
        <f>IF(AND(E2020=0,COUNTIFS($A$2:A2020,A2020,$E$2:E2020,0)=1),L2020,0)</f>
        <v>0</v>
      </c>
    </row>
    <row r="2021" spans="1:13" ht="15" customHeight="1">
      <c r="A2021" s="1">
        <v>5</v>
      </c>
      <c r="B2021" s="1" t="s">
        <v>16</v>
      </c>
      <c r="C2021" s="2" t="s">
        <v>2365</v>
      </c>
      <c r="D2021" s="2" t="s">
        <v>2366</v>
      </c>
      <c r="E2021" s="1">
        <v>0</v>
      </c>
      <c r="F2021" s="2" t="s">
        <v>2367</v>
      </c>
      <c r="H2021" s="1" t="str">
        <f t="shared" si="32"/>
        <v/>
      </c>
      <c r="K2021" s="1">
        <f>IF(E2021=0,SUMPRODUCT(($A$2:$A$4734=A2021)*($B$2:$B$4734=B2021)*($D$2:$D$4734=D2021)*($E$2:$E$4734=0)),0)</f>
        <v>3</v>
      </c>
      <c r="L2021" s="1">
        <f>IF(E2021=0,SUMPRODUCT(MIN($K$2:$K$4734+((($A$2:$A$4734&lt;&gt;A2021)+($E$2:$E$4734&lt;&gt;0))&gt;0)*1000000)),"")</f>
        <v>3</v>
      </c>
      <c r="M2021" s="1">
        <f>IF(AND(E2021=0,COUNTIFS($A$2:A2021,A2021,$E$2:E2021,0)=1),L2021,0)</f>
        <v>3</v>
      </c>
    </row>
    <row r="2022" spans="1:13" ht="15" customHeight="1">
      <c r="A2022" s="1">
        <v>5</v>
      </c>
      <c r="B2022" s="1" t="s">
        <v>16</v>
      </c>
      <c r="C2022" s="2" t="s">
        <v>2365</v>
      </c>
      <c r="D2022" s="2" t="s">
        <v>2366</v>
      </c>
      <c r="E2022" s="1">
        <v>0</v>
      </c>
      <c r="F2022" s="2" t="s">
        <v>2368</v>
      </c>
      <c r="H2022" s="1" t="str">
        <f t="shared" si="32"/>
        <v/>
      </c>
      <c r="K2022" s="1">
        <f>IF(E2022=0,SUMPRODUCT(($A$2:$A$4734=A2022)*($B$2:$B$4734=B2022)*($D$2:$D$4734=D2022)*($E$2:$E$4734=0)),0)</f>
        <v>3</v>
      </c>
      <c r="L2022" s="1">
        <f>IF(E2022=0,SUMPRODUCT(MIN($K$2:$K$4734+((($A$2:$A$4734&lt;&gt;A2022)+($E$2:$E$4734&lt;&gt;0))&gt;0)*1000000)),"")</f>
        <v>3</v>
      </c>
      <c r="M2022" s="1">
        <f>IF(AND(E2022=0,COUNTIFS($A$2:A2022,A2022,$E$2:E2022,0)=1),L2022,0)</f>
        <v>0</v>
      </c>
    </row>
    <row r="2023" spans="1:13" ht="15" customHeight="1">
      <c r="A2023" s="1">
        <v>5</v>
      </c>
      <c r="B2023" s="1" t="s">
        <v>16</v>
      </c>
      <c r="C2023" s="2" t="s">
        <v>2365</v>
      </c>
      <c r="D2023" s="2" t="s">
        <v>2366</v>
      </c>
      <c r="E2023" s="1">
        <v>0</v>
      </c>
      <c r="F2023" s="2" t="s">
        <v>2369</v>
      </c>
      <c r="H2023" s="1" t="str">
        <f t="shared" si="32"/>
        <v/>
      </c>
      <c r="K2023" s="1">
        <f>IF(E2023=0,SUMPRODUCT(($A$2:$A$4734=A2023)*($B$2:$B$4734=B2023)*($D$2:$D$4734=D2023)*($E$2:$E$4734=0)),0)</f>
        <v>3</v>
      </c>
      <c r="L2023" s="1">
        <f>IF(E2023=0,SUMPRODUCT(MIN($K$2:$K$4734+((($A$2:$A$4734&lt;&gt;A2023)+($E$2:$E$4734&lt;&gt;0))&gt;0)*1000000)),"")</f>
        <v>3</v>
      </c>
      <c r="M2023" s="1">
        <f>IF(AND(E2023=0,COUNTIFS($A$2:A2023,A2023,$E$2:E2023,0)=1),L2023,0)</f>
        <v>0</v>
      </c>
    </row>
    <row r="2024" spans="1:13" ht="15" customHeight="1">
      <c r="A2024" s="1">
        <v>5</v>
      </c>
      <c r="B2024" s="1" t="s">
        <v>9</v>
      </c>
      <c r="C2024" s="2" t="s">
        <v>2365</v>
      </c>
      <c r="D2024" s="2" t="s">
        <v>2366</v>
      </c>
      <c r="E2024" s="1">
        <v>0</v>
      </c>
      <c r="F2024" s="2" t="s">
        <v>2370</v>
      </c>
      <c r="H2024" s="1" t="str">
        <f t="shared" si="32"/>
        <v/>
      </c>
      <c r="K2024" s="1">
        <f>IF(E2024=0,SUMPRODUCT(($A$2:$A$4734=A2024)*($B$2:$B$4734=B2024)*($D$2:$D$4734=D2024)*($E$2:$E$4734=0)),0)</f>
        <v>4</v>
      </c>
      <c r="L2024" s="1">
        <f>IF(E2024=0,SUMPRODUCT(MIN($K$2:$K$4734+((($A$2:$A$4734&lt;&gt;A2024)+($E$2:$E$4734&lt;&gt;0))&gt;0)*1000000)),"")</f>
        <v>3</v>
      </c>
      <c r="M2024" s="1">
        <f>IF(AND(E2024=0,COUNTIFS($A$2:A2024,A2024,$E$2:E2024,0)=1),L2024,0)</f>
        <v>0</v>
      </c>
    </row>
    <row r="2025" spans="1:13" ht="15" customHeight="1">
      <c r="A2025" s="1">
        <v>5</v>
      </c>
      <c r="B2025" s="1" t="s">
        <v>9</v>
      </c>
      <c r="C2025" s="2" t="s">
        <v>2365</v>
      </c>
      <c r="D2025" s="2" t="s">
        <v>2366</v>
      </c>
      <c r="E2025" s="1">
        <v>0</v>
      </c>
      <c r="F2025" s="2" t="s">
        <v>2371</v>
      </c>
      <c r="H2025" s="1" t="str">
        <f t="shared" si="32"/>
        <v/>
      </c>
      <c r="K2025" s="1">
        <f>IF(E2025=0,SUMPRODUCT(($A$2:$A$4734=A2025)*($B$2:$B$4734=B2025)*($D$2:$D$4734=D2025)*($E$2:$E$4734=0)),0)</f>
        <v>4</v>
      </c>
      <c r="L2025" s="1">
        <f>IF(E2025=0,SUMPRODUCT(MIN($K$2:$K$4734+((($A$2:$A$4734&lt;&gt;A2025)+($E$2:$E$4734&lt;&gt;0))&gt;0)*1000000)),"")</f>
        <v>3</v>
      </c>
      <c r="M2025" s="1">
        <f>IF(AND(E2025=0,COUNTIFS($A$2:A2025,A2025,$E$2:E2025,0)=1),L2025,0)</f>
        <v>0</v>
      </c>
    </row>
    <row r="2026" spans="1:13" ht="15" customHeight="1">
      <c r="A2026" s="1">
        <v>5</v>
      </c>
      <c r="B2026" s="1" t="s">
        <v>9</v>
      </c>
      <c r="C2026" s="2" t="s">
        <v>2365</v>
      </c>
      <c r="D2026" s="2" t="s">
        <v>2366</v>
      </c>
      <c r="E2026" s="1">
        <v>0</v>
      </c>
      <c r="F2026" s="2" t="s">
        <v>2372</v>
      </c>
      <c r="H2026" s="1" t="str">
        <f t="shared" si="32"/>
        <v/>
      </c>
      <c r="K2026" s="1">
        <f>IF(E2026=0,SUMPRODUCT(($A$2:$A$4734=A2026)*($B$2:$B$4734=B2026)*($D$2:$D$4734=D2026)*($E$2:$E$4734=0)),0)</f>
        <v>4</v>
      </c>
      <c r="L2026" s="1">
        <f>IF(E2026=0,SUMPRODUCT(MIN($K$2:$K$4734+((($A$2:$A$4734&lt;&gt;A2026)+($E$2:$E$4734&lt;&gt;0))&gt;0)*1000000)),"")</f>
        <v>3</v>
      </c>
      <c r="M2026" s="1">
        <f>IF(AND(E2026=0,COUNTIFS($A$2:A2026,A2026,$E$2:E2026,0)=1),L2026,0)</f>
        <v>0</v>
      </c>
    </row>
    <row r="2027" spans="1:13" ht="15" customHeight="1">
      <c r="A2027" s="1">
        <v>5</v>
      </c>
      <c r="B2027" s="1" t="s">
        <v>9</v>
      </c>
      <c r="C2027" s="2" t="s">
        <v>2365</v>
      </c>
      <c r="D2027" s="2" t="s">
        <v>2366</v>
      </c>
      <c r="E2027" s="1">
        <v>0</v>
      </c>
      <c r="F2027" s="2" t="s">
        <v>2373</v>
      </c>
      <c r="H2027" s="1" t="str">
        <f t="shared" si="32"/>
        <v/>
      </c>
      <c r="K2027" s="1">
        <f>IF(E2027=0,SUMPRODUCT(($A$2:$A$4734=A2027)*($B$2:$B$4734=B2027)*($D$2:$D$4734=D2027)*($E$2:$E$4734=0)),0)</f>
        <v>4</v>
      </c>
      <c r="L2027" s="1">
        <f>IF(E2027=0,SUMPRODUCT(MIN($K$2:$K$4734+((($A$2:$A$4734&lt;&gt;A2027)+($E$2:$E$4734&lt;&gt;0))&gt;0)*1000000)),"")</f>
        <v>3</v>
      </c>
      <c r="M2027" s="1">
        <f>IF(AND(E2027=0,COUNTIFS($A$2:A2027,A2027,$E$2:E2027,0)=1),L2027,0)</f>
        <v>0</v>
      </c>
    </row>
    <row r="2028" spans="1:13" ht="15" customHeight="1">
      <c r="A2028" s="1">
        <v>5</v>
      </c>
      <c r="B2028" s="1" t="s">
        <v>9</v>
      </c>
      <c r="C2028" s="2" t="s">
        <v>2365</v>
      </c>
      <c r="D2028" s="2" t="s">
        <v>2374</v>
      </c>
      <c r="E2028" s="1">
        <v>0</v>
      </c>
      <c r="F2028" s="2" t="s">
        <v>2375</v>
      </c>
      <c r="H2028" s="1" t="str">
        <f t="shared" si="32"/>
        <v/>
      </c>
      <c r="K2028" s="1">
        <f>IF(E2028=0,SUMPRODUCT(($A$2:$A$4734=A2028)*($B$2:$B$4734=B2028)*($D$2:$D$4734=D2028)*($E$2:$E$4734=0)),0)</f>
        <v>4</v>
      </c>
      <c r="L2028" s="1">
        <f>IF(E2028=0,SUMPRODUCT(MIN($K$2:$K$4734+((($A$2:$A$4734&lt;&gt;A2028)+($E$2:$E$4734&lt;&gt;0))&gt;0)*1000000)),"")</f>
        <v>3</v>
      </c>
      <c r="M2028" s="1">
        <f>IF(AND(E2028=0,COUNTIFS($A$2:A2028,A2028,$E$2:E2028,0)=1),L2028,0)</f>
        <v>0</v>
      </c>
    </row>
    <row r="2029" spans="1:13" ht="15" customHeight="1">
      <c r="A2029" s="1">
        <v>5</v>
      </c>
      <c r="B2029" s="1" t="s">
        <v>9</v>
      </c>
      <c r="C2029" s="2" t="s">
        <v>2365</v>
      </c>
      <c r="D2029" s="2" t="s">
        <v>2374</v>
      </c>
      <c r="E2029" s="1">
        <v>0</v>
      </c>
      <c r="F2029" s="2" t="s">
        <v>2376</v>
      </c>
      <c r="H2029" s="1" t="str">
        <f t="shared" si="32"/>
        <v/>
      </c>
      <c r="K2029" s="1">
        <f>IF(E2029=0,SUMPRODUCT(($A$2:$A$4734=A2029)*($B$2:$B$4734=B2029)*($D$2:$D$4734=D2029)*($E$2:$E$4734=0)),0)</f>
        <v>4</v>
      </c>
      <c r="L2029" s="1">
        <f>IF(E2029=0,SUMPRODUCT(MIN($K$2:$K$4734+((($A$2:$A$4734&lt;&gt;A2029)+($E$2:$E$4734&lt;&gt;0))&gt;0)*1000000)),"")</f>
        <v>3</v>
      </c>
      <c r="M2029" s="1">
        <f>IF(AND(E2029=0,COUNTIFS($A$2:A2029,A2029,$E$2:E2029,0)=1),L2029,0)</f>
        <v>0</v>
      </c>
    </row>
    <row r="2030" spans="1:13" ht="15" customHeight="1">
      <c r="A2030" s="1">
        <v>5</v>
      </c>
      <c r="B2030" s="1" t="s">
        <v>9</v>
      </c>
      <c r="C2030" s="2" t="s">
        <v>2365</v>
      </c>
      <c r="D2030" s="2" t="s">
        <v>2374</v>
      </c>
      <c r="E2030" s="1">
        <v>0</v>
      </c>
      <c r="F2030" s="2" t="s">
        <v>2377</v>
      </c>
      <c r="H2030" s="1" t="str">
        <f t="shared" si="32"/>
        <v/>
      </c>
      <c r="K2030" s="1">
        <f>IF(E2030=0,SUMPRODUCT(($A$2:$A$4734=A2030)*($B$2:$B$4734=B2030)*($D$2:$D$4734=D2030)*($E$2:$E$4734=0)),0)</f>
        <v>4</v>
      </c>
      <c r="L2030" s="1">
        <f>IF(E2030=0,SUMPRODUCT(MIN($K$2:$K$4734+((($A$2:$A$4734&lt;&gt;A2030)+($E$2:$E$4734&lt;&gt;0))&gt;0)*1000000)),"")</f>
        <v>3</v>
      </c>
      <c r="M2030" s="1">
        <f>IF(AND(E2030=0,COUNTIFS($A$2:A2030,A2030,$E$2:E2030,0)=1),L2030,0)</f>
        <v>0</v>
      </c>
    </row>
    <row r="2031" spans="1:13" ht="15" customHeight="1">
      <c r="A2031" s="1">
        <v>5</v>
      </c>
      <c r="B2031" s="1" t="s">
        <v>9</v>
      </c>
      <c r="C2031" s="2" t="s">
        <v>2365</v>
      </c>
      <c r="D2031" s="2" t="s">
        <v>2374</v>
      </c>
      <c r="E2031" s="1">
        <v>0</v>
      </c>
      <c r="F2031" s="2" t="s">
        <v>2378</v>
      </c>
      <c r="H2031" s="1" t="str">
        <f t="shared" si="32"/>
        <v/>
      </c>
      <c r="K2031" s="1">
        <f>IF(E2031=0,SUMPRODUCT(($A$2:$A$4734=A2031)*($B$2:$B$4734=B2031)*($D$2:$D$4734=D2031)*($E$2:$E$4734=0)),0)</f>
        <v>4</v>
      </c>
      <c r="L2031" s="1">
        <f>IF(E2031=0,SUMPRODUCT(MIN($K$2:$K$4734+((($A$2:$A$4734&lt;&gt;A2031)+($E$2:$E$4734&lt;&gt;0))&gt;0)*1000000)),"")</f>
        <v>3</v>
      </c>
      <c r="M2031" s="1">
        <f>IF(AND(E2031=0,COUNTIFS($A$2:A2031,A2031,$E$2:E2031,0)=1),L2031,0)</f>
        <v>0</v>
      </c>
    </row>
    <row r="2032" spans="1:13" ht="15" customHeight="1">
      <c r="A2032" s="1">
        <v>6</v>
      </c>
      <c r="B2032" s="1" t="s">
        <v>144</v>
      </c>
      <c r="C2032" s="2" t="s">
        <v>2379</v>
      </c>
      <c r="D2032" s="2" t="s">
        <v>2380</v>
      </c>
      <c r="E2032" s="1">
        <v>1</v>
      </c>
      <c r="F2032" s="2" t="s">
        <v>2381</v>
      </c>
      <c r="G2032" s="1">
        <v>2</v>
      </c>
      <c r="H2032" s="1" t="str">
        <f t="shared" si="32"/>
        <v>k6_2</v>
      </c>
      <c r="K2032" s="1">
        <f>IF(E2032=0,SUMPRODUCT(($A$2:$A$4734=A2032)*($B$2:$B$4734=B2032)*($D$2:$D$4734=D2032)*($E$2:$E$4734=0)),0)</f>
        <v>0</v>
      </c>
      <c r="L2032" s="1" t="str">
        <f>IF(E2032=0,SUMPRODUCT(MIN($K$2:$K$4734+((($A$2:$A$4734&lt;&gt;A2032)+($E$2:$E$4734&lt;&gt;0))&gt;0)*1000000)),"")</f>
        <v/>
      </c>
      <c r="M2032" s="1">
        <f>IF(AND(E2032=0,COUNTIFS($A$2:A2032,A2032,$E$2:E2032,0)=1),L2032,0)</f>
        <v>0</v>
      </c>
    </row>
    <row r="2033" spans="1:13" ht="15" customHeight="1">
      <c r="A2033" s="1">
        <v>6</v>
      </c>
      <c r="B2033" s="1" t="s">
        <v>144</v>
      </c>
      <c r="C2033" s="2" t="s">
        <v>2379</v>
      </c>
      <c r="D2033" s="2" t="s">
        <v>2380</v>
      </c>
      <c r="E2033" s="1">
        <v>1</v>
      </c>
      <c r="F2033" s="2" t="s">
        <v>2382</v>
      </c>
      <c r="G2033" s="1">
        <v>1</v>
      </c>
      <c r="H2033" s="1" t="str">
        <f t="shared" si="32"/>
        <v>k6_1</v>
      </c>
      <c r="K2033" s="1">
        <f>IF(E2033=0,SUMPRODUCT(($A$2:$A$4734=A2033)*($B$2:$B$4734=B2033)*($D$2:$D$4734=D2033)*($E$2:$E$4734=0)),0)</f>
        <v>0</v>
      </c>
      <c r="L2033" s="1" t="str">
        <f>IF(E2033=0,SUMPRODUCT(MIN($K$2:$K$4734+((($A$2:$A$4734&lt;&gt;A2033)+($E$2:$E$4734&lt;&gt;0))&gt;0)*1000000)),"")</f>
        <v/>
      </c>
      <c r="M2033" s="1">
        <f>IF(AND(E2033=0,COUNTIFS($A$2:A2033,A2033,$E$2:E2033,0)=1),L2033,0)</f>
        <v>0</v>
      </c>
    </row>
    <row r="2034" spans="1:13" ht="15" customHeight="1">
      <c r="A2034" s="1">
        <v>6</v>
      </c>
      <c r="B2034" s="1" t="s">
        <v>144</v>
      </c>
      <c r="C2034" s="2" t="s">
        <v>2379</v>
      </c>
      <c r="D2034" s="2" t="s">
        <v>2380</v>
      </c>
      <c r="E2034" s="1">
        <v>1</v>
      </c>
      <c r="F2034" s="2" t="s">
        <v>2383</v>
      </c>
      <c r="G2034" s="1">
        <v>3</v>
      </c>
      <c r="H2034" s="1" t="str">
        <f t="shared" si="32"/>
        <v>k6_3</v>
      </c>
      <c r="K2034" s="1">
        <f>IF(E2034=0,SUMPRODUCT(($A$2:$A$4734=A2034)*($B$2:$B$4734=B2034)*($D$2:$D$4734=D2034)*($E$2:$E$4734=0)),0)</f>
        <v>0</v>
      </c>
      <c r="L2034" s="1" t="str">
        <f>IF(E2034=0,SUMPRODUCT(MIN($K$2:$K$4734+((($A$2:$A$4734&lt;&gt;A2034)+($E$2:$E$4734&lt;&gt;0))&gt;0)*1000000)),"")</f>
        <v/>
      </c>
      <c r="M2034" s="1">
        <f>IF(AND(E2034=0,COUNTIFS($A$2:A2034,A2034,$E$2:E2034,0)=1),L2034,0)</f>
        <v>0</v>
      </c>
    </row>
    <row r="2035" spans="1:13" ht="15" customHeight="1">
      <c r="A2035" s="1">
        <v>6</v>
      </c>
      <c r="B2035" s="1" t="s">
        <v>144</v>
      </c>
      <c r="C2035" s="2" t="s">
        <v>2379</v>
      </c>
      <c r="D2035" s="2" t="s">
        <v>2380</v>
      </c>
      <c r="E2035" s="1">
        <v>1</v>
      </c>
      <c r="F2035" s="2" t="s">
        <v>2384</v>
      </c>
      <c r="G2035" s="1">
        <v>4</v>
      </c>
      <c r="H2035" s="1" t="str">
        <f t="shared" si="32"/>
        <v>k6_4</v>
      </c>
      <c r="K2035" s="1">
        <f>IF(E2035=0,SUMPRODUCT(($A$2:$A$4734=A2035)*($B$2:$B$4734=B2035)*($D$2:$D$4734=D2035)*($E$2:$E$4734=0)),0)</f>
        <v>0</v>
      </c>
      <c r="L2035" s="1" t="str">
        <f>IF(E2035=0,SUMPRODUCT(MIN($K$2:$K$4734+((($A$2:$A$4734&lt;&gt;A2035)+($E$2:$E$4734&lt;&gt;0))&gt;0)*1000000)),"")</f>
        <v/>
      </c>
      <c r="M2035" s="1">
        <f>IF(AND(E2035=0,COUNTIFS($A$2:A2035,A2035,$E$2:E2035,0)=1),L2035,0)</f>
        <v>0</v>
      </c>
    </row>
    <row r="2036" spans="1:13" ht="15" customHeight="1">
      <c r="A2036" s="1">
        <v>6</v>
      </c>
      <c r="B2036" s="1" t="s">
        <v>9</v>
      </c>
      <c r="C2036" s="2" t="s">
        <v>2379</v>
      </c>
      <c r="D2036" s="2" t="s">
        <v>2385</v>
      </c>
      <c r="E2036" s="1">
        <v>1</v>
      </c>
      <c r="F2036" s="2" t="s">
        <v>2386</v>
      </c>
      <c r="G2036" s="1">
        <v>1</v>
      </c>
      <c r="H2036" s="1" t="str">
        <f t="shared" si="32"/>
        <v>k6_1</v>
      </c>
      <c r="K2036" s="1">
        <f>IF(E2036=0,SUMPRODUCT(($A$2:$A$4734=A2036)*($B$2:$B$4734=B2036)*($D$2:$D$4734=D2036)*($E$2:$E$4734=0)),0)</f>
        <v>0</v>
      </c>
      <c r="L2036" s="1" t="str">
        <f>IF(E2036=0,SUMPRODUCT(MIN($K$2:$K$4734+((($A$2:$A$4734&lt;&gt;A2036)+($E$2:$E$4734&lt;&gt;0))&gt;0)*1000000)),"")</f>
        <v/>
      </c>
      <c r="M2036" s="1">
        <f>IF(AND(E2036=0,COUNTIFS($A$2:A2036,A2036,$E$2:E2036,0)=1),L2036,0)</f>
        <v>0</v>
      </c>
    </row>
    <row r="2037" spans="1:13" ht="15" customHeight="1">
      <c r="A2037" s="1">
        <v>6</v>
      </c>
      <c r="B2037" s="1" t="s">
        <v>9</v>
      </c>
      <c r="C2037" s="2" t="s">
        <v>2379</v>
      </c>
      <c r="D2037" s="2" t="s">
        <v>2385</v>
      </c>
      <c r="E2037" s="1">
        <v>1</v>
      </c>
      <c r="F2037" s="2" t="s">
        <v>2387</v>
      </c>
      <c r="G2037" s="1">
        <v>2</v>
      </c>
      <c r="H2037" s="1" t="str">
        <f t="shared" si="32"/>
        <v>k6_2</v>
      </c>
      <c r="K2037" s="1">
        <f>IF(E2037=0,SUMPRODUCT(($A$2:$A$4734=A2037)*($B$2:$B$4734=B2037)*($D$2:$D$4734=D2037)*($E$2:$E$4734=0)),0)</f>
        <v>0</v>
      </c>
      <c r="L2037" s="1" t="str">
        <f>IF(E2037=0,SUMPRODUCT(MIN($K$2:$K$4734+((($A$2:$A$4734&lt;&gt;A2037)+($E$2:$E$4734&lt;&gt;0))&gt;0)*1000000)),"")</f>
        <v/>
      </c>
      <c r="M2037" s="1">
        <f>IF(AND(E2037=0,COUNTIFS($A$2:A2037,A2037,$E$2:E2037,0)=1),L2037,0)</f>
        <v>0</v>
      </c>
    </row>
    <row r="2038" spans="1:13" ht="15" customHeight="1">
      <c r="A2038" s="1">
        <v>6</v>
      </c>
      <c r="B2038" s="1" t="s">
        <v>9</v>
      </c>
      <c r="C2038" s="2" t="s">
        <v>2379</v>
      </c>
      <c r="D2038" s="2" t="s">
        <v>2385</v>
      </c>
      <c r="E2038" s="1">
        <v>1</v>
      </c>
      <c r="F2038" s="2" t="s">
        <v>2388</v>
      </c>
      <c r="G2038" s="1">
        <v>3</v>
      </c>
      <c r="H2038" s="1" t="str">
        <f t="shared" si="32"/>
        <v>k6_3</v>
      </c>
      <c r="K2038" s="1">
        <f>IF(E2038=0,SUMPRODUCT(($A$2:$A$4734=A2038)*($B$2:$B$4734=B2038)*($D$2:$D$4734=D2038)*($E$2:$E$4734=0)),0)</f>
        <v>0</v>
      </c>
      <c r="L2038" s="1" t="str">
        <f>IF(E2038=0,SUMPRODUCT(MIN($K$2:$K$4734+((($A$2:$A$4734&lt;&gt;A2038)+($E$2:$E$4734&lt;&gt;0))&gt;0)*1000000)),"")</f>
        <v/>
      </c>
      <c r="M2038" s="1">
        <f>IF(AND(E2038=0,COUNTIFS($A$2:A2038,A2038,$E$2:E2038,0)=1),L2038,0)</f>
        <v>0</v>
      </c>
    </row>
    <row r="2039" spans="1:13" ht="15" customHeight="1">
      <c r="A2039" s="1">
        <v>6</v>
      </c>
      <c r="B2039" s="1" t="s">
        <v>9</v>
      </c>
      <c r="C2039" s="2" t="s">
        <v>2379</v>
      </c>
      <c r="D2039" s="2" t="s">
        <v>2385</v>
      </c>
      <c r="E2039" s="1">
        <v>1</v>
      </c>
      <c r="F2039" s="2" t="s">
        <v>2389</v>
      </c>
      <c r="G2039" s="1">
        <v>4</v>
      </c>
      <c r="H2039" s="1" t="str">
        <f t="shared" si="32"/>
        <v>k6_4</v>
      </c>
      <c r="K2039" s="1">
        <f>IF(E2039=0,SUMPRODUCT(($A$2:$A$4734=A2039)*($B$2:$B$4734=B2039)*($D$2:$D$4734=D2039)*($E$2:$E$4734=0)),0)</f>
        <v>0</v>
      </c>
      <c r="L2039" s="1" t="str">
        <f>IF(E2039=0,SUMPRODUCT(MIN($K$2:$K$4734+((($A$2:$A$4734&lt;&gt;A2039)+($E$2:$E$4734&lt;&gt;0))&gt;0)*1000000)),"")</f>
        <v/>
      </c>
      <c r="M2039" s="1">
        <f>IF(AND(E2039=0,COUNTIFS($A$2:A2039,A2039,$E$2:E2039,0)=1),L2039,0)</f>
        <v>0</v>
      </c>
    </row>
    <row r="2040" spans="1:13" ht="15" customHeight="1">
      <c r="A2040" s="1">
        <v>6</v>
      </c>
      <c r="B2040" s="1" t="s">
        <v>95</v>
      </c>
      <c r="C2040" s="2" t="s">
        <v>2379</v>
      </c>
      <c r="D2040" s="2" t="s">
        <v>2390</v>
      </c>
      <c r="E2040" s="1">
        <v>1</v>
      </c>
      <c r="F2040" s="2" t="s">
        <v>2391</v>
      </c>
      <c r="G2040" s="1">
        <v>1</v>
      </c>
      <c r="H2040" s="1" t="str">
        <f t="shared" si="32"/>
        <v>k6_1</v>
      </c>
      <c r="K2040" s="1">
        <f>IF(E2040=0,SUMPRODUCT(($A$2:$A$4734=A2040)*($B$2:$B$4734=B2040)*($D$2:$D$4734=D2040)*($E$2:$E$4734=0)),0)</f>
        <v>0</v>
      </c>
      <c r="L2040" s="1" t="str">
        <f>IF(E2040=0,SUMPRODUCT(MIN($K$2:$K$4734+((($A$2:$A$4734&lt;&gt;A2040)+($E$2:$E$4734&lt;&gt;0))&gt;0)*1000000)),"")</f>
        <v/>
      </c>
      <c r="M2040" s="1">
        <f>IF(AND(E2040=0,COUNTIFS($A$2:A2040,A2040,$E$2:E2040,0)=1),L2040,0)</f>
        <v>0</v>
      </c>
    </row>
    <row r="2041" spans="1:13" ht="15" customHeight="1">
      <c r="A2041" s="1">
        <v>6</v>
      </c>
      <c r="B2041" s="1" t="s">
        <v>95</v>
      </c>
      <c r="C2041" s="2" t="s">
        <v>2379</v>
      </c>
      <c r="D2041" s="2" t="s">
        <v>2390</v>
      </c>
      <c r="E2041" s="1">
        <v>1</v>
      </c>
      <c r="F2041" s="2" t="s">
        <v>2392</v>
      </c>
      <c r="G2041" s="1">
        <v>2</v>
      </c>
      <c r="H2041" s="1" t="str">
        <f t="shared" si="32"/>
        <v>k6_2</v>
      </c>
      <c r="K2041" s="1">
        <f>IF(E2041=0,SUMPRODUCT(($A$2:$A$4734=A2041)*($B$2:$B$4734=B2041)*($D$2:$D$4734=D2041)*($E$2:$E$4734=0)),0)</f>
        <v>0</v>
      </c>
      <c r="L2041" s="1" t="str">
        <f>IF(E2041=0,SUMPRODUCT(MIN($K$2:$K$4734+((($A$2:$A$4734&lt;&gt;A2041)+($E$2:$E$4734&lt;&gt;0))&gt;0)*1000000)),"")</f>
        <v/>
      </c>
      <c r="M2041" s="1">
        <f>IF(AND(E2041=0,COUNTIFS($A$2:A2041,A2041,$E$2:E2041,0)=1),L2041,0)</f>
        <v>0</v>
      </c>
    </row>
    <row r="2042" spans="1:13" ht="15" customHeight="1">
      <c r="A2042" s="1">
        <v>6</v>
      </c>
      <c r="B2042" s="1" t="s">
        <v>95</v>
      </c>
      <c r="C2042" s="2" t="s">
        <v>2379</v>
      </c>
      <c r="D2042" s="2" t="s">
        <v>2390</v>
      </c>
      <c r="E2042" s="1">
        <v>1</v>
      </c>
      <c r="F2042" s="2" t="s">
        <v>2393</v>
      </c>
      <c r="G2042" s="1">
        <v>3</v>
      </c>
      <c r="H2042" s="1" t="str">
        <f t="shared" si="32"/>
        <v>k6_3</v>
      </c>
      <c r="K2042" s="1">
        <f>IF(E2042=0,SUMPRODUCT(($A$2:$A$4734=A2042)*($B$2:$B$4734=B2042)*($D$2:$D$4734=D2042)*($E$2:$E$4734=0)),0)</f>
        <v>0</v>
      </c>
      <c r="L2042" s="1" t="str">
        <f>IF(E2042=0,SUMPRODUCT(MIN($K$2:$K$4734+((($A$2:$A$4734&lt;&gt;A2042)+($E$2:$E$4734&lt;&gt;0))&gt;0)*1000000)),"")</f>
        <v/>
      </c>
      <c r="M2042" s="1">
        <f>IF(AND(E2042=0,COUNTIFS($A$2:A2042,A2042,$E$2:E2042,0)=1),L2042,0)</f>
        <v>0</v>
      </c>
    </row>
    <row r="2043" spans="1:13" ht="15" customHeight="1">
      <c r="A2043" s="1">
        <v>6</v>
      </c>
      <c r="B2043" s="1" t="s">
        <v>95</v>
      </c>
      <c r="C2043" s="2" t="s">
        <v>2379</v>
      </c>
      <c r="D2043" s="2" t="s">
        <v>2390</v>
      </c>
      <c r="E2043" s="1">
        <v>1</v>
      </c>
      <c r="F2043" s="2" t="s">
        <v>2394</v>
      </c>
      <c r="G2043" s="1">
        <v>4</v>
      </c>
      <c r="H2043" s="1" t="str">
        <f t="shared" si="32"/>
        <v>k6_4</v>
      </c>
      <c r="K2043" s="1">
        <f>IF(E2043=0,SUMPRODUCT(($A$2:$A$4734=A2043)*($B$2:$B$4734=B2043)*($D$2:$D$4734=D2043)*($E$2:$E$4734=0)),0)</f>
        <v>0</v>
      </c>
      <c r="L2043" s="1" t="str">
        <f>IF(E2043=0,SUMPRODUCT(MIN($K$2:$K$4734+((($A$2:$A$4734&lt;&gt;A2043)+($E$2:$E$4734&lt;&gt;0))&gt;0)*1000000)),"")</f>
        <v/>
      </c>
      <c r="M2043" s="1">
        <f>IF(AND(E2043=0,COUNTIFS($A$2:A2043,A2043,$E$2:E2043,0)=1),L2043,0)</f>
        <v>0</v>
      </c>
    </row>
    <row r="2044" spans="1:13" ht="15" customHeight="1">
      <c r="A2044" s="1">
        <v>6</v>
      </c>
      <c r="B2044" s="1" t="s">
        <v>16</v>
      </c>
      <c r="C2044" s="2" t="s">
        <v>2379</v>
      </c>
      <c r="D2044" s="2" t="s">
        <v>2395</v>
      </c>
      <c r="E2044" s="1">
        <v>1</v>
      </c>
      <c r="F2044" s="2" t="s">
        <v>2396</v>
      </c>
      <c r="G2044" s="1">
        <v>1</v>
      </c>
      <c r="H2044" s="1" t="str">
        <f t="shared" si="32"/>
        <v>k6_1</v>
      </c>
      <c r="K2044" s="1">
        <f>IF(E2044=0,SUMPRODUCT(($A$2:$A$4734=A2044)*($B$2:$B$4734=B2044)*($D$2:$D$4734=D2044)*($E$2:$E$4734=0)),0)</f>
        <v>0</v>
      </c>
      <c r="L2044" s="1" t="str">
        <f>IF(E2044=0,SUMPRODUCT(MIN($K$2:$K$4734+((($A$2:$A$4734&lt;&gt;A2044)+($E$2:$E$4734&lt;&gt;0))&gt;0)*1000000)),"")</f>
        <v/>
      </c>
      <c r="M2044" s="1">
        <f>IF(AND(E2044=0,COUNTIFS($A$2:A2044,A2044,$E$2:E2044,0)=1),L2044,0)</f>
        <v>0</v>
      </c>
    </row>
    <row r="2045" spans="1:13" ht="15" customHeight="1">
      <c r="A2045" s="1">
        <v>6</v>
      </c>
      <c r="B2045" s="1" t="s">
        <v>16</v>
      </c>
      <c r="C2045" s="2" t="s">
        <v>2379</v>
      </c>
      <c r="D2045" s="2" t="s">
        <v>2395</v>
      </c>
      <c r="E2045" s="1">
        <v>1</v>
      </c>
      <c r="F2045" s="2" t="s">
        <v>2397</v>
      </c>
      <c r="G2045" s="1">
        <v>2</v>
      </c>
      <c r="H2045" s="1" t="str">
        <f t="shared" si="32"/>
        <v>k6_2</v>
      </c>
      <c r="K2045" s="1">
        <f>IF(E2045=0,SUMPRODUCT(($A$2:$A$4734=A2045)*($B$2:$B$4734=B2045)*($D$2:$D$4734=D2045)*($E$2:$E$4734=0)),0)</f>
        <v>0</v>
      </c>
      <c r="L2045" s="1" t="str">
        <f>IF(E2045=0,SUMPRODUCT(MIN($K$2:$K$4734+((($A$2:$A$4734&lt;&gt;A2045)+($E$2:$E$4734&lt;&gt;0))&gt;0)*1000000)),"")</f>
        <v/>
      </c>
      <c r="M2045" s="1">
        <f>IF(AND(E2045=0,COUNTIFS($A$2:A2045,A2045,$E$2:E2045,0)=1),L2045,0)</f>
        <v>0</v>
      </c>
    </row>
    <row r="2046" spans="1:13" ht="15" customHeight="1">
      <c r="A2046" s="1">
        <v>6</v>
      </c>
      <c r="B2046" s="1" t="s">
        <v>16</v>
      </c>
      <c r="C2046" s="2" t="s">
        <v>2379</v>
      </c>
      <c r="D2046" s="2" t="s">
        <v>2395</v>
      </c>
      <c r="E2046" s="1">
        <v>1</v>
      </c>
      <c r="F2046" s="2" t="s">
        <v>2398</v>
      </c>
      <c r="G2046" s="1">
        <v>3</v>
      </c>
      <c r="H2046" s="1" t="str">
        <f t="shared" si="32"/>
        <v>k6_3</v>
      </c>
      <c r="K2046" s="1">
        <f>IF(E2046=0,SUMPRODUCT(($A$2:$A$4734=A2046)*($B$2:$B$4734=B2046)*($D$2:$D$4734=D2046)*($E$2:$E$4734=0)),0)</f>
        <v>0</v>
      </c>
      <c r="L2046" s="1" t="str">
        <f>IF(E2046=0,SUMPRODUCT(MIN($K$2:$K$4734+((($A$2:$A$4734&lt;&gt;A2046)+($E$2:$E$4734&lt;&gt;0))&gt;0)*1000000)),"")</f>
        <v/>
      </c>
      <c r="M2046" s="1">
        <f>IF(AND(E2046=0,COUNTIFS($A$2:A2046,A2046,$E$2:E2046,0)=1),L2046,0)</f>
        <v>0</v>
      </c>
    </row>
    <row r="2047" spans="1:13" ht="15" customHeight="1">
      <c r="A2047" s="1">
        <v>6</v>
      </c>
      <c r="B2047" s="1" t="s">
        <v>16</v>
      </c>
      <c r="C2047" s="2" t="s">
        <v>2379</v>
      </c>
      <c r="D2047" s="2" t="s">
        <v>2395</v>
      </c>
      <c r="E2047" s="1">
        <v>1</v>
      </c>
      <c r="F2047" s="2" t="s">
        <v>2399</v>
      </c>
      <c r="G2047" s="1">
        <v>4</v>
      </c>
      <c r="H2047" s="1" t="str">
        <f t="shared" si="32"/>
        <v>k6_4</v>
      </c>
      <c r="K2047" s="1">
        <f>IF(E2047=0,SUMPRODUCT(($A$2:$A$4734=A2047)*($B$2:$B$4734=B2047)*($D$2:$D$4734=D2047)*($E$2:$E$4734=0)),0)</f>
        <v>0</v>
      </c>
      <c r="L2047" s="1" t="str">
        <f>IF(E2047=0,SUMPRODUCT(MIN($K$2:$K$4734+((($A$2:$A$4734&lt;&gt;A2047)+($E$2:$E$4734&lt;&gt;0))&gt;0)*1000000)),"")</f>
        <v/>
      </c>
      <c r="M2047" s="1">
        <f>IF(AND(E2047=0,COUNTIFS($A$2:A2047,A2047,$E$2:E2047,0)=1),L2047,0)</f>
        <v>0</v>
      </c>
    </row>
    <row r="2048" spans="1:13" ht="15" customHeight="1">
      <c r="A2048" s="1">
        <v>7</v>
      </c>
      <c r="B2048" s="1" t="s">
        <v>9</v>
      </c>
      <c r="C2048" s="2" t="s">
        <v>2400</v>
      </c>
      <c r="D2048" s="2" t="s">
        <v>2401</v>
      </c>
      <c r="E2048" s="1">
        <v>1</v>
      </c>
      <c r="F2048" s="2" t="s">
        <v>2402</v>
      </c>
      <c r="G2048" s="1">
        <v>1</v>
      </c>
      <c r="H2048" s="1" t="str">
        <f t="shared" si="32"/>
        <v>k7_1</v>
      </c>
      <c r="K2048" s="1">
        <f>IF(E2048=0,SUMPRODUCT(($A$2:$A$4734=A2048)*($B$2:$B$4734=B2048)*($D$2:$D$4734=D2048)*($E$2:$E$4734=0)),0)</f>
        <v>0</v>
      </c>
      <c r="L2048" s="1" t="str">
        <f>IF(E2048=0,SUMPRODUCT(MIN($K$2:$K$4734+((($A$2:$A$4734&lt;&gt;A2048)+($E$2:$E$4734&lt;&gt;0))&gt;0)*1000000)),"")</f>
        <v/>
      </c>
      <c r="M2048" s="1">
        <f>IF(AND(E2048=0,COUNTIFS($A$2:A2048,A2048,$E$2:E2048,0)=1),L2048,0)</f>
        <v>0</v>
      </c>
    </row>
    <row r="2049" spans="1:13" ht="15" customHeight="1">
      <c r="A2049" s="1">
        <v>7</v>
      </c>
      <c r="B2049" s="1" t="s">
        <v>9</v>
      </c>
      <c r="C2049" s="2" t="s">
        <v>2400</v>
      </c>
      <c r="D2049" s="2" t="s">
        <v>2401</v>
      </c>
      <c r="E2049" s="1">
        <v>1</v>
      </c>
      <c r="F2049" s="2" t="s">
        <v>2403</v>
      </c>
      <c r="G2049" s="1">
        <v>2</v>
      </c>
      <c r="H2049" s="1" t="str">
        <f t="shared" si="32"/>
        <v>k7_2</v>
      </c>
      <c r="K2049" s="1">
        <f>IF(E2049=0,SUMPRODUCT(($A$2:$A$4734=A2049)*($B$2:$B$4734=B2049)*($D$2:$D$4734=D2049)*($E$2:$E$4734=0)),0)</f>
        <v>0</v>
      </c>
      <c r="L2049" s="1" t="str">
        <f>IF(E2049=0,SUMPRODUCT(MIN($K$2:$K$4734+((($A$2:$A$4734&lt;&gt;A2049)+($E$2:$E$4734&lt;&gt;0))&gt;0)*1000000)),"")</f>
        <v/>
      </c>
      <c r="M2049" s="1">
        <f>IF(AND(E2049=0,COUNTIFS($A$2:A2049,A2049,$E$2:E2049,0)=1),L2049,0)</f>
        <v>0</v>
      </c>
    </row>
    <row r="2050" spans="1:13" ht="15" customHeight="1">
      <c r="A2050" s="1">
        <v>7</v>
      </c>
      <c r="B2050" s="1" t="s">
        <v>9</v>
      </c>
      <c r="C2050" s="2" t="s">
        <v>2400</v>
      </c>
      <c r="D2050" s="2" t="s">
        <v>2401</v>
      </c>
      <c r="E2050" s="1">
        <v>1</v>
      </c>
      <c r="F2050" s="2" t="s">
        <v>2404</v>
      </c>
      <c r="G2050" s="1">
        <v>3</v>
      </c>
      <c r="H2050" s="1" t="str">
        <f t="shared" si="32"/>
        <v>k7_3</v>
      </c>
      <c r="K2050" s="1">
        <f>IF(E2050=0,SUMPRODUCT(($A$2:$A$4734=A2050)*($B$2:$B$4734=B2050)*($D$2:$D$4734=D2050)*($E$2:$E$4734=0)),0)</f>
        <v>0</v>
      </c>
      <c r="L2050" s="1" t="str">
        <f>IF(E2050=0,SUMPRODUCT(MIN($K$2:$K$4734+((($A$2:$A$4734&lt;&gt;A2050)+($E$2:$E$4734&lt;&gt;0))&gt;0)*1000000)),"")</f>
        <v/>
      </c>
      <c r="M2050" s="1">
        <f>IF(AND(E2050=0,COUNTIFS($A$2:A2050,A2050,$E$2:E2050,0)=1),L2050,0)</f>
        <v>0</v>
      </c>
    </row>
    <row r="2051" spans="1:13" ht="15" customHeight="1">
      <c r="A2051" s="1">
        <v>7</v>
      </c>
      <c r="B2051" s="1" t="s">
        <v>9</v>
      </c>
      <c r="C2051" s="2" t="s">
        <v>2400</v>
      </c>
      <c r="D2051" s="2" t="s">
        <v>2401</v>
      </c>
      <c r="E2051" s="1">
        <v>1</v>
      </c>
      <c r="F2051" s="2" t="s">
        <v>2405</v>
      </c>
      <c r="G2051" s="1">
        <v>4</v>
      </c>
      <c r="H2051" s="1" t="str">
        <f t="shared" si="32"/>
        <v>k7_4</v>
      </c>
      <c r="K2051" s="1">
        <f>IF(E2051=0,SUMPRODUCT(($A$2:$A$4734=A2051)*($B$2:$B$4734=B2051)*($D$2:$D$4734=D2051)*($E$2:$E$4734=0)),0)</f>
        <v>0</v>
      </c>
      <c r="L2051" s="1" t="str">
        <f>IF(E2051=0,SUMPRODUCT(MIN($K$2:$K$4734+((($A$2:$A$4734&lt;&gt;A2051)+($E$2:$E$4734&lt;&gt;0))&gt;0)*1000000)),"")</f>
        <v/>
      </c>
      <c r="M2051" s="1">
        <f>IF(AND(E2051=0,COUNTIFS($A$2:A2051,A2051,$E$2:E2051,0)=1),L2051,0)</f>
        <v>0</v>
      </c>
    </row>
    <row r="2052" spans="1:13" ht="15" customHeight="1">
      <c r="A2052" s="1">
        <v>7</v>
      </c>
      <c r="B2052" s="1" t="s">
        <v>9</v>
      </c>
      <c r="C2052" s="2" t="s">
        <v>2400</v>
      </c>
      <c r="D2052" s="2" t="s">
        <v>2401</v>
      </c>
      <c r="E2052" s="1">
        <v>1</v>
      </c>
      <c r="F2052" s="2" t="s">
        <v>2406</v>
      </c>
      <c r="G2052" s="1">
        <v>5</v>
      </c>
      <c r="H2052" s="1" t="str">
        <f t="shared" si="32"/>
        <v>k7_5</v>
      </c>
      <c r="K2052" s="1">
        <f>IF(E2052=0,SUMPRODUCT(($A$2:$A$4734=A2052)*($B$2:$B$4734=B2052)*($D$2:$D$4734=D2052)*($E$2:$E$4734=0)),0)</f>
        <v>0</v>
      </c>
      <c r="L2052" s="1" t="str">
        <f>IF(E2052=0,SUMPRODUCT(MIN($K$2:$K$4734+((($A$2:$A$4734&lt;&gt;A2052)+($E$2:$E$4734&lt;&gt;0))&gt;0)*1000000)),"")</f>
        <v/>
      </c>
      <c r="M2052" s="1">
        <f>IF(AND(E2052=0,COUNTIFS($A$2:A2052,A2052,$E$2:E2052,0)=1),L2052,0)</f>
        <v>0</v>
      </c>
    </row>
    <row r="2053" spans="1:13" ht="15" customHeight="1">
      <c r="A2053" s="1">
        <v>7</v>
      </c>
      <c r="B2053" s="1" t="s">
        <v>9</v>
      </c>
      <c r="C2053" s="2" t="s">
        <v>2400</v>
      </c>
      <c r="D2053" s="2" t="s">
        <v>2407</v>
      </c>
      <c r="E2053" s="1">
        <v>1</v>
      </c>
      <c r="F2053" s="2" t="s">
        <v>2408</v>
      </c>
      <c r="G2053" s="1">
        <v>1</v>
      </c>
      <c r="H2053" s="1" t="str">
        <f t="shared" si="32"/>
        <v>k7_1</v>
      </c>
      <c r="K2053" s="1">
        <f>IF(E2053=0,SUMPRODUCT(($A$2:$A$4734=A2053)*($B$2:$B$4734=B2053)*($D$2:$D$4734=D2053)*($E$2:$E$4734=0)),0)</f>
        <v>0</v>
      </c>
      <c r="L2053" s="1" t="str">
        <f>IF(E2053=0,SUMPRODUCT(MIN($K$2:$K$4734+((($A$2:$A$4734&lt;&gt;A2053)+($E$2:$E$4734&lt;&gt;0))&gt;0)*1000000)),"")</f>
        <v/>
      </c>
      <c r="M2053" s="1">
        <f>IF(AND(E2053=0,COUNTIFS($A$2:A2053,A2053,$E$2:E2053,0)=1),L2053,0)</f>
        <v>0</v>
      </c>
    </row>
    <row r="2054" spans="1:13" ht="15" customHeight="1">
      <c r="A2054" s="1">
        <v>7</v>
      </c>
      <c r="B2054" s="1" t="s">
        <v>9</v>
      </c>
      <c r="C2054" s="2" t="s">
        <v>2400</v>
      </c>
      <c r="D2054" s="2" t="s">
        <v>2407</v>
      </c>
      <c r="E2054" s="1">
        <v>1</v>
      </c>
      <c r="F2054" s="2" t="s">
        <v>2409</v>
      </c>
      <c r="G2054" s="1">
        <v>2</v>
      </c>
      <c r="H2054" s="1" t="str">
        <f t="shared" si="32"/>
        <v>k7_2</v>
      </c>
      <c r="K2054" s="1">
        <f>IF(E2054=0,SUMPRODUCT(($A$2:$A$4734=A2054)*($B$2:$B$4734=B2054)*($D$2:$D$4734=D2054)*($E$2:$E$4734=0)),0)</f>
        <v>0</v>
      </c>
      <c r="L2054" s="1" t="str">
        <f>IF(E2054=0,SUMPRODUCT(MIN($K$2:$K$4734+((($A$2:$A$4734&lt;&gt;A2054)+($E$2:$E$4734&lt;&gt;0))&gt;0)*1000000)),"")</f>
        <v/>
      </c>
      <c r="M2054" s="1">
        <f>IF(AND(E2054=0,COUNTIFS($A$2:A2054,A2054,$E$2:E2054,0)=1),L2054,0)</f>
        <v>0</v>
      </c>
    </row>
    <row r="2055" spans="1:13" ht="15" customHeight="1">
      <c r="A2055" s="1">
        <v>7</v>
      </c>
      <c r="B2055" s="1" t="s">
        <v>9</v>
      </c>
      <c r="C2055" s="2" t="s">
        <v>2400</v>
      </c>
      <c r="D2055" s="2" t="s">
        <v>2407</v>
      </c>
      <c r="E2055" s="1">
        <v>1</v>
      </c>
      <c r="F2055" s="2" t="s">
        <v>2410</v>
      </c>
      <c r="G2055" s="1">
        <v>3</v>
      </c>
      <c r="H2055" s="1" t="str">
        <f t="shared" si="32"/>
        <v>k7_3</v>
      </c>
      <c r="K2055" s="1">
        <f>IF(E2055=0,SUMPRODUCT(($A$2:$A$4734=A2055)*($B$2:$B$4734=B2055)*($D$2:$D$4734=D2055)*($E$2:$E$4734=0)),0)</f>
        <v>0</v>
      </c>
      <c r="L2055" s="1" t="str">
        <f>IF(E2055=0,SUMPRODUCT(MIN($K$2:$K$4734+((($A$2:$A$4734&lt;&gt;A2055)+($E$2:$E$4734&lt;&gt;0))&gt;0)*1000000)),"")</f>
        <v/>
      </c>
      <c r="M2055" s="1">
        <f>IF(AND(E2055=0,COUNTIFS($A$2:A2055,A2055,$E$2:E2055,0)=1),L2055,0)</f>
        <v>0</v>
      </c>
    </row>
    <row r="2056" spans="1:13" ht="15" customHeight="1">
      <c r="A2056" s="1">
        <v>7</v>
      </c>
      <c r="B2056" s="1" t="s">
        <v>9</v>
      </c>
      <c r="C2056" s="2" t="s">
        <v>2400</v>
      </c>
      <c r="D2056" s="2" t="s">
        <v>2407</v>
      </c>
      <c r="E2056" s="1">
        <v>1</v>
      </c>
      <c r="F2056" s="2" t="s">
        <v>2410</v>
      </c>
      <c r="G2056" s="1">
        <v>5</v>
      </c>
      <c r="H2056" s="1" t="str">
        <f t="shared" si="32"/>
        <v>k7_5</v>
      </c>
      <c r="K2056" s="1">
        <f>IF(E2056=0,SUMPRODUCT(($A$2:$A$4734=A2056)*($B$2:$B$4734=B2056)*($D$2:$D$4734=D2056)*($E$2:$E$4734=0)),0)</f>
        <v>0</v>
      </c>
      <c r="L2056" s="1" t="str">
        <f>IF(E2056=0,SUMPRODUCT(MIN($K$2:$K$4734+((($A$2:$A$4734&lt;&gt;A2056)+($E$2:$E$4734&lt;&gt;0))&gt;0)*1000000)),"")</f>
        <v/>
      </c>
      <c r="M2056" s="1">
        <f>IF(AND(E2056=0,COUNTIFS($A$2:A2056,A2056,$E$2:E2056,0)=1),L2056,0)</f>
        <v>0</v>
      </c>
    </row>
    <row r="2057" spans="1:13" ht="15" customHeight="1">
      <c r="A2057" s="1">
        <v>7</v>
      </c>
      <c r="B2057" s="1" t="s">
        <v>9</v>
      </c>
      <c r="C2057" s="2" t="s">
        <v>2400</v>
      </c>
      <c r="D2057" s="2" t="s">
        <v>2407</v>
      </c>
      <c r="E2057" s="1">
        <v>1</v>
      </c>
      <c r="F2057" s="2" t="s">
        <v>2411</v>
      </c>
      <c r="G2057" s="1">
        <v>4</v>
      </c>
      <c r="H2057" s="1" t="str">
        <f t="shared" si="32"/>
        <v>k7_4</v>
      </c>
      <c r="K2057" s="1">
        <f>IF(E2057=0,SUMPRODUCT(($A$2:$A$4734=A2057)*($B$2:$B$4734=B2057)*($D$2:$D$4734=D2057)*($E$2:$E$4734=0)),0)</f>
        <v>0</v>
      </c>
      <c r="L2057" s="1" t="str">
        <f>IF(E2057=0,SUMPRODUCT(MIN($K$2:$K$4734+((($A$2:$A$4734&lt;&gt;A2057)+($E$2:$E$4734&lt;&gt;0))&gt;0)*1000000)),"")</f>
        <v/>
      </c>
      <c r="M2057" s="1">
        <f>IF(AND(E2057=0,COUNTIFS($A$2:A2057,A2057,$E$2:E2057,0)=1),L2057,0)</f>
        <v>0</v>
      </c>
    </row>
    <row r="2058" spans="1:13" ht="15" customHeight="1">
      <c r="A2058" s="1">
        <v>8</v>
      </c>
      <c r="B2058" s="1" t="s">
        <v>16</v>
      </c>
      <c r="C2058" s="2" t="s">
        <v>2412</v>
      </c>
      <c r="D2058" s="2" t="s">
        <v>2413</v>
      </c>
      <c r="E2058" s="1">
        <v>1</v>
      </c>
      <c r="F2058" s="2" t="s">
        <v>2414</v>
      </c>
      <c r="G2058" s="1">
        <v>1</v>
      </c>
      <c r="H2058" s="1" t="str">
        <f t="shared" si="32"/>
        <v>k8_1</v>
      </c>
      <c r="K2058" s="1">
        <f>IF(E2058=0,SUMPRODUCT(($A$2:$A$4734=A2058)*($B$2:$B$4734=B2058)*($D$2:$D$4734=D2058)*($E$2:$E$4734=0)),0)</f>
        <v>0</v>
      </c>
      <c r="L2058" s="1" t="str">
        <f>IF(E2058=0,SUMPRODUCT(MIN($K$2:$K$4734+((($A$2:$A$4734&lt;&gt;A2058)+($E$2:$E$4734&lt;&gt;0))&gt;0)*1000000)),"")</f>
        <v/>
      </c>
      <c r="M2058" s="1">
        <f>IF(AND(E2058=0,COUNTIFS($A$2:A2058,A2058,$E$2:E2058,0)=1),L2058,0)</f>
        <v>0</v>
      </c>
    </row>
    <row r="2059" spans="1:13" ht="15" customHeight="1">
      <c r="A2059" s="1">
        <v>8</v>
      </c>
      <c r="B2059" s="1" t="s">
        <v>16</v>
      </c>
      <c r="C2059" s="2" t="s">
        <v>2412</v>
      </c>
      <c r="D2059" s="2" t="s">
        <v>2413</v>
      </c>
      <c r="E2059" s="1">
        <v>1</v>
      </c>
      <c r="F2059" s="2" t="s">
        <v>2415</v>
      </c>
      <c r="G2059" s="1">
        <v>2</v>
      </c>
      <c r="H2059" s="1" t="str">
        <f t="shared" si="32"/>
        <v>k8_2</v>
      </c>
      <c r="K2059" s="1">
        <f>IF(E2059=0,SUMPRODUCT(($A$2:$A$4734=A2059)*($B$2:$B$4734=B2059)*($D$2:$D$4734=D2059)*($E$2:$E$4734=0)),0)</f>
        <v>0</v>
      </c>
      <c r="L2059" s="1" t="str">
        <f>IF(E2059=0,SUMPRODUCT(MIN($K$2:$K$4734+((($A$2:$A$4734&lt;&gt;A2059)+($E$2:$E$4734&lt;&gt;0))&gt;0)*1000000)),"")</f>
        <v/>
      </c>
      <c r="M2059" s="1">
        <f>IF(AND(E2059=0,COUNTIFS($A$2:A2059,A2059,$E$2:E2059,0)=1),L2059,0)</f>
        <v>0</v>
      </c>
    </row>
    <row r="2060" spans="1:13" ht="15" customHeight="1">
      <c r="A2060" s="1">
        <v>8</v>
      </c>
      <c r="B2060" s="1" t="s">
        <v>16</v>
      </c>
      <c r="C2060" s="2" t="s">
        <v>2412</v>
      </c>
      <c r="D2060" s="2" t="s">
        <v>2413</v>
      </c>
      <c r="E2060" s="1">
        <v>1</v>
      </c>
      <c r="F2060" s="2" t="s">
        <v>2415</v>
      </c>
      <c r="G2060" s="1">
        <v>5</v>
      </c>
      <c r="H2060" s="1" t="str">
        <f t="shared" si="32"/>
        <v>k8_5</v>
      </c>
      <c r="K2060" s="1">
        <f>IF(E2060=0,SUMPRODUCT(($A$2:$A$4734=A2060)*($B$2:$B$4734=B2060)*($D$2:$D$4734=D2060)*($E$2:$E$4734=0)),0)</f>
        <v>0</v>
      </c>
      <c r="L2060" s="1" t="str">
        <f>IF(E2060=0,SUMPRODUCT(MIN($K$2:$K$4734+((($A$2:$A$4734&lt;&gt;A2060)+($E$2:$E$4734&lt;&gt;0))&gt;0)*1000000)),"")</f>
        <v/>
      </c>
      <c r="M2060" s="1">
        <f>IF(AND(E2060=0,COUNTIFS($A$2:A2060,A2060,$E$2:E2060,0)=1),L2060,0)</f>
        <v>0</v>
      </c>
    </row>
    <row r="2061" spans="1:13" ht="15" customHeight="1">
      <c r="A2061" s="1">
        <v>8</v>
      </c>
      <c r="B2061" s="1" t="s">
        <v>16</v>
      </c>
      <c r="C2061" s="2" t="s">
        <v>2412</v>
      </c>
      <c r="D2061" s="2" t="s">
        <v>2413</v>
      </c>
      <c r="E2061" s="1">
        <v>1</v>
      </c>
      <c r="F2061" s="2" t="s">
        <v>2416</v>
      </c>
      <c r="G2061" s="1">
        <v>3</v>
      </c>
      <c r="H2061" s="1" t="str">
        <f t="shared" si="32"/>
        <v>k8_3</v>
      </c>
      <c r="K2061" s="1">
        <f>IF(E2061=0,SUMPRODUCT(($A$2:$A$4734=A2061)*($B$2:$B$4734=B2061)*($D$2:$D$4734=D2061)*($E$2:$E$4734=0)),0)</f>
        <v>0</v>
      </c>
      <c r="L2061" s="1" t="str">
        <f>IF(E2061=0,SUMPRODUCT(MIN($K$2:$K$4734+((($A$2:$A$4734&lt;&gt;A2061)+($E$2:$E$4734&lt;&gt;0))&gt;0)*1000000)),"")</f>
        <v/>
      </c>
      <c r="M2061" s="1">
        <f>IF(AND(E2061=0,COUNTIFS($A$2:A2061,A2061,$E$2:E2061,0)=1),L2061,0)</f>
        <v>0</v>
      </c>
    </row>
    <row r="2062" spans="1:13" ht="15" customHeight="1">
      <c r="A2062" s="1">
        <v>8</v>
      </c>
      <c r="B2062" s="1" t="s">
        <v>144</v>
      </c>
      <c r="C2062" s="2" t="s">
        <v>2412</v>
      </c>
      <c r="D2062" s="2" t="s">
        <v>2417</v>
      </c>
      <c r="E2062" s="1">
        <v>1</v>
      </c>
      <c r="F2062" s="2" t="s">
        <v>2418</v>
      </c>
      <c r="G2062" s="1">
        <v>1</v>
      </c>
      <c r="H2062" s="1" t="str">
        <f t="shared" si="32"/>
        <v>k8_1</v>
      </c>
      <c r="K2062" s="1">
        <f>IF(E2062=0,SUMPRODUCT(($A$2:$A$4734=A2062)*($B$2:$B$4734=B2062)*($D$2:$D$4734=D2062)*($E$2:$E$4734=0)),0)</f>
        <v>0</v>
      </c>
      <c r="L2062" s="1" t="str">
        <f>IF(E2062=0,SUMPRODUCT(MIN($K$2:$K$4734+((($A$2:$A$4734&lt;&gt;A2062)+($E$2:$E$4734&lt;&gt;0))&gt;0)*1000000)),"")</f>
        <v/>
      </c>
      <c r="M2062" s="1">
        <f>IF(AND(E2062=0,COUNTIFS($A$2:A2062,A2062,$E$2:E2062,0)=1),L2062,0)</f>
        <v>0</v>
      </c>
    </row>
    <row r="2063" spans="1:13" ht="15" customHeight="1">
      <c r="A2063" s="1">
        <v>8</v>
      </c>
      <c r="B2063" s="1" t="s">
        <v>144</v>
      </c>
      <c r="C2063" s="2" t="s">
        <v>2412</v>
      </c>
      <c r="D2063" s="2" t="s">
        <v>2417</v>
      </c>
      <c r="E2063" s="1">
        <v>1</v>
      </c>
      <c r="F2063" s="2" t="s">
        <v>2419</v>
      </c>
      <c r="G2063" s="1">
        <v>2</v>
      </c>
      <c r="H2063" s="1" t="str">
        <f t="shared" si="32"/>
        <v>k8_2</v>
      </c>
      <c r="K2063" s="1">
        <f>IF(E2063=0,SUMPRODUCT(($A$2:$A$4734=A2063)*($B$2:$B$4734=B2063)*($D$2:$D$4734=D2063)*($E$2:$E$4734=0)),0)</f>
        <v>0</v>
      </c>
      <c r="L2063" s="1" t="str">
        <f>IF(E2063=0,SUMPRODUCT(MIN($K$2:$K$4734+((($A$2:$A$4734&lt;&gt;A2063)+($E$2:$E$4734&lt;&gt;0))&gt;0)*1000000)),"")</f>
        <v/>
      </c>
      <c r="M2063" s="1">
        <f>IF(AND(E2063=0,COUNTIFS($A$2:A2063,A2063,$E$2:E2063,0)=1),L2063,0)</f>
        <v>0</v>
      </c>
    </row>
    <row r="2064" spans="1:13" ht="15" customHeight="1">
      <c r="A2064" s="1">
        <v>8</v>
      </c>
      <c r="B2064" s="1" t="s">
        <v>144</v>
      </c>
      <c r="C2064" s="2" t="s">
        <v>2412</v>
      </c>
      <c r="D2064" s="2" t="s">
        <v>2417</v>
      </c>
      <c r="E2064" s="1">
        <v>1</v>
      </c>
      <c r="F2064" s="2" t="s">
        <v>2420</v>
      </c>
      <c r="G2064" s="1">
        <v>3</v>
      </c>
      <c r="H2064" s="1" t="str">
        <f t="shared" si="32"/>
        <v>k8_3</v>
      </c>
      <c r="K2064" s="1">
        <f>IF(E2064=0,SUMPRODUCT(($A$2:$A$4734=A2064)*($B$2:$B$4734=B2064)*($D$2:$D$4734=D2064)*($E$2:$E$4734=0)),0)</f>
        <v>0</v>
      </c>
      <c r="L2064" s="1" t="str">
        <f>IF(E2064=0,SUMPRODUCT(MIN($K$2:$K$4734+((($A$2:$A$4734&lt;&gt;A2064)+($E$2:$E$4734&lt;&gt;0))&gt;0)*1000000)),"")</f>
        <v/>
      </c>
      <c r="M2064" s="1">
        <f>IF(AND(E2064=0,COUNTIFS($A$2:A2064,A2064,$E$2:E2064,0)=1),L2064,0)</f>
        <v>0</v>
      </c>
    </row>
    <row r="2065" spans="1:13" ht="15" customHeight="1">
      <c r="A2065" s="1">
        <v>8</v>
      </c>
      <c r="B2065" s="1" t="s">
        <v>144</v>
      </c>
      <c r="C2065" s="2" t="s">
        <v>2412</v>
      </c>
      <c r="D2065" s="2" t="s">
        <v>2417</v>
      </c>
      <c r="E2065" s="1">
        <v>1</v>
      </c>
      <c r="F2065" s="2" t="s">
        <v>2421</v>
      </c>
      <c r="G2065" s="1">
        <v>4</v>
      </c>
      <c r="H2065" s="1" t="str">
        <f t="shared" si="32"/>
        <v>k8_4</v>
      </c>
      <c r="K2065" s="1">
        <f>IF(E2065=0,SUMPRODUCT(($A$2:$A$4734=A2065)*($B$2:$B$4734=B2065)*($D$2:$D$4734=D2065)*($E$2:$E$4734=0)),0)</f>
        <v>0</v>
      </c>
      <c r="L2065" s="1" t="str">
        <f>IF(E2065=0,SUMPRODUCT(MIN($K$2:$K$4734+((($A$2:$A$4734&lt;&gt;A2065)+($E$2:$E$4734&lt;&gt;0))&gt;0)*1000000)),"")</f>
        <v/>
      </c>
      <c r="M2065" s="1">
        <f>IF(AND(E2065=0,COUNTIFS($A$2:A2065,A2065,$E$2:E2065,0)=1),L2065,0)</f>
        <v>0</v>
      </c>
    </row>
    <row r="2066" spans="1:13" ht="15" customHeight="1">
      <c r="A2066" s="1">
        <v>8</v>
      </c>
      <c r="B2066" s="1" t="s">
        <v>144</v>
      </c>
      <c r="C2066" s="2" t="s">
        <v>2412</v>
      </c>
      <c r="D2066" s="2" t="s">
        <v>2417</v>
      </c>
      <c r="E2066" s="1">
        <v>1</v>
      </c>
      <c r="F2066" s="2" t="s">
        <v>2421</v>
      </c>
      <c r="G2066" s="1">
        <v>5</v>
      </c>
      <c r="H2066" s="1" t="str">
        <f t="shared" si="32"/>
        <v>k8_5</v>
      </c>
      <c r="K2066" s="1">
        <f>IF(E2066=0,SUMPRODUCT(($A$2:$A$4734=A2066)*($B$2:$B$4734=B2066)*($D$2:$D$4734=D2066)*($E$2:$E$4734=0)),0)</f>
        <v>0</v>
      </c>
      <c r="L2066" s="1" t="str">
        <f>IF(E2066=0,SUMPRODUCT(MIN($K$2:$K$4734+((($A$2:$A$4734&lt;&gt;A2066)+($E$2:$E$4734&lt;&gt;0))&gt;0)*1000000)),"")</f>
        <v/>
      </c>
      <c r="M2066" s="1">
        <f>IF(AND(E2066=0,COUNTIFS($A$2:A2066,A2066,$E$2:E2066,0)=1),L2066,0)</f>
        <v>0</v>
      </c>
    </row>
    <row r="2067" spans="1:13" ht="15" customHeight="1">
      <c r="A2067" s="1">
        <v>8</v>
      </c>
      <c r="B2067" s="1" t="s">
        <v>95</v>
      </c>
      <c r="C2067" s="2" t="s">
        <v>2412</v>
      </c>
      <c r="D2067" s="2" t="s">
        <v>2417</v>
      </c>
      <c r="E2067" s="1">
        <v>1</v>
      </c>
      <c r="F2067" s="2" t="s">
        <v>2422</v>
      </c>
      <c r="G2067" s="1">
        <v>1</v>
      </c>
      <c r="H2067" s="1" t="str">
        <f t="shared" si="32"/>
        <v>k8_1</v>
      </c>
      <c r="K2067" s="1">
        <f>IF(E2067=0,SUMPRODUCT(($A$2:$A$4734=A2067)*($B$2:$B$4734=B2067)*($D$2:$D$4734=D2067)*($E$2:$E$4734=0)),0)</f>
        <v>0</v>
      </c>
      <c r="L2067" s="1" t="str">
        <f>IF(E2067=0,SUMPRODUCT(MIN($K$2:$K$4734+((($A$2:$A$4734&lt;&gt;A2067)+($E$2:$E$4734&lt;&gt;0))&gt;0)*1000000)),"")</f>
        <v/>
      </c>
      <c r="M2067" s="1">
        <f>IF(AND(E2067=0,COUNTIFS($A$2:A2067,A2067,$E$2:E2067,0)=1),L2067,0)</f>
        <v>0</v>
      </c>
    </row>
    <row r="2068" spans="1:13" ht="15" customHeight="1">
      <c r="A2068" s="1">
        <v>8</v>
      </c>
      <c r="B2068" s="1" t="s">
        <v>95</v>
      </c>
      <c r="C2068" s="2" t="s">
        <v>2412</v>
      </c>
      <c r="D2068" s="2" t="s">
        <v>2417</v>
      </c>
      <c r="E2068" s="1">
        <v>1</v>
      </c>
      <c r="F2068" s="2" t="s">
        <v>2423</v>
      </c>
      <c r="G2068" s="1">
        <v>2</v>
      </c>
      <c r="H2068" s="1" t="str">
        <f t="shared" si="32"/>
        <v>k8_2</v>
      </c>
      <c r="K2068" s="1">
        <f>IF(E2068=0,SUMPRODUCT(($A$2:$A$4734=A2068)*($B$2:$B$4734=B2068)*($D$2:$D$4734=D2068)*($E$2:$E$4734=0)),0)</f>
        <v>0</v>
      </c>
      <c r="L2068" s="1" t="str">
        <f>IF(E2068=0,SUMPRODUCT(MIN($K$2:$K$4734+((($A$2:$A$4734&lt;&gt;A2068)+($E$2:$E$4734&lt;&gt;0))&gt;0)*1000000)),"")</f>
        <v/>
      </c>
      <c r="M2068" s="1">
        <f>IF(AND(E2068=0,COUNTIFS($A$2:A2068,A2068,$E$2:E2068,0)=1),L2068,0)</f>
        <v>0</v>
      </c>
    </row>
    <row r="2069" spans="1:13" ht="15" customHeight="1">
      <c r="A2069" s="1">
        <v>8</v>
      </c>
      <c r="B2069" s="1" t="s">
        <v>95</v>
      </c>
      <c r="C2069" s="2" t="s">
        <v>2412</v>
      </c>
      <c r="D2069" s="2" t="s">
        <v>2417</v>
      </c>
      <c r="E2069" s="1">
        <v>1</v>
      </c>
      <c r="F2069" s="2" t="s">
        <v>2424</v>
      </c>
      <c r="G2069" s="1">
        <v>3</v>
      </c>
      <c r="H2069" s="1" t="str">
        <f t="shared" si="32"/>
        <v>k8_3</v>
      </c>
      <c r="K2069" s="1">
        <f>IF(E2069=0,SUMPRODUCT(($A$2:$A$4734=A2069)*($B$2:$B$4734=B2069)*($D$2:$D$4734=D2069)*($E$2:$E$4734=0)),0)</f>
        <v>0</v>
      </c>
      <c r="L2069" s="1" t="str">
        <f>IF(E2069=0,SUMPRODUCT(MIN($K$2:$K$4734+((($A$2:$A$4734&lt;&gt;A2069)+($E$2:$E$4734&lt;&gt;0))&gt;0)*1000000)),"")</f>
        <v/>
      </c>
      <c r="M2069" s="1">
        <f>IF(AND(E2069=0,COUNTIFS($A$2:A2069,A2069,$E$2:E2069,0)=1),L2069,0)</f>
        <v>0</v>
      </c>
    </row>
    <row r="2070" spans="1:13" ht="15" customHeight="1">
      <c r="A2070" s="1">
        <v>8</v>
      </c>
      <c r="B2070" s="1" t="s">
        <v>95</v>
      </c>
      <c r="C2070" s="2" t="s">
        <v>2412</v>
      </c>
      <c r="D2070" s="2" t="s">
        <v>2417</v>
      </c>
      <c r="E2070" s="1">
        <v>1</v>
      </c>
      <c r="F2070" s="2" t="s">
        <v>2425</v>
      </c>
      <c r="G2070" s="1">
        <v>4</v>
      </c>
      <c r="H2070" s="1" t="str">
        <f t="shared" si="32"/>
        <v>k8_4</v>
      </c>
      <c r="K2070" s="1">
        <f>IF(E2070=0,SUMPRODUCT(($A$2:$A$4734=A2070)*($B$2:$B$4734=B2070)*($D$2:$D$4734=D2070)*($E$2:$E$4734=0)),0)</f>
        <v>0</v>
      </c>
      <c r="L2070" s="1" t="str">
        <f>IF(E2070=0,SUMPRODUCT(MIN($K$2:$K$4734+((($A$2:$A$4734&lt;&gt;A2070)+($E$2:$E$4734&lt;&gt;0))&gt;0)*1000000)),"")</f>
        <v/>
      </c>
      <c r="M2070" s="1">
        <f>IF(AND(E2070=0,COUNTIFS($A$2:A2070,A2070,$E$2:E2070,0)=1),L2070,0)</f>
        <v>0</v>
      </c>
    </row>
    <row r="2071" spans="1:13" ht="15" customHeight="1">
      <c r="A2071" s="1">
        <v>8</v>
      </c>
      <c r="B2071" s="1" t="s">
        <v>95</v>
      </c>
      <c r="C2071" s="2" t="s">
        <v>2412</v>
      </c>
      <c r="D2071" s="2" t="s">
        <v>2417</v>
      </c>
      <c r="E2071" s="1">
        <v>1</v>
      </c>
      <c r="F2071" s="2" t="s">
        <v>2425</v>
      </c>
      <c r="G2071" s="1">
        <v>5</v>
      </c>
      <c r="H2071" s="1" t="str">
        <f t="shared" ref="H2071:H2134" si="33">IF(OR(E2071&lt;&gt;1,G2071=""),"","k"&amp;A2071&amp;"_"&amp;G2071)</f>
        <v>k8_5</v>
      </c>
      <c r="K2071" s="1">
        <f>IF(E2071=0,SUMPRODUCT(($A$2:$A$4734=A2071)*($B$2:$B$4734=B2071)*($D$2:$D$4734=D2071)*($E$2:$E$4734=0)),0)</f>
        <v>0</v>
      </c>
      <c r="L2071" s="1" t="str">
        <f>IF(E2071=0,SUMPRODUCT(MIN($K$2:$K$4734+((($A$2:$A$4734&lt;&gt;A2071)+($E$2:$E$4734&lt;&gt;0))&gt;0)*1000000)),"")</f>
        <v/>
      </c>
      <c r="M2071" s="1">
        <f>IF(AND(E2071=0,COUNTIFS($A$2:A2071,A2071,$E$2:E2071,0)=1),L2071,0)</f>
        <v>0</v>
      </c>
    </row>
    <row r="2072" spans="1:13" ht="15" customHeight="1">
      <c r="A2072" s="1">
        <v>8</v>
      </c>
      <c r="B2072" s="1" t="s">
        <v>9</v>
      </c>
      <c r="C2072" s="2" t="s">
        <v>2412</v>
      </c>
      <c r="D2072" s="2" t="s">
        <v>2426</v>
      </c>
      <c r="E2072" s="1">
        <v>1</v>
      </c>
      <c r="F2072" s="2" t="s">
        <v>2427</v>
      </c>
      <c r="G2072" s="1">
        <v>2</v>
      </c>
      <c r="H2072" s="1" t="str">
        <f t="shared" si="33"/>
        <v>k8_2</v>
      </c>
      <c r="K2072" s="1">
        <f>IF(E2072=0,SUMPRODUCT(($A$2:$A$4734=A2072)*($B$2:$B$4734=B2072)*($D$2:$D$4734=D2072)*($E$2:$E$4734=0)),0)</f>
        <v>0</v>
      </c>
      <c r="L2072" s="1" t="str">
        <f>IF(E2072=0,SUMPRODUCT(MIN($K$2:$K$4734+((($A$2:$A$4734&lt;&gt;A2072)+($E$2:$E$4734&lt;&gt;0))&gt;0)*1000000)),"")</f>
        <v/>
      </c>
      <c r="M2072" s="1">
        <f>IF(AND(E2072=0,COUNTIFS($A$2:A2072,A2072,$E$2:E2072,0)=1),L2072,0)</f>
        <v>0</v>
      </c>
    </row>
    <row r="2073" spans="1:13" ht="15" customHeight="1">
      <c r="A2073" s="1">
        <v>8</v>
      </c>
      <c r="B2073" s="1" t="s">
        <v>9</v>
      </c>
      <c r="C2073" s="2" t="s">
        <v>2412</v>
      </c>
      <c r="D2073" s="2" t="s">
        <v>2426</v>
      </c>
      <c r="E2073" s="1">
        <v>1</v>
      </c>
      <c r="F2073" s="2" t="s">
        <v>2428</v>
      </c>
      <c r="G2073" s="1">
        <v>1</v>
      </c>
      <c r="H2073" s="1" t="str">
        <f t="shared" si="33"/>
        <v>k8_1</v>
      </c>
      <c r="K2073" s="1">
        <f>IF(E2073=0,SUMPRODUCT(($A$2:$A$4734=A2073)*($B$2:$B$4734=B2073)*($D$2:$D$4734=D2073)*($E$2:$E$4734=0)),0)</f>
        <v>0</v>
      </c>
      <c r="L2073" s="1" t="str">
        <f>IF(E2073=0,SUMPRODUCT(MIN($K$2:$K$4734+((($A$2:$A$4734&lt;&gt;A2073)+($E$2:$E$4734&lt;&gt;0))&gt;0)*1000000)),"")</f>
        <v/>
      </c>
      <c r="M2073" s="1">
        <f>IF(AND(E2073=0,COUNTIFS($A$2:A2073,A2073,$E$2:E2073,0)=1),L2073,0)</f>
        <v>0</v>
      </c>
    </row>
    <row r="2074" spans="1:13" ht="15" customHeight="1">
      <c r="A2074" s="1">
        <v>8</v>
      </c>
      <c r="B2074" s="1" t="s">
        <v>9</v>
      </c>
      <c r="C2074" s="2" t="s">
        <v>2412</v>
      </c>
      <c r="D2074" s="2" t="s">
        <v>2426</v>
      </c>
      <c r="E2074" s="1">
        <v>1</v>
      </c>
      <c r="F2074" s="2" t="s">
        <v>2428</v>
      </c>
      <c r="G2074" s="1">
        <v>4</v>
      </c>
      <c r="H2074" s="1" t="str">
        <f t="shared" si="33"/>
        <v>k8_4</v>
      </c>
      <c r="K2074" s="1">
        <f>IF(E2074=0,SUMPRODUCT(($A$2:$A$4734=A2074)*($B$2:$B$4734=B2074)*($D$2:$D$4734=D2074)*($E$2:$E$4734=0)),0)</f>
        <v>0</v>
      </c>
      <c r="L2074" s="1" t="str">
        <f>IF(E2074=0,SUMPRODUCT(MIN($K$2:$K$4734+((($A$2:$A$4734&lt;&gt;A2074)+($E$2:$E$4734&lt;&gt;0))&gt;0)*1000000)),"")</f>
        <v/>
      </c>
      <c r="M2074" s="1">
        <f>IF(AND(E2074=0,COUNTIFS($A$2:A2074,A2074,$E$2:E2074,0)=1),L2074,0)</f>
        <v>0</v>
      </c>
    </row>
    <row r="2075" spans="1:13" ht="15" customHeight="1">
      <c r="A2075" s="1">
        <v>8</v>
      </c>
      <c r="B2075" s="1" t="s">
        <v>9</v>
      </c>
      <c r="C2075" s="2" t="s">
        <v>2412</v>
      </c>
      <c r="D2075" s="2" t="s">
        <v>2426</v>
      </c>
      <c r="E2075" s="1">
        <v>1</v>
      </c>
      <c r="F2075" s="2" t="s">
        <v>2429</v>
      </c>
      <c r="G2075" s="1">
        <v>3</v>
      </c>
      <c r="H2075" s="1" t="str">
        <f t="shared" si="33"/>
        <v>k8_3</v>
      </c>
      <c r="K2075" s="1">
        <f>IF(E2075=0,SUMPRODUCT(($A$2:$A$4734=A2075)*($B$2:$B$4734=B2075)*($D$2:$D$4734=D2075)*($E$2:$E$4734=0)),0)</f>
        <v>0</v>
      </c>
      <c r="L2075" s="1" t="str">
        <f>IF(E2075=0,SUMPRODUCT(MIN($K$2:$K$4734+((($A$2:$A$4734&lt;&gt;A2075)+($E$2:$E$4734&lt;&gt;0))&gt;0)*1000000)),"")</f>
        <v/>
      </c>
      <c r="M2075" s="1">
        <f>IF(AND(E2075=0,COUNTIFS($A$2:A2075,A2075,$E$2:E2075,0)=1),L2075,0)</f>
        <v>0</v>
      </c>
    </row>
    <row r="2076" spans="1:13" ht="15" customHeight="1">
      <c r="A2076" s="1">
        <v>8</v>
      </c>
      <c r="B2076" s="1" t="s">
        <v>16</v>
      </c>
      <c r="C2076" s="2" t="s">
        <v>2412</v>
      </c>
      <c r="D2076" s="2" t="s">
        <v>2430</v>
      </c>
      <c r="E2076" s="1">
        <v>1</v>
      </c>
      <c r="F2076" s="2" t="s">
        <v>2431</v>
      </c>
      <c r="G2076" s="1">
        <v>1</v>
      </c>
      <c r="H2076" s="1" t="str">
        <f t="shared" si="33"/>
        <v>k8_1</v>
      </c>
      <c r="K2076" s="1">
        <f>IF(E2076=0,SUMPRODUCT(($A$2:$A$4734=A2076)*($B$2:$B$4734=B2076)*($D$2:$D$4734=D2076)*($E$2:$E$4734=0)),0)</f>
        <v>0</v>
      </c>
      <c r="L2076" s="1" t="str">
        <f>IF(E2076=0,SUMPRODUCT(MIN($K$2:$K$4734+((($A$2:$A$4734&lt;&gt;A2076)+($E$2:$E$4734&lt;&gt;0))&gt;0)*1000000)),"")</f>
        <v/>
      </c>
      <c r="M2076" s="1">
        <f>IF(AND(E2076=0,COUNTIFS($A$2:A2076,A2076,$E$2:E2076,0)=1),L2076,0)</f>
        <v>0</v>
      </c>
    </row>
    <row r="2077" spans="1:13" ht="15" customHeight="1">
      <c r="A2077" s="1">
        <v>8</v>
      </c>
      <c r="B2077" s="1" t="s">
        <v>16</v>
      </c>
      <c r="C2077" s="2" t="s">
        <v>2412</v>
      </c>
      <c r="D2077" s="2" t="s">
        <v>2430</v>
      </c>
      <c r="E2077" s="1">
        <v>1</v>
      </c>
      <c r="F2077" s="2" t="s">
        <v>995</v>
      </c>
      <c r="G2077" s="1">
        <v>2</v>
      </c>
      <c r="H2077" s="1" t="str">
        <f t="shared" si="33"/>
        <v>k8_2</v>
      </c>
      <c r="K2077" s="1">
        <f>IF(E2077=0,SUMPRODUCT(($A$2:$A$4734=A2077)*($B$2:$B$4734=B2077)*($D$2:$D$4734=D2077)*($E$2:$E$4734=0)),0)</f>
        <v>0</v>
      </c>
      <c r="L2077" s="1" t="str">
        <f>IF(E2077=0,SUMPRODUCT(MIN($K$2:$K$4734+((($A$2:$A$4734&lt;&gt;A2077)+($E$2:$E$4734&lt;&gt;0))&gt;0)*1000000)),"")</f>
        <v/>
      </c>
      <c r="M2077" s="1">
        <f>IF(AND(E2077=0,COUNTIFS($A$2:A2077,A2077,$E$2:E2077,0)=1),L2077,0)</f>
        <v>0</v>
      </c>
    </row>
    <row r="2078" spans="1:13" ht="15" customHeight="1">
      <c r="A2078" s="1">
        <v>8</v>
      </c>
      <c r="B2078" s="1" t="s">
        <v>16</v>
      </c>
      <c r="C2078" s="2" t="s">
        <v>2412</v>
      </c>
      <c r="D2078" s="2" t="s">
        <v>2430</v>
      </c>
      <c r="E2078" s="1">
        <v>1</v>
      </c>
      <c r="F2078" s="2" t="s">
        <v>996</v>
      </c>
      <c r="G2078" s="1">
        <v>3</v>
      </c>
      <c r="H2078" s="1" t="str">
        <f t="shared" si="33"/>
        <v>k8_3</v>
      </c>
      <c r="K2078" s="1">
        <f>IF(E2078=0,SUMPRODUCT(($A$2:$A$4734=A2078)*($B$2:$B$4734=B2078)*($D$2:$D$4734=D2078)*($E$2:$E$4734=0)),0)</f>
        <v>0</v>
      </c>
      <c r="L2078" s="1" t="str">
        <f>IF(E2078=0,SUMPRODUCT(MIN($K$2:$K$4734+((($A$2:$A$4734&lt;&gt;A2078)+($E$2:$E$4734&lt;&gt;0))&gt;0)*1000000)),"")</f>
        <v/>
      </c>
      <c r="M2078" s="1">
        <f>IF(AND(E2078=0,COUNTIFS($A$2:A2078,A2078,$E$2:E2078,0)=1),L2078,0)</f>
        <v>0</v>
      </c>
    </row>
    <row r="2079" spans="1:13" ht="15" customHeight="1">
      <c r="A2079" s="1">
        <v>8</v>
      </c>
      <c r="B2079" s="1" t="s">
        <v>16</v>
      </c>
      <c r="C2079" s="2" t="s">
        <v>2412</v>
      </c>
      <c r="D2079" s="2" t="s">
        <v>2430</v>
      </c>
      <c r="E2079" s="1">
        <v>1</v>
      </c>
      <c r="F2079" s="2" t="s">
        <v>2432</v>
      </c>
      <c r="G2079" s="1">
        <v>4</v>
      </c>
      <c r="H2079" s="1" t="str">
        <f t="shared" si="33"/>
        <v>k8_4</v>
      </c>
      <c r="K2079" s="1">
        <f>IF(E2079=0,SUMPRODUCT(($A$2:$A$4734=A2079)*($B$2:$B$4734=B2079)*($D$2:$D$4734=D2079)*($E$2:$E$4734=0)),0)</f>
        <v>0</v>
      </c>
      <c r="L2079" s="1" t="str">
        <f>IF(E2079=0,SUMPRODUCT(MIN($K$2:$K$4734+((($A$2:$A$4734&lt;&gt;A2079)+($E$2:$E$4734&lt;&gt;0))&gt;0)*1000000)),"")</f>
        <v/>
      </c>
      <c r="M2079" s="1">
        <f>IF(AND(E2079=0,COUNTIFS($A$2:A2079,A2079,$E$2:E2079,0)=1),L2079,0)</f>
        <v>0</v>
      </c>
    </row>
    <row r="2080" spans="1:13" ht="15" customHeight="1">
      <c r="A2080" s="1">
        <v>8</v>
      </c>
      <c r="B2080" s="1" t="s">
        <v>16</v>
      </c>
      <c r="C2080" s="2" t="s">
        <v>2412</v>
      </c>
      <c r="D2080" s="2" t="s">
        <v>2430</v>
      </c>
      <c r="E2080" s="1">
        <v>1</v>
      </c>
      <c r="F2080" s="2" t="s">
        <v>994</v>
      </c>
      <c r="G2080" s="1">
        <v>5</v>
      </c>
      <c r="H2080" s="1" t="str">
        <f t="shared" si="33"/>
        <v>k8_5</v>
      </c>
      <c r="K2080" s="1">
        <f>IF(E2080=0,SUMPRODUCT(($A$2:$A$4734=A2080)*($B$2:$B$4734=B2080)*($D$2:$D$4734=D2080)*($E$2:$E$4734=0)),0)</f>
        <v>0</v>
      </c>
      <c r="L2080" s="1" t="str">
        <f>IF(E2080=0,SUMPRODUCT(MIN($K$2:$K$4734+((($A$2:$A$4734&lt;&gt;A2080)+($E$2:$E$4734&lt;&gt;0))&gt;0)*1000000)),"")</f>
        <v/>
      </c>
      <c r="M2080" s="1">
        <f>IF(AND(E2080=0,COUNTIFS($A$2:A2080,A2080,$E$2:E2080,0)=1),L2080,0)</f>
        <v>0</v>
      </c>
    </row>
    <row r="2081" spans="1:13" ht="15" customHeight="1">
      <c r="A2081" s="1">
        <v>9</v>
      </c>
      <c r="B2081" s="1" t="s">
        <v>9</v>
      </c>
      <c r="C2081" s="2" t="s">
        <v>2433</v>
      </c>
      <c r="D2081" s="2" t="s">
        <v>2434</v>
      </c>
      <c r="E2081" s="1">
        <v>1</v>
      </c>
      <c r="F2081" s="2" t="s">
        <v>2435</v>
      </c>
      <c r="G2081" s="1">
        <v>2</v>
      </c>
      <c r="H2081" s="1" t="str">
        <f t="shared" si="33"/>
        <v>k9_2</v>
      </c>
      <c r="K2081" s="1">
        <f>IF(E2081=0,SUMPRODUCT(($A$2:$A$4734=A2081)*($B$2:$B$4734=B2081)*($D$2:$D$4734=D2081)*($E$2:$E$4734=0)),0)</f>
        <v>0</v>
      </c>
      <c r="L2081" s="1" t="str">
        <f>IF(E2081=0,SUMPRODUCT(MIN($K$2:$K$4734+((($A$2:$A$4734&lt;&gt;A2081)+($E$2:$E$4734&lt;&gt;0))&gt;0)*1000000)),"")</f>
        <v/>
      </c>
      <c r="M2081" s="1">
        <f>IF(AND(E2081=0,COUNTIFS($A$2:A2081,A2081,$E$2:E2081,0)=1),L2081,0)</f>
        <v>0</v>
      </c>
    </row>
    <row r="2082" spans="1:13" ht="15" customHeight="1">
      <c r="A2082" s="1">
        <v>9</v>
      </c>
      <c r="B2082" s="1" t="s">
        <v>9</v>
      </c>
      <c r="C2082" s="2" t="s">
        <v>2433</v>
      </c>
      <c r="D2082" s="2" t="s">
        <v>2434</v>
      </c>
      <c r="E2082" s="1">
        <v>1</v>
      </c>
      <c r="F2082" s="2" t="s">
        <v>2436</v>
      </c>
      <c r="G2082" s="1">
        <v>1</v>
      </c>
      <c r="H2082" s="1" t="str">
        <f t="shared" si="33"/>
        <v>k9_1</v>
      </c>
      <c r="K2082" s="1">
        <f>IF(E2082=0,SUMPRODUCT(($A$2:$A$4734=A2082)*($B$2:$B$4734=B2082)*($D$2:$D$4734=D2082)*($E$2:$E$4734=0)),0)</f>
        <v>0</v>
      </c>
      <c r="L2082" s="1" t="str">
        <f>IF(E2082=0,SUMPRODUCT(MIN($K$2:$K$4734+((($A$2:$A$4734&lt;&gt;A2082)+($E$2:$E$4734&lt;&gt;0))&gt;0)*1000000)),"")</f>
        <v/>
      </c>
      <c r="M2082" s="1">
        <f>IF(AND(E2082=0,COUNTIFS($A$2:A2082,A2082,$E$2:E2082,0)=1),L2082,0)</f>
        <v>0</v>
      </c>
    </row>
    <row r="2083" spans="1:13" ht="15" customHeight="1">
      <c r="A2083" s="1">
        <v>10</v>
      </c>
      <c r="B2083" s="1" t="s">
        <v>9</v>
      </c>
      <c r="C2083" s="1" t="s">
        <v>2437</v>
      </c>
      <c r="D2083" s="2" t="s">
        <v>2438</v>
      </c>
      <c r="E2083" s="1">
        <v>1</v>
      </c>
      <c r="F2083" s="2" t="s">
        <v>2439</v>
      </c>
      <c r="G2083" s="1">
        <v>1</v>
      </c>
      <c r="H2083" s="1" t="str">
        <f t="shared" si="33"/>
        <v>k10_1</v>
      </c>
      <c r="K2083" s="1">
        <f>IF(E2083=0,SUMPRODUCT(($A$2:$A$4734=A2083)*($B$2:$B$4734=B2083)*($D$2:$D$4734=D2083)*($E$2:$E$4734=0)),0)</f>
        <v>0</v>
      </c>
      <c r="L2083" s="1" t="str">
        <f>IF(E2083=0,SUMPRODUCT(MIN($K$2:$K$4734+((($A$2:$A$4734&lt;&gt;A2083)+($E$2:$E$4734&lt;&gt;0))&gt;0)*1000000)),"")</f>
        <v/>
      </c>
      <c r="M2083" s="1">
        <f>IF(AND(E2083=0,COUNTIFS($A$2:A2083,A2083,$E$2:E2083,0)=1),L2083,0)</f>
        <v>0</v>
      </c>
    </row>
    <row r="2084" spans="1:13" ht="15" customHeight="1">
      <c r="A2084" s="1">
        <v>10</v>
      </c>
      <c r="B2084" s="1" t="s">
        <v>9</v>
      </c>
      <c r="C2084" s="1" t="s">
        <v>2437</v>
      </c>
      <c r="D2084" s="2" t="s">
        <v>2438</v>
      </c>
      <c r="E2084" s="1">
        <v>1</v>
      </c>
      <c r="F2084" s="2" t="s">
        <v>2440</v>
      </c>
      <c r="G2084" s="1">
        <v>2</v>
      </c>
      <c r="H2084" s="1" t="str">
        <f t="shared" si="33"/>
        <v>k10_2</v>
      </c>
      <c r="K2084" s="1">
        <f>IF(E2084=0,SUMPRODUCT(($A$2:$A$4734=A2084)*($B$2:$B$4734=B2084)*($D$2:$D$4734=D2084)*($E$2:$E$4734=0)),0)</f>
        <v>0</v>
      </c>
      <c r="L2084" s="1" t="str">
        <f>IF(E2084=0,SUMPRODUCT(MIN($K$2:$K$4734+((($A$2:$A$4734&lt;&gt;A2084)+($E$2:$E$4734&lt;&gt;0))&gt;0)*1000000)),"")</f>
        <v/>
      </c>
      <c r="M2084" s="1">
        <f>IF(AND(E2084=0,COUNTIFS($A$2:A2084,A2084,$E$2:E2084,0)=1),L2084,0)</f>
        <v>0</v>
      </c>
    </row>
    <row r="2085" spans="1:13" ht="15" customHeight="1">
      <c r="A2085" s="1">
        <v>10</v>
      </c>
      <c r="B2085" s="1" t="s">
        <v>9</v>
      </c>
      <c r="C2085" s="1" t="s">
        <v>2437</v>
      </c>
      <c r="D2085" s="2" t="s">
        <v>2438</v>
      </c>
      <c r="E2085" s="1">
        <v>1</v>
      </c>
      <c r="F2085" s="2" t="s">
        <v>2441</v>
      </c>
      <c r="G2085" s="1">
        <v>3</v>
      </c>
      <c r="H2085" s="1" t="str">
        <f t="shared" si="33"/>
        <v>k10_3</v>
      </c>
      <c r="K2085" s="1">
        <f>IF(E2085=0,SUMPRODUCT(($A$2:$A$4734=A2085)*($B$2:$B$4734=B2085)*($D$2:$D$4734=D2085)*($E$2:$E$4734=0)),0)</f>
        <v>0</v>
      </c>
      <c r="L2085" s="1" t="str">
        <f>IF(E2085=0,SUMPRODUCT(MIN($K$2:$K$4734+((($A$2:$A$4734&lt;&gt;A2085)+($E$2:$E$4734&lt;&gt;0))&gt;0)*1000000)),"")</f>
        <v/>
      </c>
      <c r="M2085" s="1">
        <f>IF(AND(E2085=0,COUNTIFS($A$2:A2085,A2085,$E$2:E2085,0)=1),L2085,0)</f>
        <v>0</v>
      </c>
    </row>
    <row r="2086" spans="1:13" ht="15" customHeight="1">
      <c r="A2086" s="1">
        <v>10</v>
      </c>
      <c r="B2086" s="1" t="s">
        <v>9</v>
      </c>
      <c r="C2086" s="1" t="s">
        <v>2437</v>
      </c>
      <c r="D2086" s="2" t="s">
        <v>2438</v>
      </c>
      <c r="E2086" s="1">
        <v>1</v>
      </c>
      <c r="F2086" s="2" t="s">
        <v>2442</v>
      </c>
      <c r="G2086" s="1">
        <v>4</v>
      </c>
      <c r="H2086" s="1" t="str">
        <f t="shared" si="33"/>
        <v>k10_4</v>
      </c>
      <c r="K2086" s="1">
        <f>IF(E2086=0,SUMPRODUCT(($A$2:$A$4734=A2086)*($B$2:$B$4734=B2086)*($D$2:$D$4734=D2086)*($E$2:$E$4734=0)),0)</f>
        <v>0</v>
      </c>
      <c r="L2086" s="1" t="str">
        <f>IF(E2086=0,SUMPRODUCT(MIN($K$2:$K$4734+((($A$2:$A$4734&lt;&gt;A2086)+($E$2:$E$4734&lt;&gt;0))&gt;0)*1000000)),"")</f>
        <v/>
      </c>
      <c r="M2086" s="1">
        <f>IF(AND(E2086=0,COUNTIFS($A$2:A2086,A2086,$E$2:E2086,0)=1),L2086,0)</f>
        <v>0</v>
      </c>
    </row>
    <row r="2087" spans="1:13" ht="15" customHeight="1">
      <c r="A2087" s="1">
        <v>10</v>
      </c>
      <c r="B2087" s="1" t="s">
        <v>9</v>
      </c>
      <c r="C2087" s="1" t="s">
        <v>2437</v>
      </c>
      <c r="D2087" s="2" t="s">
        <v>2438</v>
      </c>
      <c r="E2087" s="1">
        <v>1</v>
      </c>
      <c r="F2087" s="2" t="s">
        <v>2442</v>
      </c>
      <c r="G2087" s="1">
        <v>6</v>
      </c>
      <c r="H2087" s="1" t="str">
        <f t="shared" si="33"/>
        <v>k10_6</v>
      </c>
      <c r="K2087" s="1">
        <f>IF(E2087=0,SUMPRODUCT(($A$2:$A$4734=A2087)*($B$2:$B$4734=B2087)*($D$2:$D$4734=D2087)*($E$2:$E$4734=0)),0)</f>
        <v>0</v>
      </c>
      <c r="L2087" s="1" t="str">
        <f>IF(E2087=0,SUMPRODUCT(MIN($K$2:$K$4734+((($A$2:$A$4734&lt;&gt;A2087)+($E$2:$E$4734&lt;&gt;0))&gt;0)*1000000)),"")</f>
        <v/>
      </c>
      <c r="M2087" s="1">
        <f>IF(AND(E2087=0,COUNTIFS($A$2:A2087,A2087,$E$2:E2087,0)=1),L2087,0)</f>
        <v>0</v>
      </c>
    </row>
    <row r="2088" spans="1:13" ht="15" customHeight="1">
      <c r="A2088" s="1">
        <v>10</v>
      </c>
      <c r="B2088" s="1" t="s">
        <v>9</v>
      </c>
      <c r="C2088" s="1" t="s">
        <v>2437</v>
      </c>
      <c r="D2088" s="2" t="s">
        <v>2438</v>
      </c>
      <c r="E2088" s="1">
        <v>1</v>
      </c>
      <c r="F2088" s="2" t="s">
        <v>2443</v>
      </c>
      <c r="G2088" s="1">
        <v>5</v>
      </c>
      <c r="H2088" s="1" t="str">
        <f t="shared" si="33"/>
        <v>k10_5</v>
      </c>
      <c r="K2088" s="1">
        <f>IF(E2088=0,SUMPRODUCT(($A$2:$A$4734=A2088)*($B$2:$B$4734=B2088)*($D$2:$D$4734=D2088)*($E$2:$E$4734=0)),0)</f>
        <v>0</v>
      </c>
      <c r="L2088" s="1" t="str">
        <f>IF(E2088=0,SUMPRODUCT(MIN($K$2:$K$4734+((($A$2:$A$4734&lt;&gt;A2088)+($E$2:$E$4734&lt;&gt;0))&gt;0)*1000000)),"")</f>
        <v/>
      </c>
      <c r="M2088" s="1">
        <f>IF(AND(E2088=0,COUNTIFS($A$2:A2088,A2088,$E$2:E2088,0)=1),L2088,0)</f>
        <v>0</v>
      </c>
    </row>
    <row r="2089" spans="1:13" ht="15" customHeight="1">
      <c r="A2089" s="1">
        <v>10</v>
      </c>
      <c r="B2089" s="1" t="s">
        <v>16</v>
      </c>
      <c r="C2089" s="1" t="s">
        <v>2437</v>
      </c>
      <c r="D2089" s="2" t="s">
        <v>2444</v>
      </c>
      <c r="E2089" s="1">
        <v>1</v>
      </c>
      <c r="F2089" s="2" t="s">
        <v>2445</v>
      </c>
      <c r="G2089" s="1">
        <v>2</v>
      </c>
      <c r="H2089" s="1" t="str">
        <f t="shared" si="33"/>
        <v>k10_2</v>
      </c>
      <c r="K2089" s="1">
        <f>IF(E2089=0,SUMPRODUCT(($A$2:$A$4734=A2089)*($B$2:$B$4734=B2089)*($D$2:$D$4734=D2089)*($E$2:$E$4734=0)),0)</f>
        <v>0</v>
      </c>
      <c r="L2089" s="1" t="str">
        <f>IF(E2089=0,SUMPRODUCT(MIN($K$2:$K$4734+((($A$2:$A$4734&lt;&gt;A2089)+($E$2:$E$4734&lt;&gt;0))&gt;0)*1000000)),"")</f>
        <v/>
      </c>
      <c r="M2089" s="1">
        <f>IF(AND(E2089=0,COUNTIFS($A$2:A2089,A2089,$E$2:E2089,0)=1),L2089,0)</f>
        <v>0</v>
      </c>
    </row>
    <row r="2090" spans="1:13" ht="15" customHeight="1">
      <c r="A2090" s="1">
        <v>10</v>
      </c>
      <c r="B2090" s="1" t="s">
        <v>16</v>
      </c>
      <c r="C2090" s="1" t="s">
        <v>2437</v>
      </c>
      <c r="D2090" s="2" t="s">
        <v>2444</v>
      </c>
      <c r="E2090" s="1">
        <v>1</v>
      </c>
      <c r="F2090" s="2" t="s">
        <v>2446</v>
      </c>
      <c r="G2090" s="1">
        <v>1</v>
      </c>
      <c r="H2090" s="1" t="str">
        <f t="shared" si="33"/>
        <v>k10_1</v>
      </c>
      <c r="K2090" s="1">
        <f>IF(E2090=0,SUMPRODUCT(($A$2:$A$4734=A2090)*($B$2:$B$4734=B2090)*($D$2:$D$4734=D2090)*($E$2:$E$4734=0)),0)</f>
        <v>0</v>
      </c>
      <c r="L2090" s="1" t="str">
        <f>IF(E2090=0,SUMPRODUCT(MIN($K$2:$K$4734+((($A$2:$A$4734&lt;&gt;A2090)+($E$2:$E$4734&lt;&gt;0))&gt;0)*1000000)),"")</f>
        <v/>
      </c>
      <c r="M2090" s="1">
        <f>IF(AND(E2090=0,COUNTIFS($A$2:A2090,A2090,$E$2:E2090,0)=1),L2090,0)</f>
        <v>0</v>
      </c>
    </row>
    <row r="2091" spans="1:13" ht="15" customHeight="1">
      <c r="A2091" s="1">
        <v>10</v>
      </c>
      <c r="B2091" s="1" t="s">
        <v>16</v>
      </c>
      <c r="C2091" s="1" t="s">
        <v>2437</v>
      </c>
      <c r="D2091" s="2" t="s">
        <v>2444</v>
      </c>
      <c r="E2091" s="1">
        <v>1</v>
      </c>
      <c r="F2091" s="2" t="s">
        <v>2447</v>
      </c>
      <c r="G2091" s="1">
        <v>3</v>
      </c>
      <c r="H2091" s="1" t="str">
        <f t="shared" si="33"/>
        <v>k10_3</v>
      </c>
      <c r="K2091" s="1">
        <f>IF(E2091=0,SUMPRODUCT(($A$2:$A$4734=A2091)*($B$2:$B$4734=B2091)*($D$2:$D$4734=D2091)*($E$2:$E$4734=0)),0)</f>
        <v>0</v>
      </c>
      <c r="L2091" s="1" t="str">
        <f>IF(E2091=0,SUMPRODUCT(MIN($K$2:$K$4734+((($A$2:$A$4734&lt;&gt;A2091)+($E$2:$E$4734&lt;&gt;0))&gt;0)*1000000)),"")</f>
        <v/>
      </c>
      <c r="M2091" s="1">
        <f>IF(AND(E2091=0,COUNTIFS($A$2:A2091,A2091,$E$2:E2091,0)=1),L2091,0)</f>
        <v>0</v>
      </c>
    </row>
    <row r="2092" spans="1:13" ht="15" customHeight="1">
      <c r="A2092" s="1">
        <v>10</v>
      </c>
      <c r="B2092" s="1" t="s">
        <v>16</v>
      </c>
      <c r="C2092" s="1" t="s">
        <v>2437</v>
      </c>
      <c r="D2092" s="2" t="s">
        <v>2444</v>
      </c>
      <c r="E2092" s="1">
        <v>1</v>
      </c>
      <c r="F2092" s="2" t="s">
        <v>2448</v>
      </c>
      <c r="G2092" s="1">
        <v>4</v>
      </c>
      <c r="H2092" s="1" t="str">
        <f t="shared" si="33"/>
        <v>k10_4</v>
      </c>
      <c r="K2092" s="1">
        <f>IF(E2092=0,SUMPRODUCT(($A$2:$A$4734=A2092)*($B$2:$B$4734=B2092)*($D$2:$D$4734=D2092)*($E$2:$E$4734=0)),0)</f>
        <v>0</v>
      </c>
      <c r="L2092" s="1" t="str">
        <f>IF(E2092=0,SUMPRODUCT(MIN($K$2:$K$4734+((($A$2:$A$4734&lt;&gt;A2092)+($E$2:$E$4734&lt;&gt;0))&gt;0)*1000000)),"")</f>
        <v/>
      </c>
      <c r="M2092" s="1">
        <f>IF(AND(E2092=0,COUNTIFS($A$2:A2092,A2092,$E$2:E2092,0)=1),L2092,0)</f>
        <v>0</v>
      </c>
    </row>
    <row r="2093" spans="1:13" ht="15" customHeight="1">
      <c r="A2093" s="1">
        <v>10</v>
      </c>
      <c r="B2093" s="1" t="s">
        <v>16</v>
      </c>
      <c r="C2093" s="1" t="s">
        <v>2437</v>
      </c>
      <c r="D2093" s="2" t="s">
        <v>2444</v>
      </c>
      <c r="E2093" s="1">
        <v>1</v>
      </c>
      <c r="F2093" s="2" t="s">
        <v>2448</v>
      </c>
      <c r="G2093" s="1">
        <v>6</v>
      </c>
      <c r="H2093" s="1" t="str">
        <f t="shared" si="33"/>
        <v>k10_6</v>
      </c>
      <c r="K2093" s="1">
        <f>IF(E2093=0,SUMPRODUCT(($A$2:$A$4734=A2093)*($B$2:$B$4734=B2093)*($D$2:$D$4734=D2093)*($E$2:$E$4734=0)),0)</f>
        <v>0</v>
      </c>
      <c r="L2093" s="1" t="str">
        <f>IF(E2093=0,SUMPRODUCT(MIN($K$2:$K$4734+((($A$2:$A$4734&lt;&gt;A2093)+($E$2:$E$4734&lt;&gt;0))&gt;0)*1000000)),"")</f>
        <v/>
      </c>
      <c r="M2093" s="1">
        <f>IF(AND(E2093=0,COUNTIFS($A$2:A2093,A2093,$E$2:E2093,0)=1),L2093,0)</f>
        <v>0</v>
      </c>
    </row>
    <row r="2094" spans="1:13" ht="15" customHeight="1">
      <c r="A2094" s="1">
        <v>10</v>
      </c>
      <c r="B2094" s="1" t="s">
        <v>16</v>
      </c>
      <c r="C2094" s="1" t="s">
        <v>2437</v>
      </c>
      <c r="D2094" s="2" t="s">
        <v>2444</v>
      </c>
      <c r="E2094" s="1">
        <v>1</v>
      </c>
      <c r="F2094" s="2" t="s">
        <v>2449</v>
      </c>
      <c r="G2094" s="1">
        <v>5</v>
      </c>
      <c r="H2094" s="1" t="str">
        <f t="shared" si="33"/>
        <v>k10_5</v>
      </c>
      <c r="K2094" s="1">
        <f>IF(E2094=0,SUMPRODUCT(($A$2:$A$4734=A2094)*($B$2:$B$4734=B2094)*($D$2:$D$4734=D2094)*($E$2:$E$4734=0)),0)</f>
        <v>0</v>
      </c>
      <c r="L2094" s="1" t="str">
        <f>IF(E2094=0,SUMPRODUCT(MIN($K$2:$K$4734+((($A$2:$A$4734&lt;&gt;A2094)+($E$2:$E$4734&lt;&gt;0))&gt;0)*1000000)),"")</f>
        <v/>
      </c>
      <c r="M2094" s="1">
        <f>IF(AND(E2094=0,COUNTIFS($A$2:A2094,A2094,$E$2:E2094,0)=1),L2094,0)</f>
        <v>0</v>
      </c>
    </row>
    <row r="2095" spans="1:13" ht="15" customHeight="1">
      <c r="A2095" s="1">
        <v>10</v>
      </c>
      <c r="B2095" s="1" t="s">
        <v>16</v>
      </c>
      <c r="C2095" s="1" t="s">
        <v>2437</v>
      </c>
      <c r="D2095" s="2" t="s">
        <v>2450</v>
      </c>
      <c r="E2095" s="1">
        <v>1</v>
      </c>
      <c r="F2095" s="2" t="s">
        <v>2451</v>
      </c>
      <c r="G2095" s="1">
        <v>1</v>
      </c>
      <c r="H2095" s="1" t="str">
        <f t="shared" si="33"/>
        <v>k10_1</v>
      </c>
      <c r="K2095" s="1">
        <f>IF(E2095=0,SUMPRODUCT(($A$2:$A$4734=A2095)*($B$2:$B$4734=B2095)*($D$2:$D$4734=D2095)*($E$2:$E$4734=0)),0)</f>
        <v>0</v>
      </c>
      <c r="L2095" s="1" t="str">
        <f>IF(E2095=0,SUMPRODUCT(MIN($K$2:$K$4734+((($A$2:$A$4734&lt;&gt;A2095)+($E$2:$E$4734&lt;&gt;0))&gt;0)*1000000)),"")</f>
        <v/>
      </c>
      <c r="M2095" s="1">
        <f>IF(AND(E2095=0,COUNTIFS($A$2:A2095,A2095,$E$2:E2095,0)=1),L2095,0)</f>
        <v>0</v>
      </c>
    </row>
    <row r="2096" spans="1:13" ht="15" customHeight="1">
      <c r="A2096" s="1">
        <v>10</v>
      </c>
      <c r="B2096" s="1" t="s">
        <v>16</v>
      </c>
      <c r="C2096" s="1" t="s">
        <v>2437</v>
      </c>
      <c r="D2096" s="2" t="s">
        <v>2450</v>
      </c>
      <c r="E2096" s="1">
        <v>1</v>
      </c>
      <c r="F2096" s="2" t="s">
        <v>2452</v>
      </c>
      <c r="G2096" s="1">
        <v>2</v>
      </c>
      <c r="H2096" s="1" t="str">
        <f t="shared" si="33"/>
        <v>k10_2</v>
      </c>
      <c r="K2096" s="1">
        <f>IF(E2096=0,SUMPRODUCT(($A$2:$A$4734=A2096)*($B$2:$B$4734=B2096)*($D$2:$D$4734=D2096)*($E$2:$E$4734=0)),0)</f>
        <v>0</v>
      </c>
      <c r="L2096" s="1" t="str">
        <f>IF(E2096=0,SUMPRODUCT(MIN($K$2:$K$4734+((($A$2:$A$4734&lt;&gt;A2096)+($E$2:$E$4734&lt;&gt;0))&gt;0)*1000000)),"")</f>
        <v/>
      </c>
      <c r="M2096" s="1">
        <f>IF(AND(E2096=0,COUNTIFS($A$2:A2096,A2096,$E$2:E2096,0)=1),L2096,0)</f>
        <v>0</v>
      </c>
    </row>
    <row r="2097" spans="1:13" ht="15" customHeight="1">
      <c r="A2097" s="1">
        <v>10</v>
      </c>
      <c r="B2097" s="1" t="s">
        <v>16</v>
      </c>
      <c r="C2097" s="1" t="s">
        <v>2437</v>
      </c>
      <c r="D2097" s="2" t="s">
        <v>2450</v>
      </c>
      <c r="E2097" s="1">
        <v>1</v>
      </c>
      <c r="F2097" s="2" t="s">
        <v>2452</v>
      </c>
      <c r="G2097" s="1">
        <v>6</v>
      </c>
      <c r="H2097" s="1" t="str">
        <f t="shared" si="33"/>
        <v>k10_6</v>
      </c>
      <c r="K2097" s="1">
        <f>IF(E2097=0,SUMPRODUCT(($A$2:$A$4734=A2097)*($B$2:$B$4734=B2097)*($D$2:$D$4734=D2097)*($E$2:$E$4734=0)),0)</f>
        <v>0</v>
      </c>
      <c r="L2097" s="1" t="str">
        <f>IF(E2097=0,SUMPRODUCT(MIN($K$2:$K$4734+((($A$2:$A$4734&lt;&gt;A2097)+($E$2:$E$4734&lt;&gt;0))&gt;0)*1000000)),"")</f>
        <v/>
      </c>
      <c r="M2097" s="1">
        <f>IF(AND(E2097=0,COUNTIFS($A$2:A2097,A2097,$E$2:E2097,0)=1),L2097,0)</f>
        <v>0</v>
      </c>
    </row>
    <row r="2098" spans="1:13" ht="15" customHeight="1">
      <c r="A2098" s="1">
        <v>10</v>
      </c>
      <c r="B2098" s="1" t="s">
        <v>16</v>
      </c>
      <c r="C2098" s="1" t="s">
        <v>2437</v>
      </c>
      <c r="D2098" s="2" t="s">
        <v>2450</v>
      </c>
      <c r="E2098" s="1">
        <v>1</v>
      </c>
      <c r="F2098" s="2" t="s">
        <v>2453</v>
      </c>
      <c r="G2098" s="1">
        <v>3</v>
      </c>
      <c r="H2098" s="1" t="str">
        <f t="shared" si="33"/>
        <v>k10_3</v>
      </c>
      <c r="K2098" s="1">
        <f>IF(E2098=0,SUMPRODUCT(($A$2:$A$4734=A2098)*($B$2:$B$4734=B2098)*($D$2:$D$4734=D2098)*($E$2:$E$4734=0)),0)</f>
        <v>0</v>
      </c>
      <c r="L2098" s="1" t="str">
        <f>IF(E2098=0,SUMPRODUCT(MIN($K$2:$K$4734+((($A$2:$A$4734&lt;&gt;A2098)+($E$2:$E$4734&lt;&gt;0))&gt;0)*1000000)),"")</f>
        <v/>
      </c>
      <c r="M2098" s="1">
        <f>IF(AND(E2098=0,COUNTIFS($A$2:A2098,A2098,$E$2:E2098,0)=1),L2098,0)</f>
        <v>0</v>
      </c>
    </row>
    <row r="2099" spans="1:13" ht="15" customHeight="1">
      <c r="A2099" s="1">
        <v>10</v>
      </c>
      <c r="B2099" s="1" t="s">
        <v>16</v>
      </c>
      <c r="C2099" s="1" t="s">
        <v>2437</v>
      </c>
      <c r="D2099" s="2" t="s">
        <v>2450</v>
      </c>
      <c r="E2099" s="1">
        <v>1</v>
      </c>
      <c r="F2099" s="2" t="s">
        <v>2454</v>
      </c>
      <c r="G2099" s="1">
        <v>4</v>
      </c>
      <c r="H2099" s="1" t="str">
        <f t="shared" si="33"/>
        <v>k10_4</v>
      </c>
      <c r="K2099" s="1">
        <f>IF(E2099=0,SUMPRODUCT(($A$2:$A$4734=A2099)*($B$2:$B$4734=B2099)*($D$2:$D$4734=D2099)*($E$2:$E$4734=0)),0)</f>
        <v>0</v>
      </c>
      <c r="L2099" s="1" t="str">
        <f>IF(E2099=0,SUMPRODUCT(MIN($K$2:$K$4734+((($A$2:$A$4734&lt;&gt;A2099)+($E$2:$E$4734&lt;&gt;0))&gt;0)*1000000)),"")</f>
        <v/>
      </c>
      <c r="M2099" s="1">
        <f>IF(AND(E2099=0,COUNTIFS($A$2:A2099,A2099,$E$2:E2099,0)=1),L2099,0)</f>
        <v>0</v>
      </c>
    </row>
    <row r="2100" spans="1:13" ht="15" customHeight="1">
      <c r="A2100" s="1">
        <v>10</v>
      </c>
      <c r="B2100" s="1" t="s">
        <v>16</v>
      </c>
      <c r="C2100" s="1" t="s">
        <v>2437</v>
      </c>
      <c r="D2100" s="2" t="s">
        <v>2450</v>
      </c>
      <c r="E2100" s="1">
        <v>1</v>
      </c>
      <c r="F2100" s="2" t="s">
        <v>2455</v>
      </c>
      <c r="G2100" s="1">
        <v>5</v>
      </c>
      <c r="H2100" s="1" t="str">
        <f t="shared" si="33"/>
        <v>k10_5</v>
      </c>
      <c r="K2100" s="1">
        <f>IF(E2100=0,SUMPRODUCT(($A$2:$A$4734=A2100)*($B$2:$B$4734=B2100)*($D$2:$D$4734=D2100)*($E$2:$E$4734=0)),0)</f>
        <v>0</v>
      </c>
      <c r="L2100" s="1" t="str">
        <f>IF(E2100=0,SUMPRODUCT(MIN($K$2:$K$4734+((($A$2:$A$4734&lt;&gt;A2100)+($E$2:$E$4734&lt;&gt;0))&gt;0)*1000000)),"")</f>
        <v/>
      </c>
      <c r="M2100" s="1">
        <f>IF(AND(E2100=0,COUNTIFS($A$2:A2100,A2100,$E$2:E2100,0)=1),L2100,0)</f>
        <v>0</v>
      </c>
    </row>
    <row r="2101" spans="1:13" ht="15" customHeight="1">
      <c r="A2101" s="1">
        <v>10</v>
      </c>
      <c r="B2101" s="1" t="s">
        <v>9</v>
      </c>
      <c r="C2101" s="1" t="s">
        <v>2437</v>
      </c>
      <c r="D2101" s="2" t="s">
        <v>2450</v>
      </c>
      <c r="E2101" s="1">
        <v>1</v>
      </c>
      <c r="F2101" s="2" t="s">
        <v>2456</v>
      </c>
      <c r="G2101" s="1">
        <v>1</v>
      </c>
      <c r="H2101" s="1" t="str">
        <f t="shared" si="33"/>
        <v>k10_1</v>
      </c>
      <c r="K2101" s="1">
        <f>IF(E2101=0,SUMPRODUCT(($A$2:$A$4734=A2101)*($B$2:$B$4734=B2101)*($D$2:$D$4734=D2101)*($E$2:$E$4734=0)),0)</f>
        <v>0</v>
      </c>
      <c r="L2101" s="1" t="str">
        <f>IF(E2101=0,SUMPRODUCT(MIN($K$2:$K$4734+((($A$2:$A$4734&lt;&gt;A2101)+($E$2:$E$4734&lt;&gt;0))&gt;0)*1000000)),"")</f>
        <v/>
      </c>
      <c r="M2101" s="1">
        <f>IF(AND(E2101=0,COUNTIFS($A$2:A2101,A2101,$E$2:E2101,0)=1),L2101,0)</f>
        <v>0</v>
      </c>
    </row>
    <row r="2102" spans="1:13" ht="15" customHeight="1">
      <c r="A2102" s="1">
        <v>10</v>
      </c>
      <c r="B2102" s="1" t="s">
        <v>9</v>
      </c>
      <c r="C2102" s="1" t="s">
        <v>2437</v>
      </c>
      <c r="D2102" s="2" t="s">
        <v>2450</v>
      </c>
      <c r="E2102" s="1">
        <v>1</v>
      </c>
      <c r="F2102" s="2" t="s">
        <v>2457</v>
      </c>
      <c r="G2102" s="1">
        <v>2</v>
      </c>
      <c r="H2102" s="1" t="str">
        <f t="shared" si="33"/>
        <v>k10_2</v>
      </c>
      <c r="K2102" s="1">
        <f>IF(E2102=0,SUMPRODUCT(($A$2:$A$4734=A2102)*($B$2:$B$4734=B2102)*($D$2:$D$4734=D2102)*($E$2:$E$4734=0)),0)</f>
        <v>0</v>
      </c>
      <c r="L2102" s="1" t="str">
        <f>IF(E2102=0,SUMPRODUCT(MIN($K$2:$K$4734+((($A$2:$A$4734&lt;&gt;A2102)+($E$2:$E$4734&lt;&gt;0))&gt;0)*1000000)),"")</f>
        <v/>
      </c>
      <c r="M2102" s="1">
        <f>IF(AND(E2102=0,COUNTIFS($A$2:A2102,A2102,$E$2:E2102,0)=1),L2102,0)</f>
        <v>0</v>
      </c>
    </row>
    <row r="2103" spans="1:13" ht="15" customHeight="1">
      <c r="A2103" s="1">
        <v>10</v>
      </c>
      <c r="B2103" s="1" t="s">
        <v>9</v>
      </c>
      <c r="C2103" s="1" t="s">
        <v>2437</v>
      </c>
      <c r="D2103" s="2" t="s">
        <v>2450</v>
      </c>
      <c r="E2103" s="1">
        <v>1</v>
      </c>
      <c r="F2103" s="2" t="s">
        <v>2457</v>
      </c>
      <c r="G2103" s="1">
        <v>6</v>
      </c>
      <c r="H2103" s="1" t="str">
        <f t="shared" si="33"/>
        <v>k10_6</v>
      </c>
      <c r="K2103" s="1">
        <f>IF(E2103=0,SUMPRODUCT(($A$2:$A$4734=A2103)*($B$2:$B$4734=B2103)*($D$2:$D$4734=D2103)*($E$2:$E$4734=0)),0)</f>
        <v>0</v>
      </c>
      <c r="L2103" s="1" t="str">
        <f>IF(E2103=0,SUMPRODUCT(MIN($K$2:$K$4734+((($A$2:$A$4734&lt;&gt;A2103)+($E$2:$E$4734&lt;&gt;0))&gt;0)*1000000)),"")</f>
        <v/>
      </c>
      <c r="M2103" s="1">
        <f>IF(AND(E2103=0,COUNTIFS($A$2:A2103,A2103,$E$2:E2103,0)=1),L2103,0)</f>
        <v>0</v>
      </c>
    </row>
    <row r="2104" spans="1:13" ht="15" customHeight="1">
      <c r="A2104" s="1">
        <v>10</v>
      </c>
      <c r="B2104" s="1" t="s">
        <v>9</v>
      </c>
      <c r="C2104" s="1" t="s">
        <v>2437</v>
      </c>
      <c r="D2104" s="2" t="s">
        <v>2450</v>
      </c>
      <c r="E2104" s="1">
        <v>1</v>
      </c>
      <c r="F2104" s="2" t="s">
        <v>2458</v>
      </c>
      <c r="G2104" s="1">
        <v>3</v>
      </c>
      <c r="H2104" s="1" t="str">
        <f t="shared" si="33"/>
        <v>k10_3</v>
      </c>
      <c r="K2104" s="1">
        <f>IF(E2104=0,SUMPRODUCT(($A$2:$A$4734=A2104)*($B$2:$B$4734=B2104)*($D$2:$D$4734=D2104)*($E$2:$E$4734=0)),0)</f>
        <v>0</v>
      </c>
      <c r="L2104" s="1" t="str">
        <f>IF(E2104=0,SUMPRODUCT(MIN($K$2:$K$4734+((($A$2:$A$4734&lt;&gt;A2104)+($E$2:$E$4734&lt;&gt;0))&gt;0)*1000000)),"")</f>
        <v/>
      </c>
      <c r="M2104" s="1">
        <f>IF(AND(E2104=0,COUNTIFS($A$2:A2104,A2104,$E$2:E2104,0)=1),L2104,0)</f>
        <v>0</v>
      </c>
    </row>
    <row r="2105" spans="1:13" ht="15" customHeight="1">
      <c r="A2105" s="1">
        <v>10</v>
      </c>
      <c r="B2105" s="1" t="s">
        <v>9</v>
      </c>
      <c r="C2105" s="1" t="s">
        <v>2437</v>
      </c>
      <c r="D2105" s="2" t="s">
        <v>2450</v>
      </c>
      <c r="E2105" s="1">
        <v>1</v>
      </c>
      <c r="F2105" s="2" t="s">
        <v>2459</v>
      </c>
      <c r="G2105" s="1">
        <v>4</v>
      </c>
      <c r="H2105" s="1" t="str">
        <f t="shared" si="33"/>
        <v>k10_4</v>
      </c>
      <c r="K2105" s="1">
        <f>IF(E2105=0,SUMPRODUCT(($A$2:$A$4734=A2105)*($B$2:$B$4734=B2105)*($D$2:$D$4734=D2105)*($E$2:$E$4734=0)),0)</f>
        <v>0</v>
      </c>
      <c r="L2105" s="1" t="str">
        <f>IF(E2105=0,SUMPRODUCT(MIN($K$2:$K$4734+((($A$2:$A$4734&lt;&gt;A2105)+($E$2:$E$4734&lt;&gt;0))&gt;0)*1000000)),"")</f>
        <v/>
      </c>
      <c r="M2105" s="1">
        <f>IF(AND(E2105=0,COUNTIFS($A$2:A2105,A2105,$E$2:E2105,0)=1),L2105,0)</f>
        <v>0</v>
      </c>
    </row>
    <row r="2106" spans="1:13" ht="15" customHeight="1">
      <c r="A2106" s="1">
        <v>10</v>
      </c>
      <c r="B2106" s="1" t="s">
        <v>9</v>
      </c>
      <c r="C2106" s="1" t="s">
        <v>2437</v>
      </c>
      <c r="D2106" s="2" t="s">
        <v>2450</v>
      </c>
      <c r="E2106" s="1">
        <v>1</v>
      </c>
      <c r="F2106" s="2" t="s">
        <v>2460</v>
      </c>
      <c r="G2106" s="1">
        <v>5</v>
      </c>
      <c r="H2106" s="1" t="str">
        <f t="shared" si="33"/>
        <v>k10_5</v>
      </c>
      <c r="K2106" s="1">
        <f>IF(E2106=0,SUMPRODUCT(($A$2:$A$4734=A2106)*($B$2:$B$4734=B2106)*($D$2:$D$4734=D2106)*($E$2:$E$4734=0)),0)</f>
        <v>0</v>
      </c>
      <c r="L2106" s="1" t="str">
        <f>IF(E2106=0,SUMPRODUCT(MIN($K$2:$K$4734+((($A$2:$A$4734&lt;&gt;A2106)+($E$2:$E$4734&lt;&gt;0))&gt;0)*1000000)),"")</f>
        <v/>
      </c>
      <c r="M2106" s="1">
        <f>IF(AND(E2106=0,COUNTIFS($A$2:A2106,A2106,$E$2:E2106,0)=1),L2106,0)</f>
        <v>0</v>
      </c>
    </row>
    <row r="2107" spans="1:13" ht="15" customHeight="1">
      <c r="A2107" s="1">
        <v>10</v>
      </c>
      <c r="B2107" s="1" t="s">
        <v>635</v>
      </c>
      <c r="C2107" s="1" t="s">
        <v>2437</v>
      </c>
      <c r="D2107" s="2" t="s">
        <v>2461</v>
      </c>
      <c r="E2107" s="1">
        <v>1</v>
      </c>
      <c r="F2107" s="2" t="s">
        <v>2462</v>
      </c>
      <c r="G2107" s="1">
        <v>1</v>
      </c>
      <c r="H2107" s="1" t="str">
        <f t="shared" si="33"/>
        <v>k10_1</v>
      </c>
      <c r="K2107" s="1">
        <f>IF(E2107=0,SUMPRODUCT(($A$2:$A$4734=A2107)*($B$2:$B$4734=B2107)*($D$2:$D$4734=D2107)*($E$2:$E$4734=0)),0)</f>
        <v>0</v>
      </c>
      <c r="L2107" s="1" t="str">
        <f>IF(E2107=0,SUMPRODUCT(MIN($K$2:$K$4734+((($A$2:$A$4734&lt;&gt;A2107)+($E$2:$E$4734&lt;&gt;0))&gt;0)*1000000)),"")</f>
        <v/>
      </c>
      <c r="M2107" s="1">
        <f>IF(AND(E2107=0,COUNTIFS($A$2:A2107,A2107,$E$2:E2107,0)=1),L2107,0)</f>
        <v>0</v>
      </c>
    </row>
    <row r="2108" spans="1:13" ht="15" customHeight="1">
      <c r="A2108" s="1">
        <v>10</v>
      </c>
      <c r="B2108" s="1" t="s">
        <v>635</v>
      </c>
      <c r="C2108" s="1" t="s">
        <v>2437</v>
      </c>
      <c r="D2108" s="2" t="s">
        <v>2461</v>
      </c>
      <c r="E2108" s="1">
        <v>1</v>
      </c>
      <c r="F2108" s="2" t="s">
        <v>2463</v>
      </c>
      <c r="G2108" s="1">
        <v>2</v>
      </c>
      <c r="H2108" s="1" t="str">
        <f t="shared" si="33"/>
        <v>k10_2</v>
      </c>
      <c r="K2108" s="1">
        <f>IF(E2108=0,SUMPRODUCT(($A$2:$A$4734=A2108)*($B$2:$B$4734=B2108)*($D$2:$D$4734=D2108)*($E$2:$E$4734=0)),0)</f>
        <v>0</v>
      </c>
      <c r="L2108" s="1" t="str">
        <f>IF(E2108=0,SUMPRODUCT(MIN($K$2:$K$4734+((($A$2:$A$4734&lt;&gt;A2108)+($E$2:$E$4734&lt;&gt;0))&gt;0)*1000000)),"")</f>
        <v/>
      </c>
      <c r="M2108" s="1">
        <f>IF(AND(E2108=0,COUNTIFS($A$2:A2108,A2108,$E$2:E2108,0)=1),L2108,0)</f>
        <v>0</v>
      </c>
    </row>
    <row r="2109" spans="1:13" ht="15" customHeight="1">
      <c r="A2109" s="1">
        <v>10</v>
      </c>
      <c r="B2109" s="1" t="s">
        <v>635</v>
      </c>
      <c r="C2109" s="1" t="s">
        <v>2437</v>
      </c>
      <c r="D2109" s="2" t="s">
        <v>2461</v>
      </c>
      <c r="E2109" s="1">
        <v>1</v>
      </c>
      <c r="F2109" s="2" t="s">
        <v>2464</v>
      </c>
      <c r="G2109" s="1">
        <v>3</v>
      </c>
      <c r="H2109" s="1" t="str">
        <f t="shared" si="33"/>
        <v>k10_3</v>
      </c>
      <c r="K2109" s="1">
        <f>IF(E2109=0,SUMPRODUCT(($A$2:$A$4734=A2109)*($B$2:$B$4734=B2109)*($D$2:$D$4734=D2109)*($E$2:$E$4734=0)),0)</f>
        <v>0</v>
      </c>
      <c r="L2109" s="1" t="str">
        <f>IF(E2109=0,SUMPRODUCT(MIN($K$2:$K$4734+((($A$2:$A$4734&lt;&gt;A2109)+($E$2:$E$4734&lt;&gt;0))&gt;0)*1000000)),"")</f>
        <v/>
      </c>
      <c r="M2109" s="1">
        <f>IF(AND(E2109=0,COUNTIFS($A$2:A2109,A2109,$E$2:E2109,0)=1),L2109,0)</f>
        <v>0</v>
      </c>
    </row>
    <row r="2110" spans="1:13" ht="15" customHeight="1">
      <c r="A2110" s="1">
        <v>10</v>
      </c>
      <c r="B2110" s="1" t="s">
        <v>635</v>
      </c>
      <c r="C2110" s="1" t="s">
        <v>2437</v>
      </c>
      <c r="D2110" s="2" t="s">
        <v>2461</v>
      </c>
      <c r="E2110" s="1">
        <v>1</v>
      </c>
      <c r="F2110" s="2" t="s">
        <v>2465</v>
      </c>
      <c r="G2110" s="1">
        <v>4</v>
      </c>
      <c r="H2110" s="1" t="str">
        <f t="shared" si="33"/>
        <v>k10_4</v>
      </c>
      <c r="K2110" s="1">
        <f>IF(E2110=0,SUMPRODUCT(($A$2:$A$4734=A2110)*($B$2:$B$4734=B2110)*($D$2:$D$4734=D2110)*($E$2:$E$4734=0)),0)</f>
        <v>0</v>
      </c>
      <c r="L2110" s="1" t="str">
        <f>IF(E2110=0,SUMPRODUCT(MIN($K$2:$K$4734+((($A$2:$A$4734&lt;&gt;A2110)+($E$2:$E$4734&lt;&gt;0))&gt;0)*1000000)),"")</f>
        <v/>
      </c>
      <c r="M2110" s="1">
        <f>IF(AND(E2110=0,COUNTIFS($A$2:A2110,A2110,$E$2:E2110,0)=1),L2110,0)</f>
        <v>0</v>
      </c>
    </row>
    <row r="2111" spans="1:13" ht="15" customHeight="1">
      <c r="A2111" s="1">
        <v>10</v>
      </c>
      <c r="B2111" s="1" t="s">
        <v>635</v>
      </c>
      <c r="C2111" s="1" t="s">
        <v>2437</v>
      </c>
      <c r="D2111" s="2" t="s">
        <v>2461</v>
      </c>
      <c r="E2111" s="1">
        <v>1</v>
      </c>
      <c r="F2111" s="2" t="s">
        <v>2466</v>
      </c>
      <c r="G2111" s="1">
        <v>5</v>
      </c>
      <c r="H2111" s="1" t="str">
        <f t="shared" si="33"/>
        <v>k10_5</v>
      </c>
      <c r="K2111" s="1">
        <f>IF(E2111=0,SUMPRODUCT(($A$2:$A$4734=A2111)*($B$2:$B$4734=B2111)*($D$2:$D$4734=D2111)*($E$2:$E$4734=0)),0)</f>
        <v>0</v>
      </c>
      <c r="L2111" s="1" t="str">
        <f>IF(E2111=0,SUMPRODUCT(MIN($K$2:$K$4734+((($A$2:$A$4734&lt;&gt;A2111)+($E$2:$E$4734&lt;&gt;0))&gt;0)*1000000)),"")</f>
        <v/>
      </c>
      <c r="M2111" s="1">
        <f>IF(AND(E2111=0,COUNTIFS($A$2:A2111,A2111,$E$2:E2111,0)=1),L2111,0)</f>
        <v>0</v>
      </c>
    </row>
    <row r="2112" spans="1:13" ht="15" customHeight="1">
      <c r="A2112" s="1">
        <v>10</v>
      </c>
      <c r="B2112" s="1" t="s">
        <v>635</v>
      </c>
      <c r="C2112" s="1" t="s">
        <v>2437</v>
      </c>
      <c r="D2112" s="2" t="s">
        <v>2461</v>
      </c>
      <c r="E2112" s="1">
        <v>1</v>
      </c>
      <c r="F2112" s="2" t="s">
        <v>2467</v>
      </c>
      <c r="G2112" s="1">
        <v>6</v>
      </c>
      <c r="H2112" s="1" t="str">
        <f t="shared" si="33"/>
        <v>k10_6</v>
      </c>
      <c r="K2112" s="1">
        <f>IF(E2112=0,SUMPRODUCT(($A$2:$A$4734=A2112)*($B$2:$B$4734=B2112)*($D$2:$D$4734=D2112)*($E$2:$E$4734=0)),0)</f>
        <v>0</v>
      </c>
      <c r="L2112" s="1" t="str">
        <f>IF(E2112=0,SUMPRODUCT(MIN($K$2:$K$4734+((($A$2:$A$4734&lt;&gt;A2112)+($E$2:$E$4734&lt;&gt;0))&gt;0)*1000000)),"")</f>
        <v/>
      </c>
      <c r="M2112" s="1">
        <f>IF(AND(E2112=0,COUNTIFS($A$2:A2112,A2112,$E$2:E2112,0)=1),L2112,0)</f>
        <v>0</v>
      </c>
    </row>
    <row r="2113" spans="1:13" ht="15" customHeight="1">
      <c r="A2113" s="1">
        <v>10</v>
      </c>
      <c r="B2113" s="1" t="s">
        <v>9</v>
      </c>
      <c r="C2113" s="1" t="s">
        <v>2437</v>
      </c>
      <c r="D2113" s="2" t="s">
        <v>2468</v>
      </c>
      <c r="E2113" s="1">
        <v>1</v>
      </c>
      <c r="F2113" s="2" t="s">
        <v>2469</v>
      </c>
      <c r="G2113" s="1">
        <v>1</v>
      </c>
      <c r="H2113" s="1" t="str">
        <f t="shared" si="33"/>
        <v>k10_1</v>
      </c>
      <c r="K2113" s="1">
        <f>IF(E2113=0,SUMPRODUCT(($A$2:$A$4734=A2113)*($B$2:$B$4734=B2113)*($D$2:$D$4734=D2113)*($E$2:$E$4734=0)),0)</f>
        <v>0</v>
      </c>
      <c r="L2113" s="1" t="str">
        <f>IF(E2113=0,SUMPRODUCT(MIN($K$2:$K$4734+((($A$2:$A$4734&lt;&gt;A2113)+($E$2:$E$4734&lt;&gt;0))&gt;0)*1000000)),"")</f>
        <v/>
      </c>
      <c r="M2113" s="1">
        <f>IF(AND(E2113=0,COUNTIFS($A$2:A2113,A2113,$E$2:E2113,0)=1),L2113,0)</f>
        <v>0</v>
      </c>
    </row>
    <row r="2114" spans="1:13" ht="15" customHeight="1">
      <c r="A2114" s="1">
        <v>10</v>
      </c>
      <c r="B2114" s="1" t="s">
        <v>9</v>
      </c>
      <c r="C2114" s="1" t="s">
        <v>2437</v>
      </c>
      <c r="D2114" s="2" t="s">
        <v>2468</v>
      </c>
      <c r="E2114" s="1">
        <v>1</v>
      </c>
      <c r="F2114" s="2" t="s">
        <v>2470</v>
      </c>
      <c r="G2114" s="1">
        <v>2</v>
      </c>
      <c r="H2114" s="1" t="str">
        <f t="shared" si="33"/>
        <v>k10_2</v>
      </c>
      <c r="K2114" s="1">
        <f>IF(E2114=0,SUMPRODUCT(($A$2:$A$4734=A2114)*($B$2:$B$4734=B2114)*($D$2:$D$4734=D2114)*($E$2:$E$4734=0)),0)</f>
        <v>0</v>
      </c>
      <c r="L2114" s="1" t="str">
        <f>IF(E2114=0,SUMPRODUCT(MIN($K$2:$K$4734+((($A$2:$A$4734&lt;&gt;A2114)+($E$2:$E$4734&lt;&gt;0))&gt;0)*1000000)),"")</f>
        <v/>
      </c>
      <c r="M2114" s="1">
        <f>IF(AND(E2114=0,COUNTIFS($A$2:A2114,A2114,$E$2:E2114,0)=1),L2114,0)</f>
        <v>0</v>
      </c>
    </row>
    <row r="2115" spans="1:13" ht="15" customHeight="1">
      <c r="A2115" s="1">
        <v>10</v>
      </c>
      <c r="B2115" s="1" t="s">
        <v>9</v>
      </c>
      <c r="C2115" s="1" t="s">
        <v>2437</v>
      </c>
      <c r="D2115" s="2" t="s">
        <v>2468</v>
      </c>
      <c r="E2115" s="1">
        <v>1</v>
      </c>
      <c r="F2115" s="2" t="s">
        <v>2471</v>
      </c>
      <c r="G2115" s="1">
        <v>3</v>
      </c>
      <c r="H2115" s="1" t="str">
        <f t="shared" si="33"/>
        <v>k10_3</v>
      </c>
      <c r="K2115" s="1">
        <f>IF(E2115=0,SUMPRODUCT(($A$2:$A$4734=A2115)*($B$2:$B$4734=B2115)*($D$2:$D$4734=D2115)*($E$2:$E$4734=0)),0)</f>
        <v>0</v>
      </c>
      <c r="L2115" s="1" t="str">
        <f>IF(E2115=0,SUMPRODUCT(MIN($K$2:$K$4734+((($A$2:$A$4734&lt;&gt;A2115)+($E$2:$E$4734&lt;&gt;0))&gt;0)*1000000)),"")</f>
        <v/>
      </c>
      <c r="M2115" s="1">
        <f>IF(AND(E2115=0,COUNTIFS($A$2:A2115,A2115,$E$2:E2115,0)=1),L2115,0)</f>
        <v>0</v>
      </c>
    </row>
    <row r="2116" spans="1:13" ht="15" customHeight="1">
      <c r="A2116" s="1">
        <v>10</v>
      </c>
      <c r="B2116" s="1" t="s">
        <v>9</v>
      </c>
      <c r="C2116" s="1" t="s">
        <v>2437</v>
      </c>
      <c r="D2116" s="2" t="s">
        <v>2468</v>
      </c>
      <c r="E2116" s="1">
        <v>1</v>
      </c>
      <c r="F2116" s="2" t="s">
        <v>2471</v>
      </c>
      <c r="G2116" s="1">
        <v>6</v>
      </c>
      <c r="H2116" s="1" t="str">
        <f t="shared" si="33"/>
        <v>k10_6</v>
      </c>
      <c r="K2116" s="1">
        <f>IF(E2116=0,SUMPRODUCT(($A$2:$A$4734=A2116)*($B$2:$B$4734=B2116)*($D$2:$D$4734=D2116)*($E$2:$E$4734=0)),0)</f>
        <v>0</v>
      </c>
      <c r="L2116" s="1" t="str">
        <f>IF(E2116=0,SUMPRODUCT(MIN($K$2:$K$4734+((($A$2:$A$4734&lt;&gt;A2116)+($E$2:$E$4734&lt;&gt;0))&gt;0)*1000000)),"")</f>
        <v/>
      </c>
      <c r="M2116" s="1">
        <f>IF(AND(E2116=0,COUNTIFS($A$2:A2116,A2116,$E$2:E2116,0)=1),L2116,0)</f>
        <v>0</v>
      </c>
    </row>
    <row r="2117" spans="1:13" ht="15" customHeight="1">
      <c r="A2117" s="1">
        <v>10</v>
      </c>
      <c r="B2117" s="1" t="s">
        <v>9</v>
      </c>
      <c r="C2117" s="1" t="s">
        <v>2437</v>
      </c>
      <c r="D2117" s="2" t="s">
        <v>2468</v>
      </c>
      <c r="E2117" s="1">
        <v>1</v>
      </c>
      <c r="F2117" s="2" t="s">
        <v>2472</v>
      </c>
      <c r="G2117" s="1">
        <v>4</v>
      </c>
      <c r="H2117" s="1" t="str">
        <f t="shared" si="33"/>
        <v>k10_4</v>
      </c>
      <c r="K2117" s="1">
        <f>IF(E2117=0,SUMPRODUCT(($A$2:$A$4734=A2117)*($B$2:$B$4734=B2117)*($D$2:$D$4734=D2117)*($E$2:$E$4734=0)),0)</f>
        <v>0</v>
      </c>
      <c r="L2117" s="1" t="str">
        <f>IF(E2117=0,SUMPRODUCT(MIN($K$2:$K$4734+((($A$2:$A$4734&lt;&gt;A2117)+($E$2:$E$4734&lt;&gt;0))&gt;0)*1000000)),"")</f>
        <v/>
      </c>
      <c r="M2117" s="1">
        <f>IF(AND(E2117=0,COUNTIFS($A$2:A2117,A2117,$E$2:E2117,0)=1),L2117,0)</f>
        <v>0</v>
      </c>
    </row>
    <row r="2118" spans="1:13" ht="15" customHeight="1">
      <c r="A2118" s="1">
        <v>10</v>
      </c>
      <c r="B2118" s="1" t="s">
        <v>9</v>
      </c>
      <c r="C2118" s="1" t="s">
        <v>2437</v>
      </c>
      <c r="D2118" s="2" t="s">
        <v>2468</v>
      </c>
      <c r="E2118" s="1">
        <v>1</v>
      </c>
      <c r="F2118" s="2" t="s">
        <v>2473</v>
      </c>
      <c r="G2118" s="1">
        <v>5</v>
      </c>
      <c r="H2118" s="1" t="str">
        <f t="shared" si="33"/>
        <v>k10_5</v>
      </c>
      <c r="K2118" s="1">
        <f>IF(E2118=0,SUMPRODUCT(($A$2:$A$4734=A2118)*($B$2:$B$4734=B2118)*($D$2:$D$4734=D2118)*($E$2:$E$4734=0)),0)</f>
        <v>0</v>
      </c>
      <c r="L2118" s="1" t="str">
        <f>IF(E2118=0,SUMPRODUCT(MIN($K$2:$K$4734+((($A$2:$A$4734&lt;&gt;A2118)+($E$2:$E$4734&lt;&gt;0))&gt;0)*1000000)),"")</f>
        <v/>
      </c>
      <c r="M2118" s="1">
        <f>IF(AND(E2118=0,COUNTIFS($A$2:A2118,A2118,$E$2:E2118,0)=1),L2118,0)</f>
        <v>0</v>
      </c>
    </row>
    <row r="2119" spans="1:13" ht="15" customHeight="1">
      <c r="A2119" s="1">
        <v>11</v>
      </c>
      <c r="B2119" s="1" t="s">
        <v>9</v>
      </c>
      <c r="C2119" s="2" t="s">
        <v>2474</v>
      </c>
      <c r="D2119" s="2" t="s">
        <v>2475</v>
      </c>
      <c r="E2119" s="1">
        <v>0</v>
      </c>
      <c r="F2119" s="2" t="s">
        <v>2476</v>
      </c>
      <c r="H2119" s="1" t="str">
        <f t="shared" si="33"/>
        <v/>
      </c>
      <c r="K2119" s="1">
        <f>IF(E2119=0,SUMPRODUCT(($A$2:$A$4734=A2119)*($B$2:$B$4734=B2119)*($D$2:$D$4734=D2119)*($E$2:$E$4734=0)),0)</f>
        <v>4</v>
      </c>
      <c r="L2119" s="1">
        <f>IF(E2119=0,SUMPRODUCT(MIN($K$2:$K$4734+((($A$2:$A$4734&lt;&gt;A2119)+($E$2:$E$4734&lt;&gt;0))&gt;0)*1000000)),"")</f>
        <v>4</v>
      </c>
      <c r="M2119" s="1">
        <f>IF(AND(E2119=0,COUNTIFS($A$2:A2119,A2119,$E$2:E2119,0)=1),L2119,0)</f>
        <v>4</v>
      </c>
    </row>
    <row r="2120" spans="1:13" ht="15" customHeight="1">
      <c r="A2120" s="1">
        <v>11</v>
      </c>
      <c r="B2120" s="1" t="s">
        <v>9</v>
      </c>
      <c r="C2120" s="2" t="s">
        <v>2474</v>
      </c>
      <c r="D2120" s="2" t="s">
        <v>2475</v>
      </c>
      <c r="E2120" s="1">
        <v>0</v>
      </c>
      <c r="F2120" s="2" t="s">
        <v>2477</v>
      </c>
      <c r="H2120" s="1" t="str">
        <f t="shared" si="33"/>
        <v/>
      </c>
      <c r="K2120" s="1">
        <f>IF(E2120=0,SUMPRODUCT(($A$2:$A$4734=A2120)*($B$2:$B$4734=B2120)*($D$2:$D$4734=D2120)*($E$2:$E$4734=0)),0)</f>
        <v>4</v>
      </c>
      <c r="L2120" s="1">
        <f>IF(E2120=0,SUMPRODUCT(MIN($K$2:$K$4734+((($A$2:$A$4734&lt;&gt;A2120)+($E$2:$E$4734&lt;&gt;0))&gt;0)*1000000)),"")</f>
        <v>4</v>
      </c>
      <c r="M2120" s="1">
        <f>IF(AND(E2120=0,COUNTIFS($A$2:A2120,A2120,$E$2:E2120,0)=1),L2120,0)</f>
        <v>0</v>
      </c>
    </row>
    <row r="2121" spans="1:13" ht="15" customHeight="1">
      <c r="A2121" s="1">
        <v>11</v>
      </c>
      <c r="B2121" s="1" t="s">
        <v>9</v>
      </c>
      <c r="C2121" s="2" t="s">
        <v>2474</v>
      </c>
      <c r="D2121" s="2" t="s">
        <v>2475</v>
      </c>
      <c r="E2121" s="1">
        <v>0</v>
      </c>
      <c r="F2121" s="2" t="s">
        <v>2478</v>
      </c>
      <c r="H2121" s="1" t="str">
        <f t="shared" si="33"/>
        <v/>
      </c>
      <c r="K2121" s="1">
        <f>IF(E2121=0,SUMPRODUCT(($A$2:$A$4734=A2121)*($B$2:$B$4734=B2121)*($D$2:$D$4734=D2121)*($E$2:$E$4734=0)),0)</f>
        <v>4</v>
      </c>
      <c r="L2121" s="1">
        <f>IF(E2121=0,SUMPRODUCT(MIN($K$2:$K$4734+((($A$2:$A$4734&lt;&gt;A2121)+($E$2:$E$4734&lt;&gt;0))&gt;0)*1000000)),"")</f>
        <v>4</v>
      </c>
      <c r="M2121" s="1">
        <f>IF(AND(E2121=0,COUNTIFS($A$2:A2121,A2121,$E$2:E2121,0)=1),L2121,0)</f>
        <v>0</v>
      </c>
    </row>
    <row r="2122" spans="1:13" ht="15" customHeight="1">
      <c r="A2122" s="1">
        <v>11</v>
      </c>
      <c r="B2122" s="1" t="s">
        <v>9</v>
      </c>
      <c r="C2122" s="2" t="s">
        <v>2474</v>
      </c>
      <c r="D2122" s="2" t="s">
        <v>2475</v>
      </c>
      <c r="E2122" s="1">
        <v>0</v>
      </c>
      <c r="F2122" s="2" t="s">
        <v>2479</v>
      </c>
      <c r="H2122" s="1" t="str">
        <f t="shared" si="33"/>
        <v/>
      </c>
      <c r="K2122" s="1">
        <f>IF(E2122=0,SUMPRODUCT(($A$2:$A$4734=A2122)*($B$2:$B$4734=B2122)*($D$2:$D$4734=D2122)*($E$2:$E$4734=0)),0)</f>
        <v>4</v>
      </c>
      <c r="L2122" s="1">
        <f>IF(E2122=0,SUMPRODUCT(MIN($K$2:$K$4734+((($A$2:$A$4734&lt;&gt;A2122)+($E$2:$E$4734&lt;&gt;0))&gt;0)*1000000)),"")</f>
        <v>4</v>
      </c>
      <c r="M2122" s="1">
        <f>IF(AND(E2122=0,COUNTIFS($A$2:A2122,A2122,$E$2:E2122,0)=1),L2122,0)</f>
        <v>0</v>
      </c>
    </row>
    <row r="2123" spans="1:13" ht="15" customHeight="1">
      <c r="A2123" s="1">
        <v>11</v>
      </c>
      <c r="B2123" s="1" t="s">
        <v>16</v>
      </c>
      <c r="C2123" s="2" t="s">
        <v>2474</v>
      </c>
      <c r="D2123" s="2" t="s">
        <v>2480</v>
      </c>
      <c r="E2123" s="1">
        <v>0</v>
      </c>
      <c r="F2123" s="2" t="s">
        <v>2481</v>
      </c>
      <c r="H2123" s="1" t="str">
        <f t="shared" si="33"/>
        <v/>
      </c>
      <c r="K2123" s="1">
        <f>IF(E2123=0,SUMPRODUCT(($A$2:$A$4734=A2123)*($B$2:$B$4734=B2123)*($D$2:$D$4734=D2123)*($E$2:$E$4734=0)),0)</f>
        <v>6</v>
      </c>
      <c r="L2123" s="1">
        <f>IF(E2123=0,SUMPRODUCT(MIN($K$2:$K$4734+((($A$2:$A$4734&lt;&gt;A2123)+($E$2:$E$4734&lt;&gt;0))&gt;0)*1000000)),"")</f>
        <v>4</v>
      </c>
      <c r="M2123" s="1">
        <f>IF(AND(E2123=0,COUNTIFS($A$2:A2123,A2123,$E$2:E2123,0)=1),L2123,0)</f>
        <v>0</v>
      </c>
    </row>
    <row r="2124" spans="1:13" ht="15" customHeight="1">
      <c r="A2124" s="1">
        <v>11</v>
      </c>
      <c r="B2124" s="1" t="s">
        <v>16</v>
      </c>
      <c r="C2124" s="2" t="s">
        <v>2474</v>
      </c>
      <c r="D2124" s="2" t="s">
        <v>2480</v>
      </c>
      <c r="E2124" s="1">
        <v>0</v>
      </c>
      <c r="F2124" s="2" t="s">
        <v>2482</v>
      </c>
      <c r="H2124" s="1" t="str">
        <f t="shared" si="33"/>
        <v/>
      </c>
      <c r="K2124" s="1">
        <f>IF(E2124=0,SUMPRODUCT(($A$2:$A$4734=A2124)*($B$2:$B$4734=B2124)*($D$2:$D$4734=D2124)*($E$2:$E$4734=0)),0)</f>
        <v>6</v>
      </c>
      <c r="L2124" s="1">
        <f>IF(E2124=0,SUMPRODUCT(MIN($K$2:$K$4734+((($A$2:$A$4734&lt;&gt;A2124)+($E$2:$E$4734&lt;&gt;0))&gt;0)*1000000)),"")</f>
        <v>4</v>
      </c>
      <c r="M2124" s="1">
        <f>IF(AND(E2124=0,COUNTIFS($A$2:A2124,A2124,$E$2:E2124,0)=1),L2124,0)</f>
        <v>0</v>
      </c>
    </row>
    <row r="2125" spans="1:13" ht="15" customHeight="1">
      <c r="A2125" s="1">
        <v>11</v>
      </c>
      <c r="B2125" s="1" t="s">
        <v>16</v>
      </c>
      <c r="C2125" s="2" t="s">
        <v>2474</v>
      </c>
      <c r="D2125" s="2" t="s">
        <v>2480</v>
      </c>
      <c r="E2125" s="1">
        <v>0</v>
      </c>
      <c r="F2125" s="2" t="s">
        <v>2483</v>
      </c>
      <c r="H2125" s="1" t="str">
        <f t="shared" si="33"/>
        <v/>
      </c>
      <c r="K2125" s="1">
        <f>IF(E2125=0,SUMPRODUCT(($A$2:$A$4734=A2125)*($B$2:$B$4734=B2125)*($D$2:$D$4734=D2125)*($E$2:$E$4734=0)),0)</f>
        <v>6</v>
      </c>
      <c r="L2125" s="1">
        <f>IF(E2125=0,SUMPRODUCT(MIN($K$2:$K$4734+((($A$2:$A$4734&lt;&gt;A2125)+($E$2:$E$4734&lt;&gt;0))&gt;0)*1000000)),"")</f>
        <v>4</v>
      </c>
      <c r="M2125" s="1">
        <f>IF(AND(E2125=0,COUNTIFS($A$2:A2125,A2125,$E$2:E2125,0)=1),L2125,0)</f>
        <v>0</v>
      </c>
    </row>
    <row r="2126" spans="1:13" ht="15" customHeight="1">
      <c r="A2126" s="1">
        <v>11</v>
      </c>
      <c r="B2126" s="1" t="s">
        <v>16</v>
      </c>
      <c r="C2126" s="2" t="s">
        <v>2474</v>
      </c>
      <c r="D2126" s="2" t="s">
        <v>2480</v>
      </c>
      <c r="E2126" s="1">
        <v>0</v>
      </c>
      <c r="F2126" s="2" t="s">
        <v>2484</v>
      </c>
      <c r="H2126" s="1" t="str">
        <f t="shared" si="33"/>
        <v/>
      </c>
      <c r="K2126" s="1">
        <f>IF(E2126=0,SUMPRODUCT(($A$2:$A$4734=A2126)*($B$2:$B$4734=B2126)*($D$2:$D$4734=D2126)*($E$2:$E$4734=0)),0)</f>
        <v>6</v>
      </c>
      <c r="L2126" s="1">
        <f>IF(E2126=0,SUMPRODUCT(MIN($K$2:$K$4734+((($A$2:$A$4734&lt;&gt;A2126)+($E$2:$E$4734&lt;&gt;0))&gt;0)*1000000)),"")</f>
        <v>4</v>
      </c>
      <c r="M2126" s="1">
        <f>IF(AND(E2126=0,COUNTIFS($A$2:A2126,A2126,$E$2:E2126,0)=1),L2126,0)</f>
        <v>0</v>
      </c>
    </row>
    <row r="2127" spans="1:13" ht="15" customHeight="1">
      <c r="A2127" s="1">
        <v>11</v>
      </c>
      <c r="B2127" s="1" t="s">
        <v>16</v>
      </c>
      <c r="C2127" s="2" t="s">
        <v>2474</v>
      </c>
      <c r="D2127" s="2" t="s">
        <v>2480</v>
      </c>
      <c r="E2127" s="1">
        <v>0</v>
      </c>
      <c r="F2127" s="2" t="s">
        <v>2485</v>
      </c>
      <c r="H2127" s="1" t="str">
        <f t="shared" si="33"/>
        <v/>
      </c>
      <c r="K2127" s="1">
        <f>IF(E2127=0,SUMPRODUCT(($A$2:$A$4734=A2127)*($B$2:$B$4734=B2127)*($D$2:$D$4734=D2127)*($E$2:$E$4734=0)),0)</f>
        <v>6</v>
      </c>
      <c r="L2127" s="1">
        <f>IF(E2127=0,SUMPRODUCT(MIN($K$2:$K$4734+((($A$2:$A$4734&lt;&gt;A2127)+($E$2:$E$4734&lt;&gt;0))&gt;0)*1000000)),"")</f>
        <v>4</v>
      </c>
      <c r="M2127" s="1">
        <f>IF(AND(E2127=0,COUNTIFS($A$2:A2127,A2127,$E$2:E2127,0)=1),L2127,0)</f>
        <v>0</v>
      </c>
    </row>
    <row r="2128" spans="1:13" ht="15" customHeight="1">
      <c r="A2128" s="1">
        <v>11</v>
      </c>
      <c r="B2128" s="1" t="s">
        <v>16</v>
      </c>
      <c r="C2128" s="2" t="s">
        <v>2474</v>
      </c>
      <c r="D2128" s="2" t="s">
        <v>2480</v>
      </c>
      <c r="E2128" s="1">
        <v>0</v>
      </c>
      <c r="F2128" s="2" t="s">
        <v>2485</v>
      </c>
      <c r="H2128" s="1" t="str">
        <f t="shared" si="33"/>
        <v/>
      </c>
      <c r="K2128" s="1">
        <f>IF(E2128=0,SUMPRODUCT(($A$2:$A$4734=A2128)*($B$2:$B$4734=B2128)*($D$2:$D$4734=D2128)*($E$2:$E$4734=0)),0)</f>
        <v>6</v>
      </c>
      <c r="L2128" s="1">
        <f>IF(E2128=0,SUMPRODUCT(MIN($K$2:$K$4734+((($A$2:$A$4734&lt;&gt;A2128)+($E$2:$E$4734&lt;&gt;0))&gt;0)*1000000)),"")</f>
        <v>4</v>
      </c>
      <c r="M2128" s="1">
        <f>IF(AND(E2128=0,COUNTIFS($A$2:A2128,A2128,$E$2:E2128,0)=1),L2128,0)</f>
        <v>0</v>
      </c>
    </row>
    <row r="2129" spans="1:13" ht="15" customHeight="1">
      <c r="A2129" s="1">
        <v>11</v>
      </c>
      <c r="B2129" s="1" t="s">
        <v>16</v>
      </c>
      <c r="C2129" s="2" t="s">
        <v>2474</v>
      </c>
      <c r="D2129" s="2" t="s">
        <v>2486</v>
      </c>
      <c r="E2129" s="1">
        <v>0</v>
      </c>
      <c r="F2129" s="2" t="s">
        <v>2487</v>
      </c>
      <c r="H2129" s="1" t="str">
        <f t="shared" si="33"/>
        <v/>
      </c>
      <c r="K2129" s="1">
        <f>IF(E2129=0,SUMPRODUCT(($A$2:$A$4734=A2129)*($B$2:$B$4734=B2129)*($D$2:$D$4734=D2129)*($E$2:$E$4734=0)),0)</f>
        <v>6</v>
      </c>
      <c r="L2129" s="1">
        <f>IF(E2129=0,SUMPRODUCT(MIN($K$2:$K$4734+((($A$2:$A$4734&lt;&gt;A2129)+($E$2:$E$4734&lt;&gt;0))&gt;0)*1000000)),"")</f>
        <v>4</v>
      </c>
      <c r="M2129" s="1">
        <f>IF(AND(E2129=0,COUNTIFS($A$2:A2129,A2129,$E$2:E2129,0)=1),L2129,0)</f>
        <v>0</v>
      </c>
    </row>
    <row r="2130" spans="1:13" ht="15" customHeight="1">
      <c r="A2130" s="1">
        <v>11</v>
      </c>
      <c r="B2130" s="1" t="s">
        <v>16</v>
      </c>
      <c r="C2130" s="2" t="s">
        <v>2474</v>
      </c>
      <c r="D2130" s="2" t="s">
        <v>2486</v>
      </c>
      <c r="E2130" s="1">
        <v>0</v>
      </c>
      <c r="F2130" s="2" t="s">
        <v>2488</v>
      </c>
      <c r="H2130" s="1" t="str">
        <f t="shared" si="33"/>
        <v/>
      </c>
      <c r="K2130" s="1">
        <f>IF(E2130=0,SUMPRODUCT(($A$2:$A$4734=A2130)*($B$2:$B$4734=B2130)*($D$2:$D$4734=D2130)*($E$2:$E$4734=0)),0)</f>
        <v>6</v>
      </c>
      <c r="L2130" s="1">
        <f>IF(E2130=0,SUMPRODUCT(MIN($K$2:$K$4734+((($A$2:$A$4734&lt;&gt;A2130)+($E$2:$E$4734&lt;&gt;0))&gt;0)*1000000)),"")</f>
        <v>4</v>
      </c>
      <c r="M2130" s="1">
        <f>IF(AND(E2130=0,COUNTIFS($A$2:A2130,A2130,$E$2:E2130,0)=1),L2130,0)</f>
        <v>0</v>
      </c>
    </row>
    <row r="2131" spans="1:13" ht="15" customHeight="1">
      <c r="A2131" s="1">
        <v>11</v>
      </c>
      <c r="B2131" s="1" t="s">
        <v>16</v>
      </c>
      <c r="C2131" s="2" t="s">
        <v>2474</v>
      </c>
      <c r="D2131" s="2" t="s">
        <v>2486</v>
      </c>
      <c r="E2131" s="1">
        <v>0</v>
      </c>
      <c r="F2131" s="2" t="s">
        <v>2489</v>
      </c>
      <c r="H2131" s="1" t="str">
        <f t="shared" si="33"/>
        <v/>
      </c>
      <c r="K2131" s="1">
        <f>IF(E2131=0,SUMPRODUCT(($A$2:$A$4734=A2131)*($B$2:$B$4734=B2131)*($D$2:$D$4734=D2131)*($E$2:$E$4734=0)),0)</f>
        <v>6</v>
      </c>
      <c r="L2131" s="1">
        <f>IF(E2131=0,SUMPRODUCT(MIN($K$2:$K$4734+((($A$2:$A$4734&lt;&gt;A2131)+($E$2:$E$4734&lt;&gt;0))&gt;0)*1000000)),"")</f>
        <v>4</v>
      </c>
      <c r="M2131" s="1">
        <f>IF(AND(E2131=0,COUNTIFS($A$2:A2131,A2131,$E$2:E2131,0)=1),L2131,0)</f>
        <v>0</v>
      </c>
    </row>
    <row r="2132" spans="1:13" ht="15" customHeight="1">
      <c r="A2132" s="1">
        <v>11</v>
      </c>
      <c r="B2132" s="1" t="s">
        <v>16</v>
      </c>
      <c r="C2132" s="2" t="s">
        <v>2474</v>
      </c>
      <c r="D2132" s="2" t="s">
        <v>2486</v>
      </c>
      <c r="E2132" s="1">
        <v>0</v>
      </c>
      <c r="F2132" s="2" t="s">
        <v>2490</v>
      </c>
      <c r="H2132" s="1" t="str">
        <f t="shared" si="33"/>
        <v/>
      </c>
      <c r="K2132" s="1">
        <f>IF(E2132=0,SUMPRODUCT(($A$2:$A$4734=A2132)*($B$2:$B$4734=B2132)*($D$2:$D$4734=D2132)*($E$2:$E$4734=0)),0)</f>
        <v>6</v>
      </c>
      <c r="L2132" s="1">
        <f>IF(E2132=0,SUMPRODUCT(MIN($K$2:$K$4734+((($A$2:$A$4734&lt;&gt;A2132)+($E$2:$E$4734&lt;&gt;0))&gt;0)*1000000)),"")</f>
        <v>4</v>
      </c>
      <c r="M2132" s="1">
        <f>IF(AND(E2132=0,COUNTIFS($A$2:A2132,A2132,$E$2:E2132,0)=1),L2132,0)</f>
        <v>0</v>
      </c>
    </row>
    <row r="2133" spans="1:13" ht="15" customHeight="1">
      <c r="A2133" s="1">
        <v>11</v>
      </c>
      <c r="B2133" s="1" t="s">
        <v>16</v>
      </c>
      <c r="C2133" s="2" t="s">
        <v>2474</v>
      </c>
      <c r="D2133" s="2" t="s">
        <v>2486</v>
      </c>
      <c r="E2133" s="1">
        <v>0</v>
      </c>
      <c r="F2133" s="2" t="s">
        <v>2491</v>
      </c>
      <c r="H2133" s="1" t="str">
        <f t="shared" si="33"/>
        <v/>
      </c>
      <c r="K2133" s="1">
        <f>IF(E2133=0,SUMPRODUCT(($A$2:$A$4734=A2133)*($B$2:$B$4734=B2133)*($D$2:$D$4734=D2133)*($E$2:$E$4734=0)),0)</f>
        <v>6</v>
      </c>
      <c r="L2133" s="1">
        <f>IF(E2133=0,SUMPRODUCT(MIN($K$2:$K$4734+((($A$2:$A$4734&lt;&gt;A2133)+($E$2:$E$4734&lt;&gt;0))&gt;0)*1000000)),"")</f>
        <v>4</v>
      </c>
      <c r="M2133" s="1">
        <f>IF(AND(E2133=0,COUNTIFS($A$2:A2133,A2133,$E$2:E2133,0)=1),L2133,0)</f>
        <v>0</v>
      </c>
    </row>
    <row r="2134" spans="1:13" ht="15" customHeight="1">
      <c r="A2134" s="1">
        <v>11</v>
      </c>
      <c r="B2134" s="1" t="s">
        <v>16</v>
      </c>
      <c r="C2134" s="2" t="s">
        <v>2474</v>
      </c>
      <c r="D2134" s="2" t="s">
        <v>2486</v>
      </c>
      <c r="E2134" s="1">
        <v>0</v>
      </c>
      <c r="F2134" s="2" t="s">
        <v>2492</v>
      </c>
      <c r="H2134" s="1" t="str">
        <f t="shared" si="33"/>
        <v/>
      </c>
      <c r="K2134" s="1">
        <f>IF(E2134=0,SUMPRODUCT(($A$2:$A$4734=A2134)*($B$2:$B$4734=B2134)*($D$2:$D$4734=D2134)*($E$2:$E$4734=0)),0)</f>
        <v>6</v>
      </c>
      <c r="L2134" s="1">
        <f>IF(E2134=0,SUMPRODUCT(MIN($K$2:$K$4734+((($A$2:$A$4734&lt;&gt;A2134)+($E$2:$E$4734&lt;&gt;0))&gt;0)*1000000)),"")</f>
        <v>4</v>
      </c>
      <c r="M2134" s="1">
        <f>IF(AND(E2134=0,COUNTIFS($A$2:A2134,A2134,$E$2:E2134,0)=1),L2134,0)</f>
        <v>0</v>
      </c>
    </row>
    <row r="2135" spans="1:13" ht="15" customHeight="1">
      <c r="A2135" s="1">
        <v>12</v>
      </c>
      <c r="B2135" s="1" t="s">
        <v>9</v>
      </c>
      <c r="C2135" s="2" t="s">
        <v>2493</v>
      </c>
      <c r="D2135" s="2" t="s">
        <v>2494</v>
      </c>
      <c r="E2135" s="1">
        <v>1</v>
      </c>
      <c r="F2135" s="2" t="s">
        <v>2495</v>
      </c>
      <c r="G2135" s="1">
        <v>1</v>
      </c>
      <c r="H2135" s="1" t="str">
        <f t="shared" ref="H2135:H2198" si="34">IF(OR(E2135&lt;&gt;1,G2135=""),"","k"&amp;A2135&amp;"_"&amp;G2135)</f>
        <v>k12_1</v>
      </c>
      <c r="K2135" s="1">
        <f>IF(E2135=0,SUMPRODUCT(($A$2:$A$4734=A2135)*($B$2:$B$4734=B2135)*($D$2:$D$4734=D2135)*($E$2:$E$4734=0)),0)</f>
        <v>0</v>
      </c>
      <c r="L2135" s="1" t="str">
        <f>IF(E2135=0,SUMPRODUCT(MIN($K$2:$K$4734+((($A$2:$A$4734&lt;&gt;A2135)+($E$2:$E$4734&lt;&gt;0))&gt;0)*1000000)),"")</f>
        <v/>
      </c>
      <c r="M2135" s="1">
        <f>IF(AND(E2135=0,COUNTIFS($A$2:A2135,A2135,$E$2:E2135,0)=1),L2135,0)</f>
        <v>0</v>
      </c>
    </row>
    <row r="2136" spans="1:13" ht="15" customHeight="1">
      <c r="A2136" s="1">
        <v>12</v>
      </c>
      <c r="B2136" s="1" t="s">
        <v>9</v>
      </c>
      <c r="C2136" s="2" t="s">
        <v>2493</v>
      </c>
      <c r="D2136" s="2" t="s">
        <v>2494</v>
      </c>
      <c r="E2136" s="1">
        <v>1</v>
      </c>
      <c r="F2136" s="2" t="s">
        <v>2496</v>
      </c>
      <c r="G2136" s="1">
        <v>2</v>
      </c>
      <c r="H2136" s="1" t="str">
        <f t="shared" si="34"/>
        <v>k12_2</v>
      </c>
      <c r="K2136" s="1">
        <f>IF(E2136=0,SUMPRODUCT(($A$2:$A$4734=A2136)*($B$2:$B$4734=B2136)*($D$2:$D$4734=D2136)*($E$2:$E$4734=0)),0)</f>
        <v>0</v>
      </c>
      <c r="L2136" s="1" t="str">
        <f>IF(E2136=0,SUMPRODUCT(MIN($K$2:$K$4734+((($A$2:$A$4734&lt;&gt;A2136)+($E$2:$E$4734&lt;&gt;0))&gt;0)*1000000)),"")</f>
        <v/>
      </c>
      <c r="M2136" s="1">
        <f>IF(AND(E2136=0,COUNTIFS($A$2:A2136,A2136,$E$2:E2136,0)=1),L2136,0)</f>
        <v>0</v>
      </c>
    </row>
    <row r="2137" spans="1:13" ht="15" customHeight="1">
      <c r="A2137" s="1">
        <v>12</v>
      </c>
      <c r="B2137" s="1" t="s">
        <v>9</v>
      </c>
      <c r="C2137" s="2" t="s">
        <v>2493</v>
      </c>
      <c r="D2137" s="2" t="s">
        <v>2494</v>
      </c>
      <c r="E2137" s="1">
        <v>1</v>
      </c>
      <c r="F2137" s="2" t="s">
        <v>2497</v>
      </c>
      <c r="G2137" s="1">
        <v>3</v>
      </c>
      <c r="H2137" s="1" t="str">
        <f t="shared" si="34"/>
        <v>k12_3</v>
      </c>
      <c r="K2137" s="1">
        <f>IF(E2137=0,SUMPRODUCT(($A$2:$A$4734=A2137)*($B$2:$B$4734=B2137)*($D$2:$D$4734=D2137)*($E$2:$E$4734=0)),0)</f>
        <v>0</v>
      </c>
      <c r="L2137" s="1" t="str">
        <f>IF(E2137=0,SUMPRODUCT(MIN($K$2:$K$4734+((($A$2:$A$4734&lt;&gt;A2137)+($E$2:$E$4734&lt;&gt;0))&gt;0)*1000000)),"")</f>
        <v/>
      </c>
      <c r="M2137" s="1">
        <f>IF(AND(E2137=0,COUNTIFS($A$2:A2137,A2137,$E$2:E2137,0)=1),L2137,0)</f>
        <v>0</v>
      </c>
    </row>
    <row r="2138" spans="1:13" ht="15" customHeight="1">
      <c r="A2138" s="1">
        <v>12</v>
      </c>
      <c r="B2138" s="1" t="s">
        <v>9</v>
      </c>
      <c r="C2138" s="2" t="s">
        <v>2493</v>
      </c>
      <c r="D2138" s="2" t="s">
        <v>2494</v>
      </c>
      <c r="E2138" s="1">
        <v>1</v>
      </c>
      <c r="F2138" s="2" t="s">
        <v>2498</v>
      </c>
      <c r="G2138" s="1">
        <v>4</v>
      </c>
      <c r="H2138" s="1" t="str">
        <f t="shared" si="34"/>
        <v>k12_4</v>
      </c>
      <c r="K2138" s="1">
        <f>IF(E2138=0,SUMPRODUCT(($A$2:$A$4734=A2138)*($B$2:$B$4734=B2138)*($D$2:$D$4734=D2138)*($E$2:$E$4734=0)),0)</f>
        <v>0</v>
      </c>
      <c r="L2138" s="1" t="str">
        <f>IF(E2138=0,SUMPRODUCT(MIN($K$2:$K$4734+((($A$2:$A$4734&lt;&gt;A2138)+($E$2:$E$4734&lt;&gt;0))&gt;0)*1000000)),"")</f>
        <v/>
      </c>
      <c r="M2138" s="1">
        <f>IF(AND(E2138=0,COUNTIFS($A$2:A2138,A2138,$E$2:E2138,0)=1),L2138,0)</f>
        <v>0</v>
      </c>
    </row>
    <row r="2139" spans="1:13" ht="15" customHeight="1">
      <c r="A2139" s="1">
        <v>12</v>
      </c>
      <c r="B2139" s="1" t="s">
        <v>9</v>
      </c>
      <c r="C2139" s="2" t="s">
        <v>2493</v>
      </c>
      <c r="D2139" s="2" t="s">
        <v>2494</v>
      </c>
      <c r="E2139" s="1">
        <v>1</v>
      </c>
      <c r="F2139" s="2" t="s">
        <v>2498</v>
      </c>
      <c r="G2139" s="1">
        <v>5</v>
      </c>
      <c r="H2139" s="1" t="str">
        <f t="shared" si="34"/>
        <v>k12_5</v>
      </c>
      <c r="K2139" s="1">
        <f>IF(E2139=0,SUMPRODUCT(($A$2:$A$4734=A2139)*($B$2:$B$4734=B2139)*($D$2:$D$4734=D2139)*($E$2:$E$4734=0)),0)</f>
        <v>0</v>
      </c>
      <c r="L2139" s="1" t="str">
        <f>IF(E2139=0,SUMPRODUCT(MIN($K$2:$K$4734+((($A$2:$A$4734&lt;&gt;A2139)+($E$2:$E$4734&lt;&gt;0))&gt;0)*1000000)),"")</f>
        <v/>
      </c>
      <c r="M2139" s="1">
        <f>IF(AND(E2139=0,COUNTIFS($A$2:A2139,A2139,$E$2:E2139,0)=1),L2139,0)</f>
        <v>0</v>
      </c>
    </row>
    <row r="2140" spans="1:13" ht="15" customHeight="1">
      <c r="A2140" s="1">
        <v>12</v>
      </c>
      <c r="B2140" s="1" t="s">
        <v>144</v>
      </c>
      <c r="C2140" s="2" t="s">
        <v>2493</v>
      </c>
      <c r="D2140" s="2" t="s">
        <v>2499</v>
      </c>
      <c r="E2140" s="1">
        <v>1</v>
      </c>
      <c r="F2140" s="2" t="s">
        <v>2500</v>
      </c>
      <c r="G2140" s="1">
        <v>1</v>
      </c>
      <c r="H2140" s="1" t="str">
        <f t="shared" si="34"/>
        <v>k12_1</v>
      </c>
      <c r="K2140" s="1">
        <f>IF(E2140=0,SUMPRODUCT(($A$2:$A$4734=A2140)*($B$2:$B$4734=B2140)*($D$2:$D$4734=D2140)*($E$2:$E$4734=0)),0)</f>
        <v>0</v>
      </c>
      <c r="L2140" s="1" t="str">
        <f>IF(E2140=0,SUMPRODUCT(MIN($K$2:$K$4734+((($A$2:$A$4734&lt;&gt;A2140)+($E$2:$E$4734&lt;&gt;0))&gt;0)*1000000)),"")</f>
        <v/>
      </c>
      <c r="M2140" s="1">
        <f>IF(AND(E2140=0,COUNTIFS($A$2:A2140,A2140,$E$2:E2140,0)=1),L2140,0)</f>
        <v>0</v>
      </c>
    </row>
    <row r="2141" spans="1:13" ht="15" customHeight="1">
      <c r="A2141" s="1">
        <v>12</v>
      </c>
      <c r="B2141" s="1" t="s">
        <v>144</v>
      </c>
      <c r="C2141" s="2" t="s">
        <v>2493</v>
      </c>
      <c r="D2141" s="2" t="s">
        <v>2499</v>
      </c>
      <c r="E2141" s="1">
        <v>1</v>
      </c>
      <c r="F2141" s="2" t="s">
        <v>2501</v>
      </c>
      <c r="G2141" s="1">
        <v>2</v>
      </c>
      <c r="H2141" s="1" t="str">
        <f t="shared" si="34"/>
        <v>k12_2</v>
      </c>
      <c r="K2141" s="1">
        <f>IF(E2141=0,SUMPRODUCT(($A$2:$A$4734=A2141)*($B$2:$B$4734=B2141)*($D$2:$D$4734=D2141)*($E$2:$E$4734=0)),0)</f>
        <v>0</v>
      </c>
      <c r="L2141" s="1" t="str">
        <f>IF(E2141=0,SUMPRODUCT(MIN($K$2:$K$4734+((($A$2:$A$4734&lt;&gt;A2141)+($E$2:$E$4734&lt;&gt;0))&gt;0)*1000000)),"")</f>
        <v/>
      </c>
      <c r="M2141" s="1">
        <f>IF(AND(E2141=0,COUNTIFS($A$2:A2141,A2141,$E$2:E2141,0)=1),L2141,0)</f>
        <v>0</v>
      </c>
    </row>
    <row r="2142" spans="1:13" ht="15" customHeight="1">
      <c r="A2142" s="1">
        <v>12</v>
      </c>
      <c r="B2142" s="1" t="s">
        <v>144</v>
      </c>
      <c r="C2142" s="2" t="s">
        <v>2493</v>
      </c>
      <c r="D2142" s="2" t="s">
        <v>2499</v>
      </c>
      <c r="E2142" s="1">
        <v>1</v>
      </c>
      <c r="F2142" s="2" t="s">
        <v>2502</v>
      </c>
      <c r="G2142" s="1">
        <v>3</v>
      </c>
      <c r="H2142" s="1" t="str">
        <f t="shared" si="34"/>
        <v>k12_3</v>
      </c>
      <c r="K2142" s="1">
        <f>IF(E2142=0,SUMPRODUCT(($A$2:$A$4734=A2142)*($B$2:$B$4734=B2142)*($D$2:$D$4734=D2142)*($E$2:$E$4734=0)),0)</f>
        <v>0</v>
      </c>
      <c r="L2142" s="1" t="str">
        <f>IF(E2142=0,SUMPRODUCT(MIN($K$2:$K$4734+((($A$2:$A$4734&lt;&gt;A2142)+($E$2:$E$4734&lt;&gt;0))&gt;0)*1000000)),"")</f>
        <v/>
      </c>
      <c r="M2142" s="1">
        <f>IF(AND(E2142=0,COUNTIFS($A$2:A2142,A2142,$E$2:E2142,0)=1),L2142,0)</f>
        <v>0</v>
      </c>
    </row>
    <row r="2143" spans="1:13" ht="15" customHeight="1">
      <c r="A2143" s="1">
        <v>12</v>
      </c>
      <c r="B2143" s="1" t="s">
        <v>144</v>
      </c>
      <c r="C2143" s="2" t="s">
        <v>2493</v>
      </c>
      <c r="D2143" s="2" t="s">
        <v>2499</v>
      </c>
      <c r="E2143" s="1">
        <v>1</v>
      </c>
      <c r="F2143" s="2" t="s">
        <v>2503</v>
      </c>
      <c r="G2143" s="1">
        <v>4</v>
      </c>
      <c r="H2143" s="1" t="str">
        <f t="shared" si="34"/>
        <v>k12_4</v>
      </c>
      <c r="K2143" s="1">
        <f>IF(E2143=0,SUMPRODUCT(($A$2:$A$4734=A2143)*($B$2:$B$4734=B2143)*($D$2:$D$4734=D2143)*($E$2:$E$4734=0)),0)</f>
        <v>0</v>
      </c>
      <c r="L2143" s="1" t="str">
        <f>IF(E2143=0,SUMPRODUCT(MIN($K$2:$K$4734+((($A$2:$A$4734&lt;&gt;A2143)+($E$2:$E$4734&lt;&gt;0))&gt;0)*1000000)),"")</f>
        <v/>
      </c>
      <c r="M2143" s="1">
        <f>IF(AND(E2143=0,COUNTIFS($A$2:A2143,A2143,$E$2:E2143,0)=1),L2143,0)</f>
        <v>0</v>
      </c>
    </row>
    <row r="2144" spans="1:13" ht="15" customHeight="1">
      <c r="A2144" s="1">
        <v>12</v>
      </c>
      <c r="B2144" s="1" t="s">
        <v>144</v>
      </c>
      <c r="C2144" s="2" t="s">
        <v>2493</v>
      </c>
      <c r="D2144" s="2" t="s">
        <v>2499</v>
      </c>
      <c r="E2144" s="1">
        <v>1</v>
      </c>
      <c r="F2144" s="2" t="s">
        <v>2504</v>
      </c>
      <c r="G2144" s="1">
        <v>5</v>
      </c>
      <c r="H2144" s="1" t="str">
        <f t="shared" si="34"/>
        <v>k12_5</v>
      </c>
      <c r="K2144" s="1">
        <f>IF(E2144=0,SUMPRODUCT(($A$2:$A$4734=A2144)*($B$2:$B$4734=B2144)*($D$2:$D$4734=D2144)*($E$2:$E$4734=0)),0)</f>
        <v>0</v>
      </c>
      <c r="L2144" s="1" t="str">
        <f>IF(E2144=0,SUMPRODUCT(MIN($K$2:$K$4734+((($A$2:$A$4734&lt;&gt;A2144)+($E$2:$E$4734&lt;&gt;0))&gt;0)*1000000)),"")</f>
        <v/>
      </c>
      <c r="M2144" s="1">
        <f>IF(AND(E2144=0,COUNTIFS($A$2:A2144,A2144,$E$2:E2144,0)=1),L2144,0)</f>
        <v>0</v>
      </c>
    </row>
    <row r="2145" spans="1:13" ht="15" customHeight="1">
      <c r="A2145" s="1">
        <v>12</v>
      </c>
      <c r="B2145" s="1" t="s">
        <v>9</v>
      </c>
      <c r="C2145" s="2" t="s">
        <v>2493</v>
      </c>
      <c r="D2145" s="2" t="s">
        <v>2505</v>
      </c>
      <c r="E2145" s="1">
        <v>1</v>
      </c>
      <c r="F2145" s="2" t="s">
        <v>2506</v>
      </c>
      <c r="G2145" s="1">
        <v>2</v>
      </c>
      <c r="H2145" s="1" t="str">
        <f t="shared" si="34"/>
        <v>k12_2</v>
      </c>
      <c r="K2145" s="1">
        <f>IF(E2145=0,SUMPRODUCT(($A$2:$A$4734=A2145)*($B$2:$B$4734=B2145)*($D$2:$D$4734=D2145)*($E$2:$E$4734=0)),0)</f>
        <v>0</v>
      </c>
      <c r="L2145" s="1" t="str">
        <f>IF(E2145=0,SUMPRODUCT(MIN($K$2:$K$4734+((($A$2:$A$4734&lt;&gt;A2145)+($E$2:$E$4734&lt;&gt;0))&gt;0)*1000000)),"")</f>
        <v/>
      </c>
      <c r="M2145" s="1">
        <f>IF(AND(E2145=0,COUNTIFS($A$2:A2145,A2145,$E$2:E2145,0)=1),L2145,0)</f>
        <v>0</v>
      </c>
    </row>
    <row r="2146" spans="1:13" ht="15" customHeight="1">
      <c r="A2146" s="1">
        <v>12</v>
      </c>
      <c r="B2146" s="1" t="s">
        <v>9</v>
      </c>
      <c r="C2146" s="2" t="s">
        <v>2493</v>
      </c>
      <c r="D2146" s="2" t="s">
        <v>2505</v>
      </c>
      <c r="E2146" s="1">
        <v>1</v>
      </c>
      <c r="F2146" s="2" t="s">
        <v>2507</v>
      </c>
      <c r="G2146" s="1">
        <v>1</v>
      </c>
      <c r="H2146" s="1" t="str">
        <f t="shared" si="34"/>
        <v>k12_1</v>
      </c>
      <c r="K2146" s="1">
        <f>IF(E2146=0,SUMPRODUCT(($A$2:$A$4734=A2146)*($B$2:$B$4734=B2146)*($D$2:$D$4734=D2146)*($E$2:$E$4734=0)),0)</f>
        <v>0</v>
      </c>
      <c r="L2146" s="1" t="str">
        <f>IF(E2146=0,SUMPRODUCT(MIN($K$2:$K$4734+((($A$2:$A$4734&lt;&gt;A2146)+($E$2:$E$4734&lt;&gt;0))&gt;0)*1000000)),"")</f>
        <v/>
      </c>
      <c r="M2146" s="1">
        <f>IF(AND(E2146=0,COUNTIFS($A$2:A2146,A2146,$E$2:E2146,0)=1),L2146,0)</f>
        <v>0</v>
      </c>
    </row>
    <row r="2147" spans="1:13" ht="15" customHeight="1">
      <c r="A2147" s="1">
        <v>12</v>
      </c>
      <c r="B2147" s="1" t="s">
        <v>9</v>
      </c>
      <c r="C2147" s="2" t="s">
        <v>2493</v>
      </c>
      <c r="D2147" s="2" t="s">
        <v>2505</v>
      </c>
      <c r="E2147" s="1">
        <v>1</v>
      </c>
      <c r="F2147" s="2" t="s">
        <v>2508</v>
      </c>
      <c r="G2147" s="1">
        <v>3</v>
      </c>
      <c r="H2147" s="1" t="str">
        <f t="shared" si="34"/>
        <v>k12_3</v>
      </c>
      <c r="K2147" s="1">
        <f>IF(E2147=0,SUMPRODUCT(($A$2:$A$4734=A2147)*($B$2:$B$4734=B2147)*($D$2:$D$4734=D2147)*($E$2:$E$4734=0)),0)</f>
        <v>0</v>
      </c>
      <c r="L2147" s="1" t="str">
        <f>IF(E2147=0,SUMPRODUCT(MIN($K$2:$K$4734+((($A$2:$A$4734&lt;&gt;A2147)+($E$2:$E$4734&lt;&gt;0))&gt;0)*1000000)),"")</f>
        <v/>
      </c>
      <c r="M2147" s="1">
        <f>IF(AND(E2147=0,COUNTIFS($A$2:A2147,A2147,$E$2:E2147,0)=1),L2147,0)</f>
        <v>0</v>
      </c>
    </row>
    <row r="2148" spans="1:13" ht="15" customHeight="1">
      <c r="A2148" s="1">
        <v>12</v>
      </c>
      <c r="B2148" s="1" t="s">
        <v>9</v>
      </c>
      <c r="C2148" s="2" t="s">
        <v>2493</v>
      </c>
      <c r="D2148" s="2" t="s">
        <v>2505</v>
      </c>
      <c r="E2148" s="1">
        <v>1</v>
      </c>
      <c r="F2148" s="2" t="s">
        <v>2509</v>
      </c>
      <c r="G2148" s="1">
        <v>5</v>
      </c>
      <c r="H2148" s="1" t="str">
        <f t="shared" si="34"/>
        <v>k12_5</v>
      </c>
      <c r="K2148" s="1">
        <f>IF(E2148=0,SUMPRODUCT(($A$2:$A$4734=A2148)*($B$2:$B$4734=B2148)*($D$2:$D$4734=D2148)*($E$2:$E$4734=0)),0)</f>
        <v>0</v>
      </c>
      <c r="L2148" s="1" t="str">
        <f>IF(E2148=0,SUMPRODUCT(MIN($K$2:$K$4734+((($A$2:$A$4734&lt;&gt;A2148)+($E$2:$E$4734&lt;&gt;0))&gt;0)*1000000)),"")</f>
        <v/>
      </c>
      <c r="M2148" s="1">
        <f>IF(AND(E2148=0,COUNTIFS($A$2:A2148,A2148,$E$2:E2148,0)=1),L2148,0)</f>
        <v>0</v>
      </c>
    </row>
    <row r="2149" spans="1:13" ht="15" customHeight="1">
      <c r="A2149" s="1">
        <v>12</v>
      </c>
      <c r="B2149" s="1" t="s">
        <v>9</v>
      </c>
      <c r="C2149" s="2" t="s">
        <v>2493</v>
      </c>
      <c r="D2149" s="2" t="s">
        <v>2505</v>
      </c>
      <c r="E2149" s="1">
        <v>1</v>
      </c>
      <c r="F2149" s="2" t="s">
        <v>2510</v>
      </c>
      <c r="G2149" s="1">
        <v>4</v>
      </c>
      <c r="H2149" s="1" t="str">
        <f t="shared" si="34"/>
        <v>k12_4</v>
      </c>
      <c r="K2149" s="1">
        <f>IF(E2149=0,SUMPRODUCT(($A$2:$A$4734=A2149)*($B$2:$B$4734=B2149)*($D$2:$D$4734=D2149)*($E$2:$E$4734=0)),0)</f>
        <v>0</v>
      </c>
      <c r="L2149" s="1" t="str">
        <f>IF(E2149=0,SUMPRODUCT(MIN($K$2:$K$4734+((($A$2:$A$4734&lt;&gt;A2149)+($E$2:$E$4734&lt;&gt;0))&gt;0)*1000000)),"")</f>
        <v/>
      </c>
      <c r="M2149" s="1">
        <f>IF(AND(E2149=0,COUNTIFS($A$2:A2149,A2149,$E$2:E2149,0)=1),L2149,0)</f>
        <v>0</v>
      </c>
    </row>
    <row r="2150" spans="1:13" ht="15" customHeight="1">
      <c r="A2150" s="1">
        <v>12</v>
      </c>
      <c r="B2150" s="1" t="s">
        <v>9</v>
      </c>
      <c r="C2150" s="2" t="s">
        <v>2493</v>
      </c>
      <c r="D2150" s="2" t="s">
        <v>2511</v>
      </c>
      <c r="E2150" s="1">
        <v>1</v>
      </c>
      <c r="F2150" s="2" t="s">
        <v>2512</v>
      </c>
      <c r="G2150" s="1">
        <v>1</v>
      </c>
      <c r="H2150" s="1" t="str">
        <f t="shared" si="34"/>
        <v>k12_1</v>
      </c>
      <c r="K2150" s="1">
        <f>IF(E2150=0,SUMPRODUCT(($A$2:$A$4734=A2150)*($B$2:$B$4734=B2150)*($D$2:$D$4734=D2150)*($E$2:$E$4734=0)),0)</f>
        <v>0</v>
      </c>
      <c r="L2150" s="1" t="str">
        <f>IF(E2150=0,SUMPRODUCT(MIN($K$2:$K$4734+((($A$2:$A$4734&lt;&gt;A2150)+($E$2:$E$4734&lt;&gt;0))&gt;0)*1000000)),"")</f>
        <v/>
      </c>
      <c r="M2150" s="1">
        <f>IF(AND(E2150=0,COUNTIFS($A$2:A2150,A2150,$E$2:E2150,0)=1),L2150,0)</f>
        <v>0</v>
      </c>
    </row>
    <row r="2151" spans="1:13" ht="15" customHeight="1">
      <c r="A2151" s="1">
        <v>12</v>
      </c>
      <c r="B2151" s="1" t="s">
        <v>9</v>
      </c>
      <c r="C2151" s="2" t="s">
        <v>2493</v>
      </c>
      <c r="D2151" s="2" t="s">
        <v>2511</v>
      </c>
      <c r="E2151" s="1">
        <v>1</v>
      </c>
      <c r="F2151" s="2" t="s">
        <v>2513</v>
      </c>
      <c r="G2151" s="1">
        <v>2</v>
      </c>
      <c r="H2151" s="1" t="str">
        <f t="shared" si="34"/>
        <v>k12_2</v>
      </c>
      <c r="K2151" s="1">
        <f>IF(E2151=0,SUMPRODUCT(($A$2:$A$4734=A2151)*($B$2:$B$4734=B2151)*($D$2:$D$4734=D2151)*($E$2:$E$4734=0)),0)</f>
        <v>0</v>
      </c>
      <c r="L2151" s="1" t="str">
        <f>IF(E2151=0,SUMPRODUCT(MIN($K$2:$K$4734+((($A$2:$A$4734&lt;&gt;A2151)+($E$2:$E$4734&lt;&gt;0))&gt;0)*1000000)),"")</f>
        <v/>
      </c>
      <c r="M2151" s="1">
        <f>IF(AND(E2151=0,COUNTIFS($A$2:A2151,A2151,$E$2:E2151,0)=1),L2151,0)</f>
        <v>0</v>
      </c>
    </row>
    <row r="2152" spans="1:13" ht="15" customHeight="1">
      <c r="A2152" s="1">
        <v>12</v>
      </c>
      <c r="B2152" s="1" t="s">
        <v>9</v>
      </c>
      <c r="C2152" s="2" t="s">
        <v>2493</v>
      </c>
      <c r="D2152" s="2" t="s">
        <v>2511</v>
      </c>
      <c r="E2152" s="1">
        <v>1</v>
      </c>
      <c r="F2152" s="2" t="s">
        <v>2514</v>
      </c>
      <c r="G2152" s="1">
        <v>3</v>
      </c>
      <c r="H2152" s="1" t="str">
        <f t="shared" si="34"/>
        <v>k12_3</v>
      </c>
      <c r="K2152" s="1">
        <f>IF(E2152=0,SUMPRODUCT(($A$2:$A$4734=A2152)*($B$2:$B$4734=B2152)*($D$2:$D$4734=D2152)*($E$2:$E$4734=0)),0)</f>
        <v>0</v>
      </c>
      <c r="L2152" s="1" t="str">
        <f>IF(E2152=0,SUMPRODUCT(MIN($K$2:$K$4734+((($A$2:$A$4734&lt;&gt;A2152)+($E$2:$E$4734&lt;&gt;0))&gt;0)*1000000)),"")</f>
        <v/>
      </c>
      <c r="M2152" s="1">
        <f>IF(AND(E2152=0,COUNTIFS($A$2:A2152,A2152,$E$2:E2152,0)=1),L2152,0)</f>
        <v>0</v>
      </c>
    </row>
    <row r="2153" spans="1:13" ht="15" customHeight="1">
      <c r="A2153" s="1">
        <v>12</v>
      </c>
      <c r="B2153" s="1" t="s">
        <v>9</v>
      </c>
      <c r="C2153" s="2" t="s">
        <v>2493</v>
      </c>
      <c r="D2153" s="2" t="s">
        <v>2511</v>
      </c>
      <c r="E2153" s="1">
        <v>1</v>
      </c>
      <c r="F2153" s="2" t="s">
        <v>2514</v>
      </c>
      <c r="G2153" s="1">
        <v>5</v>
      </c>
      <c r="H2153" s="1" t="str">
        <f t="shared" si="34"/>
        <v>k12_5</v>
      </c>
      <c r="K2153" s="1">
        <f>IF(E2153=0,SUMPRODUCT(($A$2:$A$4734=A2153)*($B$2:$B$4734=B2153)*($D$2:$D$4734=D2153)*($E$2:$E$4734=0)),0)</f>
        <v>0</v>
      </c>
      <c r="L2153" s="1" t="str">
        <f>IF(E2153=0,SUMPRODUCT(MIN($K$2:$K$4734+((($A$2:$A$4734&lt;&gt;A2153)+($E$2:$E$4734&lt;&gt;0))&gt;0)*1000000)),"")</f>
        <v/>
      </c>
      <c r="M2153" s="1">
        <f>IF(AND(E2153=0,COUNTIFS($A$2:A2153,A2153,$E$2:E2153,0)=1),L2153,0)</f>
        <v>0</v>
      </c>
    </row>
    <row r="2154" spans="1:13" ht="15" customHeight="1">
      <c r="A2154" s="1">
        <v>12</v>
      </c>
      <c r="B2154" s="1" t="s">
        <v>9</v>
      </c>
      <c r="C2154" s="2" t="s">
        <v>2493</v>
      </c>
      <c r="D2154" s="2" t="s">
        <v>2511</v>
      </c>
      <c r="E2154" s="1">
        <v>1</v>
      </c>
      <c r="F2154" s="2" t="s">
        <v>2515</v>
      </c>
      <c r="G2154" s="1">
        <v>4</v>
      </c>
      <c r="H2154" s="1" t="str">
        <f t="shared" si="34"/>
        <v>k12_4</v>
      </c>
      <c r="K2154" s="1">
        <f>IF(E2154=0,SUMPRODUCT(($A$2:$A$4734=A2154)*($B$2:$B$4734=B2154)*($D$2:$D$4734=D2154)*($E$2:$E$4734=0)),0)</f>
        <v>0</v>
      </c>
      <c r="L2154" s="1" t="str">
        <f>IF(E2154=0,SUMPRODUCT(MIN($K$2:$K$4734+((($A$2:$A$4734&lt;&gt;A2154)+($E$2:$E$4734&lt;&gt;0))&gt;0)*1000000)),"")</f>
        <v/>
      </c>
      <c r="M2154" s="1">
        <f>IF(AND(E2154=0,COUNTIFS($A$2:A2154,A2154,$E$2:E2154,0)=1),L2154,0)</f>
        <v>0</v>
      </c>
    </row>
    <row r="2155" spans="1:13" ht="15" customHeight="1">
      <c r="A2155" s="1">
        <v>13</v>
      </c>
      <c r="B2155" s="1" t="s">
        <v>95</v>
      </c>
      <c r="C2155" s="2" t="s">
        <v>2516</v>
      </c>
      <c r="D2155" s="2" t="s">
        <v>2517</v>
      </c>
      <c r="E2155" s="1">
        <v>1</v>
      </c>
      <c r="F2155" s="2" t="s">
        <v>2518</v>
      </c>
      <c r="G2155" s="1">
        <v>1</v>
      </c>
      <c r="H2155" s="1" t="str">
        <f t="shared" si="34"/>
        <v>k13_1</v>
      </c>
      <c r="K2155" s="1">
        <f>IF(E2155=0,SUMPRODUCT(($A$2:$A$4734=A2155)*($B$2:$B$4734=B2155)*($D$2:$D$4734=D2155)*($E$2:$E$4734=0)),0)</f>
        <v>0</v>
      </c>
      <c r="L2155" s="1" t="str">
        <f>IF(E2155=0,SUMPRODUCT(MIN($K$2:$K$4734+((($A$2:$A$4734&lt;&gt;A2155)+($E$2:$E$4734&lt;&gt;0))&gt;0)*1000000)),"")</f>
        <v/>
      </c>
      <c r="M2155" s="1">
        <f>IF(AND(E2155=0,COUNTIFS($A$2:A2155,A2155,$E$2:E2155,0)=1),L2155,0)</f>
        <v>0</v>
      </c>
    </row>
    <row r="2156" spans="1:13" ht="15" customHeight="1">
      <c r="A2156" s="1">
        <v>13</v>
      </c>
      <c r="B2156" s="1" t="s">
        <v>95</v>
      </c>
      <c r="C2156" s="2" t="s">
        <v>2516</v>
      </c>
      <c r="D2156" s="2" t="s">
        <v>2517</v>
      </c>
      <c r="E2156" s="1">
        <v>1</v>
      </c>
      <c r="F2156" s="2" t="s">
        <v>2519</v>
      </c>
      <c r="G2156" s="1">
        <v>2</v>
      </c>
      <c r="H2156" s="1" t="str">
        <f t="shared" si="34"/>
        <v>k13_2</v>
      </c>
      <c r="K2156" s="1">
        <f>IF(E2156=0,SUMPRODUCT(($A$2:$A$4734=A2156)*($B$2:$B$4734=B2156)*($D$2:$D$4734=D2156)*($E$2:$E$4734=0)),0)</f>
        <v>0</v>
      </c>
      <c r="L2156" s="1" t="str">
        <f>IF(E2156=0,SUMPRODUCT(MIN($K$2:$K$4734+((($A$2:$A$4734&lt;&gt;A2156)+($E$2:$E$4734&lt;&gt;0))&gt;0)*1000000)),"")</f>
        <v/>
      </c>
      <c r="M2156" s="1">
        <f>IF(AND(E2156=0,COUNTIFS($A$2:A2156,A2156,$E$2:E2156,0)=1),L2156,0)</f>
        <v>0</v>
      </c>
    </row>
    <row r="2157" spans="1:13" ht="15" customHeight="1">
      <c r="A2157" s="1">
        <v>13</v>
      </c>
      <c r="B2157" s="1" t="s">
        <v>95</v>
      </c>
      <c r="C2157" s="2" t="s">
        <v>2516</v>
      </c>
      <c r="D2157" s="2" t="s">
        <v>2517</v>
      </c>
      <c r="E2157" s="1">
        <v>1</v>
      </c>
      <c r="F2157" s="2" t="s">
        <v>2520</v>
      </c>
      <c r="G2157" s="1">
        <v>3</v>
      </c>
      <c r="H2157" s="1" t="str">
        <f t="shared" si="34"/>
        <v>k13_3</v>
      </c>
      <c r="K2157" s="1">
        <f>IF(E2157=0,SUMPRODUCT(($A$2:$A$4734=A2157)*($B$2:$B$4734=B2157)*($D$2:$D$4734=D2157)*($E$2:$E$4734=0)),0)</f>
        <v>0</v>
      </c>
      <c r="L2157" s="1" t="str">
        <f>IF(E2157=0,SUMPRODUCT(MIN($K$2:$K$4734+((($A$2:$A$4734&lt;&gt;A2157)+($E$2:$E$4734&lt;&gt;0))&gt;0)*1000000)),"")</f>
        <v/>
      </c>
      <c r="M2157" s="1">
        <f>IF(AND(E2157=0,COUNTIFS($A$2:A2157,A2157,$E$2:E2157,0)=1),L2157,0)</f>
        <v>0</v>
      </c>
    </row>
    <row r="2158" spans="1:13" ht="15" customHeight="1">
      <c r="A2158" s="1">
        <v>13</v>
      </c>
      <c r="B2158" s="1" t="s">
        <v>95</v>
      </c>
      <c r="C2158" s="2" t="s">
        <v>2516</v>
      </c>
      <c r="D2158" s="2" t="s">
        <v>2517</v>
      </c>
      <c r="E2158" s="1">
        <v>1</v>
      </c>
      <c r="F2158" s="2" t="s">
        <v>2521</v>
      </c>
      <c r="G2158" s="1">
        <v>4</v>
      </c>
      <c r="H2158" s="1" t="str">
        <f t="shared" si="34"/>
        <v>k13_4</v>
      </c>
      <c r="K2158" s="1">
        <f>IF(E2158=0,SUMPRODUCT(($A$2:$A$4734=A2158)*($B$2:$B$4734=B2158)*($D$2:$D$4734=D2158)*($E$2:$E$4734=0)),0)</f>
        <v>0</v>
      </c>
      <c r="L2158" s="1" t="str">
        <f>IF(E2158=0,SUMPRODUCT(MIN($K$2:$K$4734+((($A$2:$A$4734&lt;&gt;A2158)+($E$2:$E$4734&lt;&gt;0))&gt;0)*1000000)),"")</f>
        <v/>
      </c>
      <c r="M2158" s="1">
        <f>IF(AND(E2158=0,COUNTIFS($A$2:A2158,A2158,$E$2:E2158,0)=1),L2158,0)</f>
        <v>0</v>
      </c>
    </row>
    <row r="2159" spans="1:13" ht="15" customHeight="1">
      <c r="A2159" s="1">
        <v>13</v>
      </c>
      <c r="B2159" s="1" t="s">
        <v>69</v>
      </c>
      <c r="C2159" s="2" t="s">
        <v>2516</v>
      </c>
      <c r="D2159" s="2" t="s">
        <v>2522</v>
      </c>
      <c r="E2159" s="1">
        <v>1</v>
      </c>
      <c r="F2159" s="2" t="s">
        <v>2523</v>
      </c>
      <c r="G2159" s="1">
        <v>1</v>
      </c>
      <c r="H2159" s="1" t="str">
        <f t="shared" si="34"/>
        <v>k13_1</v>
      </c>
      <c r="K2159" s="1">
        <f>IF(E2159=0,SUMPRODUCT(($A$2:$A$4734=A2159)*($B$2:$B$4734=B2159)*($D$2:$D$4734=D2159)*($E$2:$E$4734=0)),0)</f>
        <v>0</v>
      </c>
      <c r="L2159" s="1" t="str">
        <f>IF(E2159=0,SUMPRODUCT(MIN($K$2:$K$4734+((($A$2:$A$4734&lt;&gt;A2159)+($E$2:$E$4734&lt;&gt;0))&gt;0)*1000000)),"")</f>
        <v/>
      </c>
      <c r="M2159" s="1">
        <f>IF(AND(E2159=0,COUNTIFS($A$2:A2159,A2159,$E$2:E2159,0)=1),L2159,0)</f>
        <v>0</v>
      </c>
    </row>
    <row r="2160" spans="1:13" ht="15" customHeight="1">
      <c r="A2160" s="1">
        <v>13</v>
      </c>
      <c r="B2160" s="1" t="s">
        <v>69</v>
      </c>
      <c r="C2160" s="2" t="s">
        <v>2516</v>
      </c>
      <c r="D2160" s="2" t="s">
        <v>2522</v>
      </c>
      <c r="E2160" s="1">
        <v>1</v>
      </c>
      <c r="F2160" s="2" t="s">
        <v>2524</v>
      </c>
      <c r="G2160" s="1">
        <v>3</v>
      </c>
      <c r="H2160" s="1" t="str">
        <f t="shared" si="34"/>
        <v>k13_3</v>
      </c>
      <c r="K2160" s="1">
        <f>IF(E2160=0,SUMPRODUCT(($A$2:$A$4734=A2160)*($B$2:$B$4734=B2160)*($D$2:$D$4734=D2160)*($E$2:$E$4734=0)),0)</f>
        <v>0</v>
      </c>
      <c r="L2160" s="1" t="str">
        <f>IF(E2160=0,SUMPRODUCT(MIN($K$2:$K$4734+((($A$2:$A$4734&lt;&gt;A2160)+($E$2:$E$4734&lt;&gt;0))&gt;0)*1000000)),"")</f>
        <v/>
      </c>
      <c r="M2160" s="1">
        <f>IF(AND(E2160=0,COUNTIFS($A$2:A2160,A2160,$E$2:E2160,0)=1),L2160,0)</f>
        <v>0</v>
      </c>
    </row>
    <row r="2161" spans="1:13" ht="15" customHeight="1">
      <c r="A2161" s="1">
        <v>13</v>
      </c>
      <c r="B2161" s="1" t="s">
        <v>69</v>
      </c>
      <c r="C2161" s="2" t="s">
        <v>2516</v>
      </c>
      <c r="D2161" s="2" t="s">
        <v>2522</v>
      </c>
      <c r="E2161" s="1">
        <v>1</v>
      </c>
      <c r="F2161" s="2" t="s">
        <v>2525</v>
      </c>
      <c r="G2161" s="1">
        <v>2</v>
      </c>
      <c r="H2161" s="1" t="str">
        <f t="shared" si="34"/>
        <v>k13_2</v>
      </c>
      <c r="K2161" s="1">
        <f>IF(E2161=0,SUMPRODUCT(($A$2:$A$4734=A2161)*($B$2:$B$4734=B2161)*($D$2:$D$4734=D2161)*($E$2:$E$4734=0)),0)</f>
        <v>0</v>
      </c>
      <c r="L2161" s="1" t="str">
        <f>IF(E2161=0,SUMPRODUCT(MIN($K$2:$K$4734+((($A$2:$A$4734&lt;&gt;A2161)+($E$2:$E$4734&lt;&gt;0))&gt;0)*1000000)),"")</f>
        <v/>
      </c>
      <c r="M2161" s="1">
        <f>IF(AND(E2161=0,COUNTIFS($A$2:A2161,A2161,$E$2:E2161,0)=1),L2161,0)</f>
        <v>0</v>
      </c>
    </row>
    <row r="2162" spans="1:13" ht="15" customHeight="1">
      <c r="A2162" s="1">
        <v>13</v>
      </c>
      <c r="B2162" s="1" t="s">
        <v>69</v>
      </c>
      <c r="C2162" s="2" t="s">
        <v>2516</v>
      </c>
      <c r="D2162" s="2" t="s">
        <v>2522</v>
      </c>
      <c r="E2162" s="1">
        <v>1</v>
      </c>
      <c r="F2162" s="2" t="s">
        <v>2526</v>
      </c>
      <c r="G2162" s="1">
        <v>4</v>
      </c>
      <c r="H2162" s="1" t="str">
        <f t="shared" si="34"/>
        <v>k13_4</v>
      </c>
      <c r="K2162" s="1">
        <f>IF(E2162=0,SUMPRODUCT(($A$2:$A$4734=A2162)*($B$2:$B$4734=B2162)*($D$2:$D$4734=D2162)*($E$2:$E$4734=0)),0)</f>
        <v>0</v>
      </c>
      <c r="L2162" s="1" t="str">
        <f>IF(E2162=0,SUMPRODUCT(MIN($K$2:$K$4734+((($A$2:$A$4734&lt;&gt;A2162)+($E$2:$E$4734&lt;&gt;0))&gt;0)*1000000)),"")</f>
        <v/>
      </c>
      <c r="M2162" s="1">
        <f>IF(AND(E2162=0,COUNTIFS($A$2:A2162,A2162,$E$2:E2162,0)=1),L2162,0)</f>
        <v>0</v>
      </c>
    </row>
    <row r="2163" spans="1:13" ht="15" customHeight="1">
      <c r="A2163" s="1">
        <v>13</v>
      </c>
      <c r="B2163" s="1" t="s">
        <v>9</v>
      </c>
      <c r="C2163" s="2" t="s">
        <v>2516</v>
      </c>
      <c r="D2163" s="2" t="s">
        <v>2527</v>
      </c>
      <c r="E2163" s="1">
        <v>1</v>
      </c>
      <c r="F2163" s="2" t="s">
        <v>2528</v>
      </c>
      <c r="G2163" s="1">
        <v>1</v>
      </c>
      <c r="H2163" s="1" t="str">
        <f t="shared" si="34"/>
        <v>k13_1</v>
      </c>
      <c r="K2163" s="1">
        <f>IF(E2163=0,SUMPRODUCT(($A$2:$A$4734=A2163)*($B$2:$B$4734=B2163)*($D$2:$D$4734=D2163)*($E$2:$E$4734=0)),0)</f>
        <v>0</v>
      </c>
      <c r="L2163" s="1" t="str">
        <f>IF(E2163=0,SUMPRODUCT(MIN($K$2:$K$4734+((($A$2:$A$4734&lt;&gt;A2163)+($E$2:$E$4734&lt;&gt;0))&gt;0)*1000000)),"")</f>
        <v/>
      </c>
      <c r="M2163" s="1">
        <f>IF(AND(E2163=0,COUNTIFS($A$2:A2163,A2163,$E$2:E2163,0)=1),L2163,0)</f>
        <v>0</v>
      </c>
    </row>
    <row r="2164" spans="1:13" ht="15" customHeight="1">
      <c r="A2164" s="1">
        <v>13</v>
      </c>
      <c r="B2164" s="1" t="s">
        <v>9</v>
      </c>
      <c r="C2164" s="2" t="s">
        <v>2516</v>
      </c>
      <c r="D2164" s="2" t="s">
        <v>2527</v>
      </c>
      <c r="E2164" s="1">
        <v>1</v>
      </c>
      <c r="F2164" s="2" t="s">
        <v>2528</v>
      </c>
      <c r="G2164" s="1">
        <v>2</v>
      </c>
      <c r="H2164" s="1" t="str">
        <f t="shared" si="34"/>
        <v>k13_2</v>
      </c>
      <c r="K2164" s="1">
        <f>IF(E2164=0,SUMPRODUCT(($A$2:$A$4734=A2164)*($B$2:$B$4734=B2164)*($D$2:$D$4734=D2164)*($E$2:$E$4734=0)),0)</f>
        <v>0</v>
      </c>
      <c r="L2164" s="1" t="str">
        <f>IF(E2164=0,SUMPRODUCT(MIN($K$2:$K$4734+((($A$2:$A$4734&lt;&gt;A2164)+($E$2:$E$4734&lt;&gt;0))&gt;0)*1000000)),"")</f>
        <v/>
      </c>
      <c r="M2164" s="1">
        <f>IF(AND(E2164=0,COUNTIFS($A$2:A2164,A2164,$E$2:E2164,0)=1),L2164,0)</f>
        <v>0</v>
      </c>
    </row>
    <row r="2165" spans="1:13" ht="15" customHeight="1">
      <c r="A2165" s="1">
        <v>13</v>
      </c>
      <c r="B2165" s="1" t="s">
        <v>9</v>
      </c>
      <c r="C2165" s="2" t="s">
        <v>2516</v>
      </c>
      <c r="D2165" s="2" t="s">
        <v>2527</v>
      </c>
      <c r="E2165" s="1">
        <v>1</v>
      </c>
      <c r="F2165" s="2" t="s">
        <v>2528</v>
      </c>
      <c r="G2165" s="1">
        <v>4</v>
      </c>
      <c r="H2165" s="1" t="str">
        <f t="shared" si="34"/>
        <v>k13_4</v>
      </c>
      <c r="K2165" s="1">
        <f>IF(E2165=0,SUMPRODUCT(($A$2:$A$4734=A2165)*($B$2:$B$4734=B2165)*($D$2:$D$4734=D2165)*($E$2:$E$4734=0)),0)</f>
        <v>0</v>
      </c>
      <c r="L2165" s="1" t="str">
        <f>IF(E2165=0,SUMPRODUCT(MIN($K$2:$K$4734+((($A$2:$A$4734&lt;&gt;A2165)+($E$2:$E$4734&lt;&gt;0))&gt;0)*1000000)),"")</f>
        <v/>
      </c>
      <c r="M2165" s="1">
        <f>IF(AND(E2165=0,COUNTIFS($A$2:A2165,A2165,$E$2:E2165,0)=1),L2165,0)</f>
        <v>0</v>
      </c>
    </row>
    <row r="2166" spans="1:13" ht="15" customHeight="1">
      <c r="A2166" s="1">
        <v>13</v>
      </c>
      <c r="B2166" s="1" t="s">
        <v>9</v>
      </c>
      <c r="C2166" s="2" t="s">
        <v>2516</v>
      </c>
      <c r="D2166" s="2" t="s">
        <v>2527</v>
      </c>
      <c r="E2166" s="1">
        <v>1</v>
      </c>
      <c r="F2166" s="2" t="s">
        <v>2528</v>
      </c>
      <c r="G2166" s="1">
        <v>3</v>
      </c>
      <c r="H2166" s="1" t="str">
        <f t="shared" si="34"/>
        <v>k13_3</v>
      </c>
      <c r="K2166" s="1">
        <f>IF(E2166=0,SUMPRODUCT(($A$2:$A$4734=A2166)*($B$2:$B$4734=B2166)*($D$2:$D$4734=D2166)*($E$2:$E$4734=0)),0)</f>
        <v>0</v>
      </c>
      <c r="L2166" s="1" t="str">
        <f>IF(E2166=0,SUMPRODUCT(MIN($K$2:$K$4734+((($A$2:$A$4734&lt;&gt;A2166)+($E$2:$E$4734&lt;&gt;0))&gt;0)*1000000)),"")</f>
        <v/>
      </c>
      <c r="M2166" s="1">
        <f>IF(AND(E2166=0,COUNTIFS($A$2:A2166,A2166,$E$2:E2166,0)=1),L2166,0)</f>
        <v>0</v>
      </c>
    </row>
    <row r="2167" spans="1:13" ht="15" customHeight="1">
      <c r="A2167" s="1">
        <v>14</v>
      </c>
      <c r="B2167" s="1" t="s">
        <v>358</v>
      </c>
      <c r="C2167" s="1" t="s">
        <v>2529</v>
      </c>
      <c r="D2167" s="2" t="s">
        <v>2530</v>
      </c>
      <c r="E2167" s="1">
        <v>1</v>
      </c>
      <c r="F2167" s="2" t="s">
        <v>2531</v>
      </c>
      <c r="G2167" s="1">
        <v>1</v>
      </c>
      <c r="H2167" s="1" t="str">
        <f t="shared" si="34"/>
        <v>k14_1</v>
      </c>
      <c r="K2167" s="1">
        <f>IF(E2167=0,SUMPRODUCT(($A$2:$A$4734=A2167)*($B$2:$B$4734=B2167)*($D$2:$D$4734=D2167)*($E$2:$E$4734=0)),0)</f>
        <v>0</v>
      </c>
      <c r="L2167" s="1" t="str">
        <f>IF(E2167=0,SUMPRODUCT(MIN($K$2:$K$4734+((($A$2:$A$4734&lt;&gt;A2167)+($E$2:$E$4734&lt;&gt;0))&gt;0)*1000000)),"")</f>
        <v/>
      </c>
      <c r="M2167" s="1">
        <f>IF(AND(E2167=0,COUNTIFS($A$2:A2167,A2167,$E$2:E2167,0)=1),L2167,0)</f>
        <v>0</v>
      </c>
    </row>
    <row r="2168" spans="1:13" ht="15" customHeight="1">
      <c r="A2168" s="1">
        <v>14</v>
      </c>
      <c r="B2168" s="1" t="s">
        <v>358</v>
      </c>
      <c r="C2168" s="1" t="s">
        <v>2529</v>
      </c>
      <c r="D2168" s="2" t="s">
        <v>2530</v>
      </c>
      <c r="E2168" s="1">
        <v>1</v>
      </c>
      <c r="F2168" s="2" t="s">
        <v>2532</v>
      </c>
      <c r="G2168" s="1">
        <v>2</v>
      </c>
      <c r="H2168" s="1" t="str">
        <f t="shared" si="34"/>
        <v>k14_2</v>
      </c>
      <c r="K2168" s="1">
        <f>IF(E2168=0,SUMPRODUCT(($A$2:$A$4734=A2168)*($B$2:$B$4734=B2168)*($D$2:$D$4734=D2168)*($E$2:$E$4734=0)),0)</f>
        <v>0</v>
      </c>
      <c r="L2168" s="1" t="str">
        <f>IF(E2168=0,SUMPRODUCT(MIN($K$2:$K$4734+((($A$2:$A$4734&lt;&gt;A2168)+($E$2:$E$4734&lt;&gt;0))&gt;0)*1000000)),"")</f>
        <v/>
      </c>
      <c r="M2168" s="1">
        <f>IF(AND(E2168=0,COUNTIFS($A$2:A2168,A2168,$E$2:E2168,0)=1),L2168,0)</f>
        <v>0</v>
      </c>
    </row>
    <row r="2169" spans="1:13" ht="15" customHeight="1">
      <c r="A2169" s="1">
        <v>14</v>
      </c>
      <c r="B2169" s="1" t="s">
        <v>358</v>
      </c>
      <c r="C2169" s="1" t="s">
        <v>2529</v>
      </c>
      <c r="D2169" s="2" t="s">
        <v>2530</v>
      </c>
      <c r="E2169" s="1">
        <v>1</v>
      </c>
      <c r="F2169" s="2" t="s">
        <v>2533</v>
      </c>
      <c r="G2169" s="1">
        <v>3</v>
      </c>
      <c r="H2169" s="1" t="str">
        <f t="shared" si="34"/>
        <v>k14_3</v>
      </c>
      <c r="K2169" s="1">
        <f>IF(E2169=0,SUMPRODUCT(($A$2:$A$4734=A2169)*($B$2:$B$4734=B2169)*($D$2:$D$4734=D2169)*($E$2:$E$4734=0)),0)</f>
        <v>0</v>
      </c>
      <c r="L2169" s="1" t="str">
        <f>IF(E2169=0,SUMPRODUCT(MIN($K$2:$K$4734+((($A$2:$A$4734&lt;&gt;A2169)+($E$2:$E$4734&lt;&gt;0))&gt;0)*1000000)),"")</f>
        <v/>
      </c>
      <c r="M2169" s="1">
        <f>IF(AND(E2169=0,COUNTIFS($A$2:A2169,A2169,$E$2:E2169,0)=1),L2169,0)</f>
        <v>0</v>
      </c>
    </row>
    <row r="2170" spans="1:13" ht="15" customHeight="1">
      <c r="A2170" s="1">
        <v>14</v>
      </c>
      <c r="B2170" s="1" t="s">
        <v>358</v>
      </c>
      <c r="C2170" s="1" t="s">
        <v>2529</v>
      </c>
      <c r="D2170" s="2" t="s">
        <v>2530</v>
      </c>
      <c r="E2170" s="1">
        <v>1</v>
      </c>
      <c r="F2170" s="2" t="s">
        <v>2534</v>
      </c>
      <c r="G2170" s="1">
        <v>4</v>
      </c>
      <c r="H2170" s="1" t="str">
        <f t="shared" si="34"/>
        <v>k14_4</v>
      </c>
      <c r="K2170" s="1">
        <f>IF(E2170=0,SUMPRODUCT(($A$2:$A$4734=A2170)*($B$2:$B$4734=B2170)*($D$2:$D$4734=D2170)*($E$2:$E$4734=0)),0)</f>
        <v>0</v>
      </c>
      <c r="L2170" s="1" t="str">
        <f>IF(E2170=0,SUMPRODUCT(MIN($K$2:$K$4734+((($A$2:$A$4734&lt;&gt;A2170)+($E$2:$E$4734&lt;&gt;0))&gt;0)*1000000)),"")</f>
        <v/>
      </c>
      <c r="M2170" s="1">
        <f>IF(AND(E2170=0,COUNTIFS($A$2:A2170,A2170,$E$2:E2170,0)=1),L2170,0)</f>
        <v>0</v>
      </c>
    </row>
    <row r="2171" spans="1:13" ht="15" customHeight="1">
      <c r="A2171" s="1">
        <v>14</v>
      </c>
      <c r="B2171" s="1" t="s">
        <v>358</v>
      </c>
      <c r="C2171" s="1" t="s">
        <v>2529</v>
      </c>
      <c r="D2171" s="2" t="s">
        <v>2530</v>
      </c>
      <c r="E2171" s="1">
        <v>1</v>
      </c>
      <c r="F2171" s="2" t="s">
        <v>2535</v>
      </c>
      <c r="G2171" s="1">
        <v>5</v>
      </c>
      <c r="H2171" s="1" t="str">
        <f t="shared" si="34"/>
        <v>k14_5</v>
      </c>
      <c r="K2171" s="1">
        <f>IF(E2171=0,SUMPRODUCT(($A$2:$A$4734=A2171)*($B$2:$B$4734=B2171)*($D$2:$D$4734=D2171)*($E$2:$E$4734=0)),0)</f>
        <v>0</v>
      </c>
      <c r="L2171" s="1" t="str">
        <f>IF(E2171=0,SUMPRODUCT(MIN($K$2:$K$4734+((($A$2:$A$4734&lt;&gt;A2171)+($E$2:$E$4734&lt;&gt;0))&gt;0)*1000000)),"")</f>
        <v/>
      </c>
      <c r="M2171" s="1">
        <f>IF(AND(E2171=0,COUNTIFS($A$2:A2171,A2171,$E$2:E2171,0)=1),L2171,0)</f>
        <v>0</v>
      </c>
    </row>
    <row r="2172" spans="1:13" ht="15" customHeight="1">
      <c r="A2172" s="1">
        <v>14</v>
      </c>
      <c r="B2172" s="1" t="s">
        <v>358</v>
      </c>
      <c r="C2172" s="1" t="s">
        <v>2529</v>
      </c>
      <c r="D2172" s="2" t="s">
        <v>2530</v>
      </c>
      <c r="E2172" s="1">
        <v>1</v>
      </c>
      <c r="F2172" s="2" t="s">
        <v>2536</v>
      </c>
      <c r="G2172" s="1">
        <v>6</v>
      </c>
      <c r="H2172" s="1" t="str">
        <f t="shared" si="34"/>
        <v>k14_6</v>
      </c>
      <c r="K2172" s="1">
        <f>IF(E2172=0,SUMPRODUCT(($A$2:$A$4734=A2172)*($B$2:$B$4734=B2172)*($D$2:$D$4734=D2172)*($E$2:$E$4734=0)),0)</f>
        <v>0</v>
      </c>
      <c r="L2172" s="1" t="str">
        <f>IF(E2172=0,SUMPRODUCT(MIN($K$2:$K$4734+((($A$2:$A$4734&lt;&gt;A2172)+($E$2:$E$4734&lt;&gt;0))&gt;0)*1000000)),"")</f>
        <v/>
      </c>
      <c r="M2172" s="1">
        <f>IF(AND(E2172=0,COUNTIFS($A$2:A2172,A2172,$E$2:E2172,0)=1),L2172,0)</f>
        <v>0</v>
      </c>
    </row>
    <row r="2173" spans="1:13" ht="15" customHeight="1">
      <c r="A2173" s="1">
        <v>14</v>
      </c>
      <c r="B2173" s="1" t="s">
        <v>9</v>
      </c>
      <c r="C2173" s="1" t="s">
        <v>2529</v>
      </c>
      <c r="D2173" s="2" t="s">
        <v>2537</v>
      </c>
      <c r="E2173" s="1">
        <v>1</v>
      </c>
      <c r="F2173" s="2" t="s">
        <v>2538</v>
      </c>
      <c r="G2173" s="1">
        <v>1</v>
      </c>
      <c r="H2173" s="1" t="str">
        <f t="shared" si="34"/>
        <v>k14_1</v>
      </c>
      <c r="K2173" s="1">
        <f>IF(E2173=0,SUMPRODUCT(($A$2:$A$4734=A2173)*($B$2:$B$4734=B2173)*($D$2:$D$4734=D2173)*($E$2:$E$4734=0)),0)</f>
        <v>0</v>
      </c>
      <c r="L2173" s="1" t="str">
        <f>IF(E2173=0,SUMPRODUCT(MIN($K$2:$K$4734+((($A$2:$A$4734&lt;&gt;A2173)+($E$2:$E$4734&lt;&gt;0))&gt;0)*1000000)),"")</f>
        <v/>
      </c>
      <c r="M2173" s="1">
        <f>IF(AND(E2173=0,COUNTIFS($A$2:A2173,A2173,$E$2:E2173,0)=1),L2173,0)</f>
        <v>0</v>
      </c>
    </row>
    <row r="2174" spans="1:13" ht="15" customHeight="1">
      <c r="A2174" s="1">
        <v>14</v>
      </c>
      <c r="B2174" s="1" t="s">
        <v>9</v>
      </c>
      <c r="C2174" s="1" t="s">
        <v>2529</v>
      </c>
      <c r="D2174" s="2" t="s">
        <v>2537</v>
      </c>
      <c r="E2174" s="1">
        <v>1</v>
      </c>
      <c r="F2174" s="2" t="s">
        <v>2539</v>
      </c>
      <c r="G2174" s="1">
        <v>2</v>
      </c>
      <c r="H2174" s="1" t="str">
        <f t="shared" si="34"/>
        <v>k14_2</v>
      </c>
      <c r="K2174" s="1">
        <f>IF(E2174=0,SUMPRODUCT(($A$2:$A$4734=A2174)*($B$2:$B$4734=B2174)*($D$2:$D$4734=D2174)*($E$2:$E$4734=0)),0)</f>
        <v>0</v>
      </c>
      <c r="L2174" s="1" t="str">
        <f>IF(E2174=0,SUMPRODUCT(MIN($K$2:$K$4734+((($A$2:$A$4734&lt;&gt;A2174)+($E$2:$E$4734&lt;&gt;0))&gt;0)*1000000)),"")</f>
        <v/>
      </c>
      <c r="M2174" s="1">
        <f>IF(AND(E2174=0,COUNTIFS($A$2:A2174,A2174,$E$2:E2174,0)=1),L2174,0)</f>
        <v>0</v>
      </c>
    </row>
    <row r="2175" spans="1:13" ht="15" customHeight="1">
      <c r="A2175" s="1">
        <v>14</v>
      </c>
      <c r="B2175" s="1" t="s">
        <v>9</v>
      </c>
      <c r="C2175" s="1" t="s">
        <v>2529</v>
      </c>
      <c r="D2175" s="2" t="s">
        <v>2537</v>
      </c>
      <c r="E2175" s="1">
        <v>1</v>
      </c>
      <c r="F2175" s="2" t="s">
        <v>2540</v>
      </c>
      <c r="G2175" s="1">
        <v>3</v>
      </c>
      <c r="H2175" s="1" t="str">
        <f t="shared" si="34"/>
        <v>k14_3</v>
      </c>
      <c r="K2175" s="1">
        <f>IF(E2175=0,SUMPRODUCT(($A$2:$A$4734=A2175)*($B$2:$B$4734=B2175)*($D$2:$D$4734=D2175)*($E$2:$E$4734=0)),0)</f>
        <v>0</v>
      </c>
      <c r="L2175" s="1" t="str">
        <f>IF(E2175=0,SUMPRODUCT(MIN($K$2:$K$4734+((($A$2:$A$4734&lt;&gt;A2175)+($E$2:$E$4734&lt;&gt;0))&gt;0)*1000000)),"")</f>
        <v/>
      </c>
      <c r="M2175" s="1">
        <f>IF(AND(E2175=0,COUNTIFS($A$2:A2175,A2175,$E$2:E2175,0)=1),L2175,0)</f>
        <v>0</v>
      </c>
    </row>
    <row r="2176" spans="1:13" ht="15" customHeight="1">
      <c r="A2176" s="1">
        <v>14</v>
      </c>
      <c r="B2176" s="1" t="s">
        <v>9</v>
      </c>
      <c r="C2176" s="1" t="s">
        <v>2529</v>
      </c>
      <c r="D2176" s="2" t="s">
        <v>2537</v>
      </c>
      <c r="E2176" s="1">
        <v>1</v>
      </c>
      <c r="F2176" s="2" t="s">
        <v>2541</v>
      </c>
      <c r="G2176" s="1">
        <v>4</v>
      </c>
      <c r="H2176" s="1" t="str">
        <f t="shared" si="34"/>
        <v>k14_4</v>
      </c>
      <c r="K2176" s="1">
        <f>IF(E2176=0,SUMPRODUCT(($A$2:$A$4734=A2176)*($B$2:$B$4734=B2176)*($D$2:$D$4734=D2176)*($E$2:$E$4734=0)),0)</f>
        <v>0</v>
      </c>
      <c r="L2176" s="1" t="str">
        <f>IF(E2176=0,SUMPRODUCT(MIN($K$2:$K$4734+((($A$2:$A$4734&lt;&gt;A2176)+($E$2:$E$4734&lt;&gt;0))&gt;0)*1000000)),"")</f>
        <v/>
      </c>
      <c r="M2176" s="1">
        <f>IF(AND(E2176=0,COUNTIFS($A$2:A2176,A2176,$E$2:E2176,0)=1),L2176,0)</f>
        <v>0</v>
      </c>
    </row>
    <row r="2177" spans="1:13" ht="15" customHeight="1">
      <c r="A2177" s="1">
        <v>14</v>
      </c>
      <c r="B2177" s="1" t="s">
        <v>9</v>
      </c>
      <c r="C2177" s="1" t="s">
        <v>2529</v>
      </c>
      <c r="D2177" s="2" t="s">
        <v>2537</v>
      </c>
      <c r="E2177" s="1">
        <v>1</v>
      </c>
      <c r="F2177" s="2" t="s">
        <v>2542</v>
      </c>
      <c r="G2177" s="1">
        <v>5</v>
      </c>
      <c r="H2177" s="1" t="str">
        <f t="shared" si="34"/>
        <v>k14_5</v>
      </c>
      <c r="K2177" s="1">
        <f>IF(E2177=0,SUMPRODUCT(($A$2:$A$4734=A2177)*($B$2:$B$4734=B2177)*($D$2:$D$4734=D2177)*($E$2:$E$4734=0)),0)</f>
        <v>0</v>
      </c>
      <c r="L2177" s="1" t="str">
        <f>IF(E2177=0,SUMPRODUCT(MIN($K$2:$K$4734+((($A$2:$A$4734&lt;&gt;A2177)+($E$2:$E$4734&lt;&gt;0))&gt;0)*1000000)),"")</f>
        <v/>
      </c>
      <c r="M2177" s="1">
        <f>IF(AND(E2177=0,COUNTIFS($A$2:A2177,A2177,$E$2:E2177,0)=1),L2177,0)</f>
        <v>0</v>
      </c>
    </row>
    <row r="2178" spans="1:13" ht="15" customHeight="1">
      <c r="A2178" s="1">
        <v>14</v>
      </c>
      <c r="B2178" s="1" t="s">
        <v>9</v>
      </c>
      <c r="C2178" s="1" t="s">
        <v>2529</v>
      </c>
      <c r="D2178" s="2" t="s">
        <v>2537</v>
      </c>
      <c r="E2178" s="1">
        <v>1</v>
      </c>
      <c r="F2178" s="2" t="s">
        <v>2543</v>
      </c>
      <c r="G2178" s="1">
        <v>6</v>
      </c>
      <c r="H2178" s="1" t="str">
        <f t="shared" si="34"/>
        <v>k14_6</v>
      </c>
      <c r="K2178" s="1">
        <f>IF(E2178=0,SUMPRODUCT(($A$2:$A$4734=A2178)*($B$2:$B$4734=B2178)*($D$2:$D$4734=D2178)*($E$2:$E$4734=0)),0)</f>
        <v>0</v>
      </c>
      <c r="L2178" s="1" t="str">
        <f>IF(E2178=0,SUMPRODUCT(MIN($K$2:$K$4734+((($A$2:$A$4734&lt;&gt;A2178)+($E$2:$E$4734&lt;&gt;0))&gt;0)*1000000)),"")</f>
        <v/>
      </c>
      <c r="M2178" s="1">
        <f>IF(AND(E2178=0,COUNTIFS($A$2:A2178,A2178,$E$2:E2178,0)=1),L2178,0)</f>
        <v>0</v>
      </c>
    </row>
    <row r="2179" spans="1:13" ht="15" customHeight="1">
      <c r="A2179" s="1">
        <v>14</v>
      </c>
      <c r="B2179" s="1" t="s">
        <v>9</v>
      </c>
      <c r="C2179" s="1" t="s">
        <v>2529</v>
      </c>
      <c r="D2179" s="2" t="s">
        <v>2544</v>
      </c>
      <c r="E2179" s="1">
        <v>1</v>
      </c>
      <c r="F2179" s="2" t="s">
        <v>2545</v>
      </c>
      <c r="G2179" s="1">
        <v>1</v>
      </c>
      <c r="H2179" s="1" t="str">
        <f t="shared" si="34"/>
        <v>k14_1</v>
      </c>
      <c r="K2179" s="1">
        <f>IF(E2179=0,SUMPRODUCT(($A$2:$A$4734=A2179)*($B$2:$B$4734=B2179)*($D$2:$D$4734=D2179)*($E$2:$E$4734=0)),0)</f>
        <v>0</v>
      </c>
      <c r="L2179" s="1" t="str">
        <f>IF(E2179=0,SUMPRODUCT(MIN($K$2:$K$4734+((($A$2:$A$4734&lt;&gt;A2179)+($E$2:$E$4734&lt;&gt;0))&gt;0)*1000000)),"")</f>
        <v/>
      </c>
      <c r="M2179" s="1">
        <f>IF(AND(E2179=0,COUNTIFS($A$2:A2179,A2179,$E$2:E2179,0)=1),L2179,0)</f>
        <v>0</v>
      </c>
    </row>
    <row r="2180" spans="1:13" ht="15" customHeight="1">
      <c r="A2180" s="1">
        <v>14</v>
      </c>
      <c r="B2180" s="1" t="s">
        <v>9</v>
      </c>
      <c r="C2180" s="1" t="s">
        <v>2529</v>
      </c>
      <c r="D2180" s="2" t="s">
        <v>2544</v>
      </c>
      <c r="E2180" s="1">
        <v>1</v>
      </c>
      <c r="F2180" s="2" t="s">
        <v>2546</v>
      </c>
      <c r="G2180" s="1">
        <v>2</v>
      </c>
      <c r="H2180" s="1" t="str">
        <f t="shared" si="34"/>
        <v>k14_2</v>
      </c>
      <c r="K2180" s="1">
        <f>IF(E2180=0,SUMPRODUCT(($A$2:$A$4734=A2180)*($B$2:$B$4734=B2180)*($D$2:$D$4734=D2180)*($E$2:$E$4734=0)),0)</f>
        <v>0</v>
      </c>
      <c r="L2180" s="1" t="str">
        <f>IF(E2180=0,SUMPRODUCT(MIN($K$2:$K$4734+((($A$2:$A$4734&lt;&gt;A2180)+($E$2:$E$4734&lt;&gt;0))&gt;0)*1000000)),"")</f>
        <v/>
      </c>
      <c r="M2180" s="1">
        <f>IF(AND(E2180=0,COUNTIFS($A$2:A2180,A2180,$E$2:E2180,0)=1),L2180,0)</f>
        <v>0</v>
      </c>
    </row>
    <row r="2181" spans="1:13" ht="15" customHeight="1">
      <c r="A2181" s="1">
        <v>14</v>
      </c>
      <c r="B2181" s="1" t="s">
        <v>9</v>
      </c>
      <c r="C2181" s="1" t="s">
        <v>2529</v>
      </c>
      <c r="D2181" s="2" t="s">
        <v>2544</v>
      </c>
      <c r="E2181" s="1">
        <v>1</v>
      </c>
      <c r="F2181" s="2" t="s">
        <v>2547</v>
      </c>
      <c r="G2181" s="1">
        <v>3</v>
      </c>
      <c r="H2181" s="1" t="str">
        <f t="shared" si="34"/>
        <v>k14_3</v>
      </c>
      <c r="K2181" s="1">
        <f>IF(E2181=0,SUMPRODUCT(($A$2:$A$4734=A2181)*($B$2:$B$4734=B2181)*($D$2:$D$4734=D2181)*($E$2:$E$4734=0)),0)</f>
        <v>0</v>
      </c>
      <c r="L2181" s="1" t="str">
        <f>IF(E2181=0,SUMPRODUCT(MIN($K$2:$K$4734+((($A$2:$A$4734&lt;&gt;A2181)+($E$2:$E$4734&lt;&gt;0))&gt;0)*1000000)),"")</f>
        <v/>
      </c>
      <c r="M2181" s="1">
        <f>IF(AND(E2181=0,COUNTIFS($A$2:A2181,A2181,$E$2:E2181,0)=1),L2181,0)</f>
        <v>0</v>
      </c>
    </row>
    <row r="2182" spans="1:13" ht="15" customHeight="1">
      <c r="A2182" s="1">
        <v>14</v>
      </c>
      <c r="B2182" s="1" t="s">
        <v>9</v>
      </c>
      <c r="C2182" s="1" t="s">
        <v>2529</v>
      </c>
      <c r="D2182" s="2" t="s">
        <v>2544</v>
      </c>
      <c r="E2182" s="1">
        <v>1</v>
      </c>
      <c r="F2182" s="2" t="s">
        <v>2546</v>
      </c>
      <c r="G2182" s="1">
        <v>5</v>
      </c>
      <c r="H2182" s="1" t="str">
        <f t="shared" si="34"/>
        <v>k14_5</v>
      </c>
      <c r="K2182" s="1">
        <f>IF(E2182=0,SUMPRODUCT(($A$2:$A$4734=A2182)*($B$2:$B$4734=B2182)*($D$2:$D$4734=D2182)*($E$2:$E$4734=0)),0)</f>
        <v>0</v>
      </c>
      <c r="L2182" s="1" t="str">
        <f>IF(E2182=0,SUMPRODUCT(MIN($K$2:$K$4734+((($A$2:$A$4734&lt;&gt;A2182)+($E$2:$E$4734&lt;&gt;0))&gt;0)*1000000)),"")</f>
        <v/>
      </c>
      <c r="M2182" s="1">
        <f>IF(AND(E2182=0,COUNTIFS($A$2:A2182,A2182,$E$2:E2182,0)=1),L2182,0)</f>
        <v>0</v>
      </c>
    </row>
    <row r="2183" spans="1:13" ht="15" customHeight="1">
      <c r="A2183" s="1">
        <v>14</v>
      </c>
      <c r="B2183" s="1" t="s">
        <v>9</v>
      </c>
      <c r="C2183" s="1" t="s">
        <v>2529</v>
      </c>
      <c r="D2183" s="2" t="s">
        <v>2544</v>
      </c>
      <c r="E2183" s="1">
        <v>1</v>
      </c>
      <c r="F2183" s="2" t="s">
        <v>2547</v>
      </c>
      <c r="G2183" s="1">
        <v>6</v>
      </c>
      <c r="H2183" s="1" t="str">
        <f t="shared" si="34"/>
        <v>k14_6</v>
      </c>
      <c r="K2183" s="1">
        <f>IF(E2183=0,SUMPRODUCT(($A$2:$A$4734=A2183)*($B$2:$B$4734=B2183)*($D$2:$D$4734=D2183)*($E$2:$E$4734=0)),0)</f>
        <v>0</v>
      </c>
      <c r="L2183" s="1" t="str">
        <f>IF(E2183=0,SUMPRODUCT(MIN($K$2:$K$4734+((($A$2:$A$4734&lt;&gt;A2183)+($E$2:$E$4734&lt;&gt;0))&gt;0)*1000000)),"")</f>
        <v/>
      </c>
      <c r="M2183" s="1">
        <f>IF(AND(E2183=0,COUNTIFS($A$2:A2183,A2183,$E$2:E2183,0)=1),L2183,0)</f>
        <v>0</v>
      </c>
    </row>
    <row r="2184" spans="1:13" ht="15" customHeight="1">
      <c r="A2184" s="1">
        <v>14</v>
      </c>
      <c r="B2184" s="1" t="s">
        <v>9</v>
      </c>
      <c r="C2184" s="1" t="s">
        <v>2529</v>
      </c>
      <c r="D2184" s="2" t="s">
        <v>2544</v>
      </c>
      <c r="E2184" s="1">
        <v>1</v>
      </c>
      <c r="F2184" s="2" t="s">
        <v>2548</v>
      </c>
      <c r="G2184" s="1">
        <v>4</v>
      </c>
      <c r="H2184" s="1" t="str">
        <f t="shared" si="34"/>
        <v>k14_4</v>
      </c>
      <c r="K2184" s="1">
        <f>IF(E2184=0,SUMPRODUCT(($A$2:$A$4734=A2184)*($B$2:$B$4734=B2184)*($D$2:$D$4734=D2184)*($E$2:$E$4734=0)),0)</f>
        <v>0</v>
      </c>
      <c r="L2184" s="1" t="str">
        <f>IF(E2184=0,SUMPRODUCT(MIN($K$2:$K$4734+((($A$2:$A$4734&lt;&gt;A2184)+($E$2:$E$4734&lt;&gt;0))&gt;0)*1000000)),"")</f>
        <v/>
      </c>
      <c r="M2184" s="1">
        <f>IF(AND(E2184=0,COUNTIFS($A$2:A2184,A2184,$E$2:E2184,0)=1),L2184,0)</f>
        <v>0</v>
      </c>
    </row>
    <row r="2185" spans="1:13" ht="15" customHeight="1">
      <c r="A2185" s="1">
        <v>14</v>
      </c>
      <c r="B2185" s="1" t="s">
        <v>358</v>
      </c>
      <c r="C2185" s="1" t="s">
        <v>2529</v>
      </c>
      <c r="D2185" s="2" t="s">
        <v>2549</v>
      </c>
      <c r="E2185" s="1">
        <v>1</v>
      </c>
      <c r="F2185" s="2" t="s">
        <v>2550</v>
      </c>
      <c r="G2185" s="1">
        <v>2</v>
      </c>
      <c r="H2185" s="1" t="str">
        <f t="shared" si="34"/>
        <v>k14_2</v>
      </c>
      <c r="K2185" s="1">
        <f>IF(E2185=0,SUMPRODUCT(($A$2:$A$4734=A2185)*($B$2:$B$4734=B2185)*($D$2:$D$4734=D2185)*($E$2:$E$4734=0)),0)</f>
        <v>0</v>
      </c>
      <c r="L2185" s="1" t="str">
        <f>IF(E2185=0,SUMPRODUCT(MIN($K$2:$K$4734+((($A$2:$A$4734&lt;&gt;A2185)+($E$2:$E$4734&lt;&gt;0))&gt;0)*1000000)),"")</f>
        <v/>
      </c>
      <c r="M2185" s="1">
        <f>IF(AND(E2185=0,COUNTIFS($A$2:A2185,A2185,$E$2:E2185,0)=1),L2185,0)</f>
        <v>0</v>
      </c>
    </row>
    <row r="2186" spans="1:13" ht="15" customHeight="1">
      <c r="A2186" s="1">
        <v>14</v>
      </c>
      <c r="B2186" s="1" t="s">
        <v>358</v>
      </c>
      <c r="C2186" s="1" t="s">
        <v>2529</v>
      </c>
      <c r="D2186" s="2" t="s">
        <v>2549</v>
      </c>
      <c r="E2186" s="1">
        <v>1</v>
      </c>
      <c r="F2186" s="2" t="s">
        <v>2550</v>
      </c>
      <c r="G2186" s="1">
        <v>5</v>
      </c>
      <c r="H2186" s="1" t="str">
        <f t="shared" si="34"/>
        <v>k14_5</v>
      </c>
      <c r="K2186" s="1">
        <f>IF(E2186=0,SUMPRODUCT(($A$2:$A$4734=A2186)*($B$2:$B$4734=B2186)*($D$2:$D$4734=D2186)*($E$2:$E$4734=0)),0)</f>
        <v>0</v>
      </c>
      <c r="L2186" s="1" t="str">
        <f>IF(E2186=0,SUMPRODUCT(MIN($K$2:$K$4734+((($A$2:$A$4734&lt;&gt;A2186)+($E$2:$E$4734&lt;&gt;0))&gt;0)*1000000)),"")</f>
        <v/>
      </c>
      <c r="M2186" s="1">
        <f>IF(AND(E2186=0,COUNTIFS($A$2:A2186,A2186,$E$2:E2186,0)=1),L2186,0)</f>
        <v>0</v>
      </c>
    </row>
    <row r="2187" spans="1:13" ht="15" customHeight="1">
      <c r="A2187" s="1">
        <v>14</v>
      </c>
      <c r="B2187" s="1" t="s">
        <v>358</v>
      </c>
      <c r="C2187" s="1" t="s">
        <v>2529</v>
      </c>
      <c r="D2187" s="2" t="s">
        <v>2549</v>
      </c>
      <c r="E2187" s="1">
        <v>1</v>
      </c>
      <c r="F2187" s="2" t="s">
        <v>2551</v>
      </c>
      <c r="G2187" s="1">
        <v>4</v>
      </c>
      <c r="H2187" s="1" t="str">
        <f t="shared" si="34"/>
        <v>k14_4</v>
      </c>
      <c r="K2187" s="1">
        <f>IF(E2187=0,SUMPRODUCT(($A$2:$A$4734=A2187)*($B$2:$B$4734=B2187)*($D$2:$D$4734=D2187)*($E$2:$E$4734=0)),0)</f>
        <v>0</v>
      </c>
      <c r="L2187" s="1" t="str">
        <f>IF(E2187=0,SUMPRODUCT(MIN($K$2:$K$4734+((($A$2:$A$4734&lt;&gt;A2187)+($E$2:$E$4734&lt;&gt;0))&gt;0)*1000000)),"")</f>
        <v/>
      </c>
      <c r="M2187" s="1">
        <f>IF(AND(E2187=0,COUNTIFS($A$2:A2187,A2187,$E$2:E2187,0)=1),L2187,0)</f>
        <v>0</v>
      </c>
    </row>
    <row r="2188" spans="1:13" ht="15" customHeight="1">
      <c r="A2188" s="1">
        <v>14</v>
      </c>
      <c r="B2188" s="1" t="s">
        <v>358</v>
      </c>
      <c r="C2188" s="1" t="s">
        <v>2529</v>
      </c>
      <c r="D2188" s="2" t="s">
        <v>2549</v>
      </c>
      <c r="E2188" s="1">
        <v>1</v>
      </c>
      <c r="F2188" s="2" t="s">
        <v>2552</v>
      </c>
      <c r="G2188" s="1">
        <v>1</v>
      </c>
      <c r="H2188" s="1" t="str">
        <f t="shared" si="34"/>
        <v>k14_1</v>
      </c>
      <c r="K2188" s="1">
        <f>IF(E2188=0,SUMPRODUCT(($A$2:$A$4734=A2188)*($B$2:$B$4734=B2188)*($D$2:$D$4734=D2188)*($E$2:$E$4734=0)),0)</f>
        <v>0</v>
      </c>
      <c r="L2188" s="1" t="str">
        <f>IF(E2188=0,SUMPRODUCT(MIN($K$2:$K$4734+((($A$2:$A$4734&lt;&gt;A2188)+($E$2:$E$4734&lt;&gt;0))&gt;0)*1000000)),"")</f>
        <v/>
      </c>
      <c r="M2188" s="1">
        <f>IF(AND(E2188=0,COUNTIFS($A$2:A2188,A2188,$E$2:E2188,0)=1),L2188,0)</f>
        <v>0</v>
      </c>
    </row>
    <row r="2189" spans="1:13" ht="15" customHeight="1">
      <c r="A2189" s="1">
        <v>14</v>
      </c>
      <c r="B2189" s="1" t="s">
        <v>358</v>
      </c>
      <c r="C2189" s="1" t="s">
        <v>2529</v>
      </c>
      <c r="D2189" s="2" t="s">
        <v>2549</v>
      </c>
      <c r="E2189" s="1">
        <v>1</v>
      </c>
      <c r="F2189" s="2" t="s">
        <v>2553</v>
      </c>
      <c r="G2189" s="1">
        <v>3</v>
      </c>
      <c r="H2189" s="1" t="str">
        <f t="shared" si="34"/>
        <v>k14_3</v>
      </c>
      <c r="K2189" s="1">
        <f>IF(E2189=0,SUMPRODUCT(($A$2:$A$4734=A2189)*($B$2:$B$4734=B2189)*($D$2:$D$4734=D2189)*($E$2:$E$4734=0)),0)</f>
        <v>0</v>
      </c>
      <c r="L2189" s="1" t="str">
        <f>IF(E2189=0,SUMPRODUCT(MIN($K$2:$K$4734+((($A$2:$A$4734&lt;&gt;A2189)+($E$2:$E$4734&lt;&gt;0))&gt;0)*1000000)),"")</f>
        <v/>
      </c>
      <c r="M2189" s="1">
        <f>IF(AND(E2189=0,COUNTIFS($A$2:A2189,A2189,$E$2:E2189,0)=1),L2189,0)</f>
        <v>0</v>
      </c>
    </row>
    <row r="2190" spans="1:13" ht="15" customHeight="1">
      <c r="A2190" s="1">
        <v>14</v>
      </c>
      <c r="B2190" s="1" t="s">
        <v>358</v>
      </c>
      <c r="C2190" s="1" t="s">
        <v>2529</v>
      </c>
      <c r="D2190" s="2" t="s">
        <v>2549</v>
      </c>
      <c r="E2190" s="1">
        <v>1</v>
      </c>
      <c r="F2190" s="2" t="s">
        <v>2553</v>
      </c>
      <c r="G2190" s="1">
        <v>6</v>
      </c>
      <c r="H2190" s="1" t="str">
        <f t="shared" si="34"/>
        <v>k14_6</v>
      </c>
      <c r="K2190" s="1">
        <f>IF(E2190=0,SUMPRODUCT(($A$2:$A$4734=A2190)*($B$2:$B$4734=B2190)*($D$2:$D$4734=D2190)*($E$2:$E$4734=0)),0)</f>
        <v>0</v>
      </c>
      <c r="L2190" s="1" t="str">
        <f>IF(E2190=0,SUMPRODUCT(MIN($K$2:$K$4734+((($A$2:$A$4734&lt;&gt;A2190)+($E$2:$E$4734&lt;&gt;0))&gt;0)*1000000)),"")</f>
        <v/>
      </c>
      <c r="M2190" s="1">
        <f>IF(AND(E2190=0,COUNTIFS($A$2:A2190,A2190,$E$2:E2190,0)=1),L2190,0)</f>
        <v>0</v>
      </c>
    </row>
    <row r="2191" spans="1:13" ht="15" customHeight="1">
      <c r="A2191" s="1">
        <v>15</v>
      </c>
      <c r="B2191" s="1" t="s">
        <v>9</v>
      </c>
      <c r="C2191" s="2" t="s">
        <v>2554</v>
      </c>
      <c r="D2191" s="2" t="s">
        <v>2555</v>
      </c>
      <c r="E2191" s="1">
        <v>1</v>
      </c>
      <c r="F2191" s="2" t="s">
        <v>2556</v>
      </c>
      <c r="G2191" s="1">
        <v>1</v>
      </c>
      <c r="H2191" s="1" t="str">
        <f t="shared" si="34"/>
        <v>k15_1</v>
      </c>
      <c r="K2191" s="1">
        <f>IF(E2191=0,SUMPRODUCT(($A$2:$A$4734=A2191)*($B$2:$B$4734=B2191)*($D$2:$D$4734=D2191)*($E$2:$E$4734=0)),0)</f>
        <v>0</v>
      </c>
      <c r="L2191" s="1" t="str">
        <f>IF(E2191=0,SUMPRODUCT(MIN($K$2:$K$4734+((($A$2:$A$4734&lt;&gt;A2191)+($E$2:$E$4734&lt;&gt;0))&gt;0)*1000000)),"")</f>
        <v/>
      </c>
      <c r="M2191" s="1">
        <f>IF(AND(E2191=0,COUNTIFS($A$2:A2191,A2191,$E$2:E2191,0)=1),L2191,0)</f>
        <v>0</v>
      </c>
    </row>
    <row r="2192" spans="1:13" ht="15" customHeight="1">
      <c r="A2192" s="1">
        <v>15</v>
      </c>
      <c r="B2192" s="1" t="s">
        <v>9</v>
      </c>
      <c r="C2192" s="2" t="s">
        <v>2554</v>
      </c>
      <c r="D2192" s="2" t="s">
        <v>2555</v>
      </c>
      <c r="E2192" s="1">
        <v>1</v>
      </c>
      <c r="F2192" s="2" t="s">
        <v>2557</v>
      </c>
      <c r="G2192" s="1">
        <v>2</v>
      </c>
      <c r="H2192" s="1" t="str">
        <f t="shared" si="34"/>
        <v>k15_2</v>
      </c>
      <c r="K2192" s="1">
        <f>IF(E2192=0,SUMPRODUCT(($A$2:$A$4734=A2192)*($B$2:$B$4734=B2192)*($D$2:$D$4734=D2192)*($E$2:$E$4734=0)),0)</f>
        <v>0</v>
      </c>
      <c r="L2192" s="1" t="str">
        <f>IF(E2192=0,SUMPRODUCT(MIN($K$2:$K$4734+((($A$2:$A$4734&lt;&gt;A2192)+($E$2:$E$4734&lt;&gt;0))&gt;0)*1000000)),"")</f>
        <v/>
      </c>
      <c r="M2192" s="1">
        <f>IF(AND(E2192=0,COUNTIFS($A$2:A2192,A2192,$E$2:E2192,0)=1),L2192,0)</f>
        <v>0</v>
      </c>
    </row>
    <row r="2193" spans="1:13" ht="15" customHeight="1">
      <c r="A2193" s="1">
        <v>15</v>
      </c>
      <c r="B2193" s="1" t="s">
        <v>9</v>
      </c>
      <c r="C2193" s="2" t="s">
        <v>2554</v>
      </c>
      <c r="D2193" s="2" t="s">
        <v>2555</v>
      </c>
      <c r="E2193" s="1">
        <v>1</v>
      </c>
      <c r="F2193" s="2" t="s">
        <v>2558</v>
      </c>
      <c r="G2193" s="1">
        <v>3</v>
      </c>
      <c r="H2193" s="1" t="str">
        <f t="shared" si="34"/>
        <v>k15_3</v>
      </c>
      <c r="K2193" s="1">
        <f>IF(E2193=0,SUMPRODUCT(($A$2:$A$4734=A2193)*($B$2:$B$4734=B2193)*($D$2:$D$4734=D2193)*($E$2:$E$4734=0)),0)</f>
        <v>0</v>
      </c>
      <c r="L2193" s="1" t="str">
        <f>IF(E2193=0,SUMPRODUCT(MIN($K$2:$K$4734+((($A$2:$A$4734&lt;&gt;A2193)+($E$2:$E$4734&lt;&gt;0))&gt;0)*1000000)),"")</f>
        <v/>
      </c>
      <c r="M2193" s="1">
        <f>IF(AND(E2193=0,COUNTIFS($A$2:A2193,A2193,$E$2:E2193,0)=1),L2193,0)</f>
        <v>0</v>
      </c>
    </row>
    <row r="2194" spans="1:13" ht="15" customHeight="1">
      <c r="A2194" s="1">
        <v>15</v>
      </c>
      <c r="B2194" s="1" t="s">
        <v>9</v>
      </c>
      <c r="C2194" s="2" t="s">
        <v>2554</v>
      </c>
      <c r="D2194" s="2" t="s">
        <v>2555</v>
      </c>
      <c r="E2194" s="1">
        <v>1</v>
      </c>
      <c r="F2194" s="2" t="s">
        <v>2559</v>
      </c>
      <c r="G2194" s="1">
        <v>4</v>
      </c>
      <c r="H2194" s="1" t="str">
        <f t="shared" si="34"/>
        <v>k15_4</v>
      </c>
      <c r="K2194" s="1">
        <f>IF(E2194=0,SUMPRODUCT(($A$2:$A$4734=A2194)*($B$2:$B$4734=B2194)*($D$2:$D$4734=D2194)*($E$2:$E$4734=0)),0)</f>
        <v>0</v>
      </c>
      <c r="L2194" s="1" t="str">
        <f>IF(E2194=0,SUMPRODUCT(MIN($K$2:$K$4734+((($A$2:$A$4734&lt;&gt;A2194)+($E$2:$E$4734&lt;&gt;0))&gt;0)*1000000)),"")</f>
        <v/>
      </c>
      <c r="M2194" s="1">
        <f>IF(AND(E2194=0,COUNTIFS($A$2:A2194,A2194,$E$2:E2194,0)=1),L2194,0)</f>
        <v>0</v>
      </c>
    </row>
    <row r="2195" spans="1:13" ht="15" customHeight="1">
      <c r="A2195" s="1">
        <v>15</v>
      </c>
      <c r="B2195" s="1" t="s">
        <v>9</v>
      </c>
      <c r="C2195" s="2" t="s">
        <v>2554</v>
      </c>
      <c r="D2195" s="2" t="s">
        <v>2555</v>
      </c>
      <c r="E2195" s="1">
        <v>1</v>
      </c>
      <c r="F2195" s="2" t="s">
        <v>2560</v>
      </c>
      <c r="G2195" s="1">
        <v>5</v>
      </c>
      <c r="H2195" s="1" t="str">
        <f t="shared" si="34"/>
        <v>k15_5</v>
      </c>
      <c r="K2195" s="1">
        <f>IF(E2195=0,SUMPRODUCT(($A$2:$A$4734=A2195)*($B$2:$B$4734=B2195)*($D$2:$D$4734=D2195)*($E$2:$E$4734=0)),0)</f>
        <v>0</v>
      </c>
      <c r="L2195" s="1" t="str">
        <f>IF(E2195=0,SUMPRODUCT(MIN($K$2:$K$4734+((($A$2:$A$4734&lt;&gt;A2195)+($E$2:$E$4734&lt;&gt;0))&gt;0)*1000000)),"")</f>
        <v/>
      </c>
      <c r="M2195" s="1">
        <f>IF(AND(E2195=0,COUNTIFS($A$2:A2195,A2195,$E$2:E2195,0)=1),L2195,0)</f>
        <v>0</v>
      </c>
    </row>
    <row r="2196" spans="1:13" ht="15" customHeight="1">
      <c r="A2196" s="1">
        <v>15</v>
      </c>
      <c r="B2196" s="1" t="s">
        <v>9</v>
      </c>
      <c r="C2196" s="2" t="s">
        <v>2554</v>
      </c>
      <c r="D2196" s="2" t="s">
        <v>2555</v>
      </c>
      <c r="E2196" s="1">
        <v>1</v>
      </c>
      <c r="F2196" s="2" t="s">
        <v>2561</v>
      </c>
      <c r="G2196" s="1">
        <v>6</v>
      </c>
      <c r="H2196" s="1" t="str">
        <f t="shared" si="34"/>
        <v>k15_6</v>
      </c>
      <c r="K2196" s="1">
        <f>IF(E2196=0,SUMPRODUCT(($A$2:$A$4734=A2196)*($B$2:$B$4734=B2196)*($D$2:$D$4734=D2196)*($E$2:$E$4734=0)),0)</f>
        <v>0</v>
      </c>
      <c r="L2196" s="1" t="str">
        <f>IF(E2196=0,SUMPRODUCT(MIN($K$2:$K$4734+((($A$2:$A$4734&lt;&gt;A2196)+($E$2:$E$4734&lt;&gt;0))&gt;0)*1000000)),"")</f>
        <v/>
      </c>
      <c r="M2196" s="1">
        <f>IF(AND(E2196=0,COUNTIFS($A$2:A2196,A2196,$E$2:E2196,0)=1),L2196,0)</f>
        <v>0</v>
      </c>
    </row>
    <row r="2197" spans="1:13" ht="15" customHeight="1">
      <c r="A2197" s="1">
        <v>16</v>
      </c>
      <c r="B2197" s="1" t="s">
        <v>167</v>
      </c>
      <c r="C2197" s="2" t="s">
        <v>2562</v>
      </c>
      <c r="D2197" s="2" t="s">
        <v>2563</v>
      </c>
      <c r="E2197" s="1">
        <v>1</v>
      </c>
      <c r="F2197" s="2" t="s">
        <v>2564</v>
      </c>
      <c r="G2197" s="1">
        <v>1</v>
      </c>
      <c r="H2197" s="1" t="str">
        <f t="shared" si="34"/>
        <v>k16_1</v>
      </c>
      <c r="K2197" s="1">
        <f>IF(E2197=0,SUMPRODUCT(($A$2:$A$4734=A2197)*($B$2:$B$4734=B2197)*($D$2:$D$4734=D2197)*($E$2:$E$4734=0)),0)</f>
        <v>0</v>
      </c>
      <c r="L2197" s="1" t="str">
        <f>IF(E2197=0,SUMPRODUCT(MIN($K$2:$K$4734+((($A$2:$A$4734&lt;&gt;A2197)+($E$2:$E$4734&lt;&gt;0))&gt;0)*1000000)),"")</f>
        <v/>
      </c>
      <c r="M2197" s="1">
        <f>IF(AND(E2197=0,COUNTIFS($A$2:A2197,A2197,$E$2:E2197,0)=1),L2197,0)</f>
        <v>0</v>
      </c>
    </row>
    <row r="2198" spans="1:13" ht="15" customHeight="1">
      <c r="A2198" s="1">
        <v>16</v>
      </c>
      <c r="B2198" s="1" t="s">
        <v>167</v>
      </c>
      <c r="C2198" s="2" t="s">
        <v>2562</v>
      </c>
      <c r="D2198" s="2" t="s">
        <v>2563</v>
      </c>
      <c r="E2198" s="1">
        <v>1</v>
      </c>
      <c r="F2198" s="2" t="s">
        <v>2565</v>
      </c>
      <c r="G2198" s="1">
        <v>2</v>
      </c>
      <c r="H2198" s="1" t="str">
        <f t="shared" si="34"/>
        <v>k16_2</v>
      </c>
      <c r="K2198" s="1">
        <f>IF(E2198=0,SUMPRODUCT(($A$2:$A$4734=A2198)*($B$2:$B$4734=B2198)*($D$2:$D$4734=D2198)*($E$2:$E$4734=0)),0)</f>
        <v>0</v>
      </c>
      <c r="L2198" s="1" t="str">
        <f>IF(E2198=0,SUMPRODUCT(MIN($K$2:$K$4734+((($A$2:$A$4734&lt;&gt;A2198)+($E$2:$E$4734&lt;&gt;0))&gt;0)*1000000)),"")</f>
        <v/>
      </c>
      <c r="M2198" s="1">
        <f>IF(AND(E2198=0,COUNTIFS($A$2:A2198,A2198,$E$2:E2198,0)=1),L2198,0)</f>
        <v>0</v>
      </c>
    </row>
    <row r="2199" spans="1:13" ht="15" customHeight="1">
      <c r="A2199" s="1">
        <v>16</v>
      </c>
      <c r="B2199" s="1" t="s">
        <v>167</v>
      </c>
      <c r="C2199" s="2" t="s">
        <v>2562</v>
      </c>
      <c r="D2199" s="2" t="s">
        <v>2563</v>
      </c>
      <c r="E2199" s="1">
        <v>1</v>
      </c>
      <c r="F2199" s="2" t="s">
        <v>2566</v>
      </c>
      <c r="G2199" s="1">
        <v>3</v>
      </c>
      <c r="H2199" s="1" t="str">
        <f t="shared" ref="H2199:H2262" si="35">IF(OR(E2199&lt;&gt;1,G2199=""),"","k"&amp;A2199&amp;"_"&amp;G2199)</f>
        <v>k16_3</v>
      </c>
      <c r="K2199" s="1">
        <f>IF(E2199=0,SUMPRODUCT(($A$2:$A$4734=A2199)*($B$2:$B$4734=B2199)*($D$2:$D$4734=D2199)*($E$2:$E$4734=0)),0)</f>
        <v>0</v>
      </c>
      <c r="L2199" s="1" t="str">
        <f>IF(E2199=0,SUMPRODUCT(MIN($K$2:$K$4734+((($A$2:$A$4734&lt;&gt;A2199)+($E$2:$E$4734&lt;&gt;0))&gt;0)*1000000)),"")</f>
        <v/>
      </c>
      <c r="M2199" s="1">
        <f>IF(AND(E2199=0,COUNTIFS($A$2:A2199,A2199,$E$2:E2199,0)=1),L2199,0)</f>
        <v>0</v>
      </c>
    </row>
    <row r="2200" spans="1:13" ht="15" customHeight="1">
      <c r="A2200" s="1">
        <v>16</v>
      </c>
      <c r="B2200" s="1" t="s">
        <v>167</v>
      </c>
      <c r="C2200" s="2" t="s">
        <v>2562</v>
      </c>
      <c r="D2200" s="2" t="s">
        <v>2563</v>
      </c>
      <c r="E2200" s="1">
        <v>1</v>
      </c>
      <c r="F2200" s="2" t="s">
        <v>2567</v>
      </c>
      <c r="G2200" s="1">
        <v>4</v>
      </c>
      <c r="H2200" s="1" t="str">
        <f t="shared" si="35"/>
        <v>k16_4</v>
      </c>
      <c r="K2200" s="1">
        <f>IF(E2200=0,SUMPRODUCT(($A$2:$A$4734=A2200)*($B$2:$B$4734=B2200)*($D$2:$D$4734=D2200)*($E$2:$E$4734=0)),0)</f>
        <v>0</v>
      </c>
      <c r="L2200" s="1" t="str">
        <f>IF(E2200=0,SUMPRODUCT(MIN($K$2:$K$4734+((($A$2:$A$4734&lt;&gt;A2200)+($E$2:$E$4734&lt;&gt;0))&gt;0)*1000000)),"")</f>
        <v/>
      </c>
      <c r="M2200" s="1">
        <f>IF(AND(E2200=0,COUNTIFS($A$2:A2200,A2200,$E$2:E2200,0)=1),L2200,0)</f>
        <v>0</v>
      </c>
    </row>
    <row r="2201" spans="1:13" ht="15" customHeight="1">
      <c r="A2201" s="1">
        <v>16</v>
      </c>
      <c r="B2201" s="1" t="s">
        <v>9</v>
      </c>
      <c r="C2201" s="2" t="s">
        <v>2562</v>
      </c>
      <c r="D2201" s="2" t="s">
        <v>2568</v>
      </c>
      <c r="E2201" s="1">
        <v>1</v>
      </c>
      <c r="F2201" s="2" t="s">
        <v>2569</v>
      </c>
      <c r="G2201" s="1">
        <v>4</v>
      </c>
      <c r="H2201" s="1" t="str">
        <f t="shared" si="35"/>
        <v>k16_4</v>
      </c>
      <c r="K2201" s="1">
        <f>IF(E2201=0,SUMPRODUCT(($A$2:$A$4734=A2201)*($B$2:$B$4734=B2201)*($D$2:$D$4734=D2201)*($E$2:$E$4734=0)),0)</f>
        <v>0</v>
      </c>
      <c r="L2201" s="1" t="str">
        <f>IF(E2201=0,SUMPRODUCT(MIN($K$2:$K$4734+((($A$2:$A$4734&lt;&gt;A2201)+($E$2:$E$4734&lt;&gt;0))&gt;0)*1000000)),"")</f>
        <v/>
      </c>
      <c r="M2201" s="1">
        <f>IF(AND(E2201=0,COUNTIFS($A$2:A2201,A2201,$E$2:E2201,0)=1),L2201,0)</f>
        <v>0</v>
      </c>
    </row>
    <row r="2202" spans="1:13" ht="15" customHeight="1">
      <c r="A2202" s="1">
        <v>16</v>
      </c>
      <c r="B2202" s="1" t="s">
        <v>9</v>
      </c>
      <c r="C2202" s="2" t="s">
        <v>2562</v>
      </c>
      <c r="D2202" s="2" t="s">
        <v>2568</v>
      </c>
      <c r="E2202" s="1">
        <v>1</v>
      </c>
      <c r="F2202" s="2" t="s">
        <v>2569</v>
      </c>
      <c r="G2202" s="1">
        <v>1</v>
      </c>
      <c r="H2202" s="1" t="str">
        <f t="shared" si="35"/>
        <v>k16_1</v>
      </c>
      <c r="K2202" s="1">
        <f>IF(E2202=0,SUMPRODUCT(($A$2:$A$4734=A2202)*($B$2:$B$4734=B2202)*($D$2:$D$4734=D2202)*($E$2:$E$4734=0)),0)</f>
        <v>0</v>
      </c>
      <c r="L2202" s="1" t="str">
        <f>IF(E2202=0,SUMPRODUCT(MIN($K$2:$K$4734+((($A$2:$A$4734&lt;&gt;A2202)+($E$2:$E$4734&lt;&gt;0))&gt;0)*1000000)),"")</f>
        <v/>
      </c>
      <c r="M2202" s="1">
        <f>IF(AND(E2202=0,COUNTIFS($A$2:A2202,A2202,$E$2:E2202,0)=1),L2202,0)</f>
        <v>0</v>
      </c>
    </row>
    <row r="2203" spans="1:13" ht="15" customHeight="1">
      <c r="A2203" s="1">
        <v>16</v>
      </c>
      <c r="B2203" s="1" t="s">
        <v>9</v>
      </c>
      <c r="C2203" s="2" t="s">
        <v>2562</v>
      </c>
      <c r="D2203" s="2" t="s">
        <v>2568</v>
      </c>
      <c r="E2203" s="1">
        <v>1</v>
      </c>
      <c r="F2203" s="2" t="s">
        <v>2569</v>
      </c>
      <c r="G2203" s="1">
        <v>2</v>
      </c>
      <c r="H2203" s="1" t="str">
        <f t="shared" si="35"/>
        <v>k16_2</v>
      </c>
      <c r="K2203" s="1">
        <f>IF(E2203=0,SUMPRODUCT(($A$2:$A$4734=A2203)*($B$2:$B$4734=B2203)*($D$2:$D$4734=D2203)*($E$2:$E$4734=0)),0)</f>
        <v>0</v>
      </c>
      <c r="L2203" s="1" t="str">
        <f>IF(E2203=0,SUMPRODUCT(MIN($K$2:$K$4734+((($A$2:$A$4734&lt;&gt;A2203)+($E$2:$E$4734&lt;&gt;0))&gt;0)*1000000)),"")</f>
        <v/>
      </c>
      <c r="M2203" s="1">
        <f>IF(AND(E2203=0,COUNTIFS($A$2:A2203,A2203,$E$2:E2203,0)=1),L2203,0)</f>
        <v>0</v>
      </c>
    </row>
    <row r="2204" spans="1:13" ht="15" customHeight="1">
      <c r="A2204" s="1">
        <v>16</v>
      </c>
      <c r="B2204" s="1" t="s">
        <v>9</v>
      </c>
      <c r="C2204" s="2" t="s">
        <v>2562</v>
      </c>
      <c r="D2204" s="2" t="s">
        <v>2568</v>
      </c>
      <c r="E2204" s="1">
        <v>1</v>
      </c>
      <c r="F2204" s="2" t="s">
        <v>2569</v>
      </c>
      <c r="G2204" s="1">
        <v>3</v>
      </c>
      <c r="H2204" s="1" t="str">
        <f t="shared" si="35"/>
        <v>k16_3</v>
      </c>
      <c r="K2204" s="1">
        <f>IF(E2204=0,SUMPRODUCT(($A$2:$A$4734=A2204)*($B$2:$B$4734=B2204)*($D$2:$D$4734=D2204)*($E$2:$E$4734=0)),0)</f>
        <v>0</v>
      </c>
      <c r="L2204" s="1" t="str">
        <f>IF(E2204=0,SUMPRODUCT(MIN($K$2:$K$4734+((($A$2:$A$4734&lt;&gt;A2204)+($E$2:$E$4734&lt;&gt;0))&gt;0)*1000000)),"")</f>
        <v/>
      </c>
      <c r="M2204" s="1">
        <f>IF(AND(E2204=0,COUNTIFS($A$2:A2204,A2204,$E$2:E2204,0)=1),L2204,0)</f>
        <v>0</v>
      </c>
    </row>
    <row r="2205" spans="1:13" ht="15" customHeight="1">
      <c r="A2205" s="1">
        <v>16</v>
      </c>
      <c r="B2205" s="1" t="s">
        <v>16</v>
      </c>
      <c r="C2205" s="2" t="s">
        <v>2562</v>
      </c>
      <c r="D2205" s="2" t="s">
        <v>2568</v>
      </c>
      <c r="E2205" s="1">
        <v>1</v>
      </c>
      <c r="F2205" s="2" t="s">
        <v>2570</v>
      </c>
      <c r="G2205" s="1">
        <v>4</v>
      </c>
      <c r="H2205" s="1" t="str">
        <f t="shared" si="35"/>
        <v>k16_4</v>
      </c>
      <c r="K2205" s="1">
        <f>IF(E2205=0,SUMPRODUCT(($A$2:$A$4734=A2205)*($B$2:$B$4734=B2205)*($D$2:$D$4734=D2205)*($E$2:$E$4734=0)),0)</f>
        <v>0</v>
      </c>
      <c r="L2205" s="1" t="str">
        <f>IF(E2205=0,SUMPRODUCT(MIN($K$2:$K$4734+((($A$2:$A$4734&lt;&gt;A2205)+($E$2:$E$4734&lt;&gt;0))&gt;0)*1000000)),"")</f>
        <v/>
      </c>
      <c r="M2205" s="1">
        <f>IF(AND(E2205=0,COUNTIFS($A$2:A2205,A2205,$E$2:E2205,0)=1),L2205,0)</f>
        <v>0</v>
      </c>
    </row>
    <row r="2206" spans="1:13" ht="15" customHeight="1">
      <c r="A2206" s="1">
        <v>16</v>
      </c>
      <c r="B2206" s="1" t="s">
        <v>16</v>
      </c>
      <c r="C2206" s="2" t="s">
        <v>2562</v>
      </c>
      <c r="D2206" s="2" t="s">
        <v>2568</v>
      </c>
      <c r="E2206" s="1">
        <v>1</v>
      </c>
      <c r="F2206" s="2" t="s">
        <v>2570</v>
      </c>
      <c r="G2206" s="1">
        <v>1</v>
      </c>
      <c r="H2206" s="1" t="str">
        <f t="shared" si="35"/>
        <v>k16_1</v>
      </c>
      <c r="K2206" s="1">
        <f>IF(E2206=0,SUMPRODUCT(($A$2:$A$4734=A2206)*($B$2:$B$4734=B2206)*($D$2:$D$4734=D2206)*($E$2:$E$4734=0)),0)</f>
        <v>0</v>
      </c>
      <c r="L2206" s="1" t="str">
        <f>IF(E2206=0,SUMPRODUCT(MIN($K$2:$K$4734+((($A$2:$A$4734&lt;&gt;A2206)+($E$2:$E$4734&lt;&gt;0))&gt;0)*1000000)),"")</f>
        <v/>
      </c>
      <c r="M2206" s="1">
        <f>IF(AND(E2206=0,COUNTIFS($A$2:A2206,A2206,$E$2:E2206,0)=1),L2206,0)</f>
        <v>0</v>
      </c>
    </row>
    <row r="2207" spans="1:13" ht="15" customHeight="1">
      <c r="A2207" s="1">
        <v>16</v>
      </c>
      <c r="B2207" s="1" t="s">
        <v>16</v>
      </c>
      <c r="C2207" s="2" t="s">
        <v>2562</v>
      </c>
      <c r="D2207" s="2" t="s">
        <v>2568</v>
      </c>
      <c r="E2207" s="1">
        <v>1</v>
      </c>
      <c r="F2207" s="2" t="s">
        <v>2570</v>
      </c>
      <c r="G2207" s="1">
        <v>2</v>
      </c>
      <c r="H2207" s="1" t="str">
        <f t="shared" si="35"/>
        <v>k16_2</v>
      </c>
      <c r="K2207" s="1">
        <f>IF(E2207=0,SUMPRODUCT(($A$2:$A$4734=A2207)*($B$2:$B$4734=B2207)*($D$2:$D$4734=D2207)*($E$2:$E$4734=0)),0)</f>
        <v>0</v>
      </c>
      <c r="L2207" s="1" t="str">
        <f>IF(E2207=0,SUMPRODUCT(MIN($K$2:$K$4734+((($A$2:$A$4734&lt;&gt;A2207)+($E$2:$E$4734&lt;&gt;0))&gt;0)*1000000)),"")</f>
        <v/>
      </c>
      <c r="M2207" s="1">
        <f>IF(AND(E2207=0,COUNTIFS($A$2:A2207,A2207,$E$2:E2207,0)=1),L2207,0)</f>
        <v>0</v>
      </c>
    </row>
    <row r="2208" spans="1:13" ht="15" customHeight="1">
      <c r="A2208" s="1">
        <v>16</v>
      </c>
      <c r="B2208" s="1" t="s">
        <v>16</v>
      </c>
      <c r="C2208" s="2" t="s">
        <v>2562</v>
      </c>
      <c r="D2208" s="2" t="s">
        <v>2568</v>
      </c>
      <c r="E2208" s="1">
        <v>1</v>
      </c>
      <c r="F2208" s="2" t="s">
        <v>2570</v>
      </c>
      <c r="G2208" s="1">
        <v>3</v>
      </c>
      <c r="H2208" s="1" t="str">
        <f t="shared" si="35"/>
        <v>k16_3</v>
      </c>
      <c r="K2208" s="1">
        <f>IF(E2208=0,SUMPRODUCT(($A$2:$A$4734=A2208)*($B$2:$B$4734=B2208)*($D$2:$D$4734=D2208)*($E$2:$E$4734=0)),0)</f>
        <v>0</v>
      </c>
      <c r="L2208" s="1" t="str">
        <f>IF(E2208=0,SUMPRODUCT(MIN($K$2:$K$4734+((($A$2:$A$4734&lt;&gt;A2208)+($E$2:$E$4734&lt;&gt;0))&gt;0)*1000000)),"")</f>
        <v/>
      </c>
      <c r="M2208" s="1">
        <f>IF(AND(E2208=0,COUNTIFS($A$2:A2208,A2208,$E$2:E2208,0)=1),L2208,0)</f>
        <v>0</v>
      </c>
    </row>
    <row r="2209" spans="1:13" ht="15" customHeight="1">
      <c r="A2209" s="1">
        <v>17</v>
      </c>
      <c r="B2209" s="1" t="s">
        <v>16</v>
      </c>
      <c r="C2209" s="1" t="s">
        <v>2571</v>
      </c>
      <c r="D2209" s="2" t="s">
        <v>2572</v>
      </c>
      <c r="E2209" s="1">
        <v>1</v>
      </c>
      <c r="F2209" s="2" t="s">
        <v>2573</v>
      </c>
      <c r="G2209" s="1">
        <v>1</v>
      </c>
      <c r="H2209" s="1" t="str">
        <f t="shared" si="35"/>
        <v>k17_1</v>
      </c>
      <c r="K2209" s="1">
        <f>IF(E2209=0,SUMPRODUCT(($A$2:$A$4734=A2209)*($B$2:$B$4734=B2209)*($D$2:$D$4734=D2209)*($E$2:$E$4734=0)),0)</f>
        <v>0</v>
      </c>
      <c r="L2209" s="1" t="str">
        <f>IF(E2209=0,SUMPRODUCT(MIN($K$2:$K$4734+((($A$2:$A$4734&lt;&gt;A2209)+($E$2:$E$4734&lt;&gt;0))&gt;0)*1000000)),"")</f>
        <v/>
      </c>
      <c r="M2209" s="1">
        <f>IF(AND(E2209=0,COUNTIFS($A$2:A2209,A2209,$E$2:E2209,0)=1),L2209,0)</f>
        <v>0</v>
      </c>
    </row>
    <row r="2210" spans="1:13" ht="15" customHeight="1">
      <c r="A2210" s="1">
        <v>17</v>
      </c>
      <c r="B2210" s="1" t="s">
        <v>16</v>
      </c>
      <c r="C2210" s="1" t="s">
        <v>2571</v>
      </c>
      <c r="D2210" s="2" t="s">
        <v>2572</v>
      </c>
      <c r="E2210" s="1">
        <v>1</v>
      </c>
      <c r="F2210" s="2" t="s">
        <v>2574</v>
      </c>
      <c r="G2210" s="1">
        <v>2</v>
      </c>
      <c r="H2210" s="1" t="str">
        <f t="shared" si="35"/>
        <v>k17_2</v>
      </c>
      <c r="K2210" s="1">
        <f>IF(E2210=0,SUMPRODUCT(($A$2:$A$4734=A2210)*($B$2:$B$4734=B2210)*($D$2:$D$4734=D2210)*($E$2:$E$4734=0)),0)</f>
        <v>0</v>
      </c>
      <c r="L2210" s="1" t="str">
        <f>IF(E2210=0,SUMPRODUCT(MIN($K$2:$K$4734+((($A$2:$A$4734&lt;&gt;A2210)+($E$2:$E$4734&lt;&gt;0))&gt;0)*1000000)),"")</f>
        <v/>
      </c>
      <c r="M2210" s="1">
        <f>IF(AND(E2210=0,COUNTIFS($A$2:A2210,A2210,$E$2:E2210,0)=1),L2210,0)</f>
        <v>0</v>
      </c>
    </row>
    <row r="2211" spans="1:13" ht="15" customHeight="1">
      <c r="A2211" s="1">
        <v>17</v>
      </c>
      <c r="B2211" s="1" t="s">
        <v>16</v>
      </c>
      <c r="C2211" s="1" t="s">
        <v>2571</v>
      </c>
      <c r="D2211" s="2" t="s">
        <v>2572</v>
      </c>
      <c r="E2211" s="1">
        <v>1</v>
      </c>
      <c r="F2211" s="2" t="s">
        <v>2575</v>
      </c>
      <c r="G2211" s="1">
        <v>3</v>
      </c>
      <c r="H2211" s="1" t="str">
        <f t="shared" si="35"/>
        <v>k17_3</v>
      </c>
      <c r="K2211" s="1">
        <f>IF(E2211=0,SUMPRODUCT(($A$2:$A$4734=A2211)*($B$2:$B$4734=B2211)*($D$2:$D$4734=D2211)*($E$2:$E$4734=0)),0)</f>
        <v>0</v>
      </c>
      <c r="L2211" s="1" t="str">
        <f>IF(E2211=0,SUMPRODUCT(MIN($K$2:$K$4734+((($A$2:$A$4734&lt;&gt;A2211)+($E$2:$E$4734&lt;&gt;0))&gt;0)*1000000)),"")</f>
        <v/>
      </c>
      <c r="M2211" s="1">
        <f>IF(AND(E2211=0,COUNTIFS($A$2:A2211,A2211,$E$2:E2211,0)=1),L2211,0)</f>
        <v>0</v>
      </c>
    </row>
    <row r="2212" spans="1:13" ht="15" customHeight="1">
      <c r="A2212" s="1">
        <v>17</v>
      </c>
      <c r="B2212" s="1" t="s">
        <v>16</v>
      </c>
      <c r="C2212" s="1" t="s">
        <v>2571</v>
      </c>
      <c r="D2212" s="2" t="s">
        <v>2572</v>
      </c>
      <c r="E2212" s="1">
        <v>1</v>
      </c>
      <c r="F2212" s="2" t="s">
        <v>2576</v>
      </c>
      <c r="G2212" s="1">
        <v>4</v>
      </c>
      <c r="H2212" s="1" t="str">
        <f t="shared" si="35"/>
        <v>k17_4</v>
      </c>
      <c r="K2212" s="1">
        <f>IF(E2212=0,SUMPRODUCT(($A$2:$A$4734=A2212)*($B$2:$B$4734=B2212)*($D$2:$D$4734=D2212)*($E$2:$E$4734=0)),0)</f>
        <v>0</v>
      </c>
      <c r="L2212" s="1" t="str">
        <f>IF(E2212=0,SUMPRODUCT(MIN($K$2:$K$4734+((($A$2:$A$4734&lt;&gt;A2212)+($E$2:$E$4734&lt;&gt;0))&gt;0)*1000000)),"")</f>
        <v/>
      </c>
      <c r="M2212" s="1">
        <f>IF(AND(E2212=0,COUNTIFS($A$2:A2212,A2212,$E$2:E2212,0)=1),L2212,0)</f>
        <v>0</v>
      </c>
    </row>
    <row r="2213" spans="1:13" ht="15" customHeight="1">
      <c r="A2213" s="1">
        <v>17</v>
      </c>
      <c r="B2213" s="1" t="s">
        <v>16</v>
      </c>
      <c r="C2213" s="1" t="s">
        <v>2571</v>
      </c>
      <c r="D2213" s="2" t="s">
        <v>2572</v>
      </c>
      <c r="E2213" s="1">
        <v>1</v>
      </c>
      <c r="F2213" s="2" t="s">
        <v>2577</v>
      </c>
      <c r="G2213" s="1">
        <v>5</v>
      </c>
      <c r="H2213" s="1" t="str">
        <f t="shared" si="35"/>
        <v>k17_5</v>
      </c>
      <c r="K2213" s="1">
        <f>IF(E2213=0,SUMPRODUCT(($A$2:$A$4734=A2213)*($B$2:$B$4734=B2213)*($D$2:$D$4734=D2213)*($E$2:$E$4734=0)),0)</f>
        <v>0</v>
      </c>
      <c r="L2213" s="1" t="str">
        <f>IF(E2213=0,SUMPRODUCT(MIN($K$2:$K$4734+((($A$2:$A$4734&lt;&gt;A2213)+($E$2:$E$4734&lt;&gt;0))&gt;0)*1000000)),"")</f>
        <v/>
      </c>
      <c r="M2213" s="1">
        <f>IF(AND(E2213=0,COUNTIFS($A$2:A2213,A2213,$E$2:E2213,0)=1),L2213,0)</f>
        <v>0</v>
      </c>
    </row>
    <row r="2214" spans="1:13" ht="15" customHeight="1">
      <c r="A2214" s="1">
        <v>17</v>
      </c>
      <c r="B2214" s="1" t="s">
        <v>16</v>
      </c>
      <c r="C2214" s="1" t="s">
        <v>2571</v>
      </c>
      <c r="D2214" s="2" t="s">
        <v>2572</v>
      </c>
      <c r="E2214" s="1">
        <v>1</v>
      </c>
      <c r="F2214" s="2" t="s">
        <v>2578</v>
      </c>
      <c r="G2214" s="1">
        <v>6</v>
      </c>
      <c r="H2214" s="1" t="str">
        <f t="shared" si="35"/>
        <v>k17_6</v>
      </c>
      <c r="K2214" s="1">
        <f>IF(E2214=0,SUMPRODUCT(($A$2:$A$4734=A2214)*($B$2:$B$4734=B2214)*($D$2:$D$4734=D2214)*($E$2:$E$4734=0)),0)</f>
        <v>0</v>
      </c>
      <c r="L2214" s="1" t="str">
        <f>IF(E2214=0,SUMPRODUCT(MIN($K$2:$K$4734+((($A$2:$A$4734&lt;&gt;A2214)+($E$2:$E$4734&lt;&gt;0))&gt;0)*1000000)),"")</f>
        <v/>
      </c>
      <c r="M2214" s="1">
        <f>IF(AND(E2214=0,COUNTIFS($A$2:A2214,A2214,$E$2:E2214,0)=1),L2214,0)</f>
        <v>0</v>
      </c>
    </row>
    <row r="2215" spans="1:13" ht="15" customHeight="1">
      <c r="A2215" s="1">
        <v>17</v>
      </c>
      <c r="B2215" s="1" t="s">
        <v>9</v>
      </c>
      <c r="C2215" s="1" t="s">
        <v>2571</v>
      </c>
      <c r="D2215" s="2" t="s">
        <v>2579</v>
      </c>
      <c r="E2215" s="1">
        <v>1</v>
      </c>
      <c r="F2215" s="2" t="s">
        <v>2580</v>
      </c>
      <c r="G2215" s="1">
        <v>1</v>
      </c>
      <c r="H2215" s="1" t="str">
        <f t="shared" si="35"/>
        <v>k17_1</v>
      </c>
      <c r="K2215" s="1">
        <f>IF(E2215=0,SUMPRODUCT(($A$2:$A$4734=A2215)*($B$2:$B$4734=B2215)*($D$2:$D$4734=D2215)*($E$2:$E$4734=0)),0)</f>
        <v>0</v>
      </c>
      <c r="L2215" s="1" t="str">
        <f>IF(E2215=0,SUMPRODUCT(MIN($K$2:$K$4734+((($A$2:$A$4734&lt;&gt;A2215)+($E$2:$E$4734&lt;&gt;0))&gt;0)*1000000)),"")</f>
        <v/>
      </c>
      <c r="M2215" s="1">
        <f>IF(AND(E2215=0,COUNTIFS($A$2:A2215,A2215,$E$2:E2215,0)=1),L2215,0)</f>
        <v>0</v>
      </c>
    </row>
    <row r="2216" spans="1:13" ht="15" customHeight="1">
      <c r="A2216" s="1">
        <v>17</v>
      </c>
      <c r="B2216" s="1" t="s">
        <v>9</v>
      </c>
      <c r="C2216" s="1" t="s">
        <v>2571</v>
      </c>
      <c r="D2216" s="2" t="s">
        <v>2579</v>
      </c>
      <c r="E2216" s="1">
        <v>1</v>
      </c>
      <c r="F2216" s="2" t="s">
        <v>2581</v>
      </c>
      <c r="G2216" s="1">
        <v>2</v>
      </c>
      <c r="H2216" s="1" t="str">
        <f t="shared" si="35"/>
        <v>k17_2</v>
      </c>
      <c r="K2216" s="1">
        <f>IF(E2216=0,SUMPRODUCT(($A$2:$A$4734=A2216)*($B$2:$B$4734=B2216)*($D$2:$D$4734=D2216)*($E$2:$E$4734=0)),0)</f>
        <v>0</v>
      </c>
      <c r="L2216" s="1" t="str">
        <f>IF(E2216=0,SUMPRODUCT(MIN($K$2:$K$4734+((($A$2:$A$4734&lt;&gt;A2216)+($E$2:$E$4734&lt;&gt;0))&gt;0)*1000000)),"")</f>
        <v/>
      </c>
      <c r="M2216" s="1">
        <f>IF(AND(E2216=0,COUNTIFS($A$2:A2216,A2216,$E$2:E2216,0)=1),L2216,0)</f>
        <v>0</v>
      </c>
    </row>
    <row r="2217" spans="1:13" ht="15" customHeight="1">
      <c r="A2217" s="1">
        <v>17</v>
      </c>
      <c r="B2217" s="1" t="s">
        <v>9</v>
      </c>
      <c r="C2217" s="1" t="s">
        <v>2571</v>
      </c>
      <c r="D2217" s="2" t="s">
        <v>2579</v>
      </c>
      <c r="E2217" s="1">
        <v>1</v>
      </c>
      <c r="F2217" s="2" t="s">
        <v>2582</v>
      </c>
      <c r="G2217" s="1">
        <v>3</v>
      </c>
      <c r="H2217" s="1" t="str">
        <f t="shared" si="35"/>
        <v>k17_3</v>
      </c>
      <c r="K2217" s="1">
        <f>IF(E2217=0,SUMPRODUCT(($A$2:$A$4734=A2217)*($B$2:$B$4734=B2217)*($D$2:$D$4734=D2217)*($E$2:$E$4734=0)),0)</f>
        <v>0</v>
      </c>
      <c r="L2217" s="1" t="str">
        <f>IF(E2217=0,SUMPRODUCT(MIN($K$2:$K$4734+((($A$2:$A$4734&lt;&gt;A2217)+($E$2:$E$4734&lt;&gt;0))&gt;0)*1000000)),"")</f>
        <v/>
      </c>
      <c r="M2217" s="1">
        <f>IF(AND(E2217=0,COUNTIFS($A$2:A2217,A2217,$E$2:E2217,0)=1),L2217,0)</f>
        <v>0</v>
      </c>
    </row>
    <row r="2218" spans="1:13" ht="15" customHeight="1">
      <c r="A2218" s="1">
        <v>17</v>
      </c>
      <c r="B2218" s="1" t="s">
        <v>9</v>
      </c>
      <c r="C2218" s="1" t="s">
        <v>2571</v>
      </c>
      <c r="D2218" s="2" t="s">
        <v>2579</v>
      </c>
      <c r="E2218" s="1">
        <v>1</v>
      </c>
      <c r="F2218" s="2" t="s">
        <v>2583</v>
      </c>
      <c r="G2218" s="1">
        <v>4</v>
      </c>
      <c r="H2218" s="1" t="str">
        <f t="shared" si="35"/>
        <v>k17_4</v>
      </c>
      <c r="K2218" s="1">
        <f>IF(E2218=0,SUMPRODUCT(($A$2:$A$4734=A2218)*($B$2:$B$4734=B2218)*($D$2:$D$4734=D2218)*($E$2:$E$4734=0)),0)</f>
        <v>0</v>
      </c>
      <c r="L2218" s="1" t="str">
        <f>IF(E2218=0,SUMPRODUCT(MIN($K$2:$K$4734+((($A$2:$A$4734&lt;&gt;A2218)+($E$2:$E$4734&lt;&gt;0))&gt;0)*1000000)),"")</f>
        <v/>
      </c>
      <c r="M2218" s="1">
        <f>IF(AND(E2218=0,COUNTIFS($A$2:A2218,A2218,$E$2:E2218,0)=1),L2218,0)</f>
        <v>0</v>
      </c>
    </row>
    <row r="2219" spans="1:13" ht="15" customHeight="1">
      <c r="A2219" s="1">
        <v>17</v>
      </c>
      <c r="B2219" s="1" t="s">
        <v>9</v>
      </c>
      <c r="C2219" s="1" t="s">
        <v>2571</v>
      </c>
      <c r="D2219" s="2" t="s">
        <v>2579</v>
      </c>
      <c r="E2219" s="1">
        <v>1</v>
      </c>
      <c r="F2219" s="2" t="s">
        <v>2584</v>
      </c>
      <c r="G2219" s="1">
        <v>5</v>
      </c>
      <c r="H2219" s="1" t="str">
        <f t="shared" si="35"/>
        <v>k17_5</v>
      </c>
      <c r="K2219" s="1">
        <f>IF(E2219=0,SUMPRODUCT(($A$2:$A$4734=A2219)*($B$2:$B$4734=B2219)*($D$2:$D$4734=D2219)*($E$2:$E$4734=0)),0)</f>
        <v>0</v>
      </c>
      <c r="L2219" s="1" t="str">
        <f>IF(E2219=0,SUMPRODUCT(MIN($K$2:$K$4734+((($A$2:$A$4734&lt;&gt;A2219)+($E$2:$E$4734&lt;&gt;0))&gt;0)*1000000)),"")</f>
        <v/>
      </c>
      <c r="M2219" s="1">
        <f>IF(AND(E2219=0,COUNTIFS($A$2:A2219,A2219,$E$2:E2219,0)=1),L2219,0)</f>
        <v>0</v>
      </c>
    </row>
    <row r="2220" spans="1:13" ht="15" customHeight="1">
      <c r="A2220" s="1">
        <v>17</v>
      </c>
      <c r="B2220" s="1" t="s">
        <v>9</v>
      </c>
      <c r="C2220" s="1" t="s">
        <v>2571</v>
      </c>
      <c r="D2220" s="2" t="s">
        <v>2579</v>
      </c>
      <c r="E2220" s="1">
        <v>1</v>
      </c>
      <c r="F2220" s="2" t="s">
        <v>2585</v>
      </c>
      <c r="G2220" s="1">
        <v>6</v>
      </c>
      <c r="H2220" s="1" t="str">
        <f t="shared" si="35"/>
        <v>k17_6</v>
      </c>
      <c r="K2220" s="1">
        <f>IF(E2220=0,SUMPRODUCT(($A$2:$A$4734=A2220)*($B$2:$B$4734=B2220)*($D$2:$D$4734=D2220)*($E$2:$E$4734=0)),0)</f>
        <v>0</v>
      </c>
      <c r="L2220" s="1" t="str">
        <f>IF(E2220=0,SUMPRODUCT(MIN($K$2:$K$4734+((($A$2:$A$4734&lt;&gt;A2220)+($E$2:$E$4734&lt;&gt;0))&gt;0)*1000000)),"")</f>
        <v/>
      </c>
      <c r="M2220" s="1">
        <f>IF(AND(E2220=0,COUNTIFS($A$2:A2220,A2220,$E$2:E2220,0)=1),L2220,0)</f>
        <v>0</v>
      </c>
    </row>
    <row r="2221" spans="1:13" ht="15" customHeight="1">
      <c r="A2221" s="1">
        <v>18</v>
      </c>
      <c r="B2221" s="1" t="s">
        <v>9</v>
      </c>
      <c r="C2221" s="2" t="s">
        <v>2586</v>
      </c>
      <c r="D2221" s="2" t="s">
        <v>2587</v>
      </c>
      <c r="E2221" s="1">
        <v>1</v>
      </c>
      <c r="F2221" s="2" t="s">
        <v>2588</v>
      </c>
      <c r="G2221" s="1">
        <v>1</v>
      </c>
      <c r="H2221" s="1" t="str">
        <f t="shared" si="35"/>
        <v>k18_1</v>
      </c>
      <c r="K2221" s="1">
        <f>IF(E2221=0,SUMPRODUCT(($A$2:$A$4734=A2221)*($B$2:$B$4734=B2221)*($D$2:$D$4734=D2221)*($E$2:$E$4734=0)),0)</f>
        <v>0</v>
      </c>
      <c r="L2221" s="1" t="str">
        <f>IF(E2221=0,SUMPRODUCT(MIN($K$2:$K$4734+((($A$2:$A$4734&lt;&gt;A2221)+($E$2:$E$4734&lt;&gt;0))&gt;0)*1000000)),"")</f>
        <v/>
      </c>
      <c r="M2221" s="1">
        <f>IF(AND(E2221=0,COUNTIFS($A$2:A2221,A2221,$E$2:E2221,0)=1),L2221,0)</f>
        <v>0</v>
      </c>
    </row>
    <row r="2222" spans="1:13" ht="15" customHeight="1">
      <c r="A2222" s="1">
        <v>18</v>
      </c>
      <c r="B2222" s="1" t="s">
        <v>9</v>
      </c>
      <c r="C2222" s="2" t="s">
        <v>2586</v>
      </c>
      <c r="D2222" s="2" t="s">
        <v>2587</v>
      </c>
      <c r="E2222" s="1">
        <v>1</v>
      </c>
      <c r="F2222" s="2" t="s">
        <v>2589</v>
      </c>
      <c r="G2222" s="1">
        <v>2</v>
      </c>
      <c r="H2222" s="1" t="str">
        <f t="shared" si="35"/>
        <v>k18_2</v>
      </c>
      <c r="K2222" s="1">
        <f>IF(E2222=0,SUMPRODUCT(($A$2:$A$4734=A2222)*($B$2:$B$4734=B2222)*($D$2:$D$4734=D2222)*($E$2:$E$4734=0)),0)</f>
        <v>0</v>
      </c>
      <c r="L2222" s="1" t="str">
        <f>IF(E2222=0,SUMPRODUCT(MIN($K$2:$K$4734+((($A$2:$A$4734&lt;&gt;A2222)+($E$2:$E$4734&lt;&gt;0))&gt;0)*1000000)),"")</f>
        <v/>
      </c>
      <c r="M2222" s="1">
        <f>IF(AND(E2222=0,COUNTIFS($A$2:A2222,A2222,$E$2:E2222,0)=1),L2222,0)</f>
        <v>0</v>
      </c>
    </row>
    <row r="2223" spans="1:13" ht="15" customHeight="1">
      <c r="A2223" s="1">
        <v>18</v>
      </c>
      <c r="B2223" s="1" t="s">
        <v>9</v>
      </c>
      <c r="C2223" s="2" t="s">
        <v>2586</v>
      </c>
      <c r="D2223" s="2" t="s">
        <v>2587</v>
      </c>
      <c r="E2223" s="1">
        <v>1</v>
      </c>
      <c r="F2223" s="2" t="s">
        <v>2590</v>
      </c>
      <c r="G2223" s="1">
        <v>3</v>
      </c>
      <c r="H2223" s="1" t="str">
        <f t="shared" si="35"/>
        <v>k18_3</v>
      </c>
      <c r="K2223" s="1">
        <f>IF(E2223=0,SUMPRODUCT(($A$2:$A$4734=A2223)*($B$2:$B$4734=B2223)*($D$2:$D$4734=D2223)*($E$2:$E$4734=0)),0)</f>
        <v>0</v>
      </c>
      <c r="L2223" s="1" t="str">
        <f>IF(E2223=0,SUMPRODUCT(MIN($K$2:$K$4734+((($A$2:$A$4734&lt;&gt;A2223)+($E$2:$E$4734&lt;&gt;0))&gt;0)*1000000)),"")</f>
        <v/>
      </c>
      <c r="M2223" s="1">
        <f>IF(AND(E2223=0,COUNTIFS($A$2:A2223,A2223,$E$2:E2223,0)=1),L2223,0)</f>
        <v>0</v>
      </c>
    </row>
    <row r="2224" spans="1:13" ht="15" customHeight="1">
      <c r="A2224" s="1">
        <v>18</v>
      </c>
      <c r="B2224" s="1" t="s">
        <v>9</v>
      </c>
      <c r="C2224" s="2" t="s">
        <v>2586</v>
      </c>
      <c r="D2224" s="2" t="s">
        <v>2587</v>
      </c>
      <c r="E2224" s="1">
        <v>1</v>
      </c>
      <c r="F2224" s="2" t="s">
        <v>2591</v>
      </c>
      <c r="G2224" s="1">
        <v>4</v>
      </c>
      <c r="H2224" s="1" t="str">
        <f t="shared" si="35"/>
        <v>k18_4</v>
      </c>
      <c r="K2224" s="1">
        <f>IF(E2224=0,SUMPRODUCT(($A$2:$A$4734=A2224)*($B$2:$B$4734=B2224)*($D$2:$D$4734=D2224)*($E$2:$E$4734=0)),0)</f>
        <v>0</v>
      </c>
      <c r="L2224" s="1" t="str">
        <f>IF(E2224=0,SUMPRODUCT(MIN($K$2:$K$4734+((($A$2:$A$4734&lt;&gt;A2224)+($E$2:$E$4734&lt;&gt;0))&gt;0)*1000000)),"")</f>
        <v/>
      </c>
      <c r="M2224" s="1">
        <f>IF(AND(E2224=0,COUNTIFS($A$2:A2224,A2224,$E$2:E2224,0)=1),L2224,0)</f>
        <v>0</v>
      </c>
    </row>
    <row r="2225" spans="1:13" ht="15" customHeight="1">
      <c r="A2225" s="1">
        <v>18</v>
      </c>
      <c r="B2225" s="1" t="s">
        <v>9</v>
      </c>
      <c r="C2225" s="2" t="s">
        <v>2586</v>
      </c>
      <c r="D2225" s="2" t="s">
        <v>2592</v>
      </c>
      <c r="E2225" s="1">
        <v>1</v>
      </c>
      <c r="F2225" s="2" t="s">
        <v>2593</v>
      </c>
      <c r="G2225" s="1">
        <v>5</v>
      </c>
      <c r="H2225" s="1" t="str">
        <f t="shared" si="35"/>
        <v>k18_5</v>
      </c>
      <c r="K2225" s="1">
        <f>IF(E2225=0,SUMPRODUCT(($A$2:$A$4734=A2225)*($B$2:$B$4734=B2225)*($D$2:$D$4734=D2225)*($E$2:$E$4734=0)),0)</f>
        <v>0</v>
      </c>
      <c r="L2225" s="1" t="str">
        <f>IF(E2225=0,SUMPRODUCT(MIN($K$2:$K$4734+((($A$2:$A$4734&lt;&gt;A2225)+($E$2:$E$4734&lt;&gt;0))&gt;0)*1000000)),"")</f>
        <v/>
      </c>
      <c r="M2225" s="1">
        <f>IF(AND(E2225=0,COUNTIFS($A$2:A2225,A2225,$E$2:E2225,0)=1),L2225,0)</f>
        <v>0</v>
      </c>
    </row>
    <row r="2226" spans="1:13" ht="15" customHeight="1">
      <c r="A2226" s="1">
        <v>18</v>
      </c>
      <c r="B2226" s="1" t="s">
        <v>9</v>
      </c>
      <c r="C2226" s="2" t="s">
        <v>2586</v>
      </c>
      <c r="D2226" s="2" t="s">
        <v>2592</v>
      </c>
      <c r="E2226" s="1">
        <v>1</v>
      </c>
      <c r="F2226" s="2" t="s">
        <v>2594</v>
      </c>
      <c r="G2226" s="1">
        <v>6</v>
      </c>
      <c r="H2226" s="1" t="str">
        <f t="shared" si="35"/>
        <v>k18_6</v>
      </c>
      <c r="K2226" s="1">
        <f>IF(E2226=0,SUMPRODUCT(($A$2:$A$4734=A2226)*($B$2:$B$4734=B2226)*($D$2:$D$4734=D2226)*($E$2:$E$4734=0)),0)</f>
        <v>0</v>
      </c>
      <c r="L2226" s="1" t="str">
        <f>IF(E2226=0,SUMPRODUCT(MIN($K$2:$K$4734+((($A$2:$A$4734&lt;&gt;A2226)+($E$2:$E$4734&lt;&gt;0))&gt;0)*1000000)),"")</f>
        <v/>
      </c>
      <c r="M2226" s="1">
        <f>IF(AND(E2226=0,COUNTIFS($A$2:A2226,A2226,$E$2:E2226,0)=1),L2226,0)</f>
        <v>0</v>
      </c>
    </row>
    <row r="2227" spans="1:13" ht="15" customHeight="1">
      <c r="A2227" s="1">
        <v>18</v>
      </c>
      <c r="B2227" s="1" t="s">
        <v>9</v>
      </c>
      <c r="C2227" s="2" t="s">
        <v>2586</v>
      </c>
      <c r="D2227" s="2" t="s">
        <v>2592</v>
      </c>
      <c r="E2227" s="1">
        <v>1</v>
      </c>
      <c r="F2227" s="2" t="s">
        <v>2595</v>
      </c>
      <c r="G2227" s="1">
        <v>7</v>
      </c>
      <c r="H2227" s="1" t="str">
        <f t="shared" si="35"/>
        <v>k18_7</v>
      </c>
      <c r="K2227" s="1">
        <f>IF(E2227=0,SUMPRODUCT(($A$2:$A$4734=A2227)*($B$2:$B$4734=B2227)*($D$2:$D$4734=D2227)*($E$2:$E$4734=0)),0)</f>
        <v>0</v>
      </c>
      <c r="L2227" s="1" t="str">
        <f>IF(E2227=0,SUMPRODUCT(MIN($K$2:$K$4734+((($A$2:$A$4734&lt;&gt;A2227)+($E$2:$E$4734&lt;&gt;0))&gt;0)*1000000)),"")</f>
        <v/>
      </c>
      <c r="M2227" s="1">
        <f>IF(AND(E2227=0,COUNTIFS($A$2:A2227,A2227,$E$2:E2227,0)=1),L2227,0)</f>
        <v>0</v>
      </c>
    </row>
    <row r="2228" spans="1:13" ht="15" customHeight="1">
      <c r="A2228" s="1">
        <v>18</v>
      </c>
      <c r="B2228" s="1" t="s">
        <v>9</v>
      </c>
      <c r="C2228" s="2" t="s">
        <v>2586</v>
      </c>
      <c r="D2228" s="2" t="s">
        <v>2592</v>
      </c>
      <c r="E2228" s="1">
        <v>1</v>
      </c>
      <c r="F2228" s="2" t="s">
        <v>2596</v>
      </c>
      <c r="G2228" s="1">
        <v>8</v>
      </c>
      <c r="H2228" s="1" t="str">
        <f t="shared" si="35"/>
        <v>k18_8</v>
      </c>
      <c r="K2228" s="1">
        <f>IF(E2228=0,SUMPRODUCT(($A$2:$A$4734=A2228)*($B$2:$B$4734=B2228)*($D$2:$D$4734=D2228)*($E$2:$E$4734=0)),0)</f>
        <v>0</v>
      </c>
      <c r="L2228" s="1" t="str">
        <f>IF(E2228=0,SUMPRODUCT(MIN($K$2:$K$4734+((($A$2:$A$4734&lt;&gt;A2228)+($E$2:$E$4734&lt;&gt;0))&gt;0)*1000000)),"")</f>
        <v/>
      </c>
      <c r="M2228" s="1">
        <f>IF(AND(E2228=0,COUNTIFS($A$2:A2228,A2228,$E$2:E2228,0)=1),L2228,0)</f>
        <v>0</v>
      </c>
    </row>
    <row r="2229" spans="1:13" ht="15" customHeight="1">
      <c r="A2229" s="1">
        <v>18</v>
      </c>
      <c r="B2229" s="1" t="s">
        <v>16</v>
      </c>
      <c r="C2229" s="2" t="s">
        <v>2586</v>
      </c>
      <c r="D2229" s="2" t="s">
        <v>2597</v>
      </c>
      <c r="E2229" s="1">
        <v>1</v>
      </c>
      <c r="F2229" s="2" t="s">
        <v>2598</v>
      </c>
      <c r="G2229" s="1">
        <v>1</v>
      </c>
      <c r="H2229" s="1" t="str">
        <f t="shared" si="35"/>
        <v>k18_1</v>
      </c>
      <c r="K2229" s="1">
        <f>IF(E2229=0,SUMPRODUCT(($A$2:$A$4734=A2229)*($B$2:$B$4734=B2229)*($D$2:$D$4734=D2229)*($E$2:$E$4734=0)),0)</f>
        <v>0</v>
      </c>
      <c r="L2229" s="1" t="str">
        <f>IF(E2229=0,SUMPRODUCT(MIN($K$2:$K$4734+((($A$2:$A$4734&lt;&gt;A2229)+($E$2:$E$4734&lt;&gt;0))&gt;0)*1000000)),"")</f>
        <v/>
      </c>
      <c r="M2229" s="1">
        <f>IF(AND(E2229=0,COUNTIFS($A$2:A2229,A2229,$E$2:E2229,0)=1),L2229,0)</f>
        <v>0</v>
      </c>
    </row>
    <row r="2230" spans="1:13" ht="15" customHeight="1">
      <c r="A2230" s="1">
        <v>18</v>
      </c>
      <c r="B2230" s="1" t="s">
        <v>16</v>
      </c>
      <c r="C2230" s="2" t="s">
        <v>2586</v>
      </c>
      <c r="D2230" s="2" t="s">
        <v>2597</v>
      </c>
      <c r="E2230" s="1">
        <v>1</v>
      </c>
      <c r="F2230" s="2" t="s">
        <v>2599</v>
      </c>
      <c r="G2230" s="1">
        <v>2</v>
      </c>
      <c r="H2230" s="1" t="str">
        <f t="shared" si="35"/>
        <v>k18_2</v>
      </c>
      <c r="K2230" s="1">
        <f>IF(E2230=0,SUMPRODUCT(($A$2:$A$4734=A2230)*($B$2:$B$4734=B2230)*($D$2:$D$4734=D2230)*($E$2:$E$4734=0)),0)</f>
        <v>0</v>
      </c>
      <c r="L2230" s="1" t="str">
        <f>IF(E2230=0,SUMPRODUCT(MIN($K$2:$K$4734+((($A$2:$A$4734&lt;&gt;A2230)+($E$2:$E$4734&lt;&gt;0))&gt;0)*1000000)),"")</f>
        <v/>
      </c>
      <c r="M2230" s="1">
        <f>IF(AND(E2230=0,COUNTIFS($A$2:A2230,A2230,$E$2:E2230,0)=1),L2230,0)</f>
        <v>0</v>
      </c>
    </row>
    <row r="2231" spans="1:13" ht="15" customHeight="1">
      <c r="A2231" s="1">
        <v>18</v>
      </c>
      <c r="B2231" s="1" t="s">
        <v>16</v>
      </c>
      <c r="C2231" s="2" t="s">
        <v>2586</v>
      </c>
      <c r="D2231" s="2" t="s">
        <v>2597</v>
      </c>
      <c r="E2231" s="1">
        <v>1</v>
      </c>
      <c r="F2231" s="2" t="s">
        <v>2600</v>
      </c>
      <c r="G2231" s="1">
        <v>3</v>
      </c>
      <c r="H2231" s="1" t="str">
        <f t="shared" si="35"/>
        <v>k18_3</v>
      </c>
      <c r="K2231" s="1">
        <f>IF(E2231=0,SUMPRODUCT(($A$2:$A$4734=A2231)*($B$2:$B$4734=B2231)*($D$2:$D$4734=D2231)*($E$2:$E$4734=0)),0)</f>
        <v>0</v>
      </c>
      <c r="L2231" s="1" t="str">
        <f>IF(E2231=0,SUMPRODUCT(MIN($K$2:$K$4734+((($A$2:$A$4734&lt;&gt;A2231)+($E$2:$E$4734&lt;&gt;0))&gt;0)*1000000)),"")</f>
        <v/>
      </c>
      <c r="M2231" s="1">
        <f>IF(AND(E2231=0,COUNTIFS($A$2:A2231,A2231,$E$2:E2231,0)=1),L2231,0)</f>
        <v>0</v>
      </c>
    </row>
    <row r="2232" spans="1:13" ht="15" customHeight="1">
      <c r="A2232" s="1">
        <v>18</v>
      </c>
      <c r="B2232" s="1" t="s">
        <v>16</v>
      </c>
      <c r="C2232" s="2" t="s">
        <v>2586</v>
      </c>
      <c r="D2232" s="2" t="s">
        <v>2597</v>
      </c>
      <c r="E2232" s="1">
        <v>1</v>
      </c>
      <c r="F2232" s="2" t="s">
        <v>2598</v>
      </c>
      <c r="G2232" s="1">
        <v>4</v>
      </c>
      <c r="H2232" s="1" t="str">
        <f t="shared" si="35"/>
        <v>k18_4</v>
      </c>
      <c r="K2232" s="1">
        <f>IF(E2232=0,SUMPRODUCT(($A$2:$A$4734=A2232)*($B$2:$B$4734=B2232)*($D$2:$D$4734=D2232)*($E$2:$E$4734=0)),0)</f>
        <v>0</v>
      </c>
      <c r="L2232" s="1" t="str">
        <f>IF(E2232=0,SUMPRODUCT(MIN($K$2:$K$4734+((($A$2:$A$4734&lt;&gt;A2232)+($E$2:$E$4734&lt;&gt;0))&gt;0)*1000000)),"")</f>
        <v/>
      </c>
      <c r="M2232" s="1">
        <f>IF(AND(E2232=0,COUNTIFS($A$2:A2232,A2232,$E$2:E2232,0)=1),L2232,0)</f>
        <v>0</v>
      </c>
    </row>
    <row r="2233" spans="1:13" ht="15" customHeight="1">
      <c r="A2233" s="1">
        <v>18</v>
      </c>
      <c r="B2233" s="1" t="s">
        <v>16</v>
      </c>
      <c r="C2233" s="2" t="s">
        <v>2586</v>
      </c>
      <c r="D2233" s="2" t="s">
        <v>2597</v>
      </c>
      <c r="E2233" s="1">
        <v>1</v>
      </c>
      <c r="F2233" s="2" t="s">
        <v>2599</v>
      </c>
      <c r="G2233" s="1">
        <v>5</v>
      </c>
      <c r="H2233" s="1" t="str">
        <f t="shared" si="35"/>
        <v>k18_5</v>
      </c>
      <c r="K2233" s="1">
        <f>IF(E2233=0,SUMPRODUCT(($A$2:$A$4734=A2233)*($B$2:$B$4734=B2233)*($D$2:$D$4734=D2233)*($E$2:$E$4734=0)),0)</f>
        <v>0</v>
      </c>
      <c r="L2233" s="1" t="str">
        <f>IF(E2233=0,SUMPRODUCT(MIN($K$2:$K$4734+((($A$2:$A$4734&lt;&gt;A2233)+($E$2:$E$4734&lt;&gt;0))&gt;0)*1000000)),"")</f>
        <v/>
      </c>
      <c r="M2233" s="1">
        <f>IF(AND(E2233=0,COUNTIFS($A$2:A2233,A2233,$E$2:E2233,0)=1),L2233,0)</f>
        <v>0</v>
      </c>
    </row>
    <row r="2234" spans="1:13" ht="15" customHeight="1">
      <c r="A2234" s="1">
        <v>18</v>
      </c>
      <c r="B2234" s="1" t="s">
        <v>16</v>
      </c>
      <c r="C2234" s="2" t="s">
        <v>2586</v>
      </c>
      <c r="D2234" s="2" t="s">
        <v>2597</v>
      </c>
      <c r="E2234" s="1">
        <v>1</v>
      </c>
      <c r="F2234" s="2" t="s">
        <v>2600</v>
      </c>
      <c r="G2234" s="1">
        <v>6</v>
      </c>
      <c r="H2234" s="1" t="str">
        <f t="shared" si="35"/>
        <v>k18_6</v>
      </c>
      <c r="K2234" s="1">
        <f>IF(E2234=0,SUMPRODUCT(($A$2:$A$4734=A2234)*($B$2:$B$4734=B2234)*($D$2:$D$4734=D2234)*($E$2:$E$4734=0)),0)</f>
        <v>0</v>
      </c>
      <c r="L2234" s="1" t="str">
        <f>IF(E2234=0,SUMPRODUCT(MIN($K$2:$K$4734+((($A$2:$A$4734&lt;&gt;A2234)+($E$2:$E$4734&lt;&gt;0))&gt;0)*1000000)),"")</f>
        <v/>
      </c>
      <c r="M2234" s="1">
        <f>IF(AND(E2234=0,COUNTIFS($A$2:A2234,A2234,$E$2:E2234,0)=1),L2234,0)</f>
        <v>0</v>
      </c>
    </row>
    <row r="2235" spans="1:13" ht="15" customHeight="1">
      <c r="A2235" s="1">
        <v>18</v>
      </c>
      <c r="B2235" s="1" t="s">
        <v>16</v>
      </c>
      <c r="C2235" s="2" t="s">
        <v>2586</v>
      </c>
      <c r="D2235" s="2" t="s">
        <v>2597</v>
      </c>
      <c r="E2235" s="1">
        <v>1</v>
      </c>
      <c r="F2235" s="2" t="s">
        <v>2601</v>
      </c>
      <c r="G2235" s="1">
        <v>7</v>
      </c>
      <c r="H2235" s="1" t="str">
        <f t="shared" si="35"/>
        <v>k18_7</v>
      </c>
      <c r="K2235" s="1">
        <f>IF(E2235=0,SUMPRODUCT(($A$2:$A$4734=A2235)*($B$2:$B$4734=B2235)*($D$2:$D$4734=D2235)*($E$2:$E$4734=0)),0)</f>
        <v>0</v>
      </c>
      <c r="L2235" s="1" t="str">
        <f>IF(E2235=0,SUMPRODUCT(MIN($K$2:$K$4734+((($A$2:$A$4734&lt;&gt;A2235)+($E$2:$E$4734&lt;&gt;0))&gt;0)*1000000)),"")</f>
        <v/>
      </c>
      <c r="M2235" s="1">
        <f>IF(AND(E2235=0,COUNTIFS($A$2:A2235,A2235,$E$2:E2235,0)=1),L2235,0)</f>
        <v>0</v>
      </c>
    </row>
    <row r="2236" spans="1:13" ht="15" customHeight="1">
      <c r="A2236" s="1">
        <v>18</v>
      </c>
      <c r="B2236" s="1" t="s">
        <v>16</v>
      </c>
      <c r="C2236" s="2" t="s">
        <v>2586</v>
      </c>
      <c r="D2236" s="2" t="s">
        <v>2597</v>
      </c>
      <c r="E2236" s="1">
        <v>1</v>
      </c>
      <c r="F2236" s="2" t="s">
        <v>2602</v>
      </c>
      <c r="G2236" s="1">
        <v>8</v>
      </c>
      <c r="H2236" s="1" t="str">
        <f t="shared" si="35"/>
        <v>k18_8</v>
      </c>
      <c r="K2236" s="1">
        <f>IF(E2236=0,SUMPRODUCT(($A$2:$A$4734=A2236)*($B$2:$B$4734=B2236)*($D$2:$D$4734=D2236)*($E$2:$E$4734=0)),0)</f>
        <v>0</v>
      </c>
      <c r="L2236" s="1" t="str">
        <f>IF(E2236=0,SUMPRODUCT(MIN($K$2:$K$4734+((($A$2:$A$4734&lt;&gt;A2236)+($E$2:$E$4734&lt;&gt;0))&gt;0)*1000000)),"")</f>
        <v/>
      </c>
      <c r="M2236" s="1">
        <f>IF(AND(E2236=0,COUNTIFS($A$2:A2236,A2236,$E$2:E2236,0)=1),L2236,0)</f>
        <v>0</v>
      </c>
    </row>
    <row r="2237" spans="1:13" ht="15" customHeight="1">
      <c r="A2237" s="1">
        <v>19</v>
      </c>
      <c r="B2237" s="1" t="s">
        <v>358</v>
      </c>
      <c r="C2237" s="2" t="s">
        <v>2603</v>
      </c>
      <c r="D2237" s="1" t="s">
        <v>2604</v>
      </c>
      <c r="E2237" s="1">
        <v>1</v>
      </c>
      <c r="F2237" s="2" t="s">
        <v>2605</v>
      </c>
      <c r="G2237" s="1">
        <v>1</v>
      </c>
      <c r="H2237" s="1" t="str">
        <f t="shared" si="35"/>
        <v>k19_1</v>
      </c>
      <c r="K2237" s="1">
        <f>IF(E2237=0,SUMPRODUCT(($A$2:$A$4734=A2237)*($B$2:$B$4734=B2237)*($D$2:$D$4734=D2237)*($E$2:$E$4734=0)),0)</f>
        <v>0</v>
      </c>
      <c r="L2237" s="1" t="str">
        <f>IF(E2237=0,SUMPRODUCT(MIN($K$2:$K$4734+((($A$2:$A$4734&lt;&gt;A2237)+($E$2:$E$4734&lt;&gt;0))&gt;0)*1000000)),"")</f>
        <v/>
      </c>
      <c r="M2237" s="1">
        <f>IF(AND(E2237=0,COUNTIFS($A$2:A2237,A2237,$E$2:E2237,0)=1),L2237,0)</f>
        <v>0</v>
      </c>
    </row>
    <row r="2238" spans="1:13" ht="15" customHeight="1">
      <c r="A2238" s="1">
        <v>19</v>
      </c>
      <c r="B2238" s="1" t="s">
        <v>358</v>
      </c>
      <c r="C2238" s="2" t="s">
        <v>2603</v>
      </c>
      <c r="D2238" s="1" t="s">
        <v>2604</v>
      </c>
      <c r="E2238" s="1">
        <v>1</v>
      </c>
      <c r="F2238" s="2" t="s">
        <v>2606</v>
      </c>
      <c r="G2238" s="1">
        <v>2</v>
      </c>
      <c r="H2238" s="1" t="str">
        <f t="shared" si="35"/>
        <v>k19_2</v>
      </c>
      <c r="K2238" s="1">
        <f>IF(E2238=0,SUMPRODUCT(($A$2:$A$4734=A2238)*($B$2:$B$4734=B2238)*($D$2:$D$4734=D2238)*($E$2:$E$4734=0)),0)</f>
        <v>0</v>
      </c>
      <c r="L2238" s="1" t="str">
        <f>IF(E2238=0,SUMPRODUCT(MIN($K$2:$K$4734+((($A$2:$A$4734&lt;&gt;A2238)+($E$2:$E$4734&lt;&gt;0))&gt;0)*1000000)),"")</f>
        <v/>
      </c>
      <c r="M2238" s="1">
        <f>IF(AND(E2238=0,COUNTIFS($A$2:A2238,A2238,$E$2:E2238,0)=1),L2238,0)</f>
        <v>0</v>
      </c>
    </row>
    <row r="2239" spans="1:13" ht="15" customHeight="1">
      <c r="A2239" s="1">
        <v>19</v>
      </c>
      <c r="B2239" s="1" t="s">
        <v>358</v>
      </c>
      <c r="C2239" s="2" t="s">
        <v>2603</v>
      </c>
      <c r="D2239" s="1" t="s">
        <v>2604</v>
      </c>
      <c r="E2239" s="1">
        <v>1</v>
      </c>
      <c r="F2239" s="2" t="s">
        <v>2607</v>
      </c>
      <c r="G2239" s="1">
        <v>3</v>
      </c>
      <c r="H2239" s="1" t="str">
        <f t="shared" si="35"/>
        <v>k19_3</v>
      </c>
      <c r="K2239" s="1">
        <f>IF(E2239=0,SUMPRODUCT(($A$2:$A$4734=A2239)*($B$2:$B$4734=B2239)*($D$2:$D$4734=D2239)*($E$2:$E$4734=0)),0)</f>
        <v>0</v>
      </c>
      <c r="L2239" s="1" t="str">
        <f>IF(E2239=0,SUMPRODUCT(MIN($K$2:$K$4734+((($A$2:$A$4734&lt;&gt;A2239)+($E$2:$E$4734&lt;&gt;0))&gt;0)*1000000)),"")</f>
        <v/>
      </c>
      <c r="M2239" s="1">
        <f>IF(AND(E2239=0,COUNTIFS($A$2:A2239,A2239,$E$2:E2239,0)=1),L2239,0)</f>
        <v>0</v>
      </c>
    </row>
    <row r="2240" spans="1:13" ht="15" customHeight="1">
      <c r="A2240" s="1">
        <v>19</v>
      </c>
      <c r="B2240" s="1" t="s">
        <v>358</v>
      </c>
      <c r="C2240" s="2" t="s">
        <v>2603</v>
      </c>
      <c r="D2240" s="1" t="s">
        <v>2604</v>
      </c>
      <c r="E2240" s="1">
        <v>1</v>
      </c>
      <c r="F2240" s="2" t="s">
        <v>2605</v>
      </c>
      <c r="G2240" s="1">
        <v>4</v>
      </c>
      <c r="H2240" s="1" t="str">
        <f t="shared" si="35"/>
        <v>k19_4</v>
      </c>
      <c r="K2240" s="1">
        <f>IF(E2240=0,SUMPRODUCT(($A$2:$A$4734=A2240)*($B$2:$B$4734=B2240)*($D$2:$D$4734=D2240)*($E$2:$E$4734=0)),0)</f>
        <v>0</v>
      </c>
      <c r="L2240" s="1" t="str">
        <f>IF(E2240=0,SUMPRODUCT(MIN($K$2:$K$4734+((($A$2:$A$4734&lt;&gt;A2240)+($E$2:$E$4734&lt;&gt;0))&gt;0)*1000000)),"")</f>
        <v/>
      </c>
      <c r="M2240" s="1">
        <f>IF(AND(E2240=0,COUNTIFS($A$2:A2240,A2240,$E$2:E2240,0)=1),L2240,0)</f>
        <v>0</v>
      </c>
    </row>
    <row r="2241" spans="1:13" ht="15" customHeight="1">
      <c r="A2241" s="1">
        <v>19</v>
      </c>
      <c r="B2241" s="1" t="s">
        <v>358</v>
      </c>
      <c r="C2241" s="2" t="s">
        <v>2603</v>
      </c>
      <c r="D2241" s="1" t="s">
        <v>2604</v>
      </c>
      <c r="E2241" s="1">
        <v>1</v>
      </c>
      <c r="F2241" s="2" t="s">
        <v>2606</v>
      </c>
      <c r="G2241" s="1">
        <v>5</v>
      </c>
      <c r="H2241" s="1" t="str">
        <f t="shared" si="35"/>
        <v>k19_5</v>
      </c>
      <c r="K2241" s="1">
        <f>IF(E2241=0,SUMPRODUCT(($A$2:$A$4734=A2241)*($B$2:$B$4734=B2241)*($D$2:$D$4734=D2241)*($E$2:$E$4734=0)),0)</f>
        <v>0</v>
      </c>
      <c r="L2241" s="1" t="str">
        <f>IF(E2241=0,SUMPRODUCT(MIN($K$2:$K$4734+((($A$2:$A$4734&lt;&gt;A2241)+($E$2:$E$4734&lt;&gt;0))&gt;0)*1000000)),"")</f>
        <v/>
      </c>
      <c r="M2241" s="1">
        <f>IF(AND(E2241=0,COUNTIFS($A$2:A2241,A2241,$E$2:E2241,0)=1),L2241,0)</f>
        <v>0</v>
      </c>
    </row>
    <row r="2242" spans="1:13" ht="15" customHeight="1">
      <c r="A2242" s="1">
        <v>19</v>
      </c>
      <c r="B2242" s="1" t="s">
        <v>358</v>
      </c>
      <c r="C2242" s="2" t="s">
        <v>2603</v>
      </c>
      <c r="D2242" s="1" t="s">
        <v>2604</v>
      </c>
      <c r="E2242" s="1">
        <v>1</v>
      </c>
      <c r="F2242" s="2" t="s">
        <v>2607</v>
      </c>
      <c r="G2242" s="1">
        <v>6</v>
      </c>
      <c r="H2242" s="1" t="str">
        <f t="shared" si="35"/>
        <v>k19_6</v>
      </c>
      <c r="K2242" s="1">
        <f>IF(E2242=0,SUMPRODUCT(($A$2:$A$4734=A2242)*($B$2:$B$4734=B2242)*($D$2:$D$4734=D2242)*($E$2:$E$4734=0)),0)</f>
        <v>0</v>
      </c>
      <c r="L2242" s="1" t="str">
        <f>IF(E2242=0,SUMPRODUCT(MIN($K$2:$K$4734+((($A$2:$A$4734&lt;&gt;A2242)+($E$2:$E$4734&lt;&gt;0))&gt;0)*1000000)),"")</f>
        <v/>
      </c>
      <c r="M2242" s="1">
        <f>IF(AND(E2242=0,COUNTIFS($A$2:A2242,A2242,$E$2:E2242,0)=1),L2242,0)</f>
        <v>0</v>
      </c>
    </row>
    <row r="2243" spans="1:13" ht="15" customHeight="1">
      <c r="A2243" s="1">
        <v>19</v>
      </c>
      <c r="B2243" s="1" t="s">
        <v>9</v>
      </c>
      <c r="C2243" s="2" t="s">
        <v>2603</v>
      </c>
      <c r="D2243" s="2" t="s">
        <v>2608</v>
      </c>
      <c r="E2243" s="1">
        <v>1</v>
      </c>
      <c r="F2243" s="2" t="s">
        <v>2609</v>
      </c>
      <c r="G2243" s="1">
        <v>1</v>
      </c>
      <c r="H2243" s="1" t="str">
        <f t="shared" si="35"/>
        <v>k19_1</v>
      </c>
      <c r="K2243" s="1">
        <f>IF(E2243=0,SUMPRODUCT(($A$2:$A$4734=A2243)*($B$2:$B$4734=B2243)*($D$2:$D$4734=D2243)*($E$2:$E$4734=0)),0)</f>
        <v>0</v>
      </c>
      <c r="L2243" s="1" t="str">
        <f>IF(E2243=0,SUMPRODUCT(MIN($K$2:$K$4734+((($A$2:$A$4734&lt;&gt;A2243)+($E$2:$E$4734&lt;&gt;0))&gt;0)*1000000)),"")</f>
        <v/>
      </c>
      <c r="M2243" s="1">
        <f>IF(AND(E2243=0,COUNTIFS($A$2:A2243,A2243,$E$2:E2243,0)=1),L2243,0)</f>
        <v>0</v>
      </c>
    </row>
    <row r="2244" spans="1:13" ht="15" customHeight="1">
      <c r="A2244" s="1">
        <v>19</v>
      </c>
      <c r="B2244" s="1" t="s">
        <v>9</v>
      </c>
      <c r="C2244" s="2" t="s">
        <v>2603</v>
      </c>
      <c r="D2244" s="2" t="s">
        <v>2608</v>
      </c>
      <c r="E2244" s="1">
        <v>1</v>
      </c>
      <c r="F2244" s="2" t="s">
        <v>2610</v>
      </c>
      <c r="G2244" s="1">
        <v>2</v>
      </c>
      <c r="H2244" s="1" t="str">
        <f t="shared" si="35"/>
        <v>k19_2</v>
      </c>
      <c r="K2244" s="1">
        <f>IF(E2244=0,SUMPRODUCT(($A$2:$A$4734=A2244)*($B$2:$B$4734=B2244)*($D$2:$D$4734=D2244)*($E$2:$E$4734=0)),0)</f>
        <v>0</v>
      </c>
      <c r="L2244" s="1" t="str">
        <f>IF(E2244=0,SUMPRODUCT(MIN($K$2:$K$4734+((($A$2:$A$4734&lt;&gt;A2244)+($E$2:$E$4734&lt;&gt;0))&gt;0)*1000000)),"")</f>
        <v/>
      </c>
      <c r="M2244" s="1">
        <f>IF(AND(E2244=0,COUNTIFS($A$2:A2244,A2244,$E$2:E2244,0)=1),L2244,0)</f>
        <v>0</v>
      </c>
    </row>
    <row r="2245" spans="1:13" ht="15" customHeight="1">
      <c r="A2245" s="1">
        <v>19</v>
      </c>
      <c r="B2245" s="1" t="s">
        <v>9</v>
      </c>
      <c r="C2245" s="2" t="s">
        <v>2603</v>
      </c>
      <c r="D2245" s="2" t="s">
        <v>2608</v>
      </c>
      <c r="E2245" s="1">
        <v>1</v>
      </c>
      <c r="F2245" s="2" t="s">
        <v>2611</v>
      </c>
      <c r="G2245" s="1">
        <v>3</v>
      </c>
      <c r="H2245" s="1" t="str">
        <f t="shared" si="35"/>
        <v>k19_3</v>
      </c>
      <c r="K2245" s="1">
        <f>IF(E2245=0,SUMPRODUCT(($A$2:$A$4734=A2245)*($B$2:$B$4734=B2245)*($D$2:$D$4734=D2245)*($E$2:$E$4734=0)),0)</f>
        <v>0</v>
      </c>
      <c r="L2245" s="1" t="str">
        <f>IF(E2245=0,SUMPRODUCT(MIN($K$2:$K$4734+((($A$2:$A$4734&lt;&gt;A2245)+($E$2:$E$4734&lt;&gt;0))&gt;0)*1000000)),"")</f>
        <v/>
      </c>
      <c r="M2245" s="1">
        <f>IF(AND(E2245=0,COUNTIFS($A$2:A2245,A2245,$E$2:E2245,0)=1),L2245,0)</f>
        <v>0</v>
      </c>
    </row>
    <row r="2246" spans="1:13" ht="15" customHeight="1">
      <c r="A2246" s="1">
        <v>19</v>
      </c>
      <c r="B2246" s="1" t="s">
        <v>9</v>
      </c>
      <c r="C2246" s="2" t="s">
        <v>2603</v>
      </c>
      <c r="D2246" s="2" t="s">
        <v>2608</v>
      </c>
      <c r="E2246" s="1">
        <v>1</v>
      </c>
      <c r="F2246" s="2" t="s">
        <v>2612</v>
      </c>
      <c r="G2246" s="1">
        <v>4</v>
      </c>
      <c r="H2246" s="1" t="str">
        <f t="shared" si="35"/>
        <v>k19_4</v>
      </c>
      <c r="K2246" s="1">
        <f>IF(E2246=0,SUMPRODUCT(($A$2:$A$4734=A2246)*($B$2:$B$4734=B2246)*($D$2:$D$4734=D2246)*($E$2:$E$4734=0)),0)</f>
        <v>0</v>
      </c>
      <c r="L2246" s="1" t="str">
        <f>IF(E2246=0,SUMPRODUCT(MIN($K$2:$K$4734+((($A$2:$A$4734&lt;&gt;A2246)+($E$2:$E$4734&lt;&gt;0))&gt;0)*1000000)),"")</f>
        <v/>
      </c>
      <c r="M2246" s="1">
        <f>IF(AND(E2246=0,COUNTIFS($A$2:A2246,A2246,$E$2:E2246,0)=1),L2246,0)</f>
        <v>0</v>
      </c>
    </row>
    <row r="2247" spans="1:13" ht="15" customHeight="1">
      <c r="A2247" s="1">
        <v>19</v>
      </c>
      <c r="B2247" s="1" t="s">
        <v>9</v>
      </c>
      <c r="C2247" s="2" t="s">
        <v>2603</v>
      </c>
      <c r="D2247" s="2" t="s">
        <v>2608</v>
      </c>
      <c r="E2247" s="1">
        <v>1</v>
      </c>
      <c r="F2247" s="2" t="s">
        <v>2613</v>
      </c>
      <c r="G2247" s="1">
        <v>5</v>
      </c>
      <c r="H2247" s="1" t="str">
        <f t="shared" si="35"/>
        <v>k19_5</v>
      </c>
      <c r="K2247" s="1">
        <f>IF(E2247=0,SUMPRODUCT(($A$2:$A$4734=A2247)*($B$2:$B$4734=B2247)*($D$2:$D$4734=D2247)*($E$2:$E$4734=0)),0)</f>
        <v>0</v>
      </c>
      <c r="L2247" s="1" t="str">
        <f>IF(E2247=0,SUMPRODUCT(MIN($K$2:$K$4734+((($A$2:$A$4734&lt;&gt;A2247)+($E$2:$E$4734&lt;&gt;0))&gt;0)*1000000)),"")</f>
        <v/>
      </c>
      <c r="M2247" s="1">
        <f>IF(AND(E2247=0,COUNTIFS($A$2:A2247,A2247,$E$2:E2247,0)=1),L2247,0)</f>
        <v>0</v>
      </c>
    </row>
    <row r="2248" spans="1:13" ht="15" customHeight="1">
      <c r="A2248" s="1">
        <v>19</v>
      </c>
      <c r="B2248" s="1" t="s">
        <v>9</v>
      </c>
      <c r="C2248" s="2" t="s">
        <v>2603</v>
      </c>
      <c r="D2248" s="2" t="s">
        <v>2608</v>
      </c>
      <c r="E2248" s="1">
        <v>1</v>
      </c>
      <c r="F2248" s="2" t="s">
        <v>2614</v>
      </c>
      <c r="G2248" s="1">
        <v>6</v>
      </c>
      <c r="H2248" s="1" t="str">
        <f t="shared" si="35"/>
        <v>k19_6</v>
      </c>
      <c r="K2248" s="1">
        <f>IF(E2248=0,SUMPRODUCT(($A$2:$A$4734=A2248)*($B$2:$B$4734=B2248)*($D$2:$D$4734=D2248)*($E$2:$E$4734=0)),0)</f>
        <v>0</v>
      </c>
      <c r="L2248" s="1" t="str">
        <f>IF(E2248=0,SUMPRODUCT(MIN($K$2:$K$4734+((($A$2:$A$4734&lt;&gt;A2248)+($E$2:$E$4734&lt;&gt;0))&gt;0)*1000000)),"")</f>
        <v/>
      </c>
      <c r="M2248" s="1">
        <f>IF(AND(E2248=0,COUNTIFS($A$2:A2248,A2248,$E$2:E2248,0)=1),L2248,0)</f>
        <v>0</v>
      </c>
    </row>
    <row r="2249" spans="1:13" ht="15" customHeight="1">
      <c r="A2249" s="1">
        <v>19</v>
      </c>
      <c r="B2249" s="1" t="s">
        <v>16</v>
      </c>
      <c r="C2249" s="2" t="s">
        <v>2603</v>
      </c>
      <c r="D2249" s="2" t="s">
        <v>2615</v>
      </c>
      <c r="E2249" s="1">
        <v>1</v>
      </c>
      <c r="F2249" s="2" t="s">
        <v>2616</v>
      </c>
      <c r="G2249" s="1">
        <v>1</v>
      </c>
      <c r="H2249" s="1" t="str">
        <f t="shared" si="35"/>
        <v>k19_1</v>
      </c>
      <c r="K2249" s="1">
        <f>IF(E2249=0,SUMPRODUCT(($A$2:$A$4734=A2249)*($B$2:$B$4734=B2249)*($D$2:$D$4734=D2249)*($E$2:$E$4734=0)),0)</f>
        <v>0</v>
      </c>
      <c r="L2249" s="1" t="str">
        <f>IF(E2249=0,SUMPRODUCT(MIN($K$2:$K$4734+((($A$2:$A$4734&lt;&gt;A2249)+($E$2:$E$4734&lt;&gt;0))&gt;0)*1000000)),"")</f>
        <v/>
      </c>
      <c r="M2249" s="1">
        <f>IF(AND(E2249=0,COUNTIFS($A$2:A2249,A2249,$E$2:E2249,0)=1),L2249,0)</f>
        <v>0</v>
      </c>
    </row>
    <row r="2250" spans="1:13" ht="15" customHeight="1">
      <c r="A2250" s="1">
        <v>19</v>
      </c>
      <c r="B2250" s="1" t="s">
        <v>16</v>
      </c>
      <c r="C2250" s="2" t="s">
        <v>2603</v>
      </c>
      <c r="D2250" s="2" t="s">
        <v>2615</v>
      </c>
      <c r="E2250" s="1">
        <v>1</v>
      </c>
      <c r="F2250" s="2" t="s">
        <v>2617</v>
      </c>
      <c r="G2250" s="1">
        <v>3</v>
      </c>
      <c r="H2250" s="1" t="str">
        <f t="shared" si="35"/>
        <v>k19_3</v>
      </c>
      <c r="K2250" s="1">
        <f>IF(E2250=0,SUMPRODUCT(($A$2:$A$4734=A2250)*($B$2:$B$4734=B2250)*($D$2:$D$4734=D2250)*($E$2:$E$4734=0)),0)</f>
        <v>0</v>
      </c>
      <c r="L2250" s="1" t="str">
        <f>IF(E2250=0,SUMPRODUCT(MIN($K$2:$K$4734+((($A$2:$A$4734&lt;&gt;A2250)+($E$2:$E$4734&lt;&gt;0))&gt;0)*1000000)),"")</f>
        <v/>
      </c>
      <c r="M2250" s="1">
        <f>IF(AND(E2250=0,COUNTIFS($A$2:A2250,A2250,$E$2:E2250,0)=1),L2250,0)</f>
        <v>0</v>
      </c>
    </row>
    <row r="2251" spans="1:13" ht="15" customHeight="1">
      <c r="A2251" s="1">
        <v>19</v>
      </c>
      <c r="B2251" s="1" t="s">
        <v>16</v>
      </c>
      <c r="C2251" s="2" t="s">
        <v>2603</v>
      </c>
      <c r="D2251" s="2" t="s">
        <v>2615</v>
      </c>
      <c r="E2251" s="1">
        <v>1</v>
      </c>
      <c r="F2251" s="2" t="s">
        <v>2618</v>
      </c>
      <c r="G2251" s="1">
        <v>2</v>
      </c>
      <c r="H2251" s="1" t="str">
        <f t="shared" si="35"/>
        <v>k19_2</v>
      </c>
      <c r="K2251" s="1">
        <f>IF(E2251=0,SUMPRODUCT(($A$2:$A$4734=A2251)*($B$2:$B$4734=B2251)*($D$2:$D$4734=D2251)*($E$2:$E$4734=0)),0)</f>
        <v>0</v>
      </c>
      <c r="L2251" s="1" t="str">
        <f>IF(E2251=0,SUMPRODUCT(MIN($K$2:$K$4734+((($A$2:$A$4734&lt;&gt;A2251)+($E$2:$E$4734&lt;&gt;0))&gt;0)*1000000)),"")</f>
        <v/>
      </c>
      <c r="M2251" s="1">
        <f>IF(AND(E2251=0,COUNTIFS($A$2:A2251,A2251,$E$2:E2251,0)=1),L2251,0)</f>
        <v>0</v>
      </c>
    </row>
    <row r="2252" spans="1:13" ht="15" customHeight="1">
      <c r="A2252" s="1">
        <v>19</v>
      </c>
      <c r="B2252" s="1" t="s">
        <v>16</v>
      </c>
      <c r="C2252" s="2" t="s">
        <v>2603</v>
      </c>
      <c r="D2252" s="2" t="s">
        <v>2615</v>
      </c>
      <c r="E2252" s="1">
        <v>1</v>
      </c>
      <c r="F2252" s="2" t="s">
        <v>2619</v>
      </c>
      <c r="G2252" s="1">
        <v>4</v>
      </c>
      <c r="H2252" s="1" t="str">
        <f t="shared" si="35"/>
        <v>k19_4</v>
      </c>
      <c r="K2252" s="1">
        <f>IF(E2252=0,SUMPRODUCT(($A$2:$A$4734=A2252)*($B$2:$B$4734=B2252)*($D$2:$D$4734=D2252)*($E$2:$E$4734=0)),0)</f>
        <v>0</v>
      </c>
      <c r="L2252" s="1" t="str">
        <f>IF(E2252=0,SUMPRODUCT(MIN($K$2:$K$4734+((($A$2:$A$4734&lt;&gt;A2252)+($E$2:$E$4734&lt;&gt;0))&gt;0)*1000000)),"")</f>
        <v/>
      </c>
      <c r="M2252" s="1">
        <f>IF(AND(E2252=0,COUNTIFS($A$2:A2252,A2252,$E$2:E2252,0)=1),L2252,0)</f>
        <v>0</v>
      </c>
    </row>
    <row r="2253" spans="1:13" ht="15" customHeight="1">
      <c r="A2253" s="1">
        <v>19</v>
      </c>
      <c r="B2253" s="1" t="s">
        <v>16</v>
      </c>
      <c r="C2253" s="2" t="s">
        <v>2603</v>
      </c>
      <c r="D2253" s="2" t="s">
        <v>2615</v>
      </c>
      <c r="E2253" s="1">
        <v>1</v>
      </c>
      <c r="F2253" s="2" t="s">
        <v>2619</v>
      </c>
      <c r="G2253" s="1">
        <v>5</v>
      </c>
      <c r="H2253" s="1" t="str">
        <f t="shared" si="35"/>
        <v>k19_5</v>
      </c>
      <c r="K2253" s="1">
        <f>IF(E2253=0,SUMPRODUCT(($A$2:$A$4734=A2253)*($B$2:$B$4734=B2253)*($D$2:$D$4734=D2253)*($E$2:$E$4734=0)),0)</f>
        <v>0</v>
      </c>
      <c r="L2253" s="1" t="str">
        <f>IF(E2253=0,SUMPRODUCT(MIN($K$2:$K$4734+((($A$2:$A$4734&lt;&gt;A2253)+($E$2:$E$4734&lt;&gt;0))&gt;0)*1000000)),"")</f>
        <v/>
      </c>
      <c r="M2253" s="1">
        <f>IF(AND(E2253=0,COUNTIFS($A$2:A2253,A2253,$E$2:E2253,0)=1),L2253,0)</f>
        <v>0</v>
      </c>
    </row>
    <row r="2254" spans="1:13" ht="15" customHeight="1">
      <c r="A2254" s="1">
        <v>19</v>
      </c>
      <c r="B2254" s="1" t="s">
        <v>16</v>
      </c>
      <c r="C2254" s="2" t="s">
        <v>2603</v>
      </c>
      <c r="D2254" s="2" t="s">
        <v>2615</v>
      </c>
      <c r="E2254" s="1">
        <v>1</v>
      </c>
      <c r="F2254" s="2" t="s">
        <v>2620</v>
      </c>
      <c r="G2254" s="1">
        <v>6</v>
      </c>
      <c r="H2254" s="1" t="str">
        <f t="shared" si="35"/>
        <v>k19_6</v>
      </c>
      <c r="K2254" s="1">
        <f>IF(E2254=0,SUMPRODUCT(($A$2:$A$4734=A2254)*($B$2:$B$4734=B2254)*($D$2:$D$4734=D2254)*($E$2:$E$4734=0)),0)</f>
        <v>0</v>
      </c>
      <c r="L2254" s="1" t="str">
        <f>IF(E2254=0,SUMPRODUCT(MIN($K$2:$K$4734+((($A$2:$A$4734&lt;&gt;A2254)+($E$2:$E$4734&lt;&gt;0))&gt;0)*1000000)),"")</f>
        <v/>
      </c>
      <c r="M2254" s="1">
        <f>IF(AND(E2254=0,COUNTIFS($A$2:A2254,A2254,$E$2:E2254,0)=1),L2254,0)</f>
        <v>0</v>
      </c>
    </row>
    <row r="2255" spans="1:13" ht="15" customHeight="1">
      <c r="A2255" s="1">
        <v>20</v>
      </c>
      <c r="B2255" s="1" t="s">
        <v>9</v>
      </c>
      <c r="C2255" s="2" t="s">
        <v>2621</v>
      </c>
      <c r="D2255" s="2" t="s">
        <v>2622</v>
      </c>
      <c r="E2255" s="1">
        <v>0</v>
      </c>
      <c r="F2255" s="2" t="s">
        <v>2623</v>
      </c>
      <c r="H2255" s="1" t="str">
        <f t="shared" si="35"/>
        <v/>
      </c>
      <c r="K2255" s="1">
        <f>IF(E2255=0,SUMPRODUCT(($A$2:$A$4734=A2255)*($B$2:$B$4734=B2255)*($D$2:$D$4734=D2255)*($E$2:$E$4734=0)),0)</f>
        <v>6</v>
      </c>
      <c r="L2255" s="1">
        <f>IF(E2255=0,SUMPRODUCT(MIN($K$2:$K$4734+((($A$2:$A$4734&lt;&gt;A2255)+($E$2:$E$4734&lt;&gt;0))&gt;0)*1000000)),"")</f>
        <v>6</v>
      </c>
      <c r="M2255" s="1">
        <f>IF(AND(E2255=0,COUNTIFS($A$2:A2255,A2255,$E$2:E2255,0)=1),L2255,0)</f>
        <v>6</v>
      </c>
    </row>
    <row r="2256" spans="1:13" ht="15" customHeight="1">
      <c r="A2256" s="1">
        <v>20</v>
      </c>
      <c r="B2256" s="1" t="s">
        <v>9</v>
      </c>
      <c r="C2256" s="2" t="s">
        <v>2621</v>
      </c>
      <c r="D2256" s="2" t="s">
        <v>2622</v>
      </c>
      <c r="E2256" s="1">
        <v>0</v>
      </c>
      <c r="F2256" s="2" t="s">
        <v>2624</v>
      </c>
      <c r="H2256" s="1" t="str">
        <f t="shared" si="35"/>
        <v/>
      </c>
      <c r="K2256" s="1">
        <f>IF(E2256=0,SUMPRODUCT(($A$2:$A$4734=A2256)*($B$2:$B$4734=B2256)*($D$2:$D$4734=D2256)*($E$2:$E$4734=0)),0)</f>
        <v>6</v>
      </c>
      <c r="L2256" s="1">
        <f>IF(E2256=0,SUMPRODUCT(MIN($K$2:$K$4734+((($A$2:$A$4734&lt;&gt;A2256)+($E$2:$E$4734&lt;&gt;0))&gt;0)*1000000)),"")</f>
        <v>6</v>
      </c>
      <c r="M2256" s="1">
        <f>IF(AND(E2256=0,COUNTIFS($A$2:A2256,A2256,$E$2:E2256,0)=1),L2256,0)</f>
        <v>0</v>
      </c>
    </row>
    <row r="2257" spans="1:13" ht="15" customHeight="1">
      <c r="A2257" s="1">
        <v>20</v>
      </c>
      <c r="B2257" s="1" t="s">
        <v>9</v>
      </c>
      <c r="C2257" s="2" t="s">
        <v>2621</v>
      </c>
      <c r="D2257" s="2" t="s">
        <v>2622</v>
      </c>
      <c r="E2257" s="1">
        <v>0</v>
      </c>
      <c r="F2257" s="2" t="s">
        <v>2625</v>
      </c>
      <c r="H2257" s="1" t="str">
        <f t="shared" si="35"/>
        <v/>
      </c>
      <c r="K2257" s="1">
        <f>IF(E2257=0,SUMPRODUCT(($A$2:$A$4734=A2257)*($B$2:$B$4734=B2257)*($D$2:$D$4734=D2257)*($E$2:$E$4734=0)),0)</f>
        <v>6</v>
      </c>
      <c r="L2257" s="1">
        <f>IF(E2257=0,SUMPRODUCT(MIN($K$2:$K$4734+((($A$2:$A$4734&lt;&gt;A2257)+($E$2:$E$4734&lt;&gt;0))&gt;0)*1000000)),"")</f>
        <v>6</v>
      </c>
      <c r="M2257" s="1">
        <f>IF(AND(E2257=0,COUNTIFS($A$2:A2257,A2257,$E$2:E2257,0)=1),L2257,0)</f>
        <v>0</v>
      </c>
    </row>
    <row r="2258" spans="1:13" ht="15" customHeight="1">
      <c r="A2258" s="1">
        <v>20</v>
      </c>
      <c r="B2258" s="1" t="s">
        <v>9</v>
      </c>
      <c r="C2258" s="2" t="s">
        <v>2621</v>
      </c>
      <c r="D2258" s="2" t="s">
        <v>2622</v>
      </c>
      <c r="E2258" s="1">
        <v>0</v>
      </c>
      <c r="F2258" s="2" t="s">
        <v>2626</v>
      </c>
      <c r="H2258" s="1" t="str">
        <f t="shared" si="35"/>
        <v/>
      </c>
      <c r="K2258" s="1">
        <f>IF(E2258=0,SUMPRODUCT(($A$2:$A$4734=A2258)*($B$2:$B$4734=B2258)*($D$2:$D$4734=D2258)*($E$2:$E$4734=0)),0)</f>
        <v>6</v>
      </c>
      <c r="L2258" s="1">
        <f>IF(E2258=0,SUMPRODUCT(MIN($K$2:$K$4734+((($A$2:$A$4734&lt;&gt;A2258)+($E$2:$E$4734&lt;&gt;0))&gt;0)*1000000)),"")</f>
        <v>6</v>
      </c>
      <c r="M2258" s="1">
        <f>IF(AND(E2258=0,COUNTIFS($A$2:A2258,A2258,$E$2:E2258,0)=1),L2258,0)</f>
        <v>0</v>
      </c>
    </row>
    <row r="2259" spans="1:13" ht="15" customHeight="1">
      <c r="A2259" s="1">
        <v>20</v>
      </c>
      <c r="B2259" s="1" t="s">
        <v>9</v>
      </c>
      <c r="C2259" s="2" t="s">
        <v>2621</v>
      </c>
      <c r="D2259" s="2" t="s">
        <v>2622</v>
      </c>
      <c r="E2259" s="1">
        <v>0</v>
      </c>
      <c r="F2259" s="2" t="s">
        <v>2627</v>
      </c>
      <c r="H2259" s="1" t="str">
        <f t="shared" si="35"/>
        <v/>
      </c>
      <c r="K2259" s="1">
        <f>IF(E2259=0,SUMPRODUCT(($A$2:$A$4734=A2259)*($B$2:$B$4734=B2259)*($D$2:$D$4734=D2259)*($E$2:$E$4734=0)),0)</f>
        <v>6</v>
      </c>
      <c r="L2259" s="1">
        <f>IF(E2259=0,SUMPRODUCT(MIN($K$2:$K$4734+((($A$2:$A$4734&lt;&gt;A2259)+($E$2:$E$4734&lt;&gt;0))&gt;0)*1000000)),"")</f>
        <v>6</v>
      </c>
      <c r="M2259" s="1">
        <f>IF(AND(E2259=0,COUNTIFS($A$2:A2259,A2259,$E$2:E2259,0)=1),L2259,0)</f>
        <v>0</v>
      </c>
    </row>
    <row r="2260" spans="1:13" ht="15" customHeight="1">
      <c r="A2260" s="1">
        <v>20</v>
      </c>
      <c r="B2260" s="1" t="s">
        <v>9</v>
      </c>
      <c r="C2260" s="2" t="s">
        <v>2621</v>
      </c>
      <c r="D2260" s="2" t="s">
        <v>2622</v>
      </c>
      <c r="E2260" s="1">
        <v>0</v>
      </c>
      <c r="F2260" s="2" t="s">
        <v>2628</v>
      </c>
      <c r="H2260" s="1" t="str">
        <f t="shared" si="35"/>
        <v/>
      </c>
      <c r="K2260" s="1">
        <f>IF(E2260=0,SUMPRODUCT(($A$2:$A$4734=A2260)*($B$2:$B$4734=B2260)*($D$2:$D$4734=D2260)*($E$2:$E$4734=0)),0)</f>
        <v>6</v>
      </c>
      <c r="L2260" s="1">
        <f>IF(E2260=0,SUMPRODUCT(MIN($K$2:$K$4734+((($A$2:$A$4734&lt;&gt;A2260)+($E$2:$E$4734&lt;&gt;0))&gt;0)*1000000)),"")</f>
        <v>6</v>
      </c>
      <c r="M2260" s="1">
        <f>IF(AND(E2260=0,COUNTIFS($A$2:A2260,A2260,$E$2:E2260,0)=1),L2260,0)</f>
        <v>0</v>
      </c>
    </row>
    <row r="2261" spans="1:13" ht="15" customHeight="1">
      <c r="A2261" s="1">
        <v>21</v>
      </c>
      <c r="B2261" s="1" t="s">
        <v>9</v>
      </c>
      <c r="C2261" s="1" t="s">
        <v>2629</v>
      </c>
      <c r="D2261" s="2" t="s">
        <v>2630</v>
      </c>
      <c r="E2261" s="1">
        <v>1</v>
      </c>
      <c r="F2261" s="2" t="s">
        <v>2631</v>
      </c>
      <c r="G2261" s="1">
        <v>1</v>
      </c>
      <c r="H2261" s="1" t="str">
        <f t="shared" si="35"/>
        <v>k21_1</v>
      </c>
      <c r="K2261" s="1">
        <f>IF(E2261=0,SUMPRODUCT(($A$2:$A$4734=A2261)*($B$2:$B$4734=B2261)*($D$2:$D$4734=D2261)*($E$2:$E$4734=0)),0)</f>
        <v>0</v>
      </c>
      <c r="L2261" s="1" t="str">
        <f>IF(E2261=0,SUMPRODUCT(MIN($K$2:$K$4734+((($A$2:$A$4734&lt;&gt;A2261)+($E$2:$E$4734&lt;&gt;0))&gt;0)*1000000)),"")</f>
        <v/>
      </c>
      <c r="M2261" s="1">
        <f>IF(AND(E2261=0,COUNTIFS($A$2:A2261,A2261,$E$2:E2261,0)=1),L2261,0)</f>
        <v>0</v>
      </c>
    </row>
    <row r="2262" spans="1:13" ht="15" customHeight="1">
      <c r="A2262" s="1">
        <v>21</v>
      </c>
      <c r="B2262" s="1" t="s">
        <v>9</v>
      </c>
      <c r="C2262" s="1" t="s">
        <v>2629</v>
      </c>
      <c r="D2262" s="2" t="s">
        <v>2630</v>
      </c>
      <c r="E2262" s="1">
        <v>1</v>
      </c>
      <c r="F2262" s="2" t="s">
        <v>2632</v>
      </c>
      <c r="G2262" s="1">
        <v>2</v>
      </c>
      <c r="H2262" s="1" t="str">
        <f t="shared" si="35"/>
        <v>k21_2</v>
      </c>
      <c r="K2262" s="1">
        <f>IF(E2262=0,SUMPRODUCT(($A$2:$A$4734=A2262)*($B$2:$B$4734=B2262)*($D$2:$D$4734=D2262)*($E$2:$E$4734=0)),0)</f>
        <v>0</v>
      </c>
      <c r="L2262" s="1" t="str">
        <f>IF(E2262=0,SUMPRODUCT(MIN($K$2:$K$4734+((($A$2:$A$4734&lt;&gt;A2262)+($E$2:$E$4734&lt;&gt;0))&gt;0)*1000000)),"")</f>
        <v/>
      </c>
      <c r="M2262" s="1">
        <f>IF(AND(E2262=0,COUNTIFS($A$2:A2262,A2262,$E$2:E2262,0)=1),L2262,0)</f>
        <v>0</v>
      </c>
    </row>
    <row r="2263" spans="1:13" ht="15" customHeight="1">
      <c r="A2263" s="1">
        <v>21</v>
      </c>
      <c r="B2263" s="1" t="s">
        <v>9</v>
      </c>
      <c r="C2263" s="1" t="s">
        <v>2629</v>
      </c>
      <c r="D2263" s="2" t="s">
        <v>2630</v>
      </c>
      <c r="E2263" s="1">
        <v>1</v>
      </c>
      <c r="F2263" s="2" t="s">
        <v>2633</v>
      </c>
      <c r="G2263" s="1">
        <v>3</v>
      </c>
      <c r="H2263" s="1" t="str">
        <f t="shared" ref="H2263:H2326" si="36">IF(OR(E2263&lt;&gt;1,G2263=""),"","k"&amp;A2263&amp;"_"&amp;G2263)</f>
        <v>k21_3</v>
      </c>
      <c r="K2263" s="1">
        <f>IF(E2263=0,SUMPRODUCT(($A$2:$A$4734=A2263)*($B$2:$B$4734=B2263)*($D$2:$D$4734=D2263)*($E$2:$E$4734=0)),0)</f>
        <v>0</v>
      </c>
      <c r="L2263" s="1" t="str">
        <f>IF(E2263=0,SUMPRODUCT(MIN($K$2:$K$4734+((($A$2:$A$4734&lt;&gt;A2263)+($E$2:$E$4734&lt;&gt;0))&gt;0)*1000000)),"")</f>
        <v/>
      </c>
      <c r="M2263" s="1">
        <f>IF(AND(E2263=0,COUNTIFS($A$2:A2263,A2263,$E$2:E2263,0)=1),L2263,0)</f>
        <v>0</v>
      </c>
    </row>
    <row r="2264" spans="1:13" ht="15" customHeight="1">
      <c r="A2264" s="1">
        <v>21</v>
      </c>
      <c r="B2264" s="1" t="s">
        <v>9</v>
      </c>
      <c r="C2264" s="1" t="s">
        <v>2629</v>
      </c>
      <c r="D2264" s="2" t="s">
        <v>2630</v>
      </c>
      <c r="E2264" s="1">
        <v>1</v>
      </c>
      <c r="F2264" s="2" t="s">
        <v>2634</v>
      </c>
      <c r="G2264" s="1">
        <v>4</v>
      </c>
      <c r="H2264" s="1" t="str">
        <f t="shared" si="36"/>
        <v>k21_4</v>
      </c>
      <c r="K2264" s="1">
        <f>IF(E2264=0,SUMPRODUCT(($A$2:$A$4734=A2264)*($B$2:$B$4734=B2264)*($D$2:$D$4734=D2264)*($E$2:$E$4734=0)),0)</f>
        <v>0</v>
      </c>
      <c r="L2264" s="1" t="str">
        <f>IF(E2264=0,SUMPRODUCT(MIN($K$2:$K$4734+((($A$2:$A$4734&lt;&gt;A2264)+($E$2:$E$4734&lt;&gt;0))&gt;0)*1000000)),"")</f>
        <v/>
      </c>
      <c r="M2264" s="1">
        <f>IF(AND(E2264=0,COUNTIFS($A$2:A2264,A2264,$E$2:E2264,0)=1),L2264,0)</f>
        <v>0</v>
      </c>
    </row>
    <row r="2265" spans="1:13" ht="15" customHeight="1">
      <c r="A2265" s="1">
        <v>21</v>
      </c>
      <c r="B2265" s="1" t="s">
        <v>9</v>
      </c>
      <c r="C2265" s="1" t="s">
        <v>2629</v>
      </c>
      <c r="D2265" s="2" t="s">
        <v>2630</v>
      </c>
      <c r="E2265" s="1">
        <v>1</v>
      </c>
      <c r="F2265" s="2" t="s">
        <v>2631</v>
      </c>
      <c r="G2265" s="1">
        <v>5</v>
      </c>
      <c r="H2265" s="1" t="str">
        <f t="shared" si="36"/>
        <v>k21_5</v>
      </c>
      <c r="K2265" s="1">
        <f>IF(E2265=0,SUMPRODUCT(($A$2:$A$4734=A2265)*($B$2:$B$4734=B2265)*($D$2:$D$4734=D2265)*($E$2:$E$4734=0)),0)</f>
        <v>0</v>
      </c>
      <c r="L2265" s="1" t="str">
        <f>IF(E2265=0,SUMPRODUCT(MIN($K$2:$K$4734+((($A$2:$A$4734&lt;&gt;A2265)+($E$2:$E$4734&lt;&gt;0))&gt;0)*1000000)),"")</f>
        <v/>
      </c>
      <c r="M2265" s="1">
        <f>IF(AND(E2265=0,COUNTIFS($A$2:A2265,A2265,$E$2:E2265,0)=1),L2265,0)</f>
        <v>0</v>
      </c>
    </row>
    <row r="2266" spans="1:13" ht="15" customHeight="1">
      <c r="A2266" s="1">
        <v>21</v>
      </c>
      <c r="B2266" s="1" t="s">
        <v>9</v>
      </c>
      <c r="C2266" s="1" t="s">
        <v>2629</v>
      </c>
      <c r="D2266" s="2" t="s">
        <v>2630</v>
      </c>
      <c r="E2266" s="1">
        <v>1</v>
      </c>
      <c r="F2266" s="2" t="s">
        <v>2632</v>
      </c>
      <c r="G2266" s="1">
        <v>6</v>
      </c>
      <c r="H2266" s="1" t="str">
        <f t="shared" si="36"/>
        <v>k21_6</v>
      </c>
      <c r="K2266" s="1">
        <f>IF(E2266=0,SUMPRODUCT(($A$2:$A$4734=A2266)*($B$2:$B$4734=B2266)*($D$2:$D$4734=D2266)*($E$2:$E$4734=0)),0)</f>
        <v>0</v>
      </c>
      <c r="L2266" s="1" t="str">
        <f>IF(E2266=0,SUMPRODUCT(MIN($K$2:$K$4734+((($A$2:$A$4734&lt;&gt;A2266)+($E$2:$E$4734&lt;&gt;0))&gt;0)*1000000)),"")</f>
        <v/>
      </c>
      <c r="M2266" s="1">
        <f>IF(AND(E2266=0,COUNTIFS($A$2:A2266,A2266,$E$2:E2266,0)=1),L2266,0)</f>
        <v>0</v>
      </c>
    </row>
    <row r="2267" spans="1:13" ht="15" customHeight="1">
      <c r="A2267" s="1">
        <v>21</v>
      </c>
      <c r="B2267" s="1" t="s">
        <v>9</v>
      </c>
      <c r="C2267" s="1" t="s">
        <v>2629</v>
      </c>
      <c r="D2267" s="2" t="s">
        <v>2630</v>
      </c>
      <c r="E2267" s="1">
        <v>1</v>
      </c>
      <c r="F2267" s="2" t="s">
        <v>2633</v>
      </c>
      <c r="G2267" s="1">
        <v>7</v>
      </c>
      <c r="H2267" s="1" t="str">
        <f t="shared" si="36"/>
        <v>k21_7</v>
      </c>
      <c r="K2267" s="1">
        <f>IF(E2267=0,SUMPRODUCT(($A$2:$A$4734=A2267)*($B$2:$B$4734=B2267)*($D$2:$D$4734=D2267)*($E$2:$E$4734=0)),0)</f>
        <v>0</v>
      </c>
      <c r="L2267" s="1" t="str">
        <f>IF(E2267=0,SUMPRODUCT(MIN($K$2:$K$4734+((($A$2:$A$4734&lt;&gt;A2267)+($E$2:$E$4734&lt;&gt;0))&gt;0)*1000000)),"")</f>
        <v/>
      </c>
      <c r="M2267" s="1">
        <f>IF(AND(E2267=0,COUNTIFS($A$2:A2267,A2267,$E$2:E2267,0)=1),L2267,0)</f>
        <v>0</v>
      </c>
    </row>
    <row r="2268" spans="1:13" ht="15" customHeight="1">
      <c r="A2268" s="1">
        <v>21</v>
      </c>
      <c r="B2268" s="1" t="s">
        <v>144</v>
      </c>
      <c r="C2268" s="1" t="s">
        <v>2629</v>
      </c>
      <c r="D2268" s="2" t="s">
        <v>2635</v>
      </c>
      <c r="E2268" s="1">
        <v>1</v>
      </c>
      <c r="F2268" s="2" t="s">
        <v>2636</v>
      </c>
      <c r="G2268" s="1">
        <v>1</v>
      </c>
      <c r="H2268" s="1" t="str">
        <f t="shared" si="36"/>
        <v>k21_1</v>
      </c>
      <c r="K2268" s="1">
        <f>IF(E2268=0,SUMPRODUCT(($A$2:$A$4734=A2268)*($B$2:$B$4734=B2268)*($D$2:$D$4734=D2268)*($E$2:$E$4734=0)),0)</f>
        <v>0</v>
      </c>
      <c r="L2268" s="1" t="str">
        <f>IF(E2268=0,SUMPRODUCT(MIN($K$2:$K$4734+((($A$2:$A$4734&lt;&gt;A2268)+($E$2:$E$4734&lt;&gt;0))&gt;0)*1000000)),"")</f>
        <v/>
      </c>
      <c r="M2268" s="1">
        <f>IF(AND(E2268=0,COUNTIFS($A$2:A2268,A2268,$E$2:E2268,0)=1),L2268,0)</f>
        <v>0</v>
      </c>
    </row>
    <row r="2269" spans="1:13" ht="15" customHeight="1">
      <c r="A2269" s="1">
        <v>21</v>
      </c>
      <c r="B2269" s="1" t="s">
        <v>144</v>
      </c>
      <c r="C2269" s="1" t="s">
        <v>2629</v>
      </c>
      <c r="D2269" s="2" t="s">
        <v>2635</v>
      </c>
      <c r="E2269" s="1">
        <v>1</v>
      </c>
      <c r="F2269" s="2" t="s">
        <v>2637</v>
      </c>
      <c r="G2269" s="1">
        <v>2</v>
      </c>
      <c r="H2269" s="1" t="str">
        <f t="shared" si="36"/>
        <v>k21_2</v>
      </c>
      <c r="K2269" s="1">
        <f>IF(E2269=0,SUMPRODUCT(($A$2:$A$4734=A2269)*($B$2:$B$4734=B2269)*($D$2:$D$4734=D2269)*($E$2:$E$4734=0)),0)</f>
        <v>0</v>
      </c>
      <c r="L2269" s="1" t="str">
        <f>IF(E2269=0,SUMPRODUCT(MIN($K$2:$K$4734+((($A$2:$A$4734&lt;&gt;A2269)+($E$2:$E$4734&lt;&gt;0))&gt;0)*1000000)),"")</f>
        <v/>
      </c>
      <c r="M2269" s="1">
        <f>IF(AND(E2269=0,COUNTIFS($A$2:A2269,A2269,$E$2:E2269,0)=1),L2269,0)</f>
        <v>0</v>
      </c>
    </row>
    <row r="2270" spans="1:13" ht="15" customHeight="1">
      <c r="A2270" s="1">
        <v>21</v>
      </c>
      <c r="B2270" s="1" t="s">
        <v>144</v>
      </c>
      <c r="C2270" s="1" t="s">
        <v>2629</v>
      </c>
      <c r="D2270" s="2" t="s">
        <v>2635</v>
      </c>
      <c r="E2270" s="1">
        <v>1</v>
      </c>
      <c r="F2270" s="2" t="s">
        <v>2638</v>
      </c>
      <c r="G2270" s="1">
        <v>3</v>
      </c>
      <c r="H2270" s="1" t="str">
        <f t="shared" si="36"/>
        <v>k21_3</v>
      </c>
      <c r="K2270" s="1">
        <f>IF(E2270=0,SUMPRODUCT(($A$2:$A$4734=A2270)*($B$2:$B$4734=B2270)*($D$2:$D$4734=D2270)*($E$2:$E$4734=0)),0)</f>
        <v>0</v>
      </c>
      <c r="L2270" s="1" t="str">
        <f>IF(E2270=0,SUMPRODUCT(MIN($K$2:$K$4734+((($A$2:$A$4734&lt;&gt;A2270)+($E$2:$E$4734&lt;&gt;0))&gt;0)*1000000)),"")</f>
        <v/>
      </c>
      <c r="M2270" s="1">
        <f>IF(AND(E2270=0,COUNTIFS($A$2:A2270,A2270,$E$2:E2270,0)=1),L2270,0)</f>
        <v>0</v>
      </c>
    </row>
    <row r="2271" spans="1:13" ht="15" customHeight="1">
      <c r="A2271" s="1">
        <v>21</v>
      </c>
      <c r="B2271" s="1" t="s">
        <v>144</v>
      </c>
      <c r="C2271" s="1" t="s">
        <v>2629</v>
      </c>
      <c r="D2271" s="2" t="s">
        <v>2635</v>
      </c>
      <c r="E2271" s="1">
        <v>1</v>
      </c>
      <c r="F2271" s="2" t="s">
        <v>2639</v>
      </c>
      <c r="G2271" s="1">
        <v>4</v>
      </c>
      <c r="H2271" s="1" t="str">
        <f t="shared" si="36"/>
        <v>k21_4</v>
      </c>
      <c r="K2271" s="1">
        <f>IF(E2271=0,SUMPRODUCT(($A$2:$A$4734=A2271)*($B$2:$B$4734=B2271)*($D$2:$D$4734=D2271)*($E$2:$E$4734=0)),0)</f>
        <v>0</v>
      </c>
      <c r="L2271" s="1" t="str">
        <f>IF(E2271=0,SUMPRODUCT(MIN($K$2:$K$4734+((($A$2:$A$4734&lt;&gt;A2271)+($E$2:$E$4734&lt;&gt;0))&gt;0)*1000000)),"")</f>
        <v/>
      </c>
      <c r="M2271" s="1">
        <f>IF(AND(E2271=0,COUNTIFS($A$2:A2271,A2271,$E$2:E2271,0)=1),L2271,0)</f>
        <v>0</v>
      </c>
    </row>
    <row r="2272" spans="1:13" ht="15" customHeight="1">
      <c r="A2272" s="1">
        <v>21</v>
      </c>
      <c r="B2272" s="1" t="s">
        <v>144</v>
      </c>
      <c r="C2272" s="1" t="s">
        <v>2629</v>
      </c>
      <c r="D2272" s="2" t="s">
        <v>2635</v>
      </c>
      <c r="E2272" s="1">
        <v>1</v>
      </c>
      <c r="F2272" s="2" t="s">
        <v>2636</v>
      </c>
      <c r="G2272" s="1">
        <v>5</v>
      </c>
      <c r="H2272" s="1" t="str">
        <f t="shared" si="36"/>
        <v>k21_5</v>
      </c>
      <c r="K2272" s="1">
        <f>IF(E2272=0,SUMPRODUCT(($A$2:$A$4734=A2272)*($B$2:$B$4734=B2272)*($D$2:$D$4734=D2272)*($E$2:$E$4734=0)),0)</f>
        <v>0</v>
      </c>
      <c r="L2272" s="1" t="str">
        <f>IF(E2272=0,SUMPRODUCT(MIN($K$2:$K$4734+((($A$2:$A$4734&lt;&gt;A2272)+($E$2:$E$4734&lt;&gt;0))&gt;0)*1000000)),"")</f>
        <v/>
      </c>
      <c r="M2272" s="1">
        <f>IF(AND(E2272=0,COUNTIFS($A$2:A2272,A2272,$E$2:E2272,0)=1),L2272,0)</f>
        <v>0</v>
      </c>
    </row>
    <row r="2273" spans="1:13" ht="15" customHeight="1">
      <c r="A2273" s="1">
        <v>21</v>
      </c>
      <c r="B2273" s="1" t="s">
        <v>144</v>
      </c>
      <c r="C2273" s="1" t="s">
        <v>2629</v>
      </c>
      <c r="D2273" s="2" t="s">
        <v>2635</v>
      </c>
      <c r="E2273" s="1">
        <v>1</v>
      </c>
      <c r="F2273" s="2" t="s">
        <v>2637</v>
      </c>
      <c r="G2273" s="1">
        <v>6</v>
      </c>
      <c r="H2273" s="1" t="str">
        <f t="shared" si="36"/>
        <v>k21_6</v>
      </c>
      <c r="K2273" s="1">
        <f>IF(E2273=0,SUMPRODUCT(($A$2:$A$4734=A2273)*($B$2:$B$4734=B2273)*($D$2:$D$4734=D2273)*($E$2:$E$4734=0)),0)</f>
        <v>0</v>
      </c>
      <c r="L2273" s="1" t="str">
        <f>IF(E2273=0,SUMPRODUCT(MIN($K$2:$K$4734+((($A$2:$A$4734&lt;&gt;A2273)+($E$2:$E$4734&lt;&gt;0))&gt;0)*1000000)),"")</f>
        <v/>
      </c>
      <c r="M2273" s="1">
        <f>IF(AND(E2273=0,COUNTIFS($A$2:A2273,A2273,$E$2:E2273,0)=1),L2273,0)</f>
        <v>0</v>
      </c>
    </row>
    <row r="2274" spans="1:13" ht="15" customHeight="1">
      <c r="A2274" s="1">
        <v>21</v>
      </c>
      <c r="B2274" s="1" t="s">
        <v>144</v>
      </c>
      <c r="C2274" s="1" t="s">
        <v>2629</v>
      </c>
      <c r="D2274" s="2" t="s">
        <v>2635</v>
      </c>
      <c r="E2274" s="1">
        <v>1</v>
      </c>
      <c r="F2274" s="2" t="s">
        <v>2638</v>
      </c>
      <c r="G2274" s="1">
        <v>7</v>
      </c>
      <c r="H2274" s="1" t="str">
        <f t="shared" si="36"/>
        <v>k21_7</v>
      </c>
      <c r="K2274" s="1">
        <f>IF(E2274=0,SUMPRODUCT(($A$2:$A$4734=A2274)*($B$2:$B$4734=B2274)*($D$2:$D$4734=D2274)*($E$2:$E$4734=0)),0)</f>
        <v>0</v>
      </c>
      <c r="L2274" s="1" t="str">
        <f>IF(E2274=0,SUMPRODUCT(MIN($K$2:$K$4734+((($A$2:$A$4734&lt;&gt;A2274)+($E$2:$E$4734&lt;&gt;0))&gt;0)*1000000)),"")</f>
        <v/>
      </c>
      <c r="M2274" s="1">
        <f>IF(AND(E2274=0,COUNTIFS($A$2:A2274,A2274,$E$2:E2274,0)=1),L2274,0)</f>
        <v>0</v>
      </c>
    </row>
    <row r="2275" spans="1:13" ht="15" customHeight="1">
      <c r="A2275" s="1">
        <v>21</v>
      </c>
      <c r="B2275" s="1" t="s">
        <v>16</v>
      </c>
      <c r="C2275" s="1" t="s">
        <v>2629</v>
      </c>
      <c r="D2275" s="2" t="s">
        <v>2640</v>
      </c>
      <c r="E2275" s="1">
        <v>1</v>
      </c>
      <c r="F2275" s="2" t="s">
        <v>2641</v>
      </c>
      <c r="G2275" s="1">
        <v>1</v>
      </c>
      <c r="H2275" s="1" t="str">
        <f t="shared" si="36"/>
        <v>k21_1</v>
      </c>
      <c r="K2275" s="1">
        <f>IF(E2275=0,SUMPRODUCT(($A$2:$A$4734=A2275)*($B$2:$B$4734=B2275)*($D$2:$D$4734=D2275)*($E$2:$E$4734=0)),0)</f>
        <v>0</v>
      </c>
      <c r="L2275" s="1" t="str">
        <f>IF(E2275=0,SUMPRODUCT(MIN($K$2:$K$4734+((($A$2:$A$4734&lt;&gt;A2275)+($E$2:$E$4734&lt;&gt;0))&gt;0)*1000000)),"")</f>
        <v/>
      </c>
      <c r="M2275" s="1">
        <f>IF(AND(E2275=0,COUNTIFS($A$2:A2275,A2275,$E$2:E2275,0)=1),L2275,0)</f>
        <v>0</v>
      </c>
    </row>
    <row r="2276" spans="1:13" ht="15" customHeight="1">
      <c r="A2276" s="1">
        <v>21</v>
      </c>
      <c r="B2276" s="1" t="s">
        <v>16</v>
      </c>
      <c r="C2276" s="1" t="s">
        <v>2629</v>
      </c>
      <c r="D2276" s="2" t="s">
        <v>2640</v>
      </c>
      <c r="E2276" s="1">
        <v>1</v>
      </c>
      <c r="F2276" s="2" t="s">
        <v>2642</v>
      </c>
      <c r="G2276" s="1">
        <v>2</v>
      </c>
      <c r="H2276" s="1" t="str">
        <f t="shared" si="36"/>
        <v>k21_2</v>
      </c>
      <c r="K2276" s="1">
        <f>IF(E2276=0,SUMPRODUCT(($A$2:$A$4734=A2276)*($B$2:$B$4734=B2276)*($D$2:$D$4734=D2276)*($E$2:$E$4734=0)),0)</f>
        <v>0</v>
      </c>
      <c r="L2276" s="1" t="str">
        <f>IF(E2276=0,SUMPRODUCT(MIN($K$2:$K$4734+((($A$2:$A$4734&lt;&gt;A2276)+($E$2:$E$4734&lt;&gt;0))&gt;0)*1000000)),"")</f>
        <v/>
      </c>
      <c r="M2276" s="1">
        <f>IF(AND(E2276=0,COUNTIFS($A$2:A2276,A2276,$E$2:E2276,0)=1),L2276,0)</f>
        <v>0</v>
      </c>
    </row>
    <row r="2277" spans="1:13" ht="15" customHeight="1">
      <c r="A2277" s="1">
        <v>21</v>
      </c>
      <c r="B2277" s="1" t="s">
        <v>16</v>
      </c>
      <c r="C2277" s="1" t="s">
        <v>2629</v>
      </c>
      <c r="D2277" s="2" t="s">
        <v>2640</v>
      </c>
      <c r="E2277" s="1">
        <v>1</v>
      </c>
      <c r="F2277" s="2" t="s">
        <v>2643</v>
      </c>
      <c r="G2277" s="1">
        <v>3</v>
      </c>
      <c r="H2277" s="1" t="str">
        <f t="shared" si="36"/>
        <v>k21_3</v>
      </c>
      <c r="K2277" s="1">
        <f>IF(E2277=0,SUMPRODUCT(($A$2:$A$4734=A2277)*($B$2:$B$4734=B2277)*($D$2:$D$4734=D2277)*($E$2:$E$4734=0)),0)</f>
        <v>0</v>
      </c>
      <c r="L2277" s="1" t="str">
        <f>IF(E2277=0,SUMPRODUCT(MIN($K$2:$K$4734+((($A$2:$A$4734&lt;&gt;A2277)+($E$2:$E$4734&lt;&gt;0))&gt;0)*1000000)),"")</f>
        <v/>
      </c>
      <c r="M2277" s="1">
        <f>IF(AND(E2277=0,COUNTIFS($A$2:A2277,A2277,$E$2:E2277,0)=1),L2277,0)</f>
        <v>0</v>
      </c>
    </row>
    <row r="2278" spans="1:13" ht="15" customHeight="1">
      <c r="A2278" s="1">
        <v>21</v>
      </c>
      <c r="B2278" s="1" t="s">
        <v>16</v>
      </c>
      <c r="C2278" s="1" t="s">
        <v>2629</v>
      </c>
      <c r="D2278" s="2" t="s">
        <v>2640</v>
      </c>
      <c r="E2278" s="1">
        <v>1</v>
      </c>
      <c r="F2278" s="2" t="s">
        <v>2644</v>
      </c>
      <c r="G2278" s="1">
        <v>4</v>
      </c>
      <c r="H2278" s="1" t="str">
        <f t="shared" si="36"/>
        <v>k21_4</v>
      </c>
      <c r="K2278" s="1">
        <f>IF(E2278=0,SUMPRODUCT(($A$2:$A$4734=A2278)*($B$2:$B$4734=B2278)*($D$2:$D$4734=D2278)*($E$2:$E$4734=0)),0)</f>
        <v>0</v>
      </c>
      <c r="L2278" s="1" t="str">
        <f>IF(E2278=0,SUMPRODUCT(MIN($K$2:$K$4734+((($A$2:$A$4734&lt;&gt;A2278)+($E$2:$E$4734&lt;&gt;0))&gt;0)*1000000)),"")</f>
        <v/>
      </c>
      <c r="M2278" s="1">
        <f>IF(AND(E2278=0,COUNTIFS($A$2:A2278,A2278,$E$2:E2278,0)=1),L2278,0)</f>
        <v>0</v>
      </c>
    </row>
    <row r="2279" spans="1:13" ht="15" customHeight="1">
      <c r="A2279" s="1">
        <v>21</v>
      </c>
      <c r="B2279" s="1" t="s">
        <v>16</v>
      </c>
      <c r="C2279" s="1" t="s">
        <v>2629</v>
      </c>
      <c r="D2279" s="2" t="s">
        <v>2640</v>
      </c>
      <c r="E2279" s="1">
        <v>1</v>
      </c>
      <c r="F2279" s="2" t="s">
        <v>2645</v>
      </c>
      <c r="G2279" s="1">
        <v>5</v>
      </c>
      <c r="H2279" s="1" t="str">
        <f t="shared" si="36"/>
        <v>k21_5</v>
      </c>
      <c r="K2279" s="1">
        <f>IF(E2279=0,SUMPRODUCT(($A$2:$A$4734=A2279)*($B$2:$B$4734=B2279)*($D$2:$D$4734=D2279)*($E$2:$E$4734=0)),0)</f>
        <v>0</v>
      </c>
      <c r="L2279" s="1" t="str">
        <f>IF(E2279=0,SUMPRODUCT(MIN($K$2:$K$4734+((($A$2:$A$4734&lt;&gt;A2279)+($E$2:$E$4734&lt;&gt;0))&gt;0)*1000000)),"")</f>
        <v/>
      </c>
      <c r="M2279" s="1">
        <f>IF(AND(E2279=0,COUNTIFS($A$2:A2279,A2279,$E$2:E2279,0)=1),L2279,0)</f>
        <v>0</v>
      </c>
    </row>
    <row r="2280" spans="1:13" ht="15" customHeight="1">
      <c r="A2280" s="1">
        <v>21</v>
      </c>
      <c r="B2280" s="1" t="s">
        <v>16</v>
      </c>
      <c r="C2280" s="1" t="s">
        <v>2629</v>
      </c>
      <c r="D2280" s="2" t="s">
        <v>2640</v>
      </c>
      <c r="E2280" s="1">
        <v>1</v>
      </c>
      <c r="F2280" s="2" t="s">
        <v>2645</v>
      </c>
      <c r="G2280" s="1">
        <v>6</v>
      </c>
      <c r="H2280" s="1" t="str">
        <f t="shared" si="36"/>
        <v>k21_6</v>
      </c>
      <c r="K2280" s="1">
        <f>IF(E2280=0,SUMPRODUCT(($A$2:$A$4734=A2280)*($B$2:$B$4734=B2280)*($D$2:$D$4734=D2280)*($E$2:$E$4734=0)),0)</f>
        <v>0</v>
      </c>
      <c r="L2280" s="1" t="str">
        <f>IF(E2280=0,SUMPRODUCT(MIN($K$2:$K$4734+((($A$2:$A$4734&lt;&gt;A2280)+($E$2:$E$4734&lt;&gt;0))&gt;0)*1000000)),"")</f>
        <v/>
      </c>
      <c r="M2280" s="1">
        <f>IF(AND(E2280=0,COUNTIFS($A$2:A2280,A2280,$E$2:E2280,0)=1),L2280,0)</f>
        <v>0</v>
      </c>
    </row>
    <row r="2281" spans="1:13" ht="15" customHeight="1">
      <c r="A2281" s="1">
        <v>21</v>
      </c>
      <c r="B2281" s="1" t="s">
        <v>16</v>
      </c>
      <c r="C2281" s="1" t="s">
        <v>2629</v>
      </c>
      <c r="D2281" s="2" t="s">
        <v>2640</v>
      </c>
      <c r="E2281" s="1">
        <v>1</v>
      </c>
      <c r="F2281" s="2" t="s">
        <v>2646</v>
      </c>
      <c r="G2281" s="1">
        <v>7</v>
      </c>
      <c r="H2281" s="1" t="str">
        <f t="shared" si="36"/>
        <v>k21_7</v>
      </c>
      <c r="K2281" s="1">
        <f>IF(E2281=0,SUMPRODUCT(($A$2:$A$4734=A2281)*($B$2:$B$4734=B2281)*($D$2:$D$4734=D2281)*($E$2:$E$4734=0)),0)</f>
        <v>0</v>
      </c>
      <c r="L2281" s="1" t="str">
        <f>IF(E2281=0,SUMPRODUCT(MIN($K$2:$K$4734+((($A$2:$A$4734&lt;&gt;A2281)+($E$2:$E$4734&lt;&gt;0))&gt;0)*1000000)),"")</f>
        <v/>
      </c>
      <c r="M2281" s="1">
        <f>IF(AND(E2281=0,COUNTIFS($A$2:A2281,A2281,$E$2:E2281,0)=1),L2281,0)</f>
        <v>0</v>
      </c>
    </row>
    <row r="2282" spans="1:13" ht="15" customHeight="1">
      <c r="A2282" s="1">
        <v>22</v>
      </c>
      <c r="B2282" s="1" t="s">
        <v>9</v>
      </c>
      <c r="C2282" s="2" t="s">
        <v>2647</v>
      </c>
      <c r="D2282" s="2" t="s">
        <v>2648</v>
      </c>
      <c r="E2282" s="1">
        <v>1</v>
      </c>
      <c r="F2282" s="2" t="s">
        <v>2649</v>
      </c>
      <c r="G2282" s="1">
        <v>1</v>
      </c>
      <c r="H2282" s="1" t="str">
        <f t="shared" si="36"/>
        <v>k22_1</v>
      </c>
      <c r="K2282" s="1">
        <f>IF(E2282=0,SUMPRODUCT(($A$2:$A$4734=A2282)*($B$2:$B$4734=B2282)*($D$2:$D$4734=D2282)*($E$2:$E$4734=0)),0)</f>
        <v>0</v>
      </c>
      <c r="L2282" s="1" t="str">
        <f>IF(E2282=0,SUMPRODUCT(MIN($K$2:$K$4734+((($A$2:$A$4734&lt;&gt;A2282)+($E$2:$E$4734&lt;&gt;0))&gt;0)*1000000)),"")</f>
        <v/>
      </c>
      <c r="M2282" s="1">
        <f>IF(AND(E2282=0,COUNTIFS($A$2:A2282,A2282,$E$2:E2282,0)=1),L2282,0)</f>
        <v>0</v>
      </c>
    </row>
    <row r="2283" spans="1:13" ht="15" customHeight="1">
      <c r="A2283" s="1">
        <v>22</v>
      </c>
      <c r="B2283" s="1" t="s">
        <v>9</v>
      </c>
      <c r="C2283" s="2" t="s">
        <v>2647</v>
      </c>
      <c r="D2283" s="2" t="s">
        <v>2648</v>
      </c>
      <c r="E2283" s="1">
        <v>1</v>
      </c>
      <c r="F2283" s="2" t="s">
        <v>2650</v>
      </c>
      <c r="G2283" s="1">
        <v>2</v>
      </c>
      <c r="H2283" s="1" t="str">
        <f t="shared" si="36"/>
        <v>k22_2</v>
      </c>
      <c r="K2283" s="1">
        <f>IF(E2283=0,SUMPRODUCT(($A$2:$A$4734=A2283)*($B$2:$B$4734=B2283)*($D$2:$D$4734=D2283)*($E$2:$E$4734=0)),0)</f>
        <v>0</v>
      </c>
      <c r="L2283" s="1" t="str">
        <f>IF(E2283=0,SUMPRODUCT(MIN($K$2:$K$4734+((($A$2:$A$4734&lt;&gt;A2283)+($E$2:$E$4734&lt;&gt;0))&gt;0)*1000000)),"")</f>
        <v/>
      </c>
      <c r="M2283" s="1">
        <f>IF(AND(E2283=0,COUNTIFS($A$2:A2283,A2283,$E$2:E2283,0)=1),L2283,0)</f>
        <v>0</v>
      </c>
    </row>
    <row r="2284" spans="1:13" ht="15" customHeight="1">
      <c r="A2284" s="1">
        <v>22</v>
      </c>
      <c r="B2284" s="1" t="s">
        <v>9</v>
      </c>
      <c r="C2284" s="2" t="s">
        <v>2647</v>
      </c>
      <c r="D2284" s="2" t="s">
        <v>2648</v>
      </c>
      <c r="E2284" s="1">
        <v>1</v>
      </c>
      <c r="F2284" s="2" t="s">
        <v>2651</v>
      </c>
      <c r="G2284" s="1">
        <v>3</v>
      </c>
      <c r="H2284" s="1" t="str">
        <f t="shared" si="36"/>
        <v>k22_3</v>
      </c>
      <c r="K2284" s="1">
        <f>IF(E2284=0,SUMPRODUCT(($A$2:$A$4734=A2284)*($B$2:$B$4734=B2284)*($D$2:$D$4734=D2284)*($E$2:$E$4734=0)),0)</f>
        <v>0</v>
      </c>
      <c r="L2284" s="1" t="str">
        <f>IF(E2284=0,SUMPRODUCT(MIN($K$2:$K$4734+((($A$2:$A$4734&lt;&gt;A2284)+($E$2:$E$4734&lt;&gt;0))&gt;0)*1000000)),"")</f>
        <v/>
      </c>
      <c r="M2284" s="1">
        <f>IF(AND(E2284=0,COUNTIFS($A$2:A2284,A2284,$E$2:E2284,0)=1),L2284,0)</f>
        <v>0</v>
      </c>
    </row>
    <row r="2285" spans="1:13" ht="15" customHeight="1">
      <c r="A2285" s="1">
        <v>22</v>
      </c>
      <c r="B2285" s="1" t="s">
        <v>9</v>
      </c>
      <c r="C2285" s="2" t="s">
        <v>2647</v>
      </c>
      <c r="D2285" s="2" t="s">
        <v>2648</v>
      </c>
      <c r="E2285" s="1">
        <v>1</v>
      </c>
      <c r="F2285" s="2" t="s">
        <v>2652</v>
      </c>
      <c r="G2285" s="1">
        <v>4</v>
      </c>
      <c r="H2285" s="1" t="str">
        <f t="shared" si="36"/>
        <v>k22_4</v>
      </c>
      <c r="K2285" s="1">
        <f>IF(E2285=0,SUMPRODUCT(($A$2:$A$4734=A2285)*($B$2:$B$4734=B2285)*($D$2:$D$4734=D2285)*($E$2:$E$4734=0)),0)</f>
        <v>0</v>
      </c>
      <c r="L2285" s="1" t="str">
        <f>IF(E2285=0,SUMPRODUCT(MIN($K$2:$K$4734+((($A$2:$A$4734&lt;&gt;A2285)+($E$2:$E$4734&lt;&gt;0))&gt;0)*1000000)),"")</f>
        <v/>
      </c>
      <c r="M2285" s="1">
        <f>IF(AND(E2285=0,COUNTIFS($A$2:A2285,A2285,$E$2:E2285,0)=1),L2285,0)</f>
        <v>0</v>
      </c>
    </row>
    <row r="2286" spans="1:13" ht="15" customHeight="1">
      <c r="A2286" s="1">
        <v>22</v>
      </c>
      <c r="B2286" s="1" t="s">
        <v>9</v>
      </c>
      <c r="C2286" s="2" t="s">
        <v>2647</v>
      </c>
      <c r="D2286" s="2" t="s">
        <v>2648</v>
      </c>
      <c r="E2286" s="1">
        <v>1</v>
      </c>
      <c r="F2286" s="2" t="s">
        <v>2653</v>
      </c>
      <c r="G2286" s="1">
        <v>5</v>
      </c>
      <c r="H2286" s="1" t="str">
        <f t="shared" si="36"/>
        <v>k22_5</v>
      </c>
      <c r="K2286" s="1">
        <f>IF(E2286=0,SUMPRODUCT(($A$2:$A$4734=A2286)*($B$2:$B$4734=B2286)*($D$2:$D$4734=D2286)*($E$2:$E$4734=0)),0)</f>
        <v>0</v>
      </c>
      <c r="L2286" s="1" t="str">
        <f>IF(E2286=0,SUMPRODUCT(MIN($K$2:$K$4734+((($A$2:$A$4734&lt;&gt;A2286)+($E$2:$E$4734&lt;&gt;0))&gt;0)*1000000)),"")</f>
        <v/>
      </c>
      <c r="M2286" s="1">
        <f>IF(AND(E2286=0,COUNTIFS($A$2:A2286,A2286,$E$2:E2286,0)=1),L2286,0)</f>
        <v>0</v>
      </c>
    </row>
    <row r="2287" spans="1:13" ht="15" customHeight="1">
      <c r="A2287" s="1">
        <v>22</v>
      </c>
      <c r="B2287" s="1" t="s">
        <v>9</v>
      </c>
      <c r="C2287" s="2" t="s">
        <v>2647</v>
      </c>
      <c r="D2287" s="2" t="s">
        <v>2648</v>
      </c>
      <c r="E2287" s="1">
        <v>1</v>
      </c>
      <c r="F2287" s="2" t="s">
        <v>2654</v>
      </c>
      <c r="G2287" s="1">
        <v>6</v>
      </c>
      <c r="H2287" s="1" t="str">
        <f t="shared" si="36"/>
        <v>k22_6</v>
      </c>
      <c r="K2287" s="1">
        <f>IF(E2287=0,SUMPRODUCT(($A$2:$A$4734=A2287)*($B$2:$B$4734=B2287)*($D$2:$D$4734=D2287)*($E$2:$E$4734=0)),0)</f>
        <v>0</v>
      </c>
      <c r="L2287" s="1" t="str">
        <f>IF(E2287=0,SUMPRODUCT(MIN($K$2:$K$4734+((($A$2:$A$4734&lt;&gt;A2287)+($E$2:$E$4734&lt;&gt;0))&gt;0)*1000000)),"")</f>
        <v/>
      </c>
      <c r="M2287" s="1">
        <f>IF(AND(E2287=0,COUNTIFS($A$2:A2287,A2287,$E$2:E2287,0)=1),L2287,0)</f>
        <v>0</v>
      </c>
    </row>
    <row r="2288" spans="1:13" ht="15" customHeight="1">
      <c r="A2288" s="1">
        <v>23</v>
      </c>
      <c r="B2288" s="1" t="s">
        <v>9</v>
      </c>
      <c r="C2288" s="1" t="s">
        <v>2655</v>
      </c>
      <c r="D2288" s="2" t="s">
        <v>2656</v>
      </c>
      <c r="E2288" s="1">
        <v>1</v>
      </c>
      <c r="F2288" s="2" t="s">
        <v>2657</v>
      </c>
      <c r="G2288" s="1">
        <v>1</v>
      </c>
      <c r="H2288" s="1" t="str">
        <f t="shared" si="36"/>
        <v>k23_1</v>
      </c>
      <c r="K2288" s="1">
        <f>IF(E2288=0,SUMPRODUCT(($A$2:$A$4734=A2288)*($B$2:$B$4734=B2288)*($D$2:$D$4734=D2288)*($E$2:$E$4734=0)),0)</f>
        <v>0</v>
      </c>
      <c r="L2288" s="1" t="str">
        <f>IF(E2288=0,SUMPRODUCT(MIN($K$2:$K$4734+((($A$2:$A$4734&lt;&gt;A2288)+($E$2:$E$4734&lt;&gt;0))&gt;0)*1000000)),"")</f>
        <v/>
      </c>
      <c r="M2288" s="1">
        <f>IF(AND(E2288=0,COUNTIFS($A$2:A2288,A2288,$E$2:E2288,0)=1),L2288,0)</f>
        <v>0</v>
      </c>
    </row>
    <row r="2289" spans="1:13" ht="15" customHeight="1">
      <c r="A2289" s="1">
        <v>23</v>
      </c>
      <c r="B2289" s="1" t="s">
        <v>9</v>
      </c>
      <c r="C2289" s="1" t="s">
        <v>2655</v>
      </c>
      <c r="D2289" s="2" t="s">
        <v>2656</v>
      </c>
      <c r="E2289" s="1">
        <v>1</v>
      </c>
      <c r="F2289" s="2" t="s">
        <v>2658</v>
      </c>
      <c r="G2289" s="1">
        <v>2</v>
      </c>
      <c r="H2289" s="1" t="str">
        <f t="shared" si="36"/>
        <v>k23_2</v>
      </c>
      <c r="K2289" s="1">
        <f>IF(E2289=0,SUMPRODUCT(($A$2:$A$4734=A2289)*($B$2:$B$4734=B2289)*($D$2:$D$4734=D2289)*($E$2:$E$4734=0)),0)</f>
        <v>0</v>
      </c>
      <c r="L2289" s="1" t="str">
        <f>IF(E2289=0,SUMPRODUCT(MIN($K$2:$K$4734+((($A$2:$A$4734&lt;&gt;A2289)+($E$2:$E$4734&lt;&gt;0))&gt;0)*1000000)),"")</f>
        <v/>
      </c>
      <c r="M2289" s="1">
        <f>IF(AND(E2289=0,COUNTIFS($A$2:A2289,A2289,$E$2:E2289,0)=1),L2289,0)</f>
        <v>0</v>
      </c>
    </row>
    <row r="2290" spans="1:13" ht="15" customHeight="1">
      <c r="A2290" s="1">
        <v>23</v>
      </c>
      <c r="B2290" s="1" t="s">
        <v>9</v>
      </c>
      <c r="C2290" s="1" t="s">
        <v>2655</v>
      </c>
      <c r="D2290" s="2" t="s">
        <v>2656</v>
      </c>
      <c r="E2290" s="1">
        <v>1</v>
      </c>
      <c r="F2290" s="2" t="s">
        <v>2659</v>
      </c>
      <c r="G2290" s="1">
        <v>3</v>
      </c>
      <c r="H2290" s="1" t="str">
        <f t="shared" si="36"/>
        <v>k23_3</v>
      </c>
      <c r="K2290" s="1">
        <f>IF(E2290=0,SUMPRODUCT(($A$2:$A$4734=A2290)*($B$2:$B$4734=B2290)*($D$2:$D$4734=D2290)*($E$2:$E$4734=0)),0)</f>
        <v>0</v>
      </c>
      <c r="L2290" s="1" t="str">
        <f>IF(E2290=0,SUMPRODUCT(MIN($K$2:$K$4734+((($A$2:$A$4734&lt;&gt;A2290)+($E$2:$E$4734&lt;&gt;0))&gt;0)*1000000)),"")</f>
        <v/>
      </c>
      <c r="M2290" s="1">
        <f>IF(AND(E2290=0,COUNTIFS($A$2:A2290,A2290,$E$2:E2290,0)=1),L2290,0)</f>
        <v>0</v>
      </c>
    </row>
    <row r="2291" spans="1:13" ht="15" customHeight="1">
      <c r="A2291" s="1">
        <v>23</v>
      </c>
      <c r="B2291" s="1" t="s">
        <v>9</v>
      </c>
      <c r="C2291" s="1" t="s">
        <v>2655</v>
      </c>
      <c r="D2291" s="2" t="s">
        <v>2656</v>
      </c>
      <c r="E2291" s="1">
        <v>1</v>
      </c>
      <c r="F2291" s="2" t="s">
        <v>2660</v>
      </c>
      <c r="G2291" s="1">
        <v>4</v>
      </c>
      <c r="H2291" s="1" t="str">
        <f t="shared" si="36"/>
        <v>k23_4</v>
      </c>
      <c r="K2291" s="1">
        <f>IF(E2291=0,SUMPRODUCT(($A$2:$A$4734=A2291)*($B$2:$B$4734=B2291)*($D$2:$D$4734=D2291)*($E$2:$E$4734=0)),0)</f>
        <v>0</v>
      </c>
      <c r="L2291" s="1" t="str">
        <f>IF(E2291=0,SUMPRODUCT(MIN($K$2:$K$4734+((($A$2:$A$4734&lt;&gt;A2291)+($E$2:$E$4734&lt;&gt;0))&gt;0)*1000000)),"")</f>
        <v/>
      </c>
      <c r="M2291" s="1">
        <f>IF(AND(E2291=0,COUNTIFS($A$2:A2291,A2291,$E$2:E2291,0)=1),L2291,0)</f>
        <v>0</v>
      </c>
    </row>
    <row r="2292" spans="1:13" ht="15" customHeight="1">
      <c r="A2292" s="1">
        <v>23</v>
      </c>
      <c r="B2292" s="1" t="s">
        <v>9</v>
      </c>
      <c r="C2292" s="1" t="s">
        <v>2655</v>
      </c>
      <c r="D2292" s="2" t="s">
        <v>2656</v>
      </c>
      <c r="E2292" s="1">
        <v>1</v>
      </c>
      <c r="F2292" s="2" t="s">
        <v>2657</v>
      </c>
      <c r="G2292" s="1">
        <v>5</v>
      </c>
      <c r="H2292" s="1" t="str">
        <f t="shared" si="36"/>
        <v>k23_5</v>
      </c>
      <c r="K2292" s="1">
        <f>IF(E2292=0,SUMPRODUCT(($A$2:$A$4734=A2292)*($B$2:$B$4734=B2292)*($D$2:$D$4734=D2292)*($E$2:$E$4734=0)),0)</f>
        <v>0</v>
      </c>
      <c r="L2292" s="1" t="str">
        <f>IF(E2292=0,SUMPRODUCT(MIN($K$2:$K$4734+((($A$2:$A$4734&lt;&gt;A2292)+($E$2:$E$4734&lt;&gt;0))&gt;0)*1000000)),"")</f>
        <v/>
      </c>
      <c r="M2292" s="1">
        <f>IF(AND(E2292=0,COUNTIFS($A$2:A2292,A2292,$E$2:E2292,0)=1),L2292,0)</f>
        <v>0</v>
      </c>
    </row>
    <row r="2293" spans="1:13" ht="15" customHeight="1">
      <c r="A2293" s="1">
        <v>23</v>
      </c>
      <c r="B2293" s="1" t="s">
        <v>9</v>
      </c>
      <c r="C2293" s="1" t="s">
        <v>2655</v>
      </c>
      <c r="D2293" s="2" t="s">
        <v>2656</v>
      </c>
      <c r="E2293" s="1">
        <v>1</v>
      </c>
      <c r="F2293" s="2" t="s">
        <v>2658</v>
      </c>
      <c r="G2293" s="1">
        <v>6</v>
      </c>
      <c r="H2293" s="1" t="str">
        <f t="shared" si="36"/>
        <v>k23_6</v>
      </c>
      <c r="K2293" s="1">
        <f>IF(E2293=0,SUMPRODUCT(($A$2:$A$4734=A2293)*($B$2:$B$4734=B2293)*($D$2:$D$4734=D2293)*($E$2:$E$4734=0)),0)</f>
        <v>0</v>
      </c>
      <c r="L2293" s="1" t="str">
        <f>IF(E2293=0,SUMPRODUCT(MIN($K$2:$K$4734+((($A$2:$A$4734&lt;&gt;A2293)+($E$2:$E$4734&lt;&gt;0))&gt;0)*1000000)),"")</f>
        <v/>
      </c>
      <c r="M2293" s="1">
        <f>IF(AND(E2293=0,COUNTIFS($A$2:A2293,A2293,$E$2:E2293,0)=1),L2293,0)</f>
        <v>0</v>
      </c>
    </row>
    <row r="2294" spans="1:13" ht="15" customHeight="1">
      <c r="A2294" s="1">
        <v>23</v>
      </c>
      <c r="B2294" s="1" t="s">
        <v>9</v>
      </c>
      <c r="C2294" s="1" t="s">
        <v>2655</v>
      </c>
      <c r="D2294" s="2" t="s">
        <v>2656</v>
      </c>
      <c r="E2294" s="1">
        <v>1</v>
      </c>
      <c r="F2294" s="2" t="s">
        <v>2659</v>
      </c>
      <c r="G2294" s="1">
        <v>7</v>
      </c>
      <c r="H2294" s="1" t="str">
        <f t="shared" si="36"/>
        <v>k23_7</v>
      </c>
      <c r="K2294" s="1">
        <f>IF(E2294=0,SUMPRODUCT(($A$2:$A$4734=A2294)*($B$2:$B$4734=B2294)*($D$2:$D$4734=D2294)*($E$2:$E$4734=0)),0)</f>
        <v>0</v>
      </c>
      <c r="L2294" s="1" t="str">
        <f>IF(E2294=0,SUMPRODUCT(MIN($K$2:$K$4734+((($A$2:$A$4734&lt;&gt;A2294)+($E$2:$E$4734&lt;&gt;0))&gt;0)*1000000)),"")</f>
        <v/>
      </c>
      <c r="M2294" s="1">
        <f>IF(AND(E2294=0,COUNTIFS($A$2:A2294,A2294,$E$2:E2294,0)=1),L2294,0)</f>
        <v>0</v>
      </c>
    </row>
    <row r="2295" spans="1:13" ht="15" customHeight="1">
      <c r="A2295" s="1">
        <v>23</v>
      </c>
      <c r="B2295" s="1" t="s">
        <v>9</v>
      </c>
      <c r="C2295" s="1" t="s">
        <v>2655</v>
      </c>
      <c r="D2295" s="2" t="s">
        <v>2656</v>
      </c>
      <c r="E2295" s="1">
        <v>1</v>
      </c>
      <c r="F2295" s="2" t="s">
        <v>2660</v>
      </c>
      <c r="G2295" s="1">
        <v>8</v>
      </c>
      <c r="H2295" s="1" t="str">
        <f t="shared" si="36"/>
        <v>k23_8</v>
      </c>
      <c r="K2295" s="1">
        <f>IF(E2295=0,SUMPRODUCT(($A$2:$A$4734=A2295)*($B$2:$B$4734=B2295)*($D$2:$D$4734=D2295)*($E$2:$E$4734=0)),0)</f>
        <v>0</v>
      </c>
      <c r="L2295" s="1" t="str">
        <f>IF(E2295=0,SUMPRODUCT(MIN($K$2:$K$4734+((($A$2:$A$4734&lt;&gt;A2295)+($E$2:$E$4734&lt;&gt;0))&gt;0)*1000000)),"")</f>
        <v/>
      </c>
      <c r="M2295" s="1">
        <f>IF(AND(E2295=0,COUNTIFS($A$2:A2295,A2295,$E$2:E2295,0)=1),L2295,0)</f>
        <v>0</v>
      </c>
    </row>
    <row r="2296" spans="1:13" ht="15" customHeight="1">
      <c r="A2296" s="1">
        <v>23</v>
      </c>
      <c r="B2296" s="1" t="s">
        <v>69</v>
      </c>
      <c r="C2296" s="1" t="s">
        <v>2655</v>
      </c>
      <c r="D2296" s="2" t="s">
        <v>2661</v>
      </c>
      <c r="E2296" s="1">
        <v>1</v>
      </c>
      <c r="F2296" s="2" t="s">
        <v>2662</v>
      </c>
      <c r="G2296" s="1">
        <v>1</v>
      </c>
      <c r="H2296" s="1" t="str">
        <f t="shared" si="36"/>
        <v>k23_1</v>
      </c>
      <c r="K2296" s="1">
        <f>IF(E2296=0,SUMPRODUCT(($A$2:$A$4734=A2296)*($B$2:$B$4734=B2296)*($D$2:$D$4734=D2296)*($E$2:$E$4734=0)),0)</f>
        <v>0</v>
      </c>
      <c r="L2296" s="1" t="str">
        <f>IF(E2296=0,SUMPRODUCT(MIN($K$2:$K$4734+((($A$2:$A$4734&lt;&gt;A2296)+($E$2:$E$4734&lt;&gt;0))&gt;0)*1000000)),"")</f>
        <v/>
      </c>
      <c r="M2296" s="1">
        <f>IF(AND(E2296=0,COUNTIFS($A$2:A2296,A2296,$E$2:E2296,0)=1),L2296,0)</f>
        <v>0</v>
      </c>
    </row>
    <row r="2297" spans="1:13" ht="15" customHeight="1">
      <c r="A2297" s="1">
        <v>23</v>
      </c>
      <c r="B2297" s="1" t="s">
        <v>69</v>
      </c>
      <c r="C2297" s="1" t="s">
        <v>2655</v>
      </c>
      <c r="D2297" s="2" t="s">
        <v>2661</v>
      </c>
      <c r="E2297" s="1">
        <v>1</v>
      </c>
      <c r="F2297" s="2" t="s">
        <v>2663</v>
      </c>
      <c r="G2297" s="1">
        <v>2</v>
      </c>
      <c r="H2297" s="1" t="str">
        <f t="shared" si="36"/>
        <v>k23_2</v>
      </c>
      <c r="K2297" s="1">
        <f>IF(E2297=0,SUMPRODUCT(($A$2:$A$4734=A2297)*($B$2:$B$4734=B2297)*($D$2:$D$4734=D2297)*($E$2:$E$4734=0)),0)</f>
        <v>0</v>
      </c>
      <c r="L2297" s="1" t="str">
        <f>IF(E2297=0,SUMPRODUCT(MIN($K$2:$K$4734+((($A$2:$A$4734&lt;&gt;A2297)+($E$2:$E$4734&lt;&gt;0))&gt;0)*1000000)),"")</f>
        <v/>
      </c>
      <c r="M2297" s="1">
        <f>IF(AND(E2297=0,COUNTIFS($A$2:A2297,A2297,$E$2:E2297,0)=1),L2297,0)</f>
        <v>0</v>
      </c>
    </row>
    <row r="2298" spans="1:13" ht="15" customHeight="1">
      <c r="A2298" s="1">
        <v>23</v>
      </c>
      <c r="B2298" s="1" t="s">
        <v>69</v>
      </c>
      <c r="C2298" s="1" t="s">
        <v>2655</v>
      </c>
      <c r="D2298" s="2" t="s">
        <v>2661</v>
      </c>
      <c r="E2298" s="1">
        <v>1</v>
      </c>
      <c r="F2298" s="2" t="s">
        <v>2664</v>
      </c>
      <c r="G2298" s="1">
        <v>4</v>
      </c>
      <c r="H2298" s="1" t="str">
        <f t="shared" si="36"/>
        <v>k23_4</v>
      </c>
      <c r="K2298" s="1">
        <f>IF(E2298=0,SUMPRODUCT(($A$2:$A$4734=A2298)*($B$2:$B$4734=B2298)*($D$2:$D$4734=D2298)*($E$2:$E$4734=0)),0)</f>
        <v>0</v>
      </c>
      <c r="L2298" s="1" t="str">
        <f>IF(E2298=0,SUMPRODUCT(MIN($K$2:$K$4734+((($A$2:$A$4734&lt;&gt;A2298)+($E$2:$E$4734&lt;&gt;0))&gt;0)*1000000)),"")</f>
        <v/>
      </c>
      <c r="M2298" s="1">
        <f>IF(AND(E2298=0,COUNTIFS($A$2:A2298,A2298,$E$2:E2298,0)=1),L2298,0)</f>
        <v>0</v>
      </c>
    </row>
    <row r="2299" spans="1:13" ht="15" customHeight="1">
      <c r="A2299" s="1">
        <v>23</v>
      </c>
      <c r="B2299" s="1" t="s">
        <v>69</v>
      </c>
      <c r="C2299" s="1" t="s">
        <v>2655</v>
      </c>
      <c r="D2299" s="2" t="s">
        <v>2661</v>
      </c>
      <c r="E2299" s="1">
        <v>1</v>
      </c>
      <c r="F2299" s="2" t="s">
        <v>2665</v>
      </c>
      <c r="G2299" s="1">
        <v>3</v>
      </c>
      <c r="H2299" s="1" t="str">
        <f t="shared" si="36"/>
        <v>k23_3</v>
      </c>
      <c r="K2299" s="1">
        <f>IF(E2299=0,SUMPRODUCT(($A$2:$A$4734=A2299)*($B$2:$B$4734=B2299)*($D$2:$D$4734=D2299)*($E$2:$E$4734=0)),0)</f>
        <v>0</v>
      </c>
      <c r="L2299" s="1" t="str">
        <f>IF(E2299=0,SUMPRODUCT(MIN($K$2:$K$4734+((($A$2:$A$4734&lt;&gt;A2299)+($E$2:$E$4734&lt;&gt;0))&gt;0)*1000000)),"")</f>
        <v/>
      </c>
      <c r="M2299" s="1">
        <f>IF(AND(E2299=0,COUNTIFS($A$2:A2299,A2299,$E$2:E2299,0)=1),L2299,0)</f>
        <v>0</v>
      </c>
    </row>
    <row r="2300" spans="1:13" ht="15" customHeight="1">
      <c r="A2300" s="1">
        <v>23</v>
      </c>
      <c r="B2300" s="1" t="s">
        <v>69</v>
      </c>
      <c r="C2300" s="1" t="s">
        <v>2655</v>
      </c>
      <c r="D2300" s="2" t="s">
        <v>2661</v>
      </c>
      <c r="E2300" s="1">
        <v>1</v>
      </c>
      <c r="F2300" s="2" t="s">
        <v>2662</v>
      </c>
      <c r="G2300" s="1">
        <v>5</v>
      </c>
      <c r="H2300" s="1" t="str">
        <f t="shared" si="36"/>
        <v>k23_5</v>
      </c>
      <c r="K2300" s="1">
        <f>IF(E2300=0,SUMPRODUCT(($A$2:$A$4734=A2300)*($B$2:$B$4734=B2300)*($D$2:$D$4734=D2300)*($E$2:$E$4734=0)),0)</f>
        <v>0</v>
      </c>
      <c r="L2300" s="1" t="str">
        <f>IF(E2300=0,SUMPRODUCT(MIN($K$2:$K$4734+((($A$2:$A$4734&lt;&gt;A2300)+($E$2:$E$4734&lt;&gt;0))&gt;0)*1000000)),"")</f>
        <v/>
      </c>
      <c r="M2300" s="1">
        <f>IF(AND(E2300=0,COUNTIFS($A$2:A2300,A2300,$E$2:E2300,0)=1),L2300,0)</f>
        <v>0</v>
      </c>
    </row>
    <row r="2301" spans="1:13" ht="15" customHeight="1">
      <c r="A2301" s="1">
        <v>23</v>
      </c>
      <c r="B2301" s="1" t="s">
        <v>69</v>
      </c>
      <c r="C2301" s="1" t="s">
        <v>2655</v>
      </c>
      <c r="D2301" s="2" t="s">
        <v>2661</v>
      </c>
      <c r="E2301" s="1">
        <v>1</v>
      </c>
      <c r="F2301" s="2" t="s">
        <v>2663</v>
      </c>
      <c r="G2301" s="1">
        <v>6</v>
      </c>
      <c r="H2301" s="1" t="str">
        <f t="shared" si="36"/>
        <v>k23_6</v>
      </c>
      <c r="K2301" s="1">
        <f>IF(E2301=0,SUMPRODUCT(($A$2:$A$4734=A2301)*($B$2:$B$4734=B2301)*($D$2:$D$4734=D2301)*($E$2:$E$4734=0)),0)</f>
        <v>0</v>
      </c>
      <c r="L2301" s="1" t="str">
        <f>IF(E2301=0,SUMPRODUCT(MIN($K$2:$K$4734+((($A$2:$A$4734&lt;&gt;A2301)+($E$2:$E$4734&lt;&gt;0))&gt;0)*1000000)),"")</f>
        <v/>
      </c>
      <c r="M2301" s="1">
        <f>IF(AND(E2301=0,COUNTIFS($A$2:A2301,A2301,$E$2:E2301,0)=1),L2301,0)</f>
        <v>0</v>
      </c>
    </row>
    <row r="2302" spans="1:13" ht="15" customHeight="1">
      <c r="A2302" s="1">
        <v>23</v>
      </c>
      <c r="B2302" s="1" t="s">
        <v>69</v>
      </c>
      <c r="C2302" s="1" t="s">
        <v>2655</v>
      </c>
      <c r="D2302" s="2" t="s">
        <v>2661</v>
      </c>
      <c r="E2302" s="1">
        <v>1</v>
      </c>
      <c r="F2302" s="2" t="s">
        <v>2664</v>
      </c>
      <c r="G2302" s="1">
        <v>7</v>
      </c>
      <c r="H2302" s="1" t="str">
        <f t="shared" si="36"/>
        <v>k23_7</v>
      </c>
      <c r="K2302" s="1">
        <f>IF(E2302=0,SUMPRODUCT(($A$2:$A$4734=A2302)*($B$2:$B$4734=B2302)*($D$2:$D$4734=D2302)*($E$2:$E$4734=0)),0)</f>
        <v>0</v>
      </c>
      <c r="L2302" s="1" t="str">
        <f>IF(E2302=0,SUMPRODUCT(MIN($K$2:$K$4734+((($A$2:$A$4734&lt;&gt;A2302)+($E$2:$E$4734&lt;&gt;0))&gt;0)*1000000)),"")</f>
        <v/>
      </c>
      <c r="M2302" s="1">
        <f>IF(AND(E2302=0,COUNTIFS($A$2:A2302,A2302,$E$2:E2302,0)=1),L2302,0)</f>
        <v>0</v>
      </c>
    </row>
    <row r="2303" spans="1:13" ht="15" customHeight="1">
      <c r="A2303" s="1">
        <v>23</v>
      </c>
      <c r="B2303" s="1" t="s">
        <v>69</v>
      </c>
      <c r="C2303" s="1" t="s">
        <v>2655</v>
      </c>
      <c r="D2303" s="2" t="s">
        <v>2661</v>
      </c>
      <c r="E2303" s="1">
        <v>1</v>
      </c>
      <c r="F2303" s="2" t="s">
        <v>2665</v>
      </c>
      <c r="G2303" s="1">
        <v>8</v>
      </c>
      <c r="H2303" s="1" t="str">
        <f t="shared" si="36"/>
        <v>k23_8</v>
      </c>
      <c r="K2303" s="1">
        <f>IF(E2303=0,SUMPRODUCT(($A$2:$A$4734=A2303)*($B$2:$B$4734=B2303)*($D$2:$D$4734=D2303)*($E$2:$E$4734=0)),0)</f>
        <v>0</v>
      </c>
      <c r="L2303" s="1" t="str">
        <f>IF(E2303=0,SUMPRODUCT(MIN($K$2:$K$4734+((($A$2:$A$4734&lt;&gt;A2303)+($E$2:$E$4734&lt;&gt;0))&gt;0)*1000000)),"")</f>
        <v/>
      </c>
      <c r="M2303" s="1">
        <f>IF(AND(E2303=0,COUNTIFS($A$2:A2303,A2303,$E$2:E2303,0)=1),L2303,0)</f>
        <v>0</v>
      </c>
    </row>
    <row r="2304" spans="1:13" ht="15" customHeight="1">
      <c r="A2304" s="1">
        <v>24</v>
      </c>
      <c r="B2304" s="1" t="s">
        <v>9</v>
      </c>
      <c r="C2304" s="2" t="s">
        <v>2666</v>
      </c>
      <c r="D2304" s="2" t="s">
        <v>2667</v>
      </c>
      <c r="E2304" s="1">
        <v>1</v>
      </c>
      <c r="F2304" s="2" t="s">
        <v>2668</v>
      </c>
      <c r="G2304" s="1">
        <v>1</v>
      </c>
      <c r="H2304" s="1" t="str">
        <f t="shared" si="36"/>
        <v>k24_1</v>
      </c>
      <c r="K2304" s="1">
        <f>IF(E2304=0,SUMPRODUCT(($A$2:$A$4734=A2304)*($B$2:$B$4734=B2304)*($D$2:$D$4734=D2304)*($E$2:$E$4734=0)),0)</f>
        <v>0</v>
      </c>
      <c r="L2304" s="1" t="str">
        <f>IF(E2304=0,SUMPRODUCT(MIN($K$2:$K$4734+((($A$2:$A$4734&lt;&gt;A2304)+($E$2:$E$4734&lt;&gt;0))&gt;0)*1000000)),"")</f>
        <v/>
      </c>
      <c r="M2304" s="1">
        <f>IF(AND(E2304=0,COUNTIFS($A$2:A2304,A2304,$E$2:E2304,0)=1),L2304,0)</f>
        <v>0</v>
      </c>
    </row>
    <row r="2305" spans="1:13" ht="15" customHeight="1">
      <c r="A2305" s="1">
        <v>24</v>
      </c>
      <c r="B2305" s="1" t="s">
        <v>9</v>
      </c>
      <c r="C2305" s="2" t="s">
        <v>2666</v>
      </c>
      <c r="D2305" s="2" t="s">
        <v>2667</v>
      </c>
      <c r="E2305" s="1">
        <v>1</v>
      </c>
      <c r="F2305" s="2" t="s">
        <v>2669</v>
      </c>
      <c r="G2305" s="1">
        <v>2</v>
      </c>
      <c r="H2305" s="1" t="str">
        <f t="shared" si="36"/>
        <v>k24_2</v>
      </c>
      <c r="K2305" s="1">
        <f>IF(E2305=0,SUMPRODUCT(($A$2:$A$4734=A2305)*($B$2:$B$4734=B2305)*($D$2:$D$4734=D2305)*($E$2:$E$4734=0)),0)</f>
        <v>0</v>
      </c>
      <c r="L2305" s="1" t="str">
        <f>IF(E2305=0,SUMPRODUCT(MIN($K$2:$K$4734+((($A$2:$A$4734&lt;&gt;A2305)+($E$2:$E$4734&lt;&gt;0))&gt;0)*1000000)),"")</f>
        <v/>
      </c>
      <c r="M2305" s="1">
        <f>IF(AND(E2305=0,COUNTIFS($A$2:A2305,A2305,$E$2:E2305,0)=1),L2305,0)</f>
        <v>0</v>
      </c>
    </row>
    <row r="2306" spans="1:13" ht="15" customHeight="1">
      <c r="A2306" s="1">
        <v>24</v>
      </c>
      <c r="B2306" s="1" t="s">
        <v>9</v>
      </c>
      <c r="C2306" s="2" t="s">
        <v>2666</v>
      </c>
      <c r="D2306" s="2" t="s">
        <v>2667</v>
      </c>
      <c r="E2306" s="1">
        <v>1</v>
      </c>
      <c r="F2306" s="2" t="s">
        <v>2670</v>
      </c>
      <c r="G2306" s="1">
        <v>3</v>
      </c>
      <c r="H2306" s="1" t="str">
        <f t="shared" si="36"/>
        <v>k24_3</v>
      </c>
      <c r="K2306" s="1">
        <f>IF(E2306=0,SUMPRODUCT(($A$2:$A$4734=A2306)*($B$2:$B$4734=B2306)*($D$2:$D$4734=D2306)*($E$2:$E$4734=0)),0)</f>
        <v>0</v>
      </c>
      <c r="L2306" s="1" t="str">
        <f>IF(E2306=0,SUMPRODUCT(MIN($K$2:$K$4734+((($A$2:$A$4734&lt;&gt;A2306)+($E$2:$E$4734&lt;&gt;0))&gt;0)*1000000)),"")</f>
        <v/>
      </c>
      <c r="M2306" s="1">
        <f>IF(AND(E2306=0,COUNTIFS($A$2:A2306,A2306,$E$2:E2306,0)=1),L2306,0)</f>
        <v>0</v>
      </c>
    </row>
    <row r="2307" spans="1:13" ht="15" customHeight="1">
      <c r="A2307" s="1">
        <v>24</v>
      </c>
      <c r="B2307" s="1" t="s">
        <v>9</v>
      </c>
      <c r="C2307" s="2" t="s">
        <v>2666</v>
      </c>
      <c r="D2307" s="2" t="s">
        <v>2667</v>
      </c>
      <c r="E2307" s="1">
        <v>1</v>
      </c>
      <c r="F2307" s="2" t="s">
        <v>2671</v>
      </c>
      <c r="G2307" s="1">
        <v>4</v>
      </c>
      <c r="H2307" s="1" t="str">
        <f t="shared" si="36"/>
        <v>k24_4</v>
      </c>
      <c r="K2307" s="1">
        <f>IF(E2307=0,SUMPRODUCT(($A$2:$A$4734=A2307)*($B$2:$B$4734=B2307)*($D$2:$D$4734=D2307)*($E$2:$E$4734=0)),0)</f>
        <v>0</v>
      </c>
      <c r="L2307" s="1" t="str">
        <f>IF(E2307=0,SUMPRODUCT(MIN($K$2:$K$4734+((($A$2:$A$4734&lt;&gt;A2307)+($E$2:$E$4734&lt;&gt;0))&gt;0)*1000000)),"")</f>
        <v/>
      </c>
      <c r="M2307" s="1">
        <f>IF(AND(E2307=0,COUNTIFS($A$2:A2307,A2307,$E$2:E2307,0)=1),L2307,0)</f>
        <v>0</v>
      </c>
    </row>
    <row r="2308" spans="1:13" ht="15" customHeight="1">
      <c r="A2308" s="1">
        <v>24</v>
      </c>
      <c r="B2308" s="1" t="s">
        <v>9</v>
      </c>
      <c r="C2308" s="2" t="s">
        <v>2666</v>
      </c>
      <c r="D2308" s="2" t="s">
        <v>2667</v>
      </c>
      <c r="E2308" s="1">
        <v>1</v>
      </c>
      <c r="F2308" s="2" t="s">
        <v>2672</v>
      </c>
      <c r="G2308" s="1">
        <v>5</v>
      </c>
      <c r="H2308" s="1" t="str">
        <f t="shared" si="36"/>
        <v>k24_5</v>
      </c>
      <c r="K2308" s="1">
        <f>IF(E2308=0,SUMPRODUCT(($A$2:$A$4734=A2308)*($B$2:$B$4734=B2308)*($D$2:$D$4734=D2308)*($E$2:$E$4734=0)),0)</f>
        <v>0</v>
      </c>
      <c r="L2308" s="1" t="str">
        <f>IF(E2308=0,SUMPRODUCT(MIN($K$2:$K$4734+((($A$2:$A$4734&lt;&gt;A2308)+($E$2:$E$4734&lt;&gt;0))&gt;0)*1000000)),"")</f>
        <v/>
      </c>
      <c r="M2308" s="1">
        <f>IF(AND(E2308=0,COUNTIFS($A$2:A2308,A2308,$E$2:E2308,0)=1),L2308,0)</f>
        <v>0</v>
      </c>
    </row>
    <row r="2309" spans="1:13" ht="15" customHeight="1">
      <c r="A2309" s="1">
        <v>24</v>
      </c>
      <c r="B2309" s="1" t="s">
        <v>9</v>
      </c>
      <c r="C2309" s="2" t="s">
        <v>2666</v>
      </c>
      <c r="D2309" s="2" t="s">
        <v>2673</v>
      </c>
      <c r="E2309" s="1">
        <v>1</v>
      </c>
      <c r="F2309" s="2" t="s">
        <v>2674</v>
      </c>
      <c r="G2309" s="1">
        <v>1</v>
      </c>
      <c r="H2309" s="1" t="str">
        <f t="shared" si="36"/>
        <v>k24_1</v>
      </c>
      <c r="K2309" s="1">
        <f>IF(E2309=0,SUMPRODUCT(($A$2:$A$4734=A2309)*($B$2:$B$4734=B2309)*($D$2:$D$4734=D2309)*($E$2:$E$4734=0)),0)</f>
        <v>0</v>
      </c>
      <c r="L2309" s="1" t="str">
        <f>IF(E2309=0,SUMPRODUCT(MIN($K$2:$K$4734+((($A$2:$A$4734&lt;&gt;A2309)+($E$2:$E$4734&lt;&gt;0))&gt;0)*1000000)),"")</f>
        <v/>
      </c>
      <c r="M2309" s="1">
        <f>IF(AND(E2309=0,COUNTIFS($A$2:A2309,A2309,$E$2:E2309,0)=1),L2309,0)</f>
        <v>0</v>
      </c>
    </row>
    <row r="2310" spans="1:13" ht="15" customHeight="1">
      <c r="A2310" s="1">
        <v>24</v>
      </c>
      <c r="B2310" s="1" t="s">
        <v>9</v>
      </c>
      <c r="C2310" s="2" t="s">
        <v>2666</v>
      </c>
      <c r="D2310" s="2" t="s">
        <v>2673</v>
      </c>
      <c r="E2310" s="1">
        <v>1</v>
      </c>
      <c r="F2310" s="2" t="s">
        <v>2675</v>
      </c>
      <c r="G2310" s="1">
        <v>2</v>
      </c>
      <c r="H2310" s="1" t="str">
        <f t="shared" si="36"/>
        <v>k24_2</v>
      </c>
      <c r="K2310" s="1">
        <f>IF(E2310=0,SUMPRODUCT(($A$2:$A$4734=A2310)*($B$2:$B$4734=B2310)*($D$2:$D$4734=D2310)*($E$2:$E$4734=0)),0)</f>
        <v>0</v>
      </c>
      <c r="L2310" s="1" t="str">
        <f>IF(E2310=0,SUMPRODUCT(MIN($K$2:$K$4734+((($A$2:$A$4734&lt;&gt;A2310)+($E$2:$E$4734&lt;&gt;0))&gt;0)*1000000)),"")</f>
        <v/>
      </c>
      <c r="M2310" s="1">
        <f>IF(AND(E2310=0,COUNTIFS($A$2:A2310,A2310,$E$2:E2310,0)=1),L2310,0)</f>
        <v>0</v>
      </c>
    </row>
    <row r="2311" spans="1:13" ht="15" customHeight="1">
      <c r="A2311" s="1">
        <v>24</v>
      </c>
      <c r="B2311" s="1" t="s">
        <v>9</v>
      </c>
      <c r="C2311" s="2" t="s">
        <v>2666</v>
      </c>
      <c r="D2311" s="2" t="s">
        <v>2673</v>
      </c>
      <c r="E2311" s="1">
        <v>1</v>
      </c>
      <c r="F2311" s="2" t="s">
        <v>2676</v>
      </c>
      <c r="G2311" s="1">
        <v>3</v>
      </c>
      <c r="H2311" s="1" t="str">
        <f t="shared" si="36"/>
        <v>k24_3</v>
      </c>
      <c r="K2311" s="1">
        <f>IF(E2311=0,SUMPRODUCT(($A$2:$A$4734=A2311)*($B$2:$B$4734=B2311)*($D$2:$D$4734=D2311)*($E$2:$E$4734=0)),0)</f>
        <v>0</v>
      </c>
      <c r="L2311" s="1" t="str">
        <f>IF(E2311=0,SUMPRODUCT(MIN($K$2:$K$4734+((($A$2:$A$4734&lt;&gt;A2311)+($E$2:$E$4734&lt;&gt;0))&gt;0)*1000000)),"")</f>
        <v/>
      </c>
      <c r="M2311" s="1">
        <f>IF(AND(E2311=0,COUNTIFS($A$2:A2311,A2311,$E$2:E2311,0)=1),L2311,0)</f>
        <v>0</v>
      </c>
    </row>
    <row r="2312" spans="1:13" ht="15" customHeight="1">
      <c r="A2312" s="1">
        <v>24</v>
      </c>
      <c r="B2312" s="1" t="s">
        <v>9</v>
      </c>
      <c r="C2312" s="2" t="s">
        <v>2666</v>
      </c>
      <c r="D2312" s="2" t="s">
        <v>2673</v>
      </c>
      <c r="E2312" s="1">
        <v>1</v>
      </c>
      <c r="F2312" s="2" t="s">
        <v>2677</v>
      </c>
      <c r="G2312" s="1">
        <v>4</v>
      </c>
      <c r="H2312" s="1" t="str">
        <f t="shared" si="36"/>
        <v>k24_4</v>
      </c>
      <c r="K2312" s="1">
        <f>IF(E2312=0,SUMPRODUCT(($A$2:$A$4734=A2312)*($B$2:$B$4734=B2312)*($D$2:$D$4734=D2312)*($E$2:$E$4734=0)),0)</f>
        <v>0</v>
      </c>
      <c r="L2312" s="1" t="str">
        <f>IF(E2312=0,SUMPRODUCT(MIN($K$2:$K$4734+((($A$2:$A$4734&lt;&gt;A2312)+($E$2:$E$4734&lt;&gt;0))&gt;0)*1000000)),"")</f>
        <v/>
      </c>
      <c r="M2312" s="1">
        <f>IF(AND(E2312=0,COUNTIFS($A$2:A2312,A2312,$E$2:E2312,0)=1),L2312,0)</f>
        <v>0</v>
      </c>
    </row>
    <row r="2313" spans="1:13" ht="15" customHeight="1">
      <c r="A2313" s="1">
        <v>24</v>
      </c>
      <c r="B2313" s="1" t="s">
        <v>9</v>
      </c>
      <c r="C2313" s="2" t="s">
        <v>2666</v>
      </c>
      <c r="D2313" s="2" t="s">
        <v>2673</v>
      </c>
      <c r="E2313" s="1">
        <v>1</v>
      </c>
      <c r="F2313" s="2" t="s">
        <v>2677</v>
      </c>
      <c r="G2313" s="1">
        <v>5</v>
      </c>
      <c r="H2313" s="1" t="str">
        <f t="shared" si="36"/>
        <v>k24_5</v>
      </c>
      <c r="K2313" s="1">
        <f>IF(E2313=0,SUMPRODUCT(($A$2:$A$4734=A2313)*($B$2:$B$4734=B2313)*($D$2:$D$4734=D2313)*($E$2:$E$4734=0)),0)</f>
        <v>0</v>
      </c>
      <c r="L2313" s="1" t="str">
        <f>IF(E2313=0,SUMPRODUCT(MIN($K$2:$K$4734+((($A$2:$A$4734&lt;&gt;A2313)+($E$2:$E$4734&lt;&gt;0))&gt;0)*1000000)),"")</f>
        <v/>
      </c>
      <c r="M2313" s="1">
        <f>IF(AND(E2313=0,COUNTIFS($A$2:A2313,A2313,$E$2:E2313,0)=1),L2313,0)</f>
        <v>0</v>
      </c>
    </row>
    <row r="2314" spans="1:13" ht="15" customHeight="1">
      <c r="A2314" s="1">
        <v>25</v>
      </c>
      <c r="B2314" s="1" t="s">
        <v>9</v>
      </c>
      <c r="C2314" s="2" t="s">
        <v>2678</v>
      </c>
      <c r="D2314" s="2" t="s">
        <v>2679</v>
      </c>
      <c r="E2314" s="1">
        <v>1</v>
      </c>
      <c r="F2314" s="2" t="s">
        <v>2680</v>
      </c>
      <c r="G2314" s="1">
        <v>1</v>
      </c>
      <c r="H2314" s="1" t="str">
        <f t="shared" si="36"/>
        <v>k25_1</v>
      </c>
      <c r="K2314" s="1">
        <f>IF(E2314=0,SUMPRODUCT(($A$2:$A$4734=A2314)*($B$2:$B$4734=B2314)*($D$2:$D$4734=D2314)*($E$2:$E$4734=0)),0)</f>
        <v>0</v>
      </c>
      <c r="L2314" s="1" t="str">
        <f>IF(E2314=0,SUMPRODUCT(MIN($K$2:$K$4734+((($A$2:$A$4734&lt;&gt;A2314)+($E$2:$E$4734&lt;&gt;0))&gt;0)*1000000)),"")</f>
        <v/>
      </c>
      <c r="M2314" s="1">
        <f>IF(AND(E2314=0,COUNTIFS($A$2:A2314,A2314,$E$2:E2314,0)=1),L2314,0)</f>
        <v>0</v>
      </c>
    </row>
    <row r="2315" spans="1:13" ht="15" customHeight="1">
      <c r="A2315" s="1">
        <v>25</v>
      </c>
      <c r="B2315" s="1" t="s">
        <v>9</v>
      </c>
      <c r="C2315" s="2" t="s">
        <v>2678</v>
      </c>
      <c r="D2315" s="2" t="s">
        <v>2679</v>
      </c>
      <c r="E2315" s="1">
        <v>1</v>
      </c>
      <c r="F2315" s="2" t="s">
        <v>2681</v>
      </c>
      <c r="G2315" s="1">
        <v>2</v>
      </c>
      <c r="H2315" s="1" t="str">
        <f t="shared" si="36"/>
        <v>k25_2</v>
      </c>
      <c r="K2315" s="1">
        <f>IF(E2315=0,SUMPRODUCT(($A$2:$A$4734=A2315)*($B$2:$B$4734=B2315)*($D$2:$D$4734=D2315)*($E$2:$E$4734=0)),0)</f>
        <v>0</v>
      </c>
      <c r="L2315" s="1" t="str">
        <f>IF(E2315=0,SUMPRODUCT(MIN($K$2:$K$4734+((($A$2:$A$4734&lt;&gt;A2315)+($E$2:$E$4734&lt;&gt;0))&gt;0)*1000000)),"")</f>
        <v/>
      </c>
      <c r="M2315" s="1">
        <f>IF(AND(E2315=0,COUNTIFS($A$2:A2315,A2315,$E$2:E2315,0)=1),L2315,0)</f>
        <v>0</v>
      </c>
    </row>
    <row r="2316" spans="1:13" ht="15" customHeight="1">
      <c r="A2316" s="1">
        <v>25</v>
      </c>
      <c r="B2316" s="1" t="s">
        <v>9</v>
      </c>
      <c r="C2316" s="2" t="s">
        <v>2678</v>
      </c>
      <c r="D2316" s="2" t="s">
        <v>2679</v>
      </c>
      <c r="E2316" s="1">
        <v>1</v>
      </c>
      <c r="F2316" s="2" t="s">
        <v>2682</v>
      </c>
      <c r="G2316" s="1">
        <v>3</v>
      </c>
      <c r="H2316" s="1" t="str">
        <f t="shared" si="36"/>
        <v>k25_3</v>
      </c>
      <c r="K2316" s="1">
        <f>IF(E2316=0,SUMPRODUCT(($A$2:$A$4734=A2316)*($B$2:$B$4734=B2316)*($D$2:$D$4734=D2316)*($E$2:$E$4734=0)),0)</f>
        <v>0</v>
      </c>
      <c r="L2316" s="1" t="str">
        <f>IF(E2316=0,SUMPRODUCT(MIN($K$2:$K$4734+((($A$2:$A$4734&lt;&gt;A2316)+($E$2:$E$4734&lt;&gt;0))&gt;0)*1000000)),"")</f>
        <v/>
      </c>
      <c r="M2316" s="1">
        <f>IF(AND(E2316=0,COUNTIFS($A$2:A2316,A2316,$E$2:E2316,0)=1),L2316,0)</f>
        <v>0</v>
      </c>
    </row>
    <row r="2317" spans="1:13" ht="15" customHeight="1">
      <c r="A2317" s="1">
        <v>25</v>
      </c>
      <c r="B2317" s="1" t="s">
        <v>9</v>
      </c>
      <c r="C2317" s="2" t="s">
        <v>2678</v>
      </c>
      <c r="D2317" s="2" t="s">
        <v>2679</v>
      </c>
      <c r="E2317" s="1">
        <v>1</v>
      </c>
      <c r="F2317" s="2" t="s">
        <v>2683</v>
      </c>
      <c r="G2317" s="1">
        <v>4</v>
      </c>
      <c r="H2317" s="1" t="str">
        <f t="shared" si="36"/>
        <v>k25_4</v>
      </c>
      <c r="K2317" s="1">
        <f>IF(E2317=0,SUMPRODUCT(($A$2:$A$4734=A2317)*($B$2:$B$4734=B2317)*($D$2:$D$4734=D2317)*($E$2:$E$4734=0)),0)</f>
        <v>0</v>
      </c>
      <c r="L2317" s="1" t="str">
        <f>IF(E2317=0,SUMPRODUCT(MIN($K$2:$K$4734+((($A$2:$A$4734&lt;&gt;A2317)+($E$2:$E$4734&lt;&gt;0))&gt;0)*1000000)),"")</f>
        <v/>
      </c>
      <c r="M2317" s="1">
        <f>IF(AND(E2317=0,COUNTIFS($A$2:A2317,A2317,$E$2:E2317,0)=1),L2317,0)</f>
        <v>0</v>
      </c>
    </row>
    <row r="2318" spans="1:13" ht="15" customHeight="1">
      <c r="A2318" s="1">
        <v>25</v>
      </c>
      <c r="B2318" s="1" t="s">
        <v>9</v>
      </c>
      <c r="C2318" s="2" t="s">
        <v>2678</v>
      </c>
      <c r="D2318" s="2" t="s">
        <v>2679</v>
      </c>
      <c r="E2318" s="1">
        <v>1</v>
      </c>
      <c r="F2318" s="2" t="s">
        <v>2684</v>
      </c>
      <c r="G2318" s="1">
        <v>5</v>
      </c>
      <c r="H2318" s="1" t="str">
        <f t="shared" si="36"/>
        <v>k25_5</v>
      </c>
      <c r="K2318" s="1">
        <f>IF(E2318=0,SUMPRODUCT(($A$2:$A$4734=A2318)*($B$2:$B$4734=B2318)*($D$2:$D$4734=D2318)*($E$2:$E$4734=0)),0)</f>
        <v>0</v>
      </c>
      <c r="L2318" s="1" t="str">
        <f>IF(E2318=0,SUMPRODUCT(MIN($K$2:$K$4734+((($A$2:$A$4734&lt;&gt;A2318)+($E$2:$E$4734&lt;&gt;0))&gt;0)*1000000)),"")</f>
        <v/>
      </c>
      <c r="M2318" s="1">
        <f>IF(AND(E2318=0,COUNTIFS($A$2:A2318,A2318,$E$2:E2318,0)=1),L2318,0)</f>
        <v>0</v>
      </c>
    </row>
    <row r="2319" spans="1:13" ht="15" customHeight="1">
      <c r="A2319" s="1">
        <v>25</v>
      </c>
      <c r="B2319" s="1" t="s">
        <v>9</v>
      </c>
      <c r="C2319" s="2" t="s">
        <v>2678</v>
      </c>
      <c r="D2319" s="2" t="s">
        <v>2679</v>
      </c>
      <c r="E2319" s="1">
        <v>1</v>
      </c>
      <c r="F2319" s="2" t="s">
        <v>2685</v>
      </c>
      <c r="G2319" s="1">
        <v>6</v>
      </c>
      <c r="H2319" s="1" t="str">
        <f t="shared" si="36"/>
        <v>k25_6</v>
      </c>
      <c r="K2319" s="1">
        <f>IF(E2319=0,SUMPRODUCT(($A$2:$A$4734=A2319)*($B$2:$B$4734=B2319)*($D$2:$D$4734=D2319)*($E$2:$E$4734=0)),0)</f>
        <v>0</v>
      </c>
      <c r="L2319" s="1" t="str">
        <f>IF(E2319=0,SUMPRODUCT(MIN($K$2:$K$4734+((($A$2:$A$4734&lt;&gt;A2319)+($E$2:$E$4734&lt;&gt;0))&gt;0)*1000000)),"")</f>
        <v/>
      </c>
      <c r="M2319" s="1">
        <f>IF(AND(E2319=0,COUNTIFS($A$2:A2319,A2319,$E$2:E2319,0)=1),L2319,0)</f>
        <v>0</v>
      </c>
    </row>
    <row r="2320" spans="1:13" ht="15" customHeight="1">
      <c r="A2320" s="1">
        <v>25</v>
      </c>
      <c r="B2320" s="1" t="s">
        <v>16</v>
      </c>
      <c r="C2320" s="2" t="s">
        <v>2678</v>
      </c>
      <c r="D2320" s="2" t="s">
        <v>2686</v>
      </c>
      <c r="E2320" s="1">
        <v>1</v>
      </c>
      <c r="F2320" s="2" t="s">
        <v>2687</v>
      </c>
      <c r="G2320" s="1">
        <v>1</v>
      </c>
      <c r="H2320" s="1" t="str">
        <f t="shared" si="36"/>
        <v>k25_1</v>
      </c>
      <c r="K2320" s="1">
        <f>IF(E2320=0,SUMPRODUCT(($A$2:$A$4734=A2320)*($B$2:$B$4734=B2320)*($D$2:$D$4734=D2320)*($E$2:$E$4734=0)),0)</f>
        <v>0</v>
      </c>
      <c r="L2320" s="1" t="str">
        <f>IF(E2320=0,SUMPRODUCT(MIN($K$2:$K$4734+((($A$2:$A$4734&lt;&gt;A2320)+($E$2:$E$4734&lt;&gt;0))&gt;0)*1000000)),"")</f>
        <v/>
      </c>
      <c r="M2320" s="1">
        <f>IF(AND(E2320=0,COUNTIFS($A$2:A2320,A2320,$E$2:E2320,0)=1),L2320,0)</f>
        <v>0</v>
      </c>
    </row>
    <row r="2321" spans="1:13" ht="15" customHeight="1">
      <c r="A2321" s="1">
        <v>25</v>
      </c>
      <c r="B2321" s="1" t="s">
        <v>16</v>
      </c>
      <c r="C2321" s="2" t="s">
        <v>2678</v>
      </c>
      <c r="D2321" s="2" t="s">
        <v>2686</v>
      </c>
      <c r="E2321" s="1">
        <v>1</v>
      </c>
      <c r="F2321" s="2" t="s">
        <v>2688</v>
      </c>
      <c r="G2321" s="1">
        <v>2</v>
      </c>
      <c r="H2321" s="1" t="str">
        <f t="shared" si="36"/>
        <v>k25_2</v>
      </c>
      <c r="K2321" s="1">
        <f>IF(E2321=0,SUMPRODUCT(($A$2:$A$4734=A2321)*($B$2:$B$4734=B2321)*($D$2:$D$4734=D2321)*($E$2:$E$4734=0)),0)</f>
        <v>0</v>
      </c>
      <c r="L2321" s="1" t="str">
        <f>IF(E2321=0,SUMPRODUCT(MIN($K$2:$K$4734+((($A$2:$A$4734&lt;&gt;A2321)+($E$2:$E$4734&lt;&gt;0))&gt;0)*1000000)),"")</f>
        <v/>
      </c>
      <c r="M2321" s="1">
        <f>IF(AND(E2321=0,COUNTIFS($A$2:A2321,A2321,$E$2:E2321,0)=1),L2321,0)</f>
        <v>0</v>
      </c>
    </row>
    <row r="2322" spans="1:13" ht="15" customHeight="1">
      <c r="A2322" s="1">
        <v>25</v>
      </c>
      <c r="B2322" s="1" t="s">
        <v>16</v>
      </c>
      <c r="C2322" s="2" t="s">
        <v>2678</v>
      </c>
      <c r="D2322" s="2" t="s">
        <v>2686</v>
      </c>
      <c r="E2322" s="1">
        <v>1</v>
      </c>
      <c r="F2322" s="2" t="s">
        <v>2689</v>
      </c>
      <c r="G2322" s="1">
        <v>3</v>
      </c>
      <c r="H2322" s="1" t="str">
        <f t="shared" si="36"/>
        <v>k25_3</v>
      </c>
      <c r="K2322" s="1">
        <f>IF(E2322=0,SUMPRODUCT(($A$2:$A$4734=A2322)*($B$2:$B$4734=B2322)*($D$2:$D$4734=D2322)*($E$2:$E$4734=0)),0)</f>
        <v>0</v>
      </c>
      <c r="L2322" s="1" t="str">
        <f>IF(E2322=0,SUMPRODUCT(MIN($K$2:$K$4734+((($A$2:$A$4734&lt;&gt;A2322)+($E$2:$E$4734&lt;&gt;0))&gt;0)*1000000)),"")</f>
        <v/>
      </c>
      <c r="M2322" s="1">
        <f>IF(AND(E2322=0,COUNTIFS($A$2:A2322,A2322,$E$2:E2322,0)=1),L2322,0)</f>
        <v>0</v>
      </c>
    </row>
    <row r="2323" spans="1:13" ht="15" customHeight="1">
      <c r="A2323" s="1">
        <v>25</v>
      </c>
      <c r="B2323" s="1" t="s">
        <v>16</v>
      </c>
      <c r="C2323" s="2" t="s">
        <v>2678</v>
      </c>
      <c r="D2323" s="2" t="s">
        <v>2686</v>
      </c>
      <c r="E2323" s="1">
        <v>1</v>
      </c>
      <c r="F2323" s="2" t="s">
        <v>2690</v>
      </c>
      <c r="G2323" s="1">
        <v>4</v>
      </c>
      <c r="H2323" s="1" t="str">
        <f t="shared" si="36"/>
        <v>k25_4</v>
      </c>
      <c r="K2323" s="1">
        <f>IF(E2323=0,SUMPRODUCT(($A$2:$A$4734=A2323)*($B$2:$B$4734=B2323)*($D$2:$D$4734=D2323)*($E$2:$E$4734=0)),0)</f>
        <v>0</v>
      </c>
      <c r="L2323" s="1" t="str">
        <f>IF(E2323=0,SUMPRODUCT(MIN($K$2:$K$4734+((($A$2:$A$4734&lt;&gt;A2323)+($E$2:$E$4734&lt;&gt;0))&gt;0)*1000000)),"")</f>
        <v/>
      </c>
      <c r="M2323" s="1">
        <f>IF(AND(E2323=0,COUNTIFS($A$2:A2323,A2323,$E$2:E2323,0)=1),L2323,0)</f>
        <v>0</v>
      </c>
    </row>
    <row r="2324" spans="1:13" ht="15" customHeight="1">
      <c r="A2324" s="1">
        <v>25</v>
      </c>
      <c r="B2324" s="1" t="s">
        <v>16</v>
      </c>
      <c r="C2324" s="2" t="s">
        <v>2678</v>
      </c>
      <c r="D2324" s="2" t="s">
        <v>2686</v>
      </c>
      <c r="E2324" s="1">
        <v>1</v>
      </c>
      <c r="F2324" s="2" t="s">
        <v>2691</v>
      </c>
      <c r="G2324" s="1">
        <v>5</v>
      </c>
      <c r="H2324" s="1" t="str">
        <f t="shared" si="36"/>
        <v>k25_5</v>
      </c>
      <c r="K2324" s="1">
        <f>IF(E2324=0,SUMPRODUCT(($A$2:$A$4734=A2324)*($B$2:$B$4734=B2324)*($D$2:$D$4734=D2324)*($E$2:$E$4734=0)),0)</f>
        <v>0</v>
      </c>
      <c r="L2324" s="1" t="str">
        <f>IF(E2324=0,SUMPRODUCT(MIN($K$2:$K$4734+((($A$2:$A$4734&lt;&gt;A2324)+($E$2:$E$4734&lt;&gt;0))&gt;0)*1000000)),"")</f>
        <v/>
      </c>
      <c r="M2324" s="1">
        <f>IF(AND(E2324=0,COUNTIFS($A$2:A2324,A2324,$E$2:E2324,0)=1),L2324,0)</f>
        <v>0</v>
      </c>
    </row>
    <row r="2325" spans="1:13" ht="15" customHeight="1">
      <c r="A2325" s="1">
        <v>25</v>
      </c>
      <c r="B2325" s="1" t="s">
        <v>16</v>
      </c>
      <c r="C2325" s="2" t="s">
        <v>2678</v>
      </c>
      <c r="D2325" s="2" t="s">
        <v>2686</v>
      </c>
      <c r="E2325" s="1">
        <v>1</v>
      </c>
      <c r="F2325" s="2" t="s">
        <v>2692</v>
      </c>
      <c r="G2325" s="1">
        <v>6</v>
      </c>
      <c r="H2325" s="1" t="str">
        <f t="shared" si="36"/>
        <v>k25_6</v>
      </c>
      <c r="K2325" s="1">
        <f>IF(E2325=0,SUMPRODUCT(($A$2:$A$4734=A2325)*($B$2:$B$4734=B2325)*($D$2:$D$4734=D2325)*($E$2:$E$4734=0)),0)</f>
        <v>0</v>
      </c>
      <c r="L2325" s="1" t="str">
        <f>IF(E2325=0,SUMPRODUCT(MIN($K$2:$K$4734+((($A$2:$A$4734&lt;&gt;A2325)+($E$2:$E$4734&lt;&gt;0))&gt;0)*1000000)),"")</f>
        <v/>
      </c>
      <c r="M2325" s="1">
        <f>IF(AND(E2325=0,COUNTIFS($A$2:A2325,A2325,$E$2:E2325,0)=1),L2325,0)</f>
        <v>0</v>
      </c>
    </row>
    <row r="2326" spans="1:13" ht="15" customHeight="1">
      <c r="A2326" s="1">
        <v>25</v>
      </c>
      <c r="B2326" s="1" t="s">
        <v>167</v>
      </c>
      <c r="C2326" s="2" t="s">
        <v>2678</v>
      </c>
      <c r="D2326" s="2" t="s">
        <v>2679</v>
      </c>
      <c r="E2326" s="1">
        <v>1</v>
      </c>
      <c r="F2326" s="2" t="s">
        <v>2693</v>
      </c>
      <c r="G2326" s="1">
        <v>1</v>
      </c>
      <c r="H2326" s="1" t="str">
        <f t="shared" si="36"/>
        <v>k25_1</v>
      </c>
      <c r="K2326" s="1">
        <f>IF(E2326=0,SUMPRODUCT(($A$2:$A$4734=A2326)*($B$2:$B$4734=B2326)*($D$2:$D$4734=D2326)*($E$2:$E$4734=0)),0)</f>
        <v>0</v>
      </c>
      <c r="L2326" s="1" t="str">
        <f>IF(E2326=0,SUMPRODUCT(MIN($K$2:$K$4734+((($A$2:$A$4734&lt;&gt;A2326)+($E$2:$E$4734&lt;&gt;0))&gt;0)*1000000)),"")</f>
        <v/>
      </c>
      <c r="M2326" s="1">
        <f>IF(AND(E2326=0,COUNTIFS($A$2:A2326,A2326,$E$2:E2326,0)=1),L2326,0)</f>
        <v>0</v>
      </c>
    </row>
    <row r="2327" spans="1:13" ht="15" customHeight="1">
      <c r="A2327" s="1">
        <v>25</v>
      </c>
      <c r="B2327" s="1" t="s">
        <v>167</v>
      </c>
      <c r="C2327" s="2" t="s">
        <v>2678</v>
      </c>
      <c r="D2327" s="2" t="s">
        <v>2679</v>
      </c>
      <c r="E2327" s="1">
        <v>1</v>
      </c>
      <c r="F2327" s="2" t="s">
        <v>2694</v>
      </c>
      <c r="G2327" s="1">
        <v>2</v>
      </c>
      <c r="H2327" s="1" t="str">
        <f t="shared" ref="H2327:H2390" si="37">IF(OR(E2327&lt;&gt;1,G2327=""),"","k"&amp;A2327&amp;"_"&amp;G2327)</f>
        <v>k25_2</v>
      </c>
      <c r="K2327" s="1">
        <f>IF(E2327=0,SUMPRODUCT(($A$2:$A$4734=A2327)*($B$2:$B$4734=B2327)*($D$2:$D$4734=D2327)*($E$2:$E$4734=0)),0)</f>
        <v>0</v>
      </c>
      <c r="L2327" s="1" t="str">
        <f>IF(E2327=0,SUMPRODUCT(MIN($K$2:$K$4734+((($A$2:$A$4734&lt;&gt;A2327)+($E$2:$E$4734&lt;&gt;0))&gt;0)*1000000)),"")</f>
        <v/>
      </c>
      <c r="M2327" s="1">
        <f>IF(AND(E2327=0,COUNTIFS($A$2:A2327,A2327,$E$2:E2327,0)=1),L2327,0)</f>
        <v>0</v>
      </c>
    </row>
    <row r="2328" spans="1:13" ht="15" customHeight="1">
      <c r="A2328" s="1">
        <v>25</v>
      </c>
      <c r="B2328" s="1" t="s">
        <v>167</v>
      </c>
      <c r="C2328" s="2" t="s">
        <v>2678</v>
      </c>
      <c r="D2328" s="2" t="s">
        <v>2679</v>
      </c>
      <c r="E2328" s="1">
        <v>1</v>
      </c>
      <c r="F2328" s="2" t="s">
        <v>2695</v>
      </c>
      <c r="G2328" s="1">
        <v>3</v>
      </c>
      <c r="H2328" s="1" t="str">
        <f t="shared" si="37"/>
        <v>k25_3</v>
      </c>
      <c r="K2328" s="1">
        <f>IF(E2328=0,SUMPRODUCT(($A$2:$A$4734=A2328)*($B$2:$B$4734=B2328)*($D$2:$D$4734=D2328)*($E$2:$E$4734=0)),0)</f>
        <v>0</v>
      </c>
      <c r="L2328" s="1" t="str">
        <f>IF(E2328=0,SUMPRODUCT(MIN($K$2:$K$4734+((($A$2:$A$4734&lt;&gt;A2328)+($E$2:$E$4734&lt;&gt;0))&gt;0)*1000000)),"")</f>
        <v/>
      </c>
      <c r="M2328" s="1">
        <f>IF(AND(E2328=0,COUNTIFS($A$2:A2328,A2328,$E$2:E2328,0)=1),L2328,0)</f>
        <v>0</v>
      </c>
    </row>
    <row r="2329" spans="1:13" ht="15" customHeight="1">
      <c r="A2329" s="1">
        <v>25</v>
      </c>
      <c r="B2329" s="1" t="s">
        <v>167</v>
      </c>
      <c r="C2329" s="2" t="s">
        <v>2678</v>
      </c>
      <c r="D2329" s="2" t="s">
        <v>2679</v>
      </c>
      <c r="E2329" s="1">
        <v>1</v>
      </c>
      <c r="F2329" s="2" t="s">
        <v>2696</v>
      </c>
      <c r="G2329" s="1">
        <v>4</v>
      </c>
      <c r="H2329" s="1" t="str">
        <f t="shared" si="37"/>
        <v>k25_4</v>
      </c>
      <c r="K2329" s="1">
        <f>IF(E2329=0,SUMPRODUCT(($A$2:$A$4734=A2329)*($B$2:$B$4734=B2329)*($D$2:$D$4734=D2329)*($E$2:$E$4734=0)),0)</f>
        <v>0</v>
      </c>
      <c r="L2329" s="1" t="str">
        <f>IF(E2329=0,SUMPRODUCT(MIN($K$2:$K$4734+((($A$2:$A$4734&lt;&gt;A2329)+($E$2:$E$4734&lt;&gt;0))&gt;0)*1000000)),"")</f>
        <v/>
      </c>
      <c r="M2329" s="1">
        <f>IF(AND(E2329=0,COUNTIFS($A$2:A2329,A2329,$E$2:E2329,0)=1),L2329,0)</f>
        <v>0</v>
      </c>
    </row>
    <row r="2330" spans="1:13" ht="15" customHeight="1">
      <c r="A2330" s="1">
        <v>25</v>
      </c>
      <c r="B2330" s="1" t="s">
        <v>167</v>
      </c>
      <c r="C2330" s="2" t="s">
        <v>2678</v>
      </c>
      <c r="D2330" s="2" t="s">
        <v>2679</v>
      </c>
      <c r="E2330" s="1">
        <v>1</v>
      </c>
      <c r="F2330" s="2" t="s">
        <v>2697</v>
      </c>
      <c r="G2330" s="1">
        <v>5</v>
      </c>
      <c r="H2330" s="1" t="str">
        <f t="shared" si="37"/>
        <v>k25_5</v>
      </c>
      <c r="K2330" s="1">
        <f>IF(E2330=0,SUMPRODUCT(($A$2:$A$4734=A2330)*($B$2:$B$4734=B2330)*($D$2:$D$4734=D2330)*($E$2:$E$4734=0)),0)</f>
        <v>0</v>
      </c>
      <c r="L2330" s="1" t="str">
        <f>IF(E2330=0,SUMPRODUCT(MIN($K$2:$K$4734+((($A$2:$A$4734&lt;&gt;A2330)+($E$2:$E$4734&lt;&gt;0))&gt;0)*1000000)),"")</f>
        <v/>
      </c>
      <c r="M2330" s="1">
        <f>IF(AND(E2330=0,COUNTIFS($A$2:A2330,A2330,$E$2:E2330,0)=1),L2330,0)</f>
        <v>0</v>
      </c>
    </row>
    <row r="2331" spans="1:13" ht="15" customHeight="1">
      <c r="A2331" s="1">
        <v>25</v>
      </c>
      <c r="B2331" s="1" t="s">
        <v>167</v>
      </c>
      <c r="C2331" s="2" t="s">
        <v>2678</v>
      </c>
      <c r="D2331" s="2" t="s">
        <v>2679</v>
      </c>
      <c r="E2331" s="1">
        <v>1</v>
      </c>
      <c r="F2331" s="2" t="s">
        <v>2697</v>
      </c>
      <c r="G2331" s="1">
        <v>6</v>
      </c>
      <c r="H2331" s="1" t="str">
        <f t="shared" si="37"/>
        <v>k25_6</v>
      </c>
      <c r="K2331" s="1">
        <f>IF(E2331=0,SUMPRODUCT(($A$2:$A$4734=A2331)*($B$2:$B$4734=B2331)*($D$2:$D$4734=D2331)*($E$2:$E$4734=0)),0)</f>
        <v>0</v>
      </c>
      <c r="L2331" s="1" t="str">
        <f>IF(E2331=0,SUMPRODUCT(MIN($K$2:$K$4734+((($A$2:$A$4734&lt;&gt;A2331)+($E$2:$E$4734&lt;&gt;0))&gt;0)*1000000)),"")</f>
        <v/>
      </c>
      <c r="M2331" s="1">
        <f>IF(AND(E2331=0,COUNTIFS($A$2:A2331,A2331,$E$2:E2331,0)=1),L2331,0)</f>
        <v>0</v>
      </c>
    </row>
    <row r="2332" spans="1:13" ht="15" customHeight="1">
      <c r="A2332" s="1">
        <v>25</v>
      </c>
      <c r="B2332" s="1" t="s">
        <v>9</v>
      </c>
      <c r="C2332" s="2" t="s">
        <v>2678</v>
      </c>
      <c r="D2332" s="2" t="s">
        <v>2698</v>
      </c>
      <c r="E2332" s="1">
        <v>1</v>
      </c>
      <c r="F2332" s="2" t="s">
        <v>2699</v>
      </c>
      <c r="G2332" s="1">
        <v>1</v>
      </c>
      <c r="H2332" s="1" t="str">
        <f t="shared" si="37"/>
        <v>k25_1</v>
      </c>
      <c r="K2332" s="1">
        <f>IF(E2332=0,SUMPRODUCT(($A$2:$A$4734=A2332)*($B$2:$B$4734=B2332)*($D$2:$D$4734=D2332)*($E$2:$E$4734=0)),0)</f>
        <v>0</v>
      </c>
      <c r="L2332" s="1" t="str">
        <f>IF(E2332=0,SUMPRODUCT(MIN($K$2:$K$4734+((($A$2:$A$4734&lt;&gt;A2332)+($E$2:$E$4734&lt;&gt;0))&gt;0)*1000000)),"")</f>
        <v/>
      </c>
      <c r="M2332" s="1">
        <f>IF(AND(E2332=0,COUNTIFS($A$2:A2332,A2332,$E$2:E2332,0)=1),L2332,0)</f>
        <v>0</v>
      </c>
    </row>
    <row r="2333" spans="1:13" ht="15" customHeight="1">
      <c r="A2333" s="1">
        <v>25</v>
      </c>
      <c r="B2333" s="1" t="s">
        <v>9</v>
      </c>
      <c r="C2333" s="2" t="s">
        <v>2678</v>
      </c>
      <c r="D2333" s="2" t="s">
        <v>2698</v>
      </c>
      <c r="E2333" s="1">
        <v>1</v>
      </c>
      <c r="F2333" s="2" t="s">
        <v>2700</v>
      </c>
      <c r="G2333" s="1">
        <v>2</v>
      </c>
      <c r="H2333" s="1" t="str">
        <f t="shared" si="37"/>
        <v>k25_2</v>
      </c>
      <c r="K2333" s="1">
        <f>IF(E2333=0,SUMPRODUCT(($A$2:$A$4734=A2333)*($B$2:$B$4734=B2333)*($D$2:$D$4734=D2333)*($E$2:$E$4734=0)),0)</f>
        <v>0</v>
      </c>
      <c r="L2333" s="1" t="str">
        <f>IF(E2333=0,SUMPRODUCT(MIN($K$2:$K$4734+((($A$2:$A$4734&lt;&gt;A2333)+($E$2:$E$4734&lt;&gt;0))&gt;0)*1000000)),"")</f>
        <v/>
      </c>
      <c r="M2333" s="1">
        <f>IF(AND(E2333=0,COUNTIFS($A$2:A2333,A2333,$E$2:E2333,0)=1),L2333,0)</f>
        <v>0</v>
      </c>
    </row>
    <row r="2334" spans="1:13" ht="15" customHeight="1">
      <c r="A2334" s="1">
        <v>25</v>
      </c>
      <c r="B2334" s="1" t="s">
        <v>9</v>
      </c>
      <c r="C2334" s="2" t="s">
        <v>2678</v>
      </c>
      <c r="D2334" s="2" t="s">
        <v>2698</v>
      </c>
      <c r="E2334" s="1">
        <v>1</v>
      </c>
      <c r="F2334" s="2" t="s">
        <v>2701</v>
      </c>
      <c r="G2334" s="1">
        <v>3</v>
      </c>
      <c r="H2334" s="1" t="str">
        <f t="shared" si="37"/>
        <v>k25_3</v>
      </c>
      <c r="K2334" s="1">
        <f>IF(E2334=0,SUMPRODUCT(($A$2:$A$4734=A2334)*($B$2:$B$4734=B2334)*($D$2:$D$4734=D2334)*($E$2:$E$4734=0)),0)</f>
        <v>0</v>
      </c>
      <c r="L2334" s="1" t="str">
        <f>IF(E2334=0,SUMPRODUCT(MIN($K$2:$K$4734+((($A$2:$A$4734&lt;&gt;A2334)+($E$2:$E$4734&lt;&gt;0))&gt;0)*1000000)),"")</f>
        <v/>
      </c>
      <c r="M2334" s="1">
        <f>IF(AND(E2334=0,COUNTIFS($A$2:A2334,A2334,$E$2:E2334,0)=1),L2334,0)</f>
        <v>0</v>
      </c>
    </row>
    <row r="2335" spans="1:13" ht="15" customHeight="1">
      <c r="A2335" s="1">
        <v>25</v>
      </c>
      <c r="B2335" s="1" t="s">
        <v>9</v>
      </c>
      <c r="C2335" s="2" t="s">
        <v>2678</v>
      </c>
      <c r="D2335" s="2" t="s">
        <v>2698</v>
      </c>
      <c r="E2335" s="1">
        <v>1</v>
      </c>
      <c r="F2335" s="2" t="s">
        <v>2702</v>
      </c>
      <c r="G2335" s="1">
        <v>4</v>
      </c>
      <c r="H2335" s="1" t="str">
        <f t="shared" si="37"/>
        <v>k25_4</v>
      </c>
      <c r="K2335" s="1">
        <f>IF(E2335=0,SUMPRODUCT(($A$2:$A$4734=A2335)*($B$2:$B$4734=B2335)*($D$2:$D$4734=D2335)*($E$2:$E$4734=0)),0)</f>
        <v>0</v>
      </c>
      <c r="L2335" s="1" t="str">
        <f>IF(E2335=0,SUMPRODUCT(MIN($K$2:$K$4734+((($A$2:$A$4734&lt;&gt;A2335)+($E$2:$E$4734&lt;&gt;0))&gt;0)*1000000)),"")</f>
        <v/>
      </c>
      <c r="M2335" s="1">
        <f>IF(AND(E2335=0,COUNTIFS($A$2:A2335,A2335,$E$2:E2335,0)=1),L2335,0)</f>
        <v>0</v>
      </c>
    </row>
    <row r="2336" spans="1:13" ht="15" customHeight="1">
      <c r="A2336" s="1">
        <v>25</v>
      </c>
      <c r="B2336" s="1" t="s">
        <v>9</v>
      </c>
      <c r="C2336" s="2" t="s">
        <v>2678</v>
      </c>
      <c r="D2336" s="2" t="s">
        <v>2698</v>
      </c>
      <c r="E2336" s="1">
        <v>1</v>
      </c>
      <c r="F2336" s="2" t="s">
        <v>2703</v>
      </c>
      <c r="G2336" s="1">
        <v>5</v>
      </c>
      <c r="H2336" s="1" t="str">
        <f t="shared" si="37"/>
        <v>k25_5</v>
      </c>
      <c r="K2336" s="1">
        <f>IF(E2336=0,SUMPRODUCT(($A$2:$A$4734=A2336)*($B$2:$B$4734=B2336)*($D$2:$D$4734=D2336)*($E$2:$E$4734=0)),0)</f>
        <v>0</v>
      </c>
      <c r="L2336" s="1" t="str">
        <f>IF(E2336=0,SUMPRODUCT(MIN($K$2:$K$4734+((($A$2:$A$4734&lt;&gt;A2336)+($E$2:$E$4734&lt;&gt;0))&gt;0)*1000000)),"")</f>
        <v/>
      </c>
      <c r="M2336" s="1">
        <f>IF(AND(E2336=0,COUNTIFS($A$2:A2336,A2336,$E$2:E2336,0)=1),L2336,0)</f>
        <v>0</v>
      </c>
    </row>
    <row r="2337" spans="1:13" ht="15" customHeight="1">
      <c r="A2337" s="1">
        <v>25</v>
      </c>
      <c r="B2337" s="1" t="s">
        <v>9</v>
      </c>
      <c r="C2337" s="2" t="s">
        <v>2678</v>
      </c>
      <c r="D2337" s="2" t="s">
        <v>2698</v>
      </c>
      <c r="E2337" s="1">
        <v>1</v>
      </c>
      <c r="F2337" s="2" t="s">
        <v>2703</v>
      </c>
      <c r="G2337" s="1">
        <v>6</v>
      </c>
      <c r="H2337" s="1" t="str">
        <f t="shared" si="37"/>
        <v>k25_6</v>
      </c>
      <c r="K2337" s="1">
        <f>IF(E2337=0,SUMPRODUCT(($A$2:$A$4734=A2337)*($B$2:$B$4734=B2337)*($D$2:$D$4734=D2337)*($E$2:$E$4734=0)),0)</f>
        <v>0</v>
      </c>
      <c r="L2337" s="1" t="str">
        <f>IF(E2337=0,SUMPRODUCT(MIN($K$2:$K$4734+((($A$2:$A$4734&lt;&gt;A2337)+($E$2:$E$4734&lt;&gt;0))&gt;0)*1000000)),"")</f>
        <v/>
      </c>
      <c r="M2337" s="1">
        <f>IF(AND(E2337=0,COUNTIFS($A$2:A2337,A2337,$E$2:E2337,0)=1),L2337,0)</f>
        <v>0</v>
      </c>
    </row>
    <row r="2338" spans="1:13" ht="15" customHeight="1">
      <c r="A2338" s="1">
        <v>25</v>
      </c>
      <c r="B2338" s="1" t="s">
        <v>393</v>
      </c>
      <c r="C2338" s="2" t="s">
        <v>2678</v>
      </c>
      <c r="D2338" s="2" t="s">
        <v>2686</v>
      </c>
      <c r="E2338" s="1">
        <v>1</v>
      </c>
      <c r="F2338" s="2" t="s">
        <v>2704</v>
      </c>
      <c r="G2338" s="1">
        <v>1</v>
      </c>
      <c r="H2338" s="1" t="str">
        <f t="shared" si="37"/>
        <v>k25_1</v>
      </c>
      <c r="K2338" s="1">
        <f>IF(E2338=0,SUMPRODUCT(($A$2:$A$4734=A2338)*($B$2:$B$4734=B2338)*($D$2:$D$4734=D2338)*($E$2:$E$4734=0)),0)</f>
        <v>0</v>
      </c>
      <c r="L2338" s="1" t="str">
        <f>IF(E2338=0,SUMPRODUCT(MIN($K$2:$K$4734+((($A$2:$A$4734&lt;&gt;A2338)+($E$2:$E$4734&lt;&gt;0))&gt;0)*1000000)),"")</f>
        <v/>
      </c>
      <c r="M2338" s="1">
        <f>IF(AND(E2338=0,COUNTIFS($A$2:A2338,A2338,$E$2:E2338,0)=1),L2338,0)</f>
        <v>0</v>
      </c>
    </row>
    <row r="2339" spans="1:13" ht="15" customHeight="1">
      <c r="A2339" s="1">
        <v>25</v>
      </c>
      <c r="B2339" s="1" t="s">
        <v>393</v>
      </c>
      <c r="C2339" s="2" t="s">
        <v>2678</v>
      </c>
      <c r="D2339" s="2" t="s">
        <v>2686</v>
      </c>
      <c r="E2339" s="1">
        <v>1</v>
      </c>
      <c r="F2339" s="2" t="s">
        <v>2705</v>
      </c>
      <c r="G2339" s="1">
        <v>2</v>
      </c>
      <c r="H2339" s="1" t="str">
        <f t="shared" si="37"/>
        <v>k25_2</v>
      </c>
      <c r="K2339" s="1">
        <f>IF(E2339=0,SUMPRODUCT(($A$2:$A$4734=A2339)*($B$2:$B$4734=B2339)*($D$2:$D$4734=D2339)*($E$2:$E$4734=0)),0)</f>
        <v>0</v>
      </c>
      <c r="L2339" s="1" t="str">
        <f>IF(E2339=0,SUMPRODUCT(MIN($K$2:$K$4734+((($A$2:$A$4734&lt;&gt;A2339)+($E$2:$E$4734&lt;&gt;0))&gt;0)*1000000)),"")</f>
        <v/>
      </c>
      <c r="M2339" s="1">
        <f>IF(AND(E2339=0,COUNTIFS($A$2:A2339,A2339,$E$2:E2339,0)=1),L2339,0)</f>
        <v>0</v>
      </c>
    </row>
    <row r="2340" spans="1:13" ht="15" customHeight="1">
      <c r="A2340" s="1">
        <v>25</v>
      </c>
      <c r="B2340" s="1" t="s">
        <v>393</v>
      </c>
      <c r="C2340" s="2" t="s">
        <v>2678</v>
      </c>
      <c r="D2340" s="2" t="s">
        <v>2686</v>
      </c>
      <c r="E2340" s="1">
        <v>1</v>
      </c>
      <c r="F2340" s="2" t="s">
        <v>2704</v>
      </c>
      <c r="G2340" s="1">
        <v>3</v>
      </c>
      <c r="H2340" s="1" t="str">
        <f t="shared" si="37"/>
        <v>k25_3</v>
      </c>
      <c r="K2340" s="1">
        <f>IF(E2340=0,SUMPRODUCT(($A$2:$A$4734=A2340)*($B$2:$B$4734=B2340)*($D$2:$D$4734=D2340)*($E$2:$E$4734=0)),0)</f>
        <v>0</v>
      </c>
      <c r="L2340" s="1" t="str">
        <f>IF(E2340=0,SUMPRODUCT(MIN($K$2:$K$4734+((($A$2:$A$4734&lt;&gt;A2340)+($E$2:$E$4734&lt;&gt;0))&gt;0)*1000000)),"")</f>
        <v/>
      </c>
      <c r="M2340" s="1">
        <f>IF(AND(E2340=0,COUNTIFS($A$2:A2340,A2340,$E$2:E2340,0)=1),L2340,0)</f>
        <v>0</v>
      </c>
    </row>
    <row r="2341" spans="1:13" ht="15" customHeight="1">
      <c r="A2341" s="1">
        <v>25</v>
      </c>
      <c r="B2341" s="1" t="s">
        <v>393</v>
      </c>
      <c r="C2341" s="2" t="s">
        <v>2678</v>
      </c>
      <c r="D2341" s="2" t="s">
        <v>2686</v>
      </c>
      <c r="E2341" s="1">
        <v>1</v>
      </c>
      <c r="F2341" s="2" t="s">
        <v>2705</v>
      </c>
      <c r="G2341" s="1">
        <v>4</v>
      </c>
      <c r="H2341" s="1" t="str">
        <f t="shared" si="37"/>
        <v>k25_4</v>
      </c>
      <c r="K2341" s="1">
        <f>IF(E2341=0,SUMPRODUCT(($A$2:$A$4734=A2341)*($B$2:$B$4734=B2341)*($D$2:$D$4734=D2341)*($E$2:$E$4734=0)),0)</f>
        <v>0</v>
      </c>
      <c r="L2341" s="1" t="str">
        <f>IF(E2341=0,SUMPRODUCT(MIN($K$2:$K$4734+((($A$2:$A$4734&lt;&gt;A2341)+($E$2:$E$4734&lt;&gt;0))&gt;0)*1000000)),"")</f>
        <v/>
      </c>
      <c r="M2341" s="1">
        <f>IF(AND(E2341=0,COUNTIFS($A$2:A2341,A2341,$E$2:E2341,0)=1),L2341,0)</f>
        <v>0</v>
      </c>
    </row>
    <row r="2342" spans="1:13" ht="15" customHeight="1">
      <c r="A2342" s="1">
        <v>25</v>
      </c>
      <c r="B2342" s="1" t="s">
        <v>393</v>
      </c>
      <c r="C2342" s="2" t="s">
        <v>2678</v>
      </c>
      <c r="D2342" s="2" t="s">
        <v>2686</v>
      </c>
      <c r="E2342" s="1">
        <v>1</v>
      </c>
      <c r="F2342" s="2" t="s">
        <v>2706</v>
      </c>
      <c r="G2342" s="1">
        <v>5</v>
      </c>
      <c r="H2342" s="1" t="str">
        <f t="shared" si="37"/>
        <v>k25_5</v>
      </c>
      <c r="K2342" s="1">
        <f>IF(E2342=0,SUMPRODUCT(($A$2:$A$4734=A2342)*($B$2:$B$4734=B2342)*($D$2:$D$4734=D2342)*($E$2:$E$4734=0)),0)</f>
        <v>0</v>
      </c>
      <c r="L2342" s="1" t="str">
        <f>IF(E2342=0,SUMPRODUCT(MIN($K$2:$K$4734+((($A$2:$A$4734&lt;&gt;A2342)+($E$2:$E$4734&lt;&gt;0))&gt;0)*1000000)),"")</f>
        <v/>
      </c>
      <c r="M2342" s="1">
        <f>IF(AND(E2342=0,COUNTIFS($A$2:A2342,A2342,$E$2:E2342,0)=1),L2342,0)</f>
        <v>0</v>
      </c>
    </row>
    <row r="2343" spans="1:13" ht="15" customHeight="1">
      <c r="A2343" s="1">
        <v>25</v>
      </c>
      <c r="B2343" s="1" t="s">
        <v>393</v>
      </c>
      <c r="C2343" s="2" t="s">
        <v>2678</v>
      </c>
      <c r="D2343" s="2" t="s">
        <v>2686</v>
      </c>
      <c r="E2343" s="1">
        <v>1</v>
      </c>
      <c r="F2343" s="2" t="s">
        <v>2707</v>
      </c>
      <c r="G2343" s="1">
        <v>6</v>
      </c>
      <c r="H2343" s="1" t="str">
        <f t="shared" si="37"/>
        <v>k25_6</v>
      </c>
      <c r="K2343" s="1">
        <f>IF(E2343=0,SUMPRODUCT(($A$2:$A$4734=A2343)*($B$2:$B$4734=B2343)*($D$2:$D$4734=D2343)*($E$2:$E$4734=0)),0)</f>
        <v>0</v>
      </c>
      <c r="L2343" s="1" t="str">
        <f>IF(E2343=0,SUMPRODUCT(MIN($K$2:$K$4734+((($A$2:$A$4734&lt;&gt;A2343)+($E$2:$E$4734&lt;&gt;0))&gt;0)*1000000)),"")</f>
        <v/>
      </c>
      <c r="M2343" s="1">
        <f>IF(AND(E2343=0,COUNTIFS($A$2:A2343,A2343,$E$2:E2343,0)=1),L2343,0)</f>
        <v>0</v>
      </c>
    </row>
    <row r="2344" spans="1:13" ht="15" customHeight="1">
      <c r="A2344" s="1">
        <v>25</v>
      </c>
      <c r="B2344" s="1" t="s">
        <v>16</v>
      </c>
      <c r="C2344" s="2" t="s">
        <v>2678</v>
      </c>
      <c r="D2344" s="2" t="s">
        <v>2708</v>
      </c>
      <c r="E2344" s="1">
        <v>1</v>
      </c>
      <c r="F2344" s="2" t="s">
        <v>2709</v>
      </c>
      <c r="G2344" s="1">
        <v>1</v>
      </c>
      <c r="H2344" s="1" t="str">
        <f t="shared" si="37"/>
        <v>k25_1</v>
      </c>
      <c r="K2344" s="1">
        <f>IF(E2344=0,SUMPRODUCT(($A$2:$A$4734=A2344)*($B$2:$B$4734=B2344)*($D$2:$D$4734=D2344)*($E$2:$E$4734=0)),0)</f>
        <v>0</v>
      </c>
      <c r="L2344" s="1" t="str">
        <f>IF(E2344=0,SUMPRODUCT(MIN($K$2:$K$4734+((($A$2:$A$4734&lt;&gt;A2344)+($E$2:$E$4734&lt;&gt;0))&gt;0)*1000000)),"")</f>
        <v/>
      </c>
      <c r="M2344" s="1">
        <f>IF(AND(E2344=0,COUNTIFS($A$2:A2344,A2344,$E$2:E2344,0)=1),L2344,0)</f>
        <v>0</v>
      </c>
    </row>
    <row r="2345" spans="1:13" ht="15" customHeight="1">
      <c r="A2345" s="1">
        <v>25</v>
      </c>
      <c r="B2345" s="1" t="s">
        <v>16</v>
      </c>
      <c r="C2345" s="2" t="s">
        <v>2678</v>
      </c>
      <c r="D2345" s="2" t="s">
        <v>2708</v>
      </c>
      <c r="E2345" s="1">
        <v>1</v>
      </c>
      <c r="F2345" s="2" t="s">
        <v>2710</v>
      </c>
      <c r="G2345" s="1">
        <v>2</v>
      </c>
      <c r="H2345" s="1" t="str">
        <f t="shared" si="37"/>
        <v>k25_2</v>
      </c>
      <c r="K2345" s="1">
        <f>IF(E2345=0,SUMPRODUCT(($A$2:$A$4734=A2345)*($B$2:$B$4734=B2345)*($D$2:$D$4734=D2345)*($E$2:$E$4734=0)),0)</f>
        <v>0</v>
      </c>
      <c r="L2345" s="1" t="str">
        <f>IF(E2345=0,SUMPRODUCT(MIN($K$2:$K$4734+((($A$2:$A$4734&lt;&gt;A2345)+($E$2:$E$4734&lt;&gt;0))&gt;0)*1000000)),"")</f>
        <v/>
      </c>
      <c r="M2345" s="1">
        <f>IF(AND(E2345=0,COUNTIFS($A$2:A2345,A2345,$E$2:E2345,0)=1),L2345,0)</f>
        <v>0</v>
      </c>
    </row>
    <row r="2346" spans="1:13" ht="15" customHeight="1">
      <c r="A2346" s="1">
        <v>25</v>
      </c>
      <c r="B2346" s="1" t="s">
        <v>16</v>
      </c>
      <c r="C2346" s="2" t="s">
        <v>2678</v>
      </c>
      <c r="D2346" s="2" t="s">
        <v>2708</v>
      </c>
      <c r="E2346" s="1">
        <v>1</v>
      </c>
      <c r="F2346" s="2" t="s">
        <v>2711</v>
      </c>
      <c r="G2346" s="1">
        <v>3</v>
      </c>
      <c r="H2346" s="1" t="str">
        <f t="shared" si="37"/>
        <v>k25_3</v>
      </c>
      <c r="K2346" s="1">
        <f>IF(E2346=0,SUMPRODUCT(($A$2:$A$4734=A2346)*($B$2:$B$4734=B2346)*($D$2:$D$4734=D2346)*($E$2:$E$4734=0)),0)</f>
        <v>0</v>
      </c>
      <c r="L2346" s="1" t="str">
        <f>IF(E2346=0,SUMPRODUCT(MIN($K$2:$K$4734+((($A$2:$A$4734&lt;&gt;A2346)+($E$2:$E$4734&lt;&gt;0))&gt;0)*1000000)),"")</f>
        <v/>
      </c>
      <c r="M2346" s="1">
        <f>IF(AND(E2346=0,COUNTIFS($A$2:A2346,A2346,$E$2:E2346,0)=1),L2346,0)</f>
        <v>0</v>
      </c>
    </row>
    <row r="2347" spans="1:13" ht="15" customHeight="1">
      <c r="A2347" s="1">
        <v>25</v>
      </c>
      <c r="B2347" s="1" t="s">
        <v>16</v>
      </c>
      <c r="C2347" s="2" t="s">
        <v>2678</v>
      </c>
      <c r="D2347" s="2" t="s">
        <v>2708</v>
      </c>
      <c r="E2347" s="1">
        <v>1</v>
      </c>
      <c r="F2347" s="2" t="s">
        <v>2712</v>
      </c>
      <c r="G2347" s="1">
        <v>4</v>
      </c>
      <c r="H2347" s="1" t="str">
        <f t="shared" si="37"/>
        <v>k25_4</v>
      </c>
      <c r="K2347" s="1">
        <f>IF(E2347=0,SUMPRODUCT(($A$2:$A$4734=A2347)*($B$2:$B$4734=B2347)*($D$2:$D$4734=D2347)*($E$2:$E$4734=0)),0)</f>
        <v>0</v>
      </c>
      <c r="L2347" s="1" t="str">
        <f>IF(E2347=0,SUMPRODUCT(MIN($K$2:$K$4734+((($A$2:$A$4734&lt;&gt;A2347)+($E$2:$E$4734&lt;&gt;0))&gt;0)*1000000)),"")</f>
        <v/>
      </c>
      <c r="M2347" s="1">
        <f>IF(AND(E2347=0,COUNTIFS($A$2:A2347,A2347,$E$2:E2347,0)=1),L2347,0)</f>
        <v>0</v>
      </c>
    </row>
    <row r="2348" spans="1:13" ht="15" customHeight="1">
      <c r="A2348" s="1">
        <v>25</v>
      </c>
      <c r="B2348" s="1" t="s">
        <v>16</v>
      </c>
      <c r="C2348" s="2" t="s">
        <v>2678</v>
      </c>
      <c r="D2348" s="2" t="s">
        <v>2708</v>
      </c>
      <c r="E2348" s="1">
        <v>1</v>
      </c>
      <c r="F2348" s="2" t="s">
        <v>2713</v>
      </c>
      <c r="G2348" s="1">
        <v>5</v>
      </c>
      <c r="H2348" s="1" t="str">
        <f t="shared" si="37"/>
        <v>k25_5</v>
      </c>
      <c r="K2348" s="1">
        <f>IF(E2348=0,SUMPRODUCT(($A$2:$A$4734=A2348)*($B$2:$B$4734=B2348)*($D$2:$D$4734=D2348)*($E$2:$E$4734=0)),0)</f>
        <v>0</v>
      </c>
      <c r="L2348" s="1" t="str">
        <f>IF(E2348=0,SUMPRODUCT(MIN($K$2:$K$4734+((($A$2:$A$4734&lt;&gt;A2348)+($E$2:$E$4734&lt;&gt;0))&gt;0)*1000000)),"")</f>
        <v/>
      </c>
      <c r="M2348" s="1">
        <f>IF(AND(E2348=0,COUNTIFS($A$2:A2348,A2348,$E$2:E2348,0)=1),L2348,0)</f>
        <v>0</v>
      </c>
    </row>
    <row r="2349" spans="1:13" ht="15" customHeight="1">
      <c r="A2349" s="1">
        <v>25</v>
      </c>
      <c r="B2349" s="1" t="s">
        <v>16</v>
      </c>
      <c r="C2349" s="2" t="s">
        <v>2678</v>
      </c>
      <c r="D2349" s="2" t="s">
        <v>2708</v>
      </c>
      <c r="E2349" s="1">
        <v>1</v>
      </c>
      <c r="F2349" s="2" t="s">
        <v>2714</v>
      </c>
      <c r="G2349" s="1">
        <v>6</v>
      </c>
      <c r="H2349" s="1" t="str">
        <f t="shared" si="37"/>
        <v>k25_6</v>
      </c>
      <c r="K2349" s="1">
        <f>IF(E2349=0,SUMPRODUCT(($A$2:$A$4734=A2349)*($B$2:$B$4734=B2349)*($D$2:$D$4734=D2349)*($E$2:$E$4734=0)),0)</f>
        <v>0</v>
      </c>
      <c r="L2349" s="1" t="str">
        <f>IF(E2349=0,SUMPRODUCT(MIN($K$2:$K$4734+((($A$2:$A$4734&lt;&gt;A2349)+($E$2:$E$4734&lt;&gt;0))&gt;0)*1000000)),"")</f>
        <v/>
      </c>
      <c r="M2349" s="1">
        <f>IF(AND(E2349=0,COUNTIFS($A$2:A2349,A2349,$E$2:E2349,0)=1),L2349,0)</f>
        <v>0</v>
      </c>
    </row>
    <row r="2350" spans="1:13" ht="15" customHeight="1">
      <c r="A2350" s="1">
        <v>26</v>
      </c>
      <c r="B2350" s="1" t="s">
        <v>16</v>
      </c>
      <c r="C2350" s="2" t="s">
        <v>2715</v>
      </c>
      <c r="D2350" s="2" t="s">
        <v>2716</v>
      </c>
      <c r="E2350" s="1">
        <v>1</v>
      </c>
      <c r="F2350" s="2" t="s">
        <v>2717</v>
      </c>
      <c r="G2350" s="1">
        <v>1</v>
      </c>
      <c r="H2350" s="1" t="str">
        <f t="shared" si="37"/>
        <v>k26_1</v>
      </c>
      <c r="K2350" s="1">
        <f>IF(E2350=0,SUMPRODUCT(($A$2:$A$4734=A2350)*($B$2:$B$4734=B2350)*($D$2:$D$4734=D2350)*($E$2:$E$4734=0)),0)</f>
        <v>0</v>
      </c>
      <c r="L2350" s="1" t="str">
        <f>IF(E2350=0,SUMPRODUCT(MIN($K$2:$K$4734+((($A$2:$A$4734&lt;&gt;A2350)+($E$2:$E$4734&lt;&gt;0))&gt;0)*1000000)),"")</f>
        <v/>
      </c>
      <c r="M2350" s="1">
        <f>IF(AND(E2350=0,COUNTIFS($A$2:A2350,A2350,$E$2:E2350,0)=1),L2350,0)</f>
        <v>0</v>
      </c>
    </row>
    <row r="2351" spans="1:13" ht="15" customHeight="1">
      <c r="A2351" s="1">
        <v>26</v>
      </c>
      <c r="B2351" s="1" t="s">
        <v>16</v>
      </c>
      <c r="C2351" s="2" t="s">
        <v>2715</v>
      </c>
      <c r="D2351" s="2" t="s">
        <v>2716</v>
      </c>
      <c r="E2351" s="1">
        <v>1</v>
      </c>
      <c r="F2351" s="2" t="s">
        <v>2718</v>
      </c>
      <c r="G2351" s="1">
        <v>2</v>
      </c>
      <c r="H2351" s="1" t="str">
        <f t="shared" si="37"/>
        <v>k26_2</v>
      </c>
      <c r="K2351" s="1">
        <f>IF(E2351=0,SUMPRODUCT(($A$2:$A$4734=A2351)*($B$2:$B$4734=B2351)*($D$2:$D$4734=D2351)*($E$2:$E$4734=0)),0)</f>
        <v>0</v>
      </c>
      <c r="L2351" s="1" t="str">
        <f>IF(E2351=0,SUMPRODUCT(MIN($K$2:$K$4734+((($A$2:$A$4734&lt;&gt;A2351)+($E$2:$E$4734&lt;&gt;0))&gt;0)*1000000)),"")</f>
        <v/>
      </c>
      <c r="M2351" s="1">
        <f>IF(AND(E2351=0,COUNTIFS($A$2:A2351,A2351,$E$2:E2351,0)=1),L2351,0)</f>
        <v>0</v>
      </c>
    </row>
    <row r="2352" spans="1:13" ht="15" customHeight="1">
      <c r="A2352" s="1">
        <v>26</v>
      </c>
      <c r="B2352" s="1" t="s">
        <v>16</v>
      </c>
      <c r="C2352" s="2" t="s">
        <v>2715</v>
      </c>
      <c r="D2352" s="2" t="s">
        <v>2716</v>
      </c>
      <c r="E2352" s="1">
        <v>1</v>
      </c>
      <c r="F2352" s="2" t="s">
        <v>2719</v>
      </c>
      <c r="G2352" s="1">
        <v>3</v>
      </c>
      <c r="H2352" s="1" t="str">
        <f t="shared" si="37"/>
        <v>k26_3</v>
      </c>
      <c r="K2352" s="1">
        <f>IF(E2352=0,SUMPRODUCT(($A$2:$A$4734=A2352)*($B$2:$B$4734=B2352)*($D$2:$D$4734=D2352)*($E$2:$E$4734=0)),0)</f>
        <v>0</v>
      </c>
      <c r="L2352" s="1" t="str">
        <f>IF(E2352=0,SUMPRODUCT(MIN($K$2:$K$4734+((($A$2:$A$4734&lt;&gt;A2352)+($E$2:$E$4734&lt;&gt;0))&gt;0)*1000000)),"")</f>
        <v/>
      </c>
      <c r="M2352" s="1">
        <f>IF(AND(E2352=0,COUNTIFS($A$2:A2352,A2352,$E$2:E2352,0)=1),L2352,0)</f>
        <v>0</v>
      </c>
    </row>
    <row r="2353" spans="1:13" ht="15" customHeight="1">
      <c r="A2353" s="1">
        <v>26</v>
      </c>
      <c r="B2353" s="1" t="s">
        <v>16</v>
      </c>
      <c r="C2353" s="2" t="s">
        <v>2715</v>
      </c>
      <c r="D2353" s="2" t="s">
        <v>2716</v>
      </c>
      <c r="E2353" s="1">
        <v>1</v>
      </c>
      <c r="F2353" s="2" t="s">
        <v>2720</v>
      </c>
      <c r="G2353" s="1">
        <v>4</v>
      </c>
      <c r="H2353" s="1" t="str">
        <f t="shared" si="37"/>
        <v>k26_4</v>
      </c>
      <c r="K2353" s="1">
        <f>IF(E2353=0,SUMPRODUCT(($A$2:$A$4734=A2353)*($B$2:$B$4734=B2353)*($D$2:$D$4734=D2353)*($E$2:$E$4734=0)),0)</f>
        <v>0</v>
      </c>
      <c r="L2353" s="1" t="str">
        <f>IF(E2353=0,SUMPRODUCT(MIN($K$2:$K$4734+((($A$2:$A$4734&lt;&gt;A2353)+($E$2:$E$4734&lt;&gt;0))&gt;0)*1000000)),"")</f>
        <v/>
      </c>
      <c r="M2353" s="1">
        <f>IF(AND(E2353=0,COUNTIFS($A$2:A2353,A2353,$E$2:E2353,0)=1),L2353,0)</f>
        <v>0</v>
      </c>
    </row>
    <row r="2354" spans="1:13" ht="15" customHeight="1">
      <c r="A2354" s="1">
        <v>26</v>
      </c>
      <c r="B2354" s="1" t="s">
        <v>16</v>
      </c>
      <c r="C2354" s="2" t="s">
        <v>2715</v>
      </c>
      <c r="D2354" s="2" t="s">
        <v>2716</v>
      </c>
      <c r="E2354" s="1">
        <v>1</v>
      </c>
      <c r="F2354" s="2" t="s">
        <v>2721</v>
      </c>
      <c r="G2354" s="1">
        <v>5</v>
      </c>
      <c r="H2354" s="1" t="str">
        <f t="shared" si="37"/>
        <v>k26_5</v>
      </c>
      <c r="K2354" s="1">
        <f>IF(E2354=0,SUMPRODUCT(($A$2:$A$4734=A2354)*($B$2:$B$4734=B2354)*($D$2:$D$4734=D2354)*($E$2:$E$4734=0)),0)</f>
        <v>0</v>
      </c>
      <c r="L2354" s="1" t="str">
        <f>IF(E2354=0,SUMPRODUCT(MIN($K$2:$K$4734+((($A$2:$A$4734&lt;&gt;A2354)+($E$2:$E$4734&lt;&gt;0))&gt;0)*1000000)),"")</f>
        <v/>
      </c>
      <c r="M2354" s="1">
        <f>IF(AND(E2354=0,COUNTIFS($A$2:A2354,A2354,$E$2:E2354,0)=1),L2354,0)</f>
        <v>0</v>
      </c>
    </row>
    <row r="2355" spans="1:13" ht="15" customHeight="1">
      <c r="A2355" s="1">
        <v>26</v>
      </c>
      <c r="B2355" s="1" t="s">
        <v>16</v>
      </c>
      <c r="C2355" s="2" t="s">
        <v>2715</v>
      </c>
      <c r="D2355" s="2" t="s">
        <v>2716</v>
      </c>
      <c r="E2355" s="1">
        <v>1</v>
      </c>
      <c r="F2355" s="2" t="s">
        <v>2722</v>
      </c>
      <c r="G2355" s="1">
        <v>6</v>
      </c>
      <c r="H2355" s="1" t="str">
        <f t="shared" si="37"/>
        <v>k26_6</v>
      </c>
      <c r="K2355" s="1">
        <f>IF(E2355=0,SUMPRODUCT(($A$2:$A$4734=A2355)*($B$2:$B$4734=B2355)*($D$2:$D$4734=D2355)*($E$2:$E$4734=0)),0)</f>
        <v>0</v>
      </c>
      <c r="L2355" s="1" t="str">
        <f>IF(E2355=0,SUMPRODUCT(MIN($K$2:$K$4734+((($A$2:$A$4734&lt;&gt;A2355)+($E$2:$E$4734&lt;&gt;0))&gt;0)*1000000)),"")</f>
        <v/>
      </c>
      <c r="M2355" s="1">
        <f>IF(AND(E2355=0,COUNTIFS($A$2:A2355,A2355,$E$2:E2355,0)=1),L2355,0)</f>
        <v>0</v>
      </c>
    </row>
    <row r="2356" spans="1:13" ht="15" customHeight="1">
      <c r="A2356" s="1">
        <v>27</v>
      </c>
      <c r="B2356" s="1" t="s">
        <v>9</v>
      </c>
      <c r="C2356" s="2" t="s">
        <v>2723</v>
      </c>
      <c r="D2356" s="2" t="s">
        <v>2724</v>
      </c>
      <c r="E2356" s="1">
        <v>1</v>
      </c>
      <c r="F2356" s="2" t="s">
        <v>2725</v>
      </c>
      <c r="G2356" s="1">
        <v>1</v>
      </c>
      <c r="H2356" s="1" t="str">
        <f t="shared" si="37"/>
        <v>k27_1</v>
      </c>
      <c r="K2356" s="1">
        <f>IF(E2356=0,SUMPRODUCT(($A$2:$A$4734=A2356)*($B$2:$B$4734=B2356)*($D$2:$D$4734=D2356)*($E$2:$E$4734=0)),0)</f>
        <v>0</v>
      </c>
      <c r="L2356" s="1" t="str">
        <f>IF(E2356=0,SUMPRODUCT(MIN($K$2:$K$4734+((($A$2:$A$4734&lt;&gt;A2356)+($E$2:$E$4734&lt;&gt;0))&gt;0)*1000000)),"")</f>
        <v/>
      </c>
      <c r="M2356" s="1">
        <f>IF(AND(E2356=0,COUNTIFS($A$2:A2356,A2356,$E$2:E2356,0)=1),L2356,0)</f>
        <v>0</v>
      </c>
    </row>
    <row r="2357" spans="1:13" ht="15" customHeight="1">
      <c r="A2357" s="1">
        <v>27</v>
      </c>
      <c r="B2357" s="1" t="s">
        <v>9</v>
      </c>
      <c r="C2357" s="2" t="s">
        <v>2723</v>
      </c>
      <c r="D2357" s="2" t="s">
        <v>2724</v>
      </c>
      <c r="E2357" s="1">
        <v>1</v>
      </c>
      <c r="F2357" s="2" t="s">
        <v>2726</v>
      </c>
      <c r="G2357" s="1">
        <v>2</v>
      </c>
      <c r="H2357" s="1" t="str">
        <f t="shared" si="37"/>
        <v>k27_2</v>
      </c>
      <c r="K2357" s="1">
        <f>IF(E2357=0,SUMPRODUCT(($A$2:$A$4734=A2357)*($B$2:$B$4734=B2357)*($D$2:$D$4734=D2357)*($E$2:$E$4734=0)),0)</f>
        <v>0</v>
      </c>
      <c r="L2357" s="1" t="str">
        <f>IF(E2357=0,SUMPRODUCT(MIN($K$2:$K$4734+((($A$2:$A$4734&lt;&gt;A2357)+($E$2:$E$4734&lt;&gt;0))&gt;0)*1000000)),"")</f>
        <v/>
      </c>
      <c r="M2357" s="1">
        <f>IF(AND(E2357=0,COUNTIFS($A$2:A2357,A2357,$E$2:E2357,0)=1),L2357,0)</f>
        <v>0</v>
      </c>
    </row>
    <row r="2358" spans="1:13" ht="15" customHeight="1">
      <c r="A2358" s="1">
        <v>27</v>
      </c>
      <c r="B2358" s="1" t="s">
        <v>9</v>
      </c>
      <c r="C2358" s="2" t="s">
        <v>2723</v>
      </c>
      <c r="D2358" s="2" t="s">
        <v>2724</v>
      </c>
      <c r="E2358" s="1">
        <v>1</v>
      </c>
      <c r="F2358" s="2" t="s">
        <v>2727</v>
      </c>
      <c r="G2358" s="1">
        <v>3</v>
      </c>
      <c r="H2358" s="1" t="str">
        <f t="shared" si="37"/>
        <v>k27_3</v>
      </c>
      <c r="K2358" s="1">
        <f>IF(E2358=0,SUMPRODUCT(($A$2:$A$4734=A2358)*($B$2:$B$4734=B2358)*($D$2:$D$4734=D2358)*($E$2:$E$4734=0)),0)</f>
        <v>0</v>
      </c>
      <c r="L2358" s="1" t="str">
        <f>IF(E2358=0,SUMPRODUCT(MIN($K$2:$K$4734+((($A$2:$A$4734&lt;&gt;A2358)+($E$2:$E$4734&lt;&gt;0))&gt;0)*1000000)),"")</f>
        <v/>
      </c>
      <c r="M2358" s="1">
        <f>IF(AND(E2358=0,COUNTIFS($A$2:A2358,A2358,$E$2:E2358,0)=1),L2358,0)</f>
        <v>0</v>
      </c>
    </row>
    <row r="2359" spans="1:13" ht="15" customHeight="1">
      <c r="A2359" s="1">
        <v>27</v>
      </c>
      <c r="B2359" s="1" t="s">
        <v>9</v>
      </c>
      <c r="C2359" s="2" t="s">
        <v>2723</v>
      </c>
      <c r="D2359" s="2" t="s">
        <v>2724</v>
      </c>
      <c r="E2359" s="1">
        <v>1</v>
      </c>
      <c r="F2359" s="2" t="s">
        <v>2728</v>
      </c>
      <c r="G2359" s="1">
        <v>4</v>
      </c>
      <c r="H2359" s="1" t="str">
        <f t="shared" si="37"/>
        <v>k27_4</v>
      </c>
      <c r="K2359" s="1">
        <f>IF(E2359=0,SUMPRODUCT(($A$2:$A$4734=A2359)*($B$2:$B$4734=B2359)*($D$2:$D$4734=D2359)*($E$2:$E$4734=0)),0)</f>
        <v>0</v>
      </c>
      <c r="L2359" s="1" t="str">
        <f>IF(E2359=0,SUMPRODUCT(MIN($K$2:$K$4734+((($A$2:$A$4734&lt;&gt;A2359)+($E$2:$E$4734&lt;&gt;0))&gt;0)*1000000)),"")</f>
        <v/>
      </c>
      <c r="M2359" s="1">
        <f>IF(AND(E2359=0,COUNTIFS($A$2:A2359,A2359,$E$2:E2359,0)=1),L2359,0)</f>
        <v>0</v>
      </c>
    </row>
    <row r="2360" spans="1:13" ht="15" customHeight="1">
      <c r="A2360" s="1">
        <v>27</v>
      </c>
      <c r="B2360" s="1" t="s">
        <v>9</v>
      </c>
      <c r="C2360" s="2" t="s">
        <v>2723</v>
      </c>
      <c r="D2360" s="2" t="s">
        <v>2729</v>
      </c>
      <c r="E2360" s="1">
        <v>1</v>
      </c>
      <c r="F2360" s="2" t="s">
        <v>2730</v>
      </c>
      <c r="G2360" s="1">
        <v>2</v>
      </c>
      <c r="H2360" s="1" t="str">
        <f t="shared" si="37"/>
        <v>k27_2</v>
      </c>
      <c r="K2360" s="1">
        <f>IF(E2360=0,SUMPRODUCT(($A$2:$A$4734=A2360)*($B$2:$B$4734=B2360)*($D$2:$D$4734=D2360)*($E$2:$E$4734=0)),0)</f>
        <v>0</v>
      </c>
      <c r="L2360" s="1" t="str">
        <f>IF(E2360=0,SUMPRODUCT(MIN($K$2:$K$4734+((($A$2:$A$4734&lt;&gt;A2360)+($E$2:$E$4734&lt;&gt;0))&gt;0)*1000000)),"")</f>
        <v/>
      </c>
      <c r="M2360" s="1">
        <f>IF(AND(E2360=0,COUNTIFS($A$2:A2360,A2360,$E$2:E2360,0)=1),L2360,0)</f>
        <v>0</v>
      </c>
    </row>
    <row r="2361" spans="1:13" ht="15" customHeight="1">
      <c r="A2361" s="1">
        <v>27</v>
      </c>
      <c r="B2361" s="1" t="s">
        <v>9</v>
      </c>
      <c r="C2361" s="2" t="s">
        <v>2723</v>
      </c>
      <c r="D2361" s="2" t="s">
        <v>2729</v>
      </c>
      <c r="E2361" s="1">
        <v>1</v>
      </c>
      <c r="F2361" s="2" t="s">
        <v>2731</v>
      </c>
      <c r="G2361" s="1">
        <v>3</v>
      </c>
      <c r="H2361" s="1" t="str">
        <f t="shared" si="37"/>
        <v>k27_3</v>
      </c>
      <c r="K2361" s="1">
        <f>IF(E2361=0,SUMPRODUCT(($A$2:$A$4734=A2361)*($B$2:$B$4734=B2361)*($D$2:$D$4734=D2361)*($E$2:$E$4734=0)),0)</f>
        <v>0</v>
      </c>
      <c r="L2361" s="1" t="str">
        <f>IF(E2361=0,SUMPRODUCT(MIN($K$2:$K$4734+((($A$2:$A$4734&lt;&gt;A2361)+($E$2:$E$4734&lt;&gt;0))&gt;0)*1000000)),"")</f>
        <v/>
      </c>
      <c r="M2361" s="1">
        <f>IF(AND(E2361=0,COUNTIFS($A$2:A2361,A2361,$E$2:E2361,0)=1),L2361,0)</f>
        <v>0</v>
      </c>
    </row>
    <row r="2362" spans="1:13" ht="15" customHeight="1">
      <c r="A2362" s="1">
        <v>27</v>
      </c>
      <c r="B2362" s="1" t="s">
        <v>9</v>
      </c>
      <c r="C2362" s="2" t="s">
        <v>2723</v>
      </c>
      <c r="D2362" s="2" t="s">
        <v>2729</v>
      </c>
      <c r="E2362" s="1">
        <v>1</v>
      </c>
      <c r="F2362" s="2" t="s">
        <v>2732</v>
      </c>
      <c r="G2362" s="1">
        <v>1</v>
      </c>
      <c r="H2362" s="1" t="str">
        <f t="shared" si="37"/>
        <v>k27_1</v>
      </c>
      <c r="K2362" s="1">
        <f>IF(E2362=0,SUMPRODUCT(($A$2:$A$4734=A2362)*($B$2:$B$4734=B2362)*($D$2:$D$4734=D2362)*($E$2:$E$4734=0)),0)</f>
        <v>0</v>
      </c>
      <c r="L2362" s="1" t="str">
        <f>IF(E2362=0,SUMPRODUCT(MIN($K$2:$K$4734+((($A$2:$A$4734&lt;&gt;A2362)+($E$2:$E$4734&lt;&gt;0))&gt;0)*1000000)),"")</f>
        <v/>
      </c>
      <c r="M2362" s="1">
        <f>IF(AND(E2362=0,COUNTIFS($A$2:A2362,A2362,$E$2:E2362,0)=1),L2362,0)</f>
        <v>0</v>
      </c>
    </row>
    <row r="2363" spans="1:13" ht="15" customHeight="1">
      <c r="A2363" s="1">
        <v>27</v>
      </c>
      <c r="B2363" s="1" t="s">
        <v>9</v>
      </c>
      <c r="C2363" s="2" t="s">
        <v>2723</v>
      </c>
      <c r="D2363" s="2" t="s">
        <v>2729</v>
      </c>
      <c r="E2363" s="1">
        <v>1</v>
      </c>
      <c r="F2363" s="2" t="s">
        <v>2733</v>
      </c>
      <c r="G2363" s="1">
        <v>4</v>
      </c>
      <c r="H2363" s="1" t="str">
        <f t="shared" si="37"/>
        <v>k27_4</v>
      </c>
      <c r="K2363" s="1">
        <f>IF(E2363=0,SUMPRODUCT(($A$2:$A$4734=A2363)*($B$2:$B$4734=B2363)*($D$2:$D$4734=D2363)*($E$2:$E$4734=0)),0)</f>
        <v>0</v>
      </c>
      <c r="L2363" s="1" t="str">
        <f>IF(E2363=0,SUMPRODUCT(MIN($K$2:$K$4734+((($A$2:$A$4734&lt;&gt;A2363)+($E$2:$E$4734&lt;&gt;0))&gt;0)*1000000)),"")</f>
        <v/>
      </c>
      <c r="M2363" s="1">
        <f>IF(AND(E2363=0,COUNTIFS($A$2:A2363,A2363,$E$2:E2363,0)=1),L2363,0)</f>
        <v>0</v>
      </c>
    </row>
    <row r="2364" spans="1:13" ht="15" customHeight="1">
      <c r="A2364" s="1">
        <v>27</v>
      </c>
      <c r="B2364" s="1" t="s">
        <v>9</v>
      </c>
      <c r="C2364" s="2" t="s">
        <v>2723</v>
      </c>
      <c r="D2364" s="2" t="s">
        <v>2734</v>
      </c>
      <c r="E2364" s="1">
        <v>1</v>
      </c>
      <c r="F2364" s="2" t="s">
        <v>2735</v>
      </c>
      <c r="G2364" s="1">
        <v>3</v>
      </c>
      <c r="H2364" s="1" t="str">
        <f t="shared" si="37"/>
        <v>k27_3</v>
      </c>
      <c r="K2364" s="1">
        <f>IF(E2364=0,SUMPRODUCT(($A$2:$A$4734=A2364)*($B$2:$B$4734=B2364)*($D$2:$D$4734=D2364)*($E$2:$E$4734=0)),0)</f>
        <v>0</v>
      </c>
      <c r="L2364" s="1" t="str">
        <f>IF(E2364=0,SUMPRODUCT(MIN($K$2:$K$4734+((($A$2:$A$4734&lt;&gt;A2364)+($E$2:$E$4734&lt;&gt;0))&gt;0)*1000000)),"")</f>
        <v/>
      </c>
      <c r="M2364" s="1">
        <f>IF(AND(E2364=0,COUNTIFS($A$2:A2364,A2364,$E$2:E2364,0)=1),L2364,0)</f>
        <v>0</v>
      </c>
    </row>
    <row r="2365" spans="1:13" ht="15" customHeight="1">
      <c r="A2365" s="1">
        <v>27</v>
      </c>
      <c r="B2365" s="1" t="s">
        <v>9</v>
      </c>
      <c r="C2365" s="2" t="s">
        <v>2723</v>
      </c>
      <c r="D2365" s="2" t="s">
        <v>2734</v>
      </c>
      <c r="E2365" s="1">
        <v>1</v>
      </c>
      <c r="F2365" s="2" t="s">
        <v>2736</v>
      </c>
      <c r="G2365" s="1">
        <v>1</v>
      </c>
      <c r="H2365" s="1" t="str">
        <f t="shared" si="37"/>
        <v>k27_1</v>
      </c>
      <c r="K2365" s="1">
        <f>IF(E2365=0,SUMPRODUCT(($A$2:$A$4734=A2365)*($B$2:$B$4734=B2365)*($D$2:$D$4734=D2365)*($E$2:$E$4734=0)),0)</f>
        <v>0</v>
      </c>
      <c r="L2365" s="1" t="str">
        <f>IF(E2365=0,SUMPRODUCT(MIN($K$2:$K$4734+((($A$2:$A$4734&lt;&gt;A2365)+($E$2:$E$4734&lt;&gt;0))&gt;0)*1000000)),"")</f>
        <v/>
      </c>
      <c r="M2365" s="1">
        <f>IF(AND(E2365=0,COUNTIFS($A$2:A2365,A2365,$E$2:E2365,0)=1),L2365,0)</f>
        <v>0</v>
      </c>
    </row>
    <row r="2366" spans="1:13" ht="15" customHeight="1">
      <c r="A2366" s="1">
        <v>27</v>
      </c>
      <c r="B2366" s="1" t="s">
        <v>9</v>
      </c>
      <c r="C2366" s="2" t="s">
        <v>2723</v>
      </c>
      <c r="D2366" s="2" t="s">
        <v>2734</v>
      </c>
      <c r="E2366" s="1">
        <v>1</v>
      </c>
      <c r="F2366" s="2" t="s">
        <v>2737</v>
      </c>
      <c r="G2366" s="1">
        <v>4</v>
      </c>
      <c r="H2366" s="1" t="str">
        <f t="shared" si="37"/>
        <v>k27_4</v>
      </c>
      <c r="K2366" s="1">
        <f>IF(E2366=0,SUMPRODUCT(($A$2:$A$4734=A2366)*($B$2:$B$4734=B2366)*($D$2:$D$4734=D2366)*($E$2:$E$4734=0)),0)</f>
        <v>0</v>
      </c>
      <c r="L2366" s="1" t="str">
        <f>IF(E2366=0,SUMPRODUCT(MIN($K$2:$K$4734+((($A$2:$A$4734&lt;&gt;A2366)+($E$2:$E$4734&lt;&gt;0))&gt;0)*1000000)),"")</f>
        <v/>
      </c>
      <c r="M2366" s="1">
        <f>IF(AND(E2366=0,COUNTIFS($A$2:A2366,A2366,$E$2:E2366,0)=1),L2366,0)</f>
        <v>0</v>
      </c>
    </row>
    <row r="2367" spans="1:13" ht="15" customHeight="1">
      <c r="A2367" s="1">
        <v>27</v>
      </c>
      <c r="B2367" s="1" t="s">
        <v>9</v>
      </c>
      <c r="C2367" s="2" t="s">
        <v>2723</v>
      </c>
      <c r="D2367" s="2" t="s">
        <v>2734</v>
      </c>
      <c r="E2367" s="1">
        <v>1</v>
      </c>
      <c r="F2367" s="2" t="s">
        <v>2738</v>
      </c>
      <c r="G2367" s="1">
        <v>2</v>
      </c>
      <c r="H2367" s="1" t="str">
        <f t="shared" si="37"/>
        <v>k27_2</v>
      </c>
      <c r="K2367" s="1">
        <f>IF(E2367=0,SUMPRODUCT(($A$2:$A$4734=A2367)*($B$2:$B$4734=B2367)*($D$2:$D$4734=D2367)*($E$2:$E$4734=0)),0)</f>
        <v>0</v>
      </c>
      <c r="L2367" s="1" t="str">
        <f>IF(E2367=0,SUMPRODUCT(MIN($K$2:$K$4734+((($A$2:$A$4734&lt;&gt;A2367)+($E$2:$E$4734&lt;&gt;0))&gt;0)*1000000)),"")</f>
        <v/>
      </c>
      <c r="M2367" s="1">
        <f>IF(AND(E2367=0,COUNTIFS($A$2:A2367,A2367,$E$2:E2367,0)=1),L2367,0)</f>
        <v>0</v>
      </c>
    </row>
    <row r="2368" spans="1:13" ht="15" customHeight="1">
      <c r="A2368" s="1">
        <v>27</v>
      </c>
      <c r="B2368" s="1" t="s">
        <v>16</v>
      </c>
      <c r="C2368" s="2" t="s">
        <v>2723</v>
      </c>
      <c r="D2368" s="2" t="s">
        <v>2724</v>
      </c>
      <c r="E2368" s="1">
        <v>1</v>
      </c>
      <c r="F2368" s="2" t="s">
        <v>2739</v>
      </c>
      <c r="G2368" s="1">
        <v>1</v>
      </c>
      <c r="H2368" s="1" t="str">
        <f t="shared" si="37"/>
        <v>k27_1</v>
      </c>
      <c r="K2368" s="1">
        <f>IF(E2368=0,SUMPRODUCT(($A$2:$A$4734=A2368)*($B$2:$B$4734=B2368)*($D$2:$D$4734=D2368)*($E$2:$E$4734=0)),0)</f>
        <v>0</v>
      </c>
      <c r="L2368" s="1" t="str">
        <f>IF(E2368=0,SUMPRODUCT(MIN($K$2:$K$4734+((($A$2:$A$4734&lt;&gt;A2368)+($E$2:$E$4734&lt;&gt;0))&gt;0)*1000000)),"")</f>
        <v/>
      </c>
      <c r="M2368" s="1">
        <f>IF(AND(E2368=0,COUNTIFS($A$2:A2368,A2368,$E$2:E2368,0)=1),L2368,0)</f>
        <v>0</v>
      </c>
    </row>
    <row r="2369" spans="1:13" ht="15" customHeight="1">
      <c r="A2369" s="1">
        <v>27</v>
      </c>
      <c r="B2369" s="1" t="s">
        <v>16</v>
      </c>
      <c r="C2369" s="2" t="s">
        <v>2723</v>
      </c>
      <c r="D2369" s="2" t="s">
        <v>2724</v>
      </c>
      <c r="E2369" s="1">
        <v>1</v>
      </c>
      <c r="F2369" s="2" t="s">
        <v>2740</v>
      </c>
      <c r="G2369" s="1">
        <v>2</v>
      </c>
      <c r="H2369" s="1" t="str">
        <f t="shared" si="37"/>
        <v>k27_2</v>
      </c>
      <c r="K2369" s="1">
        <f>IF(E2369=0,SUMPRODUCT(($A$2:$A$4734=A2369)*($B$2:$B$4734=B2369)*($D$2:$D$4734=D2369)*($E$2:$E$4734=0)),0)</f>
        <v>0</v>
      </c>
      <c r="L2369" s="1" t="str">
        <f>IF(E2369=0,SUMPRODUCT(MIN($K$2:$K$4734+((($A$2:$A$4734&lt;&gt;A2369)+($E$2:$E$4734&lt;&gt;0))&gt;0)*1000000)),"")</f>
        <v/>
      </c>
      <c r="M2369" s="1">
        <f>IF(AND(E2369=0,COUNTIFS($A$2:A2369,A2369,$E$2:E2369,0)=1),L2369,0)</f>
        <v>0</v>
      </c>
    </row>
    <row r="2370" spans="1:13" ht="15" customHeight="1">
      <c r="A2370" s="1">
        <v>27</v>
      </c>
      <c r="B2370" s="1" t="s">
        <v>16</v>
      </c>
      <c r="C2370" s="2" t="s">
        <v>2723</v>
      </c>
      <c r="D2370" s="2" t="s">
        <v>2724</v>
      </c>
      <c r="E2370" s="1">
        <v>1</v>
      </c>
      <c r="F2370" s="2" t="s">
        <v>2741</v>
      </c>
      <c r="G2370" s="1">
        <v>3</v>
      </c>
      <c r="H2370" s="1" t="str">
        <f t="shared" si="37"/>
        <v>k27_3</v>
      </c>
      <c r="K2370" s="1">
        <f>IF(E2370=0,SUMPRODUCT(($A$2:$A$4734=A2370)*($B$2:$B$4734=B2370)*($D$2:$D$4734=D2370)*($E$2:$E$4734=0)),0)</f>
        <v>0</v>
      </c>
      <c r="L2370" s="1" t="str">
        <f>IF(E2370=0,SUMPRODUCT(MIN($K$2:$K$4734+((($A$2:$A$4734&lt;&gt;A2370)+($E$2:$E$4734&lt;&gt;0))&gt;0)*1000000)),"")</f>
        <v/>
      </c>
      <c r="M2370" s="1">
        <f>IF(AND(E2370=0,COUNTIFS($A$2:A2370,A2370,$E$2:E2370,0)=1),L2370,0)</f>
        <v>0</v>
      </c>
    </row>
    <row r="2371" spans="1:13" ht="15" customHeight="1">
      <c r="A2371" s="1">
        <v>27</v>
      </c>
      <c r="B2371" s="1" t="s">
        <v>16</v>
      </c>
      <c r="C2371" s="2" t="s">
        <v>2723</v>
      </c>
      <c r="D2371" s="2" t="s">
        <v>2724</v>
      </c>
      <c r="E2371" s="1">
        <v>1</v>
      </c>
      <c r="F2371" s="2" t="s">
        <v>2742</v>
      </c>
      <c r="G2371" s="1">
        <v>4</v>
      </c>
      <c r="H2371" s="1" t="str">
        <f t="shared" si="37"/>
        <v>k27_4</v>
      </c>
      <c r="K2371" s="1">
        <f>IF(E2371=0,SUMPRODUCT(($A$2:$A$4734=A2371)*($B$2:$B$4734=B2371)*($D$2:$D$4734=D2371)*($E$2:$E$4734=0)),0)</f>
        <v>0</v>
      </c>
      <c r="L2371" s="1" t="str">
        <f>IF(E2371=0,SUMPRODUCT(MIN($K$2:$K$4734+((($A$2:$A$4734&lt;&gt;A2371)+($E$2:$E$4734&lt;&gt;0))&gt;0)*1000000)),"")</f>
        <v/>
      </c>
      <c r="M2371" s="1">
        <f>IF(AND(E2371=0,COUNTIFS($A$2:A2371,A2371,$E$2:E2371,0)=1),L2371,0)</f>
        <v>0</v>
      </c>
    </row>
    <row r="2372" spans="1:13" ht="15" customHeight="1">
      <c r="A2372" s="1">
        <v>27</v>
      </c>
      <c r="B2372" s="1" t="s">
        <v>69</v>
      </c>
      <c r="C2372" s="2" t="s">
        <v>2723</v>
      </c>
      <c r="D2372" s="2" t="s">
        <v>2743</v>
      </c>
      <c r="E2372" s="1">
        <v>1</v>
      </c>
      <c r="F2372" s="2" t="s">
        <v>2744</v>
      </c>
      <c r="G2372" s="1">
        <v>2</v>
      </c>
      <c r="H2372" s="1" t="str">
        <f t="shared" si="37"/>
        <v>k27_2</v>
      </c>
      <c r="K2372" s="1">
        <f>IF(E2372=0,SUMPRODUCT(($A$2:$A$4734=A2372)*($B$2:$B$4734=B2372)*($D$2:$D$4734=D2372)*($E$2:$E$4734=0)),0)</f>
        <v>0</v>
      </c>
      <c r="L2372" s="1" t="str">
        <f>IF(E2372=0,SUMPRODUCT(MIN($K$2:$K$4734+((($A$2:$A$4734&lt;&gt;A2372)+($E$2:$E$4734&lt;&gt;0))&gt;0)*1000000)),"")</f>
        <v/>
      </c>
      <c r="M2372" s="1">
        <f>IF(AND(E2372=0,COUNTIFS($A$2:A2372,A2372,$E$2:E2372,0)=1),L2372,0)</f>
        <v>0</v>
      </c>
    </row>
    <row r="2373" spans="1:13" ht="15" customHeight="1">
      <c r="A2373" s="1">
        <v>27</v>
      </c>
      <c r="B2373" s="1" t="s">
        <v>69</v>
      </c>
      <c r="C2373" s="2" t="s">
        <v>2723</v>
      </c>
      <c r="D2373" s="2" t="s">
        <v>2743</v>
      </c>
      <c r="E2373" s="1">
        <v>1</v>
      </c>
      <c r="F2373" s="2" t="s">
        <v>2745</v>
      </c>
      <c r="G2373" s="1">
        <v>3</v>
      </c>
      <c r="H2373" s="1" t="str">
        <f t="shared" si="37"/>
        <v>k27_3</v>
      </c>
      <c r="K2373" s="1">
        <f>IF(E2373=0,SUMPRODUCT(($A$2:$A$4734=A2373)*($B$2:$B$4734=B2373)*($D$2:$D$4734=D2373)*($E$2:$E$4734=0)),0)</f>
        <v>0</v>
      </c>
      <c r="L2373" s="1" t="str">
        <f>IF(E2373=0,SUMPRODUCT(MIN($K$2:$K$4734+((($A$2:$A$4734&lt;&gt;A2373)+($E$2:$E$4734&lt;&gt;0))&gt;0)*1000000)),"")</f>
        <v/>
      </c>
      <c r="M2373" s="1">
        <f>IF(AND(E2373=0,COUNTIFS($A$2:A2373,A2373,$E$2:E2373,0)=1),L2373,0)</f>
        <v>0</v>
      </c>
    </row>
    <row r="2374" spans="1:13" ht="15" customHeight="1">
      <c r="A2374" s="1">
        <v>27</v>
      </c>
      <c r="B2374" s="1" t="s">
        <v>69</v>
      </c>
      <c r="C2374" s="2" t="s">
        <v>2723</v>
      </c>
      <c r="D2374" s="2" t="s">
        <v>2743</v>
      </c>
      <c r="E2374" s="1">
        <v>1</v>
      </c>
      <c r="F2374" s="2" t="s">
        <v>2746</v>
      </c>
      <c r="G2374" s="1">
        <v>1</v>
      </c>
      <c r="H2374" s="1" t="str">
        <f t="shared" si="37"/>
        <v>k27_1</v>
      </c>
      <c r="K2374" s="1">
        <f>IF(E2374=0,SUMPRODUCT(($A$2:$A$4734=A2374)*($B$2:$B$4734=B2374)*($D$2:$D$4734=D2374)*($E$2:$E$4734=0)),0)</f>
        <v>0</v>
      </c>
      <c r="L2374" s="1" t="str">
        <f>IF(E2374=0,SUMPRODUCT(MIN($K$2:$K$4734+((($A$2:$A$4734&lt;&gt;A2374)+($E$2:$E$4734&lt;&gt;0))&gt;0)*1000000)),"")</f>
        <v/>
      </c>
      <c r="M2374" s="1">
        <f>IF(AND(E2374=0,COUNTIFS($A$2:A2374,A2374,$E$2:E2374,0)=1),L2374,0)</f>
        <v>0</v>
      </c>
    </row>
    <row r="2375" spans="1:13" ht="15" customHeight="1">
      <c r="A2375" s="1">
        <v>27</v>
      </c>
      <c r="B2375" s="1" t="s">
        <v>69</v>
      </c>
      <c r="C2375" s="2" t="s">
        <v>2723</v>
      </c>
      <c r="D2375" s="2" t="s">
        <v>2743</v>
      </c>
      <c r="E2375" s="1">
        <v>1</v>
      </c>
      <c r="F2375" s="2" t="s">
        <v>2747</v>
      </c>
      <c r="G2375" s="1">
        <v>4</v>
      </c>
      <c r="H2375" s="1" t="str">
        <f t="shared" si="37"/>
        <v>k27_4</v>
      </c>
      <c r="K2375" s="1">
        <f>IF(E2375=0,SUMPRODUCT(($A$2:$A$4734=A2375)*($B$2:$B$4734=B2375)*($D$2:$D$4734=D2375)*($E$2:$E$4734=0)),0)</f>
        <v>0</v>
      </c>
      <c r="L2375" s="1" t="str">
        <f>IF(E2375=0,SUMPRODUCT(MIN($K$2:$K$4734+((($A$2:$A$4734&lt;&gt;A2375)+($E$2:$E$4734&lt;&gt;0))&gt;0)*1000000)),"")</f>
        <v/>
      </c>
      <c r="M2375" s="1">
        <f>IF(AND(E2375=0,COUNTIFS($A$2:A2375,A2375,$E$2:E2375,0)=1),L2375,0)</f>
        <v>0</v>
      </c>
    </row>
    <row r="2376" spans="1:13" ht="15" customHeight="1">
      <c r="A2376" s="1">
        <v>28</v>
      </c>
      <c r="B2376" s="1" t="s">
        <v>9</v>
      </c>
      <c r="C2376" s="2" t="s">
        <v>2748</v>
      </c>
      <c r="D2376" s="2" t="s">
        <v>2749</v>
      </c>
      <c r="E2376" s="1">
        <v>1</v>
      </c>
      <c r="F2376" s="2" t="s">
        <v>2750</v>
      </c>
      <c r="G2376" s="1">
        <v>2</v>
      </c>
      <c r="H2376" s="1" t="str">
        <f t="shared" si="37"/>
        <v>k28_2</v>
      </c>
      <c r="K2376" s="1">
        <f>IF(E2376=0,SUMPRODUCT(($A$2:$A$4734=A2376)*($B$2:$B$4734=B2376)*($D$2:$D$4734=D2376)*($E$2:$E$4734=0)),0)</f>
        <v>0</v>
      </c>
      <c r="L2376" s="1" t="str">
        <f>IF(E2376=0,SUMPRODUCT(MIN($K$2:$K$4734+((($A$2:$A$4734&lt;&gt;A2376)+($E$2:$E$4734&lt;&gt;0))&gt;0)*1000000)),"")</f>
        <v/>
      </c>
      <c r="M2376" s="1">
        <f>IF(AND(E2376=0,COUNTIFS($A$2:A2376,A2376,$E$2:E2376,0)=1),L2376,0)</f>
        <v>0</v>
      </c>
    </row>
    <row r="2377" spans="1:13" ht="15" customHeight="1">
      <c r="A2377" s="1">
        <v>28</v>
      </c>
      <c r="B2377" s="1" t="s">
        <v>9</v>
      </c>
      <c r="C2377" s="2" t="s">
        <v>2748</v>
      </c>
      <c r="D2377" s="2" t="s">
        <v>2749</v>
      </c>
      <c r="E2377" s="1">
        <v>1</v>
      </c>
      <c r="F2377" s="2" t="s">
        <v>2751</v>
      </c>
      <c r="G2377" s="1">
        <v>1</v>
      </c>
      <c r="H2377" s="1" t="str">
        <f t="shared" si="37"/>
        <v>k28_1</v>
      </c>
      <c r="K2377" s="1">
        <f>IF(E2377=0,SUMPRODUCT(($A$2:$A$4734=A2377)*($B$2:$B$4734=B2377)*($D$2:$D$4734=D2377)*($E$2:$E$4734=0)),0)</f>
        <v>0</v>
      </c>
      <c r="L2377" s="1" t="str">
        <f>IF(E2377=0,SUMPRODUCT(MIN($K$2:$K$4734+((($A$2:$A$4734&lt;&gt;A2377)+($E$2:$E$4734&lt;&gt;0))&gt;0)*1000000)),"")</f>
        <v/>
      </c>
      <c r="M2377" s="1">
        <f>IF(AND(E2377=0,COUNTIFS($A$2:A2377,A2377,$E$2:E2377,0)=1),L2377,0)</f>
        <v>0</v>
      </c>
    </row>
    <row r="2378" spans="1:13" ht="15" customHeight="1">
      <c r="A2378" s="1">
        <v>28</v>
      </c>
      <c r="B2378" s="1" t="s">
        <v>9</v>
      </c>
      <c r="C2378" s="2" t="s">
        <v>2748</v>
      </c>
      <c r="D2378" s="2" t="s">
        <v>2749</v>
      </c>
      <c r="E2378" s="1">
        <v>1</v>
      </c>
      <c r="F2378" s="2" t="s">
        <v>2751</v>
      </c>
      <c r="G2378" s="1">
        <v>5</v>
      </c>
      <c r="H2378" s="1" t="str">
        <f t="shared" si="37"/>
        <v>k28_5</v>
      </c>
      <c r="K2378" s="1">
        <f>IF(E2378=0,SUMPRODUCT(($A$2:$A$4734=A2378)*($B$2:$B$4734=B2378)*($D$2:$D$4734=D2378)*($E$2:$E$4734=0)),0)</f>
        <v>0</v>
      </c>
      <c r="L2378" s="1" t="str">
        <f>IF(E2378=0,SUMPRODUCT(MIN($K$2:$K$4734+((($A$2:$A$4734&lt;&gt;A2378)+($E$2:$E$4734&lt;&gt;0))&gt;0)*1000000)),"")</f>
        <v/>
      </c>
      <c r="M2378" s="1">
        <f>IF(AND(E2378=0,COUNTIFS($A$2:A2378,A2378,$E$2:E2378,0)=1),L2378,0)</f>
        <v>0</v>
      </c>
    </row>
    <row r="2379" spans="1:13" ht="15" customHeight="1">
      <c r="A2379" s="1">
        <v>28</v>
      </c>
      <c r="B2379" s="1" t="s">
        <v>9</v>
      </c>
      <c r="C2379" s="2" t="s">
        <v>2748</v>
      </c>
      <c r="D2379" s="2" t="s">
        <v>2749</v>
      </c>
      <c r="E2379" s="1">
        <v>1</v>
      </c>
      <c r="F2379" s="2" t="s">
        <v>2752</v>
      </c>
      <c r="G2379" s="1">
        <v>3</v>
      </c>
      <c r="H2379" s="1" t="str">
        <f t="shared" si="37"/>
        <v>k28_3</v>
      </c>
      <c r="K2379" s="1">
        <f>IF(E2379=0,SUMPRODUCT(($A$2:$A$4734=A2379)*($B$2:$B$4734=B2379)*($D$2:$D$4734=D2379)*($E$2:$E$4734=0)),0)</f>
        <v>0</v>
      </c>
      <c r="L2379" s="1" t="str">
        <f>IF(E2379=0,SUMPRODUCT(MIN($K$2:$K$4734+((($A$2:$A$4734&lt;&gt;A2379)+($E$2:$E$4734&lt;&gt;0))&gt;0)*1000000)),"")</f>
        <v/>
      </c>
      <c r="M2379" s="1">
        <f>IF(AND(E2379=0,COUNTIFS($A$2:A2379,A2379,$E$2:E2379,0)=1),L2379,0)</f>
        <v>0</v>
      </c>
    </row>
    <row r="2380" spans="1:13" ht="15" customHeight="1">
      <c r="A2380" s="1">
        <v>28</v>
      </c>
      <c r="B2380" s="1" t="s">
        <v>9</v>
      </c>
      <c r="C2380" s="2" t="s">
        <v>2748</v>
      </c>
      <c r="D2380" s="2" t="s">
        <v>2749</v>
      </c>
      <c r="E2380" s="1">
        <v>1</v>
      </c>
      <c r="F2380" s="2" t="s">
        <v>2753</v>
      </c>
      <c r="G2380" s="1">
        <v>4</v>
      </c>
      <c r="H2380" s="1" t="str">
        <f t="shared" si="37"/>
        <v>k28_4</v>
      </c>
      <c r="K2380" s="1">
        <f>IF(E2380=0,SUMPRODUCT(($A$2:$A$4734=A2380)*($B$2:$B$4734=B2380)*($D$2:$D$4734=D2380)*($E$2:$E$4734=0)),0)</f>
        <v>0</v>
      </c>
      <c r="L2380" s="1" t="str">
        <f>IF(E2380=0,SUMPRODUCT(MIN($K$2:$K$4734+((($A$2:$A$4734&lt;&gt;A2380)+($E$2:$E$4734&lt;&gt;0))&gt;0)*1000000)),"")</f>
        <v/>
      </c>
      <c r="M2380" s="1">
        <f>IF(AND(E2380=0,COUNTIFS($A$2:A2380,A2380,$E$2:E2380,0)=1),L2380,0)</f>
        <v>0</v>
      </c>
    </row>
    <row r="2381" spans="1:13" ht="15" customHeight="1">
      <c r="A2381" s="1">
        <v>28</v>
      </c>
      <c r="B2381" s="1" t="s">
        <v>9</v>
      </c>
      <c r="C2381" s="2" t="s">
        <v>2748</v>
      </c>
      <c r="D2381" s="2" t="s">
        <v>2754</v>
      </c>
      <c r="E2381" s="1">
        <v>1</v>
      </c>
      <c r="F2381" s="2" t="s">
        <v>2755</v>
      </c>
      <c r="G2381" s="1">
        <v>1</v>
      </c>
      <c r="H2381" s="1" t="str">
        <f t="shared" si="37"/>
        <v>k28_1</v>
      </c>
      <c r="K2381" s="1">
        <f>IF(E2381=0,SUMPRODUCT(($A$2:$A$4734=A2381)*($B$2:$B$4734=B2381)*($D$2:$D$4734=D2381)*($E$2:$E$4734=0)),0)</f>
        <v>0</v>
      </c>
      <c r="L2381" s="1" t="str">
        <f>IF(E2381=0,SUMPRODUCT(MIN($K$2:$K$4734+((($A$2:$A$4734&lt;&gt;A2381)+($E$2:$E$4734&lt;&gt;0))&gt;0)*1000000)),"")</f>
        <v/>
      </c>
      <c r="M2381" s="1">
        <f>IF(AND(E2381=0,COUNTIFS($A$2:A2381,A2381,$E$2:E2381,0)=1),L2381,0)</f>
        <v>0</v>
      </c>
    </row>
    <row r="2382" spans="1:13" ht="15" customHeight="1">
      <c r="A2382" s="1">
        <v>28</v>
      </c>
      <c r="B2382" s="1" t="s">
        <v>9</v>
      </c>
      <c r="C2382" s="2" t="s">
        <v>2748</v>
      </c>
      <c r="D2382" s="2" t="s">
        <v>2754</v>
      </c>
      <c r="E2382" s="1">
        <v>1</v>
      </c>
      <c r="F2382" s="2" t="s">
        <v>2756</v>
      </c>
      <c r="G2382" s="1">
        <v>2</v>
      </c>
      <c r="H2382" s="1" t="str">
        <f t="shared" si="37"/>
        <v>k28_2</v>
      </c>
      <c r="K2382" s="1">
        <f>IF(E2382=0,SUMPRODUCT(($A$2:$A$4734=A2382)*($B$2:$B$4734=B2382)*($D$2:$D$4734=D2382)*($E$2:$E$4734=0)),0)</f>
        <v>0</v>
      </c>
      <c r="L2382" s="1" t="str">
        <f>IF(E2382=0,SUMPRODUCT(MIN($K$2:$K$4734+((($A$2:$A$4734&lt;&gt;A2382)+($E$2:$E$4734&lt;&gt;0))&gt;0)*1000000)),"")</f>
        <v/>
      </c>
      <c r="M2382" s="1">
        <f>IF(AND(E2382=0,COUNTIFS($A$2:A2382,A2382,$E$2:E2382,0)=1),L2382,0)</f>
        <v>0</v>
      </c>
    </row>
    <row r="2383" spans="1:13" ht="15" customHeight="1">
      <c r="A2383" s="1">
        <v>28</v>
      </c>
      <c r="B2383" s="1" t="s">
        <v>9</v>
      </c>
      <c r="C2383" s="2" t="s">
        <v>2748</v>
      </c>
      <c r="D2383" s="2" t="s">
        <v>2754</v>
      </c>
      <c r="E2383" s="1">
        <v>1</v>
      </c>
      <c r="F2383" s="2" t="s">
        <v>2757</v>
      </c>
      <c r="G2383" s="1">
        <v>3</v>
      </c>
      <c r="H2383" s="1" t="str">
        <f t="shared" si="37"/>
        <v>k28_3</v>
      </c>
      <c r="K2383" s="1">
        <f>IF(E2383=0,SUMPRODUCT(($A$2:$A$4734=A2383)*($B$2:$B$4734=B2383)*($D$2:$D$4734=D2383)*($E$2:$E$4734=0)),0)</f>
        <v>0</v>
      </c>
      <c r="L2383" s="1" t="str">
        <f>IF(E2383=0,SUMPRODUCT(MIN($K$2:$K$4734+((($A$2:$A$4734&lt;&gt;A2383)+($E$2:$E$4734&lt;&gt;0))&gt;0)*1000000)),"")</f>
        <v/>
      </c>
      <c r="M2383" s="1">
        <f>IF(AND(E2383=0,COUNTIFS($A$2:A2383,A2383,$E$2:E2383,0)=1),L2383,0)</f>
        <v>0</v>
      </c>
    </row>
    <row r="2384" spans="1:13" ht="15" customHeight="1">
      <c r="A2384" s="1">
        <v>28</v>
      </c>
      <c r="B2384" s="1" t="s">
        <v>9</v>
      </c>
      <c r="C2384" s="2" t="s">
        <v>2748</v>
      </c>
      <c r="D2384" s="2" t="s">
        <v>2754</v>
      </c>
      <c r="E2384" s="1">
        <v>1</v>
      </c>
      <c r="F2384" s="2" t="s">
        <v>2758</v>
      </c>
      <c r="G2384" s="1">
        <v>4</v>
      </c>
      <c r="H2384" s="1" t="str">
        <f t="shared" si="37"/>
        <v>k28_4</v>
      </c>
      <c r="K2384" s="1">
        <f>IF(E2384=0,SUMPRODUCT(($A$2:$A$4734=A2384)*($B$2:$B$4734=B2384)*($D$2:$D$4734=D2384)*($E$2:$E$4734=0)),0)</f>
        <v>0</v>
      </c>
      <c r="L2384" s="1" t="str">
        <f>IF(E2384=0,SUMPRODUCT(MIN($K$2:$K$4734+((($A$2:$A$4734&lt;&gt;A2384)+($E$2:$E$4734&lt;&gt;0))&gt;0)*1000000)),"")</f>
        <v/>
      </c>
      <c r="M2384" s="1">
        <f>IF(AND(E2384=0,COUNTIFS($A$2:A2384,A2384,$E$2:E2384,0)=1),L2384,0)</f>
        <v>0</v>
      </c>
    </row>
    <row r="2385" spans="1:13" ht="15" customHeight="1">
      <c r="A2385" s="1">
        <v>28</v>
      </c>
      <c r="B2385" s="1" t="s">
        <v>9</v>
      </c>
      <c r="C2385" s="2" t="s">
        <v>2748</v>
      </c>
      <c r="D2385" s="2" t="s">
        <v>2754</v>
      </c>
      <c r="E2385" s="1">
        <v>1</v>
      </c>
      <c r="F2385" s="2" t="s">
        <v>2759</v>
      </c>
      <c r="G2385" s="1">
        <v>5</v>
      </c>
      <c r="H2385" s="1" t="str">
        <f t="shared" si="37"/>
        <v>k28_5</v>
      </c>
      <c r="K2385" s="1">
        <f>IF(E2385=0,SUMPRODUCT(($A$2:$A$4734=A2385)*($B$2:$B$4734=B2385)*($D$2:$D$4734=D2385)*($E$2:$E$4734=0)),0)</f>
        <v>0</v>
      </c>
      <c r="L2385" s="1" t="str">
        <f>IF(E2385=0,SUMPRODUCT(MIN($K$2:$K$4734+((($A$2:$A$4734&lt;&gt;A2385)+($E$2:$E$4734&lt;&gt;0))&gt;0)*1000000)),"")</f>
        <v/>
      </c>
      <c r="M2385" s="1">
        <f>IF(AND(E2385=0,COUNTIFS($A$2:A2385,A2385,$E$2:E2385,0)=1),L2385,0)</f>
        <v>0</v>
      </c>
    </row>
    <row r="2386" spans="1:13" ht="15" customHeight="1">
      <c r="A2386" s="1">
        <v>28</v>
      </c>
      <c r="B2386" s="1" t="s">
        <v>393</v>
      </c>
      <c r="C2386" s="2" t="s">
        <v>2748</v>
      </c>
      <c r="D2386" s="2" t="s">
        <v>2760</v>
      </c>
      <c r="E2386" s="1">
        <v>1</v>
      </c>
      <c r="F2386" s="2" t="s">
        <v>2761</v>
      </c>
      <c r="G2386" s="1">
        <v>1</v>
      </c>
      <c r="H2386" s="1" t="str">
        <f t="shared" si="37"/>
        <v>k28_1</v>
      </c>
      <c r="K2386" s="1">
        <f>IF(E2386=0,SUMPRODUCT(($A$2:$A$4734=A2386)*($B$2:$B$4734=B2386)*($D$2:$D$4734=D2386)*($E$2:$E$4734=0)),0)</f>
        <v>0</v>
      </c>
      <c r="L2386" s="1" t="str">
        <f>IF(E2386=0,SUMPRODUCT(MIN($K$2:$K$4734+((($A$2:$A$4734&lt;&gt;A2386)+($E$2:$E$4734&lt;&gt;0))&gt;0)*1000000)),"")</f>
        <v/>
      </c>
      <c r="M2386" s="1">
        <f>IF(AND(E2386=0,COUNTIFS($A$2:A2386,A2386,$E$2:E2386,0)=1),L2386,0)</f>
        <v>0</v>
      </c>
    </row>
    <row r="2387" spans="1:13" ht="15" customHeight="1">
      <c r="A2387" s="1">
        <v>28</v>
      </c>
      <c r="B2387" s="1" t="s">
        <v>393</v>
      </c>
      <c r="C2387" s="2" t="s">
        <v>2748</v>
      </c>
      <c r="D2387" s="2" t="s">
        <v>2760</v>
      </c>
      <c r="E2387" s="1">
        <v>1</v>
      </c>
      <c r="F2387" s="2" t="s">
        <v>2762</v>
      </c>
      <c r="G2387" s="1">
        <v>2</v>
      </c>
      <c r="H2387" s="1" t="str">
        <f t="shared" si="37"/>
        <v>k28_2</v>
      </c>
      <c r="K2387" s="1">
        <f>IF(E2387=0,SUMPRODUCT(($A$2:$A$4734=A2387)*($B$2:$B$4734=B2387)*($D$2:$D$4734=D2387)*($E$2:$E$4734=0)),0)</f>
        <v>0</v>
      </c>
      <c r="L2387" s="1" t="str">
        <f>IF(E2387=0,SUMPRODUCT(MIN($K$2:$K$4734+((($A$2:$A$4734&lt;&gt;A2387)+($E$2:$E$4734&lt;&gt;0))&gt;0)*1000000)),"")</f>
        <v/>
      </c>
      <c r="M2387" s="1">
        <f>IF(AND(E2387=0,COUNTIFS($A$2:A2387,A2387,$E$2:E2387,0)=1),L2387,0)</f>
        <v>0</v>
      </c>
    </row>
    <row r="2388" spans="1:13" ht="15" customHeight="1">
      <c r="A2388" s="1">
        <v>28</v>
      </c>
      <c r="B2388" s="1" t="s">
        <v>393</v>
      </c>
      <c r="C2388" s="2" t="s">
        <v>2748</v>
      </c>
      <c r="D2388" s="2" t="s">
        <v>2760</v>
      </c>
      <c r="E2388" s="1">
        <v>1</v>
      </c>
      <c r="F2388" s="2" t="s">
        <v>2763</v>
      </c>
      <c r="G2388" s="1">
        <v>3</v>
      </c>
      <c r="H2388" s="1" t="str">
        <f t="shared" si="37"/>
        <v>k28_3</v>
      </c>
      <c r="K2388" s="1">
        <f>IF(E2388=0,SUMPRODUCT(($A$2:$A$4734=A2388)*($B$2:$B$4734=B2388)*($D$2:$D$4734=D2388)*($E$2:$E$4734=0)),0)</f>
        <v>0</v>
      </c>
      <c r="L2388" s="1" t="str">
        <f>IF(E2388=0,SUMPRODUCT(MIN($K$2:$K$4734+((($A$2:$A$4734&lt;&gt;A2388)+($E$2:$E$4734&lt;&gt;0))&gt;0)*1000000)),"")</f>
        <v/>
      </c>
      <c r="M2388" s="1">
        <f>IF(AND(E2388=0,COUNTIFS($A$2:A2388,A2388,$E$2:E2388,0)=1),L2388,0)</f>
        <v>0</v>
      </c>
    </row>
    <row r="2389" spans="1:13" ht="15" customHeight="1">
      <c r="A2389" s="1">
        <v>28</v>
      </c>
      <c r="B2389" s="1" t="s">
        <v>393</v>
      </c>
      <c r="C2389" s="2" t="s">
        <v>2748</v>
      </c>
      <c r="D2389" s="2" t="s">
        <v>2760</v>
      </c>
      <c r="E2389" s="1">
        <v>1</v>
      </c>
      <c r="F2389" s="2" t="s">
        <v>2764</v>
      </c>
      <c r="G2389" s="1">
        <v>4</v>
      </c>
      <c r="H2389" s="1" t="str">
        <f t="shared" si="37"/>
        <v>k28_4</v>
      </c>
      <c r="K2389" s="1">
        <f>IF(E2389=0,SUMPRODUCT(($A$2:$A$4734=A2389)*($B$2:$B$4734=B2389)*($D$2:$D$4734=D2389)*($E$2:$E$4734=0)),0)</f>
        <v>0</v>
      </c>
      <c r="L2389" s="1" t="str">
        <f>IF(E2389=0,SUMPRODUCT(MIN($K$2:$K$4734+((($A$2:$A$4734&lt;&gt;A2389)+($E$2:$E$4734&lt;&gt;0))&gt;0)*1000000)),"")</f>
        <v/>
      </c>
      <c r="M2389" s="1">
        <f>IF(AND(E2389=0,COUNTIFS($A$2:A2389,A2389,$E$2:E2389,0)=1),L2389,0)</f>
        <v>0</v>
      </c>
    </row>
    <row r="2390" spans="1:13" ht="15" customHeight="1">
      <c r="A2390" s="1">
        <v>28</v>
      </c>
      <c r="B2390" s="1" t="s">
        <v>393</v>
      </c>
      <c r="C2390" s="2" t="s">
        <v>2748</v>
      </c>
      <c r="D2390" s="2" t="s">
        <v>2760</v>
      </c>
      <c r="E2390" s="1">
        <v>1</v>
      </c>
      <c r="F2390" s="2" t="s">
        <v>2765</v>
      </c>
      <c r="G2390" s="1">
        <v>5</v>
      </c>
      <c r="H2390" s="1" t="str">
        <f t="shared" si="37"/>
        <v>k28_5</v>
      </c>
      <c r="K2390" s="1">
        <f>IF(E2390=0,SUMPRODUCT(($A$2:$A$4734=A2390)*($B$2:$B$4734=B2390)*($D$2:$D$4734=D2390)*($E$2:$E$4734=0)),0)</f>
        <v>0</v>
      </c>
      <c r="L2390" s="1" t="str">
        <f>IF(E2390=0,SUMPRODUCT(MIN($K$2:$K$4734+((($A$2:$A$4734&lt;&gt;A2390)+($E$2:$E$4734&lt;&gt;0))&gt;0)*1000000)),"")</f>
        <v/>
      </c>
      <c r="M2390" s="1">
        <f>IF(AND(E2390=0,COUNTIFS($A$2:A2390,A2390,$E$2:E2390,0)=1),L2390,0)</f>
        <v>0</v>
      </c>
    </row>
    <row r="2391" spans="1:13" ht="15" customHeight="1">
      <c r="A2391" s="1">
        <v>29</v>
      </c>
      <c r="B2391" s="1" t="s">
        <v>16</v>
      </c>
      <c r="C2391" s="2" t="s">
        <v>2766</v>
      </c>
      <c r="D2391" s="2" t="s">
        <v>17</v>
      </c>
      <c r="E2391" s="1">
        <v>1</v>
      </c>
      <c r="F2391" s="2" t="s">
        <v>2767</v>
      </c>
      <c r="G2391" s="1">
        <v>1</v>
      </c>
      <c r="H2391" s="1" t="str">
        <f t="shared" ref="H2391:H2453" si="38">IF(OR(E2391&lt;&gt;1,G2391=""),"","k"&amp;A2391&amp;"_"&amp;G2391)</f>
        <v>k29_1</v>
      </c>
      <c r="K2391" s="1">
        <f>IF(E2391=0,SUMPRODUCT(($A$2:$A$4734=A2391)*($B$2:$B$4734=B2391)*($D$2:$D$4734=D2391)*($E$2:$E$4734=0)),0)</f>
        <v>0</v>
      </c>
      <c r="L2391" s="1" t="str">
        <f>IF(E2391=0,SUMPRODUCT(MIN($K$2:$K$4734+((($A$2:$A$4734&lt;&gt;A2391)+($E$2:$E$4734&lt;&gt;0))&gt;0)*1000000)),"")</f>
        <v/>
      </c>
      <c r="M2391" s="1">
        <f>IF(AND(E2391=0,COUNTIFS($A$2:A2391,A2391,$E$2:E2391,0)=1),L2391,0)</f>
        <v>0</v>
      </c>
    </row>
    <row r="2392" spans="1:13" ht="15" customHeight="1">
      <c r="A2392" s="1">
        <v>29</v>
      </c>
      <c r="B2392" s="1" t="s">
        <v>16</v>
      </c>
      <c r="C2392" s="2" t="s">
        <v>2768</v>
      </c>
      <c r="D2392" s="2" t="s">
        <v>17</v>
      </c>
      <c r="E2392" s="1">
        <v>1</v>
      </c>
      <c r="F2392" s="2" t="s">
        <v>2769</v>
      </c>
      <c r="G2392" s="1">
        <v>2</v>
      </c>
      <c r="H2392" s="1" t="str">
        <f t="shared" si="38"/>
        <v>k29_2</v>
      </c>
      <c r="K2392" s="1">
        <f>IF(E2392=0,SUMPRODUCT(($A$2:$A$4734=A2392)*($B$2:$B$4734=B2392)*($D$2:$D$4734=D2392)*($E$2:$E$4734=0)),0)</f>
        <v>0</v>
      </c>
      <c r="L2392" s="1" t="str">
        <f>IF(E2392=0,SUMPRODUCT(MIN($K$2:$K$4734+((($A$2:$A$4734&lt;&gt;A2392)+($E$2:$E$4734&lt;&gt;0))&gt;0)*1000000)),"")</f>
        <v/>
      </c>
      <c r="M2392" s="1">
        <f>IF(AND(E2392=0,COUNTIFS($A$2:A2392,A2392,$E$2:E2392,0)=1),L2392,0)</f>
        <v>0</v>
      </c>
    </row>
    <row r="2393" spans="1:13" ht="15" customHeight="1">
      <c r="A2393" s="1">
        <v>29</v>
      </c>
      <c r="B2393" s="1" t="s">
        <v>16</v>
      </c>
      <c r="C2393" s="2" t="s">
        <v>2770</v>
      </c>
      <c r="D2393" s="2" t="s">
        <v>17</v>
      </c>
      <c r="E2393" s="1">
        <v>1</v>
      </c>
      <c r="F2393" s="2" t="s">
        <v>2771</v>
      </c>
      <c r="G2393" s="1">
        <v>3</v>
      </c>
      <c r="H2393" s="1" t="str">
        <f t="shared" si="38"/>
        <v>k29_3</v>
      </c>
      <c r="K2393" s="1">
        <f>IF(E2393=0,SUMPRODUCT(($A$2:$A$4734=A2393)*($B$2:$B$4734=B2393)*($D$2:$D$4734=D2393)*($E$2:$E$4734=0)),0)</f>
        <v>0</v>
      </c>
      <c r="L2393" s="1" t="str">
        <f>IF(E2393=0,SUMPRODUCT(MIN($K$2:$K$4734+((($A$2:$A$4734&lt;&gt;A2393)+($E$2:$E$4734&lt;&gt;0))&gt;0)*1000000)),"")</f>
        <v/>
      </c>
      <c r="M2393" s="1">
        <f>IF(AND(E2393=0,COUNTIFS($A$2:A2393,A2393,$E$2:E2393,0)=1),L2393,0)</f>
        <v>0</v>
      </c>
    </row>
    <row r="2394" spans="1:13" ht="15" customHeight="1">
      <c r="A2394" s="1">
        <v>29</v>
      </c>
      <c r="B2394" s="1" t="s">
        <v>16</v>
      </c>
      <c r="C2394" s="2" t="s">
        <v>2772</v>
      </c>
      <c r="D2394" s="2" t="s">
        <v>17</v>
      </c>
      <c r="E2394" s="1">
        <v>1</v>
      </c>
      <c r="F2394" s="2" t="s">
        <v>2773</v>
      </c>
      <c r="G2394" s="1">
        <v>4</v>
      </c>
      <c r="H2394" s="1" t="str">
        <f t="shared" si="38"/>
        <v>k29_4</v>
      </c>
      <c r="K2394" s="1">
        <f>IF(E2394=0,SUMPRODUCT(($A$2:$A$4734=A2394)*($B$2:$B$4734=B2394)*($D$2:$D$4734=D2394)*($E$2:$E$4734=0)),0)</f>
        <v>0</v>
      </c>
      <c r="L2394" s="1" t="str">
        <f>IF(E2394=0,SUMPRODUCT(MIN($K$2:$K$4734+((($A$2:$A$4734&lt;&gt;A2394)+($E$2:$E$4734&lt;&gt;0))&gt;0)*1000000)),"")</f>
        <v/>
      </c>
      <c r="M2394" s="1">
        <f>IF(AND(E2394=0,COUNTIFS($A$2:A2394,A2394,$E$2:E2394,0)=1),L2394,0)</f>
        <v>0</v>
      </c>
    </row>
    <row r="2395" spans="1:13" ht="15" customHeight="1">
      <c r="A2395" s="1">
        <v>29</v>
      </c>
      <c r="B2395" s="1" t="s">
        <v>16</v>
      </c>
      <c r="C2395" s="2" t="s">
        <v>2774</v>
      </c>
      <c r="D2395" s="2" t="s">
        <v>17</v>
      </c>
      <c r="E2395" s="1">
        <v>1</v>
      </c>
      <c r="F2395" s="2" t="s">
        <v>2775</v>
      </c>
      <c r="G2395" s="1">
        <v>5</v>
      </c>
      <c r="H2395" s="1" t="str">
        <f t="shared" si="38"/>
        <v>k29_5</v>
      </c>
      <c r="K2395" s="1">
        <f>IF(E2395=0,SUMPRODUCT(($A$2:$A$4734=A2395)*($B$2:$B$4734=B2395)*($D$2:$D$4734=D2395)*($E$2:$E$4734=0)),0)</f>
        <v>0</v>
      </c>
      <c r="L2395" s="1" t="str">
        <f>IF(E2395=0,SUMPRODUCT(MIN($K$2:$K$4734+((($A$2:$A$4734&lt;&gt;A2395)+($E$2:$E$4734&lt;&gt;0))&gt;0)*1000000)),"")</f>
        <v/>
      </c>
      <c r="M2395" s="1">
        <f>IF(AND(E2395=0,COUNTIFS($A$2:A2395,A2395,$E$2:E2395,0)=1),L2395,0)</f>
        <v>0</v>
      </c>
    </row>
    <row r="2396" spans="1:13" ht="15" customHeight="1">
      <c r="A2396" s="1">
        <v>29</v>
      </c>
      <c r="B2396" s="1" t="s">
        <v>16</v>
      </c>
      <c r="C2396" s="2" t="s">
        <v>2772</v>
      </c>
      <c r="D2396" s="2" t="s">
        <v>17</v>
      </c>
      <c r="E2396" s="1">
        <v>1</v>
      </c>
      <c r="F2396" s="2" t="s">
        <v>2773</v>
      </c>
      <c r="G2396" s="1">
        <v>6</v>
      </c>
      <c r="H2396" s="1" t="str">
        <f t="shared" si="38"/>
        <v>k29_6</v>
      </c>
      <c r="K2396" s="1">
        <f>IF(E2396=0,SUMPRODUCT(($A$2:$A$4734=A2396)*($B$2:$B$4734=B2396)*($D$2:$D$4734=D2396)*($E$2:$E$4734=0)),0)</f>
        <v>0</v>
      </c>
      <c r="L2396" s="1" t="str">
        <f>IF(E2396=0,SUMPRODUCT(MIN($K$2:$K$4734+((($A$2:$A$4734&lt;&gt;A2396)+($E$2:$E$4734&lt;&gt;0))&gt;0)*1000000)),"")</f>
        <v/>
      </c>
      <c r="M2396" s="1">
        <f>IF(AND(E2396=0,COUNTIFS($A$2:A2396,A2396,$E$2:E2396,0)=1),L2396,0)</f>
        <v>0</v>
      </c>
    </row>
    <row r="2397" spans="1:13" ht="15" customHeight="1">
      <c r="A2397" s="1">
        <v>29</v>
      </c>
      <c r="B2397" s="1" t="s">
        <v>16</v>
      </c>
      <c r="C2397" s="2" t="s">
        <v>2774</v>
      </c>
      <c r="D2397" s="2" t="s">
        <v>17</v>
      </c>
      <c r="E2397" s="1">
        <v>1</v>
      </c>
      <c r="F2397" s="2" t="s">
        <v>2775</v>
      </c>
      <c r="G2397" s="1">
        <v>7</v>
      </c>
      <c r="H2397" s="1" t="str">
        <f t="shared" si="38"/>
        <v>k29_7</v>
      </c>
      <c r="K2397" s="1">
        <f>IF(E2397=0,SUMPRODUCT(($A$2:$A$4734=A2397)*($B$2:$B$4734=B2397)*($D$2:$D$4734=D2397)*($E$2:$E$4734=0)),0)</f>
        <v>0</v>
      </c>
      <c r="L2397" s="1" t="str">
        <f>IF(E2397=0,SUMPRODUCT(MIN($K$2:$K$4734+((($A$2:$A$4734&lt;&gt;A2397)+($E$2:$E$4734&lt;&gt;0))&gt;0)*1000000)),"")</f>
        <v/>
      </c>
      <c r="M2397" s="1">
        <f>IF(AND(E2397=0,COUNTIFS($A$2:A2397,A2397,$E$2:E2397,0)=1),L2397,0)</f>
        <v>0</v>
      </c>
    </row>
    <row r="2398" spans="1:13" ht="15" customHeight="1">
      <c r="A2398" s="1">
        <v>29</v>
      </c>
      <c r="B2398" s="1" t="s">
        <v>144</v>
      </c>
      <c r="C2398" s="2" t="s">
        <v>2776</v>
      </c>
      <c r="D2398" s="2" t="s">
        <v>2777</v>
      </c>
      <c r="E2398" s="1">
        <v>1</v>
      </c>
      <c r="F2398" s="2" t="s">
        <v>2778</v>
      </c>
      <c r="G2398" s="1">
        <v>1</v>
      </c>
      <c r="H2398" s="1" t="str">
        <f t="shared" si="38"/>
        <v>k29_1</v>
      </c>
      <c r="K2398" s="1">
        <f>IF(E2398=0,SUMPRODUCT(($A$2:$A$4734=A2398)*($B$2:$B$4734=B2398)*($D$2:$D$4734=D2398)*($E$2:$E$4734=0)),0)</f>
        <v>0</v>
      </c>
      <c r="L2398" s="1" t="str">
        <f>IF(E2398=0,SUMPRODUCT(MIN($K$2:$K$4734+((($A$2:$A$4734&lt;&gt;A2398)+($E$2:$E$4734&lt;&gt;0))&gt;0)*1000000)),"")</f>
        <v/>
      </c>
      <c r="M2398" s="1">
        <f>IF(AND(E2398=0,COUNTIFS($A$2:A2398,A2398,$E$2:E2398,0)=1),L2398,0)</f>
        <v>0</v>
      </c>
    </row>
    <row r="2399" spans="1:13" ht="15" customHeight="1">
      <c r="A2399" s="1">
        <v>29</v>
      </c>
      <c r="B2399" s="1" t="s">
        <v>144</v>
      </c>
      <c r="C2399" s="2" t="s">
        <v>2779</v>
      </c>
      <c r="D2399" s="2" t="s">
        <v>2777</v>
      </c>
      <c r="E2399" s="1">
        <v>1</v>
      </c>
      <c r="F2399" s="2" t="s">
        <v>2780</v>
      </c>
      <c r="G2399" s="1">
        <v>2</v>
      </c>
      <c r="H2399" s="1" t="str">
        <f t="shared" si="38"/>
        <v>k29_2</v>
      </c>
      <c r="K2399" s="1">
        <f>IF(E2399=0,SUMPRODUCT(($A$2:$A$4734=A2399)*($B$2:$B$4734=B2399)*($D$2:$D$4734=D2399)*($E$2:$E$4734=0)),0)</f>
        <v>0</v>
      </c>
      <c r="L2399" s="1" t="str">
        <f>IF(E2399=0,SUMPRODUCT(MIN($K$2:$K$4734+((($A$2:$A$4734&lt;&gt;A2399)+($E$2:$E$4734&lt;&gt;0))&gt;0)*1000000)),"")</f>
        <v/>
      </c>
      <c r="M2399" s="1">
        <f>IF(AND(E2399=0,COUNTIFS($A$2:A2399,A2399,$E$2:E2399,0)=1),L2399,0)</f>
        <v>0</v>
      </c>
    </row>
    <row r="2400" spans="1:13" ht="15" customHeight="1">
      <c r="A2400" s="1">
        <v>29</v>
      </c>
      <c r="B2400" s="1" t="s">
        <v>144</v>
      </c>
      <c r="C2400" s="2" t="s">
        <v>2781</v>
      </c>
      <c r="D2400" s="2" t="s">
        <v>2777</v>
      </c>
      <c r="E2400" s="1">
        <v>1</v>
      </c>
      <c r="F2400" s="2" t="s">
        <v>2782</v>
      </c>
      <c r="G2400" s="1">
        <v>3</v>
      </c>
      <c r="H2400" s="1" t="str">
        <f t="shared" si="38"/>
        <v>k29_3</v>
      </c>
      <c r="K2400" s="1">
        <f>IF(E2400=0,SUMPRODUCT(($A$2:$A$4734=A2400)*($B$2:$B$4734=B2400)*($D$2:$D$4734=D2400)*($E$2:$E$4734=0)),0)</f>
        <v>0</v>
      </c>
      <c r="L2400" s="1" t="str">
        <f>IF(E2400=0,SUMPRODUCT(MIN($K$2:$K$4734+((($A$2:$A$4734&lt;&gt;A2400)+($E$2:$E$4734&lt;&gt;0))&gt;0)*1000000)),"")</f>
        <v/>
      </c>
      <c r="M2400" s="1">
        <f>IF(AND(E2400=0,COUNTIFS($A$2:A2400,A2400,$E$2:E2400,0)=1),L2400,0)</f>
        <v>0</v>
      </c>
    </row>
    <row r="2401" spans="1:13" ht="15" customHeight="1">
      <c r="A2401" s="1">
        <v>29</v>
      </c>
      <c r="B2401" s="1" t="s">
        <v>144</v>
      </c>
      <c r="C2401" s="2" t="s">
        <v>2783</v>
      </c>
      <c r="D2401" s="2" t="s">
        <v>2777</v>
      </c>
      <c r="E2401" s="1">
        <v>1</v>
      </c>
      <c r="F2401" s="2" t="s">
        <v>2784</v>
      </c>
      <c r="G2401" s="1">
        <v>4</v>
      </c>
      <c r="H2401" s="1" t="str">
        <f t="shared" si="38"/>
        <v>k29_4</v>
      </c>
      <c r="K2401" s="1">
        <f>IF(E2401=0,SUMPRODUCT(($A$2:$A$4734=A2401)*($B$2:$B$4734=B2401)*($D$2:$D$4734=D2401)*($E$2:$E$4734=0)),0)</f>
        <v>0</v>
      </c>
      <c r="L2401" s="1" t="str">
        <f>IF(E2401=0,SUMPRODUCT(MIN($K$2:$K$4734+((($A$2:$A$4734&lt;&gt;A2401)+($E$2:$E$4734&lt;&gt;0))&gt;0)*1000000)),"")</f>
        <v/>
      </c>
      <c r="M2401" s="1">
        <f>IF(AND(E2401=0,COUNTIFS($A$2:A2401,A2401,$E$2:E2401,0)=1),L2401,0)</f>
        <v>0</v>
      </c>
    </row>
    <row r="2402" spans="1:13" ht="15" customHeight="1">
      <c r="A2402" s="1">
        <v>29</v>
      </c>
      <c r="B2402" s="1" t="s">
        <v>144</v>
      </c>
      <c r="C2402" s="2" t="s">
        <v>2785</v>
      </c>
      <c r="D2402" s="2" t="s">
        <v>2777</v>
      </c>
      <c r="E2402" s="1">
        <v>1</v>
      </c>
      <c r="F2402" s="2" t="s">
        <v>2786</v>
      </c>
      <c r="G2402" s="1">
        <v>5</v>
      </c>
      <c r="H2402" s="1" t="str">
        <f t="shared" si="38"/>
        <v>k29_5</v>
      </c>
      <c r="K2402" s="1">
        <f>IF(E2402=0,SUMPRODUCT(($A$2:$A$4734=A2402)*($B$2:$B$4734=B2402)*($D$2:$D$4734=D2402)*($E$2:$E$4734=0)),0)</f>
        <v>0</v>
      </c>
      <c r="L2402" s="1" t="str">
        <f>IF(E2402=0,SUMPRODUCT(MIN($K$2:$K$4734+((($A$2:$A$4734&lt;&gt;A2402)+($E$2:$E$4734&lt;&gt;0))&gt;0)*1000000)),"")</f>
        <v/>
      </c>
      <c r="M2402" s="1">
        <f>IF(AND(E2402=0,COUNTIFS($A$2:A2402,A2402,$E$2:E2402,0)=1),L2402,0)</f>
        <v>0</v>
      </c>
    </row>
    <row r="2403" spans="1:13" ht="15" customHeight="1">
      <c r="A2403" s="1">
        <v>29</v>
      </c>
      <c r="B2403" s="1" t="s">
        <v>144</v>
      </c>
      <c r="C2403" s="2" t="s">
        <v>2787</v>
      </c>
      <c r="D2403" s="2" t="s">
        <v>2777</v>
      </c>
      <c r="E2403" s="1">
        <v>1</v>
      </c>
      <c r="F2403" s="2" t="s">
        <v>2788</v>
      </c>
      <c r="G2403" s="1">
        <v>6</v>
      </c>
      <c r="H2403" s="1" t="str">
        <f t="shared" si="38"/>
        <v>k29_6</v>
      </c>
      <c r="K2403" s="1">
        <f>IF(E2403=0,SUMPRODUCT(($A$2:$A$4734=A2403)*($B$2:$B$4734=B2403)*($D$2:$D$4734=D2403)*($E$2:$E$4734=0)),0)</f>
        <v>0</v>
      </c>
      <c r="L2403" s="1" t="str">
        <f>IF(E2403=0,SUMPRODUCT(MIN($K$2:$K$4734+((($A$2:$A$4734&lt;&gt;A2403)+($E$2:$E$4734&lt;&gt;0))&gt;0)*1000000)),"")</f>
        <v/>
      </c>
      <c r="M2403" s="1">
        <f>IF(AND(E2403=0,COUNTIFS($A$2:A2403,A2403,$E$2:E2403,0)=1),L2403,0)</f>
        <v>0</v>
      </c>
    </row>
    <row r="2404" spans="1:13" ht="15" customHeight="1">
      <c r="A2404" s="1">
        <v>29</v>
      </c>
      <c r="B2404" s="1" t="s">
        <v>144</v>
      </c>
      <c r="C2404" s="2" t="s">
        <v>2789</v>
      </c>
      <c r="D2404" s="2" t="s">
        <v>2777</v>
      </c>
      <c r="E2404" s="1">
        <v>1</v>
      </c>
      <c r="F2404" s="2" t="s">
        <v>2788</v>
      </c>
      <c r="G2404" s="1">
        <v>7</v>
      </c>
      <c r="H2404" s="1" t="str">
        <f t="shared" si="38"/>
        <v>k29_7</v>
      </c>
      <c r="K2404" s="1">
        <f>IF(E2404=0,SUMPRODUCT(($A$2:$A$4734=A2404)*($B$2:$B$4734=B2404)*($D$2:$D$4734=D2404)*($E$2:$E$4734=0)),0)</f>
        <v>0</v>
      </c>
      <c r="L2404" s="1" t="str">
        <f>IF(E2404=0,SUMPRODUCT(MIN($K$2:$K$4734+((($A$2:$A$4734&lt;&gt;A2404)+($E$2:$E$4734&lt;&gt;0))&gt;0)*1000000)),"")</f>
        <v/>
      </c>
      <c r="M2404" s="1">
        <f>IF(AND(E2404=0,COUNTIFS($A$2:A2404,A2404,$E$2:E2404,0)=1),L2404,0)</f>
        <v>0</v>
      </c>
    </row>
    <row r="2405" spans="1:13" ht="15" customHeight="1">
      <c r="A2405" s="1">
        <v>29</v>
      </c>
      <c r="B2405" s="1" t="s">
        <v>9</v>
      </c>
      <c r="C2405" s="2" t="s">
        <v>2790</v>
      </c>
      <c r="D2405" s="2" t="s">
        <v>2791</v>
      </c>
      <c r="E2405" s="1">
        <v>1</v>
      </c>
      <c r="F2405" s="2" t="s">
        <v>2792</v>
      </c>
      <c r="G2405" s="1">
        <v>2</v>
      </c>
      <c r="H2405" s="1" t="str">
        <f t="shared" si="38"/>
        <v>k29_2</v>
      </c>
      <c r="K2405" s="1">
        <f>IF(E2405=0,SUMPRODUCT(($A$2:$A$4734=A2405)*($B$2:$B$4734=B2405)*($D$2:$D$4734=D2405)*($E$2:$E$4734=0)),0)</f>
        <v>0</v>
      </c>
      <c r="L2405" s="1" t="str">
        <f>IF(E2405=0,SUMPRODUCT(MIN($K$2:$K$4734+((($A$2:$A$4734&lt;&gt;A2405)+($E$2:$E$4734&lt;&gt;0))&gt;0)*1000000)),"")</f>
        <v/>
      </c>
      <c r="M2405" s="1">
        <f>IF(AND(E2405=0,COUNTIFS($A$2:A2405,A2405,$E$2:E2405,0)=1),L2405,0)</f>
        <v>0</v>
      </c>
    </row>
    <row r="2406" spans="1:13" ht="15" customHeight="1">
      <c r="A2406" s="1">
        <v>29</v>
      </c>
      <c r="B2406" s="1" t="s">
        <v>9</v>
      </c>
      <c r="C2406" s="2" t="s">
        <v>2793</v>
      </c>
      <c r="D2406" s="2" t="s">
        <v>2791</v>
      </c>
      <c r="E2406" s="1">
        <v>1</v>
      </c>
      <c r="F2406" s="2" t="s">
        <v>2794</v>
      </c>
      <c r="G2406" s="1">
        <v>3</v>
      </c>
      <c r="H2406" s="1" t="str">
        <f t="shared" si="38"/>
        <v>k29_3</v>
      </c>
      <c r="K2406" s="1">
        <f>IF(E2406=0,SUMPRODUCT(($A$2:$A$4734=A2406)*($B$2:$B$4734=B2406)*($D$2:$D$4734=D2406)*($E$2:$E$4734=0)),0)</f>
        <v>0</v>
      </c>
      <c r="L2406" s="1" t="str">
        <f>IF(E2406=0,SUMPRODUCT(MIN($K$2:$K$4734+((($A$2:$A$4734&lt;&gt;A2406)+($E$2:$E$4734&lt;&gt;0))&gt;0)*1000000)),"")</f>
        <v/>
      </c>
      <c r="M2406" s="1">
        <f>IF(AND(E2406=0,COUNTIFS($A$2:A2406,A2406,$E$2:E2406,0)=1),L2406,0)</f>
        <v>0</v>
      </c>
    </row>
    <row r="2407" spans="1:13" ht="15" customHeight="1">
      <c r="A2407" s="1">
        <v>29</v>
      </c>
      <c r="B2407" s="1" t="s">
        <v>9</v>
      </c>
      <c r="C2407" s="2" t="s">
        <v>2795</v>
      </c>
      <c r="D2407" s="2" t="s">
        <v>2791</v>
      </c>
      <c r="E2407" s="1">
        <v>1</v>
      </c>
      <c r="F2407" s="2" t="s">
        <v>2796</v>
      </c>
      <c r="G2407" s="1">
        <v>1</v>
      </c>
      <c r="H2407" s="1" t="str">
        <f t="shared" si="38"/>
        <v>k29_1</v>
      </c>
      <c r="K2407" s="1">
        <f>IF(E2407=0,SUMPRODUCT(($A$2:$A$4734=A2407)*($B$2:$B$4734=B2407)*($D$2:$D$4734=D2407)*($E$2:$E$4734=0)),0)</f>
        <v>0</v>
      </c>
      <c r="L2407" s="1" t="str">
        <f>IF(E2407=0,SUMPRODUCT(MIN($K$2:$K$4734+((($A$2:$A$4734&lt;&gt;A2407)+($E$2:$E$4734&lt;&gt;0))&gt;0)*1000000)),"")</f>
        <v/>
      </c>
      <c r="M2407" s="1">
        <f>IF(AND(E2407=0,COUNTIFS($A$2:A2407,A2407,$E$2:E2407,0)=1),L2407,0)</f>
        <v>0</v>
      </c>
    </row>
    <row r="2408" spans="1:13" ht="15" customHeight="1">
      <c r="A2408" s="1">
        <v>29</v>
      </c>
      <c r="B2408" s="1" t="s">
        <v>9</v>
      </c>
      <c r="C2408" s="2" t="s">
        <v>2797</v>
      </c>
      <c r="D2408" s="2" t="s">
        <v>2791</v>
      </c>
      <c r="E2408" s="1">
        <v>1</v>
      </c>
      <c r="F2408" s="2" t="s">
        <v>2798</v>
      </c>
      <c r="G2408" s="1">
        <v>4</v>
      </c>
      <c r="H2408" s="1" t="str">
        <f t="shared" si="38"/>
        <v>k29_4</v>
      </c>
      <c r="K2408" s="1">
        <f>IF(E2408=0,SUMPRODUCT(($A$2:$A$4734=A2408)*($B$2:$B$4734=B2408)*($D$2:$D$4734=D2408)*($E$2:$E$4734=0)),0)</f>
        <v>0</v>
      </c>
      <c r="L2408" s="1" t="str">
        <f>IF(E2408=0,SUMPRODUCT(MIN($K$2:$K$4734+((($A$2:$A$4734&lt;&gt;A2408)+($E$2:$E$4734&lt;&gt;0))&gt;0)*1000000)),"")</f>
        <v/>
      </c>
      <c r="M2408" s="1">
        <f>IF(AND(E2408=0,COUNTIFS($A$2:A2408,A2408,$E$2:E2408,0)=1),L2408,0)</f>
        <v>0</v>
      </c>
    </row>
    <row r="2409" spans="1:13" ht="15" customHeight="1">
      <c r="A2409" s="1">
        <v>29</v>
      </c>
      <c r="B2409" s="1" t="s">
        <v>9</v>
      </c>
      <c r="C2409" s="2" t="s">
        <v>2799</v>
      </c>
      <c r="D2409" s="2" t="s">
        <v>2791</v>
      </c>
      <c r="E2409" s="1">
        <v>1</v>
      </c>
      <c r="F2409" s="2" t="s">
        <v>2796</v>
      </c>
      <c r="G2409" s="1">
        <v>6</v>
      </c>
      <c r="H2409" s="1" t="str">
        <f t="shared" si="38"/>
        <v>k29_6</v>
      </c>
      <c r="K2409" s="1">
        <f>IF(E2409=0,SUMPRODUCT(($A$2:$A$4734=A2409)*($B$2:$B$4734=B2409)*($D$2:$D$4734=D2409)*($E$2:$E$4734=0)),0)</f>
        <v>0</v>
      </c>
      <c r="L2409" s="1" t="str">
        <f>IF(E2409=0,SUMPRODUCT(MIN($K$2:$K$4734+((($A$2:$A$4734&lt;&gt;A2409)+($E$2:$E$4734&lt;&gt;0))&gt;0)*1000000)),"")</f>
        <v/>
      </c>
      <c r="M2409" s="1">
        <f>IF(AND(E2409=0,COUNTIFS($A$2:A2409,A2409,$E$2:E2409,0)=1),L2409,0)</f>
        <v>0</v>
      </c>
    </row>
    <row r="2410" spans="1:13" ht="15" customHeight="1">
      <c r="A2410" s="1">
        <v>29</v>
      </c>
      <c r="B2410" s="1" t="s">
        <v>9</v>
      </c>
      <c r="C2410" s="2" t="s">
        <v>2800</v>
      </c>
      <c r="D2410" s="2" t="s">
        <v>2791</v>
      </c>
      <c r="E2410" s="1">
        <v>1</v>
      </c>
      <c r="F2410" s="2" t="s">
        <v>2798</v>
      </c>
      <c r="G2410" s="1">
        <v>5</v>
      </c>
      <c r="H2410" s="1" t="str">
        <f t="shared" si="38"/>
        <v>k29_5</v>
      </c>
      <c r="K2410" s="1">
        <f>IF(E2410=0,SUMPRODUCT(($A$2:$A$4734=A2410)*($B$2:$B$4734=B2410)*($D$2:$D$4734=D2410)*($E$2:$E$4734=0)),0)</f>
        <v>0</v>
      </c>
      <c r="L2410" s="1" t="str">
        <f>IF(E2410=0,SUMPRODUCT(MIN($K$2:$K$4734+((($A$2:$A$4734&lt;&gt;A2410)+($E$2:$E$4734&lt;&gt;0))&gt;0)*1000000)),"")</f>
        <v/>
      </c>
      <c r="M2410" s="1">
        <f>IF(AND(E2410=0,COUNTIFS($A$2:A2410,A2410,$E$2:E2410,0)=1),L2410,0)</f>
        <v>0</v>
      </c>
    </row>
    <row r="2411" spans="1:13" ht="15" customHeight="1">
      <c r="A2411" s="1">
        <v>29</v>
      </c>
      <c r="B2411" s="1" t="s">
        <v>9</v>
      </c>
      <c r="C2411" s="2" t="s">
        <v>2801</v>
      </c>
      <c r="D2411" s="2" t="s">
        <v>2791</v>
      </c>
      <c r="E2411" s="1">
        <v>1</v>
      </c>
      <c r="F2411" s="2" t="s">
        <v>63</v>
      </c>
      <c r="G2411" s="1">
        <v>7</v>
      </c>
      <c r="H2411" s="1" t="str">
        <f t="shared" si="38"/>
        <v>k29_7</v>
      </c>
      <c r="K2411" s="1">
        <f>IF(E2411=0,SUMPRODUCT(($A$2:$A$4734=A2411)*($B$2:$B$4734=B2411)*($D$2:$D$4734=D2411)*($E$2:$E$4734=0)),0)</f>
        <v>0</v>
      </c>
      <c r="L2411" s="1" t="str">
        <f>IF(E2411=0,SUMPRODUCT(MIN($K$2:$K$4734+((($A$2:$A$4734&lt;&gt;A2411)+($E$2:$E$4734&lt;&gt;0))&gt;0)*1000000)),"")</f>
        <v/>
      </c>
      <c r="M2411" s="1">
        <f>IF(AND(E2411=0,COUNTIFS($A$2:A2411,A2411,$E$2:E2411,0)=1),L2411,0)</f>
        <v>0</v>
      </c>
    </row>
    <row r="2412" spans="1:13" ht="15" customHeight="1">
      <c r="A2412" s="1">
        <v>30</v>
      </c>
      <c r="B2412" s="1" t="s">
        <v>9</v>
      </c>
      <c r="C2412" s="2" t="s">
        <v>2802</v>
      </c>
      <c r="D2412" s="2" t="s">
        <v>2803</v>
      </c>
      <c r="E2412" s="1">
        <v>1</v>
      </c>
      <c r="F2412" s="2" t="s">
        <v>2804</v>
      </c>
      <c r="G2412" s="1">
        <v>1</v>
      </c>
      <c r="H2412" s="1" t="str">
        <f t="shared" si="38"/>
        <v>k30_1</v>
      </c>
      <c r="K2412" s="1">
        <f>IF(E2412=0,SUMPRODUCT(($A$2:$A$4734=A2412)*($B$2:$B$4734=B2412)*($D$2:$D$4734=D2412)*($E$2:$E$4734=0)),0)</f>
        <v>0</v>
      </c>
      <c r="L2412" s="1" t="str">
        <f>IF(E2412=0,SUMPRODUCT(MIN($K$2:$K$4734+((($A$2:$A$4734&lt;&gt;A2412)+($E$2:$E$4734&lt;&gt;0))&gt;0)*1000000)),"")</f>
        <v/>
      </c>
      <c r="M2412" s="1">
        <f>IF(AND(E2412=0,COUNTIFS($A$2:A2412,A2412,$E$2:E2412,0)=1),L2412,0)</f>
        <v>0</v>
      </c>
    </row>
    <row r="2413" spans="1:13" ht="15" customHeight="1">
      <c r="A2413" s="1">
        <v>30</v>
      </c>
      <c r="B2413" s="1" t="s">
        <v>9</v>
      </c>
      <c r="C2413" s="2" t="s">
        <v>2802</v>
      </c>
      <c r="D2413" s="2" t="s">
        <v>2803</v>
      </c>
      <c r="E2413" s="1">
        <v>1</v>
      </c>
      <c r="F2413" s="2" t="s">
        <v>2805</v>
      </c>
      <c r="G2413" s="1">
        <v>2</v>
      </c>
      <c r="H2413" s="1" t="str">
        <f t="shared" si="38"/>
        <v>k30_2</v>
      </c>
      <c r="K2413" s="1">
        <f>IF(E2413=0,SUMPRODUCT(($A$2:$A$4734=A2413)*($B$2:$B$4734=B2413)*($D$2:$D$4734=D2413)*($E$2:$E$4734=0)),0)</f>
        <v>0</v>
      </c>
      <c r="L2413" s="1" t="str">
        <f>IF(E2413=0,SUMPRODUCT(MIN($K$2:$K$4734+((($A$2:$A$4734&lt;&gt;A2413)+($E$2:$E$4734&lt;&gt;0))&gt;0)*1000000)),"")</f>
        <v/>
      </c>
      <c r="M2413" s="1">
        <f>IF(AND(E2413=0,COUNTIFS($A$2:A2413,A2413,$E$2:E2413,0)=1),L2413,0)</f>
        <v>0</v>
      </c>
    </row>
    <row r="2414" spans="1:13" ht="15" customHeight="1">
      <c r="A2414" s="1">
        <v>30</v>
      </c>
      <c r="B2414" s="1" t="s">
        <v>9</v>
      </c>
      <c r="C2414" s="2" t="s">
        <v>2802</v>
      </c>
      <c r="D2414" s="2" t="s">
        <v>2803</v>
      </c>
      <c r="E2414" s="1">
        <v>1</v>
      </c>
      <c r="F2414" s="2" t="s">
        <v>2806</v>
      </c>
      <c r="G2414" s="1">
        <v>3</v>
      </c>
      <c r="H2414" s="1" t="str">
        <f t="shared" si="38"/>
        <v>k30_3</v>
      </c>
      <c r="K2414" s="1">
        <f>IF(E2414=0,SUMPRODUCT(($A$2:$A$4734=A2414)*($B$2:$B$4734=B2414)*($D$2:$D$4734=D2414)*($E$2:$E$4734=0)),0)</f>
        <v>0</v>
      </c>
      <c r="L2414" s="1" t="str">
        <f>IF(E2414=0,SUMPRODUCT(MIN($K$2:$K$4734+((($A$2:$A$4734&lt;&gt;A2414)+($E$2:$E$4734&lt;&gt;0))&gt;0)*1000000)),"")</f>
        <v/>
      </c>
      <c r="M2414" s="1">
        <f>IF(AND(E2414=0,COUNTIFS($A$2:A2414,A2414,$E$2:E2414,0)=1),L2414,0)</f>
        <v>0</v>
      </c>
    </row>
    <row r="2415" spans="1:13" ht="15" customHeight="1">
      <c r="A2415" s="1">
        <v>30</v>
      </c>
      <c r="B2415" s="1" t="s">
        <v>9</v>
      </c>
      <c r="C2415" s="2" t="s">
        <v>2802</v>
      </c>
      <c r="D2415" s="2" t="s">
        <v>2803</v>
      </c>
      <c r="E2415" s="1">
        <v>1</v>
      </c>
      <c r="F2415" s="2" t="s">
        <v>2807</v>
      </c>
      <c r="G2415" s="1">
        <v>4</v>
      </c>
      <c r="H2415" s="1" t="str">
        <f t="shared" si="38"/>
        <v>k30_4</v>
      </c>
      <c r="K2415" s="1">
        <f>IF(E2415=0,SUMPRODUCT(($A$2:$A$4734=A2415)*($B$2:$B$4734=B2415)*($D$2:$D$4734=D2415)*($E$2:$E$4734=0)),0)</f>
        <v>0</v>
      </c>
      <c r="L2415" s="1" t="str">
        <f>IF(E2415=0,SUMPRODUCT(MIN($K$2:$K$4734+((($A$2:$A$4734&lt;&gt;A2415)+($E$2:$E$4734&lt;&gt;0))&gt;0)*1000000)),"")</f>
        <v/>
      </c>
      <c r="M2415" s="1">
        <f>IF(AND(E2415=0,COUNTIFS($A$2:A2415,A2415,$E$2:E2415,0)=1),L2415,0)</f>
        <v>0</v>
      </c>
    </row>
    <row r="2416" spans="1:13" ht="15" customHeight="1">
      <c r="A2416" s="1">
        <v>30</v>
      </c>
      <c r="B2416" s="1" t="s">
        <v>9</v>
      </c>
      <c r="C2416" s="2" t="s">
        <v>2802</v>
      </c>
      <c r="D2416" s="2" t="s">
        <v>2803</v>
      </c>
      <c r="E2416" s="1">
        <v>1</v>
      </c>
      <c r="F2416" s="2" t="s">
        <v>2808</v>
      </c>
      <c r="G2416" s="1">
        <v>5</v>
      </c>
      <c r="H2416" s="1" t="str">
        <f t="shared" si="38"/>
        <v>k30_5</v>
      </c>
      <c r="K2416" s="1">
        <f>IF(E2416=0,SUMPRODUCT(($A$2:$A$4734=A2416)*($B$2:$B$4734=B2416)*($D$2:$D$4734=D2416)*($E$2:$E$4734=0)),0)</f>
        <v>0</v>
      </c>
      <c r="L2416" s="1" t="str">
        <f>IF(E2416=0,SUMPRODUCT(MIN($K$2:$K$4734+((($A$2:$A$4734&lt;&gt;A2416)+($E$2:$E$4734&lt;&gt;0))&gt;0)*1000000)),"")</f>
        <v/>
      </c>
      <c r="M2416" s="1">
        <f>IF(AND(E2416=0,COUNTIFS($A$2:A2416,A2416,$E$2:E2416,0)=1),L2416,0)</f>
        <v>0</v>
      </c>
    </row>
    <row r="2417" spans="1:13" ht="15" customHeight="1">
      <c r="A2417" s="1">
        <v>31</v>
      </c>
      <c r="B2417" s="1" t="s">
        <v>16</v>
      </c>
      <c r="C2417" s="1" t="s">
        <v>2809</v>
      </c>
      <c r="D2417" s="2" t="s">
        <v>2810</v>
      </c>
      <c r="E2417" s="1">
        <v>1</v>
      </c>
      <c r="F2417" s="2" t="s">
        <v>2811</v>
      </c>
      <c r="G2417" s="1">
        <v>1</v>
      </c>
      <c r="H2417" s="1" t="str">
        <f t="shared" si="38"/>
        <v>k31_1</v>
      </c>
      <c r="K2417" s="1">
        <f>IF(E2417=0,SUMPRODUCT(($A$2:$A$4734=A2417)*($B$2:$B$4734=B2417)*($D$2:$D$4734=D2417)*($E$2:$E$4734=0)),0)</f>
        <v>0</v>
      </c>
      <c r="L2417" s="1" t="str">
        <f>IF(E2417=0,SUMPRODUCT(MIN($K$2:$K$4734+((($A$2:$A$4734&lt;&gt;A2417)+($E$2:$E$4734&lt;&gt;0))&gt;0)*1000000)),"")</f>
        <v/>
      </c>
      <c r="M2417" s="1">
        <f>IF(AND(E2417=0,COUNTIFS($A$2:A2417,A2417,$E$2:E2417,0)=1),L2417,0)</f>
        <v>0</v>
      </c>
    </row>
    <row r="2418" spans="1:13" ht="15" customHeight="1">
      <c r="A2418" s="1">
        <v>31</v>
      </c>
      <c r="B2418" s="1" t="s">
        <v>16</v>
      </c>
      <c r="C2418" s="1" t="s">
        <v>2809</v>
      </c>
      <c r="D2418" s="2" t="s">
        <v>2810</v>
      </c>
      <c r="E2418" s="1">
        <v>1</v>
      </c>
      <c r="F2418" s="2" t="s">
        <v>2812</v>
      </c>
      <c r="G2418" s="1">
        <v>2</v>
      </c>
      <c r="H2418" s="1" t="str">
        <f t="shared" si="38"/>
        <v>k31_2</v>
      </c>
      <c r="K2418" s="1">
        <f>IF(E2418=0,SUMPRODUCT(($A$2:$A$4734=A2418)*($B$2:$B$4734=B2418)*($D$2:$D$4734=D2418)*($E$2:$E$4734=0)),0)</f>
        <v>0</v>
      </c>
      <c r="L2418" s="1" t="str">
        <f>IF(E2418=0,SUMPRODUCT(MIN($K$2:$K$4734+((($A$2:$A$4734&lt;&gt;A2418)+($E$2:$E$4734&lt;&gt;0))&gt;0)*1000000)),"")</f>
        <v/>
      </c>
      <c r="M2418" s="1">
        <f>IF(AND(E2418=0,COUNTIFS($A$2:A2418,A2418,$E$2:E2418,0)=1),L2418,0)</f>
        <v>0</v>
      </c>
    </row>
    <row r="2419" spans="1:13" ht="15" customHeight="1">
      <c r="A2419" s="1">
        <v>31</v>
      </c>
      <c r="B2419" s="1" t="s">
        <v>16</v>
      </c>
      <c r="C2419" s="1" t="s">
        <v>2809</v>
      </c>
      <c r="D2419" s="2" t="s">
        <v>2810</v>
      </c>
      <c r="E2419" s="1">
        <v>1</v>
      </c>
      <c r="F2419" s="2" t="s">
        <v>2813</v>
      </c>
      <c r="G2419" s="1">
        <v>3</v>
      </c>
      <c r="H2419" s="1" t="str">
        <f t="shared" si="38"/>
        <v>k31_3</v>
      </c>
      <c r="K2419" s="1">
        <f>IF(E2419=0,SUMPRODUCT(($A$2:$A$4734=A2419)*($B$2:$B$4734=B2419)*($D$2:$D$4734=D2419)*($E$2:$E$4734=0)),0)</f>
        <v>0</v>
      </c>
      <c r="L2419" s="1" t="str">
        <f>IF(E2419=0,SUMPRODUCT(MIN($K$2:$K$4734+((($A$2:$A$4734&lt;&gt;A2419)+($E$2:$E$4734&lt;&gt;0))&gt;0)*1000000)),"")</f>
        <v/>
      </c>
      <c r="M2419" s="1">
        <f>IF(AND(E2419=0,COUNTIFS($A$2:A2419,A2419,$E$2:E2419,0)=1),L2419,0)</f>
        <v>0</v>
      </c>
    </row>
    <row r="2420" spans="1:13" ht="15" customHeight="1">
      <c r="A2420" s="1">
        <v>31</v>
      </c>
      <c r="B2420" s="1" t="s">
        <v>16</v>
      </c>
      <c r="C2420" s="1" t="s">
        <v>2809</v>
      </c>
      <c r="D2420" s="2" t="s">
        <v>2810</v>
      </c>
      <c r="E2420" s="1">
        <v>1</v>
      </c>
      <c r="F2420" s="2" t="s">
        <v>2814</v>
      </c>
      <c r="G2420" s="1">
        <v>4</v>
      </c>
      <c r="H2420" s="1" t="str">
        <f t="shared" si="38"/>
        <v>k31_4</v>
      </c>
      <c r="K2420" s="1">
        <f>IF(E2420=0,SUMPRODUCT(($A$2:$A$4734=A2420)*($B$2:$B$4734=B2420)*($D$2:$D$4734=D2420)*($E$2:$E$4734=0)),0)</f>
        <v>0</v>
      </c>
      <c r="L2420" s="1" t="str">
        <f>IF(E2420=0,SUMPRODUCT(MIN($K$2:$K$4734+((($A$2:$A$4734&lt;&gt;A2420)+($E$2:$E$4734&lt;&gt;0))&gt;0)*1000000)),"")</f>
        <v/>
      </c>
      <c r="M2420" s="1">
        <f>IF(AND(E2420=0,COUNTIFS($A$2:A2420,A2420,$E$2:E2420,0)=1),L2420,0)</f>
        <v>0</v>
      </c>
    </row>
    <row r="2421" spans="1:13" ht="15" customHeight="1">
      <c r="A2421" s="1">
        <v>31</v>
      </c>
      <c r="B2421" s="1" t="s">
        <v>16</v>
      </c>
      <c r="C2421" s="1" t="s">
        <v>2809</v>
      </c>
      <c r="D2421" s="2" t="s">
        <v>2815</v>
      </c>
      <c r="E2421" s="1">
        <v>1</v>
      </c>
      <c r="F2421" s="2" t="s">
        <v>2816</v>
      </c>
      <c r="G2421" s="1">
        <v>1</v>
      </c>
      <c r="H2421" s="1" t="str">
        <f t="shared" si="38"/>
        <v>k31_1</v>
      </c>
      <c r="K2421" s="1">
        <f>IF(E2421=0,SUMPRODUCT(($A$2:$A$4734=A2421)*($B$2:$B$4734=B2421)*($D$2:$D$4734=D2421)*($E$2:$E$4734=0)),0)</f>
        <v>0</v>
      </c>
      <c r="L2421" s="1" t="str">
        <f>IF(E2421=0,SUMPRODUCT(MIN($K$2:$K$4734+((($A$2:$A$4734&lt;&gt;A2421)+($E$2:$E$4734&lt;&gt;0))&gt;0)*1000000)),"")</f>
        <v/>
      </c>
      <c r="M2421" s="1">
        <f>IF(AND(E2421=0,COUNTIFS($A$2:A2421,A2421,$E$2:E2421,0)=1),L2421,0)</f>
        <v>0</v>
      </c>
    </row>
    <row r="2422" spans="1:13" ht="15" customHeight="1">
      <c r="A2422" s="1">
        <v>31</v>
      </c>
      <c r="B2422" s="1" t="s">
        <v>16</v>
      </c>
      <c r="C2422" s="1" t="s">
        <v>2809</v>
      </c>
      <c r="D2422" s="2" t="s">
        <v>2815</v>
      </c>
      <c r="E2422" s="1">
        <v>1</v>
      </c>
      <c r="F2422" s="2" t="s">
        <v>2817</v>
      </c>
      <c r="G2422" s="1">
        <v>2</v>
      </c>
      <c r="H2422" s="1" t="str">
        <f t="shared" si="38"/>
        <v>k31_2</v>
      </c>
      <c r="K2422" s="1">
        <f>IF(E2422=0,SUMPRODUCT(($A$2:$A$4734=A2422)*($B$2:$B$4734=B2422)*($D$2:$D$4734=D2422)*($E$2:$E$4734=0)),0)</f>
        <v>0</v>
      </c>
      <c r="L2422" s="1" t="str">
        <f>IF(E2422=0,SUMPRODUCT(MIN($K$2:$K$4734+((($A$2:$A$4734&lt;&gt;A2422)+($E$2:$E$4734&lt;&gt;0))&gt;0)*1000000)),"")</f>
        <v/>
      </c>
      <c r="M2422" s="1">
        <f>IF(AND(E2422=0,COUNTIFS($A$2:A2422,A2422,$E$2:E2422,0)=1),L2422,0)</f>
        <v>0</v>
      </c>
    </row>
    <row r="2423" spans="1:13" ht="15" customHeight="1">
      <c r="A2423" s="1">
        <v>31</v>
      </c>
      <c r="B2423" s="1" t="s">
        <v>16</v>
      </c>
      <c r="C2423" s="1" t="s">
        <v>2809</v>
      </c>
      <c r="D2423" s="2" t="s">
        <v>2815</v>
      </c>
      <c r="E2423" s="1">
        <v>1</v>
      </c>
      <c r="F2423" s="2" t="s">
        <v>2818</v>
      </c>
      <c r="G2423" s="1">
        <v>3</v>
      </c>
      <c r="H2423" s="1" t="str">
        <f t="shared" si="38"/>
        <v>k31_3</v>
      </c>
      <c r="K2423" s="1">
        <f>IF(E2423=0,SUMPRODUCT(($A$2:$A$4734=A2423)*($B$2:$B$4734=B2423)*($D$2:$D$4734=D2423)*($E$2:$E$4734=0)),0)</f>
        <v>0</v>
      </c>
      <c r="L2423" s="1" t="str">
        <f>IF(E2423=0,SUMPRODUCT(MIN($K$2:$K$4734+((($A$2:$A$4734&lt;&gt;A2423)+($E$2:$E$4734&lt;&gt;0))&gt;0)*1000000)),"")</f>
        <v/>
      </c>
      <c r="M2423" s="1">
        <f>IF(AND(E2423=0,COUNTIFS($A$2:A2423,A2423,$E$2:E2423,0)=1),L2423,0)</f>
        <v>0</v>
      </c>
    </row>
    <row r="2424" spans="1:13" ht="15" customHeight="1">
      <c r="A2424" s="1">
        <v>31</v>
      </c>
      <c r="B2424" s="1" t="s">
        <v>16</v>
      </c>
      <c r="C2424" s="1" t="s">
        <v>2809</v>
      </c>
      <c r="D2424" s="2" t="s">
        <v>2815</v>
      </c>
      <c r="E2424" s="1">
        <v>1</v>
      </c>
      <c r="F2424" s="2" t="s">
        <v>2819</v>
      </c>
      <c r="G2424" s="1">
        <v>4</v>
      </c>
      <c r="H2424" s="1" t="str">
        <f t="shared" si="38"/>
        <v>k31_4</v>
      </c>
      <c r="K2424" s="1">
        <f>IF(E2424=0,SUMPRODUCT(($A$2:$A$4734=A2424)*($B$2:$B$4734=B2424)*($D$2:$D$4734=D2424)*($E$2:$E$4734=0)),0)</f>
        <v>0</v>
      </c>
      <c r="L2424" s="1" t="str">
        <f>IF(E2424=0,SUMPRODUCT(MIN($K$2:$K$4734+((($A$2:$A$4734&lt;&gt;A2424)+($E$2:$E$4734&lt;&gt;0))&gt;0)*1000000)),"")</f>
        <v/>
      </c>
      <c r="M2424" s="1">
        <f>IF(AND(E2424=0,COUNTIFS($A$2:A2424,A2424,$E$2:E2424,0)=1),L2424,0)</f>
        <v>0</v>
      </c>
    </row>
    <row r="2425" spans="1:13" ht="15" customHeight="1">
      <c r="A2425" s="1">
        <v>31</v>
      </c>
      <c r="B2425" s="1" t="s">
        <v>1236</v>
      </c>
      <c r="C2425" s="1" t="s">
        <v>2809</v>
      </c>
      <c r="D2425" s="2" t="s">
        <v>2820</v>
      </c>
      <c r="E2425" s="1">
        <v>1</v>
      </c>
      <c r="F2425" s="2" t="s">
        <v>2821</v>
      </c>
      <c r="G2425" s="1">
        <v>1</v>
      </c>
      <c r="H2425" s="1" t="str">
        <f t="shared" si="38"/>
        <v>k31_1</v>
      </c>
      <c r="K2425" s="1">
        <f>IF(E2425=0,SUMPRODUCT(($A$2:$A$4734=A2425)*($B$2:$B$4734=B2425)*($D$2:$D$4734=D2425)*($E$2:$E$4734=0)),0)</f>
        <v>0</v>
      </c>
      <c r="L2425" s="1" t="str">
        <f>IF(E2425=0,SUMPRODUCT(MIN($K$2:$K$4734+((($A$2:$A$4734&lt;&gt;A2425)+($E$2:$E$4734&lt;&gt;0))&gt;0)*1000000)),"")</f>
        <v/>
      </c>
      <c r="M2425" s="1">
        <f>IF(AND(E2425=0,COUNTIFS($A$2:A2425,A2425,$E$2:E2425,0)=1),L2425,0)</f>
        <v>0</v>
      </c>
    </row>
    <row r="2426" spans="1:13" ht="15" customHeight="1">
      <c r="A2426" s="1">
        <v>31</v>
      </c>
      <c r="B2426" s="1" t="s">
        <v>1236</v>
      </c>
      <c r="C2426" s="1" t="s">
        <v>2809</v>
      </c>
      <c r="D2426" s="2" t="s">
        <v>2820</v>
      </c>
      <c r="E2426" s="1">
        <v>1</v>
      </c>
      <c r="F2426" s="2" t="s">
        <v>2822</v>
      </c>
      <c r="G2426" s="1">
        <v>2</v>
      </c>
      <c r="H2426" s="1" t="str">
        <f t="shared" si="38"/>
        <v>k31_2</v>
      </c>
      <c r="K2426" s="1">
        <f>IF(E2426=0,SUMPRODUCT(($A$2:$A$4734=A2426)*($B$2:$B$4734=B2426)*($D$2:$D$4734=D2426)*($E$2:$E$4734=0)),0)</f>
        <v>0</v>
      </c>
      <c r="L2426" s="1" t="str">
        <f>IF(E2426=0,SUMPRODUCT(MIN($K$2:$K$4734+((($A$2:$A$4734&lt;&gt;A2426)+($E$2:$E$4734&lt;&gt;0))&gt;0)*1000000)),"")</f>
        <v/>
      </c>
      <c r="M2426" s="1">
        <f>IF(AND(E2426=0,COUNTIFS($A$2:A2426,A2426,$E$2:E2426,0)=1),L2426,0)</f>
        <v>0</v>
      </c>
    </row>
    <row r="2427" spans="1:13" ht="15" customHeight="1">
      <c r="A2427" s="1">
        <v>31</v>
      </c>
      <c r="B2427" s="1" t="s">
        <v>1236</v>
      </c>
      <c r="C2427" s="1" t="s">
        <v>2809</v>
      </c>
      <c r="D2427" s="2" t="s">
        <v>2820</v>
      </c>
      <c r="E2427" s="1">
        <v>1</v>
      </c>
      <c r="F2427" s="2" t="s">
        <v>2823</v>
      </c>
      <c r="G2427" s="1">
        <v>3</v>
      </c>
      <c r="H2427" s="1" t="str">
        <f t="shared" si="38"/>
        <v>k31_3</v>
      </c>
      <c r="K2427" s="1">
        <f>IF(E2427=0,SUMPRODUCT(($A$2:$A$4734=A2427)*($B$2:$B$4734=B2427)*($D$2:$D$4734=D2427)*($E$2:$E$4734=0)),0)</f>
        <v>0</v>
      </c>
      <c r="L2427" s="1" t="str">
        <f>IF(E2427=0,SUMPRODUCT(MIN($K$2:$K$4734+((($A$2:$A$4734&lt;&gt;A2427)+($E$2:$E$4734&lt;&gt;0))&gt;0)*1000000)),"")</f>
        <v/>
      </c>
      <c r="M2427" s="1">
        <f>IF(AND(E2427=0,COUNTIFS($A$2:A2427,A2427,$E$2:E2427,0)=1),L2427,0)</f>
        <v>0</v>
      </c>
    </row>
    <row r="2428" spans="1:13" ht="15" customHeight="1">
      <c r="A2428" s="1">
        <v>31</v>
      </c>
      <c r="B2428" s="1" t="s">
        <v>1236</v>
      </c>
      <c r="C2428" s="1" t="s">
        <v>2809</v>
      </c>
      <c r="D2428" s="2" t="s">
        <v>2820</v>
      </c>
      <c r="E2428" s="1">
        <v>1</v>
      </c>
      <c r="F2428" s="2" t="s">
        <v>2824</v>
      </c>
      <c r="G2428" s="1">
        <v>4</v>
      </c>
      <c r="H2428" s="1" t="str">
        <f t="shared" si="38"/>
        <v>k31_4</v>
      </c>
      <c r="K2428" s="1">
        <f>IF(E2428=0,SUMPRODUCT(($A$2:$A$4734=A2428)*($B$2:$B$4734=B2428)*($D$2:$D$4734=D2428)*($E$2:$E$4734=0)),0)</f>
        <v>0</v>
      </c>
      <c r="L2428" s="1" t="str">
        <f>IF(E2428=0,SUMPRODUCT(MIN($K$2:$K$4734+((($A$2:$A$4734&lt;&gt;A2428)+($E$2:$E$4734&lt;&gt;0))&gt;0)*1000000)),"")</f>
        <v/>
      </c>
      <c r="M2428" s="1">
        <f>IF(AND(E2428=0,COUNTIFS($A$2:A2428,A2428,$E$2:E2428,0)=1),L2428,0)</f>
        <v>0</v>
      </c>
    </row>
    <row r="2429" spans="1:13" ht="15" customHeight="1">
      <c r="A2429" s="1">
        <v>32</v>
      </c>
      <c r="B2429" s="1" t="s">
        <v>9</v>
      </c>
      <c r="C2429" s="2" t="s">
        <v>2825</v>
      </c>
      <c r="D2429" s="2" t="s">
        <v>2826</v>
      </c>
      <c r="E2429" s="1">
        <v>0</v>
      </c>
      <c r="F2429" s="2" t="s">
        <v>2827</v>
      </c>
      <c r="H2429" s="1" t="str">
        <f t="shared" si="38"/>
        <v/>
      </c>
      <c r="K2429" s="1">
        <f>IF(E2429=0,SUMPRODUCT(($A$2:$A$4734=A2429)*($B$2:$B$4734=B2429)*($D$2:$D$4734=D2429)*($E$2:$E$4734=0)),0)</f>
        <v>3</v>
      </c>
      <c r="L2429" s="1">
        <f>IF(E2429=0,SUMPRODUCT(MIN($K$2:$K$4734+((($A$2:$A$4734&lt;&gt;A2429)+($E$2:$E$4734&lt;&gt;0))&gt;0)*1000000)),"")</f>
        <v>3</v>
      </c>
      <c r="M2429" s="1">
        <f>IF(AND(E2429=0,COUNTIFS($A$2:A2429,A2429,$E$2:E2429,0)=1),L2429,0)</f>
        <v>3</v>
      </c>
    </row>
    <row r="2430" spans="1:13" ht="15" customHeight="1">
      <c r="A2430" s="1">
        <v>32</v>
      </c>
      <c r="B2430" s="1" t="s">
        <v>9</v>
      </c>
      <c r="C2430" s="2" t="s">
        <v>2825</v>
      </c>
      <c r="D2430" s="2" t="s">
        <v>2826</v>
      </c>
      <c r="E2430" s="1">
        <v>0</v>
      </c>
      <c r="F2430" s="2" t="s">
        <v>1310</v>
      </c>
      <c r="H2430" s="1" t="str">
        <f t="shared" si="38"/>
        <v/>
      </c>
      <c r="K2430" s="1">
        <f>IF(E2430=0,SUMPRODUCT(($A$2:$A$4734=A2430)*($B$2:$B$4734=B2430)*($D$2:$D$4734=D2430)*($E$2:$E$4734=0)),0)</f>
        <v>3</v>
      </c>
      <c r="L2430" s="1">
        <f>IF(E2430=0,SUMPRODUCT(MIN($K$2:$K$4734+((($A$2:$A$4734&lt;&gt;A2430)+($E$2:$E$4734&lt;&gt;0))&gt;0)*1000000)),"")</f>
        <v>3</v>
      </c>
      <c r="M2430" s="1">
        <f>IF(AND(E2430=0,COUNTIFS($A$2:A2430,A2430,$E$2:E2430,0)=1),L2430,0)</f>
        <v>0</v>
      </c>
    </row>
    <row r="2431" spans="1:13" ht="15" customHeight="1">
      <c r="A2431" s="1">
        <v>32</v>
      </c>
      <c r="B2431" s="1" t="s">
        <v>9</v>
      </c>
      <c r="C2431" s="2" t="s">
        <v>2825</v>
      </c>
      <c r="D2431" s="2" t="s">
        <v>2826</v>
      </c>
      <c r="E2431" s="1">
        <v>0</v>
      </c>
      <c r="F2431" s="2" t="s">
        <v>2829</v>
      </c>
      <c r="H2431" s="1" t="str">
        <f t="shared" si="38"/>
        <v/>
      </c>
      <c r="K2431" s="1">
        <f>IF(E2431=0,SUMPRODUCT(($A$2:$A$4734=A2431)*($B$2:$B$4734=B2431)*($D$2:$D$4734=D2431)*($E$2:$E$4734=0)),0)</f>
        <v>3</v>
      </c>
      <c r="L2431" s="1">
        <f>IF(E2431=0,SUMPRODUCT(MIN($K$2:$K$4734+((($A$2:$A$4734&lt;&gt;A2431)+($E$2:$E$4734&lt;&gt;0))&gt;0)*1000000)),"")</f>
        <v>3</v>
      </c>
      <c r="M2431" s="1">
        <f>IF(AND(E2431=0,COUNTIFS($A$2:A2431,A2431,$E$2:E2431,0)=1),L2431,0)</f>
        <v>0</v>
      </c>
    </row>
    <row r="2432" spans="1:13" ht="15" customHeight="1">
      <c r="A2432" s="1">
        <v>33</v>
      </c>
      <c r="B2432" s="1" t="s">
        <v>16</v>
      </c>
      <c r="C2432" s="2" t="s">
        <v>2830</v>
      </c>
      <c r="D2432" s="2" t="s">
        <v>2831</v>
      </c>
      <c r="E2432" s="1">
        <v>1</v>
      </c>
      <c r="F2432" s="2" t="s">
        <v>2832</v>
      </c>
      <c r="G2432" s="1">
        <v>1</v>
      </c>
      <c r="H2432" s="1" t="str">
        <f t="shared" si="38"/>
        <v>k33_1</v>
      </c>
      <c r="K2432" s="1">
        <f>IF(E2432=0,SUMPRODUCT(($A$2:$A$4734=A2432)*($B$2:$B$4734=B2432)*($D$2:$D$4734=D2432)*($E$2:$E$4734=0)),0)</f>
        <v>0</v>
      </c>
      <c r="L2432" s="1" t="str">
        <f>IF(E2432=0,SUMPRODUCT(MIN($K$2:$K$4734+((($A$2:$A$4734&lt;&gt;A2432)+($E$2:$E$4734&lt;&gt;0))&gt;0)*1000000)),"")</f>
        <v/>
      </c>
      <c r="M2432" s="1">
        <f>IF(AND(E2432=0,COUNTIFS($A$2:A2432,A2432,$E$2:E2432,0)=1),L2432,0)</f>
        <v>0</v>
      </c>
    </row>
    <row r="2433" spans="1:13" ht="15" customHeight="1">
      <c r="A2433" s="1">
        <v>33</v>
      </c>
      <c r="B2433" s="1" t="s">
        <v>16</v>
      </c>
      <c r="C2433" s="2" t="s">
        <v>2830</v>
      </c>
      <c r="D2433" s="2" t="s">
        <v>2831</v>
      </c>
      <c r="E2433" s="1">
        <v>1</v>
      </c>
      <c r="F2433" s="2" t="s">
        <v>2833</v>
      </c>
      <c r="G2433" s="1">
        <v>2</v>
      </c>
      <c r="H2433" s="1" t="str">
        <f t="shared" si="38"/>
        <v>k33_2</v>
      </c>
      <c r="K2433" s="1">
        <f>IF(E2433=0,SUMPRODUCT(($A$2:$A$4734=A2433)*($B$2:$B$4734=B2433)*($D$2:$D$4734=D2433)*($E$2:$E$4734=0)),0)</f>
        <v>0</v>
      </c>
      <c r="L2433" s="1" t="str">
        <f>IF(E2433=0,SUMPRODUCT(MIN($K$2:$K$4734+((($A$2:$A$4734&lt;&gt;A2433)+($E$2:$E$4734&lt;&gt;0))&gt;0)*1000000)),"")</f>
        <v/>
      </c>
      <c r="M2433" s="1">
        <f>IF(AND(E2433=0,COUNTIFS($A$2:A2433,A2433,$E$2:E2433,0)=1),L2433,0)</f>
        <v>0</v>
      </c>
    </row>
    <row r="2434" spans="1:13" ht="15" customHeight="1">
      <c r="A2434" s="1">
        <v>33</v>
      </c>
      <c r="B2434" s="1" t="s">
        <v>16</v>
      </c>
      <c r="C2434" s="2" t="s">
        <v>2830</v>
      </c>
      <c r="D2434" s="2" t="s">
        <v>2831</v>
      </c>
      <c r="E2434" s="1">
        <v>1</v>
      </c>
      <c r="F2434" s="2" t="s">
        <v>2834</v>
      </c>
      <c r="G2434" s="1">
        <v>3</v>
      </c>
      <c r="H2434" s="1" t="str">
        <f t="shared" si="38"/>
        <v>k33_3</v>
      </c>
      <c r="K2434" s="1">
        <f>IF(E2434=0,SUMPRODUCT(($A$2:$A$4734=A2434)*($B$2:$B$4734=B2434)*($D$2:$D$4734=D2434)*($E$2:$E$4734=0)),0)</f>
        <v>0</v>
      </c>
      <c r="L2434" s="1" t="str">
        <f>IF(E2434=0,SUMPRODUCT(MIN($K$2:$K$4734+((($A$2:$A$4734&lt;&gt;A2434)+($E$2:$E$4734&lt;&gt;0))&gt;0)*1000000)),"")</f>
        <v/>
      </c>
      <c r="M2434" s="1">
        <f>IF(AND(E2434=0,COUNTIFS($A$2:A2434,A2434,$E$2:E2434,0)=1),L2434,0)</f>
        <v>0</v>
      </c>
    </row>
    <row r="2435" spans="1:13" ht="15" customHeight="1">
      <c r="A2435" s="1">
        <v>33</v>
      </c>
      <c r="B2435" s="1" t="s">
        <v>16</v>
      </c>
      <c r="C2435" s="2" t="s">
        <v>2830</v>
      </c>
      <c r="D2435" s="2" t="s">
        <v>2831</v>
      </c>
      <c r="E2435" s="1">
        <v>1</v>
      </c>
      <c r="F2435" s="2" t="s">
        <v>2835</v>
      </c>
      <c r="G2435" s="1">
        <v>4</v>
      </c>
      <c r="H2435" s="1" t="str">
        <f t="shared" si="38"/>
        <v>k33_4</v>
      </c>
      <c r="K2435" s="1">
        <f>IF(E2435=0,SUMPRODUCT(($A$2:$A$4734=A2435)*($B$2:$B$4734=B2435)*($D$2:$D$4734=D2435)*($E$2:$E$4734=0)),0)</f>
        <v>0</v>
      </c>
      <c r="L2435" s="1" t="str">
        <f>IF(E2435=0,SUMPRODUCT(MIN($K$2:$K$4734+((($A$2:$A$4734&lt;&gt;A2435)+($E$2:$E$4734&lt;&gt;0))&gt;0)*1000000)),"")</f>
        <v/>
      </c>
      <c r="M2435" s="1">
        <f>IF(AND(E2435=0,COUNTIFS($A$2:A2435,A2435,$E$2:E2435,0)=1),L2435,0)</f>
        <v>0</v>
      </c>
    </row>
    <row r="2436" spans="1:13" ht="15" customHeight="1">
      <c r="A2436" s="1">
        <v>33</v>
      </c>
      <c r="B2436" s="1" t="s">
        <v>16</v>
      </c>
      <c r="C2436" s="2" t="s">
        <v>2830</v>
      </c>
      <c r="D2436" s="2" t="s">
        <v>2831</v>
      </c>
      <c r="E2436" s="1">
        <v>1</v>
      </c>
      <c r="F2436" s="2" t="s">
        <v>2836</v>
      </c>
      <c r="G2436" s="1">
        <v>5</v>
      </c>
      <c r="H2436" s="1" t="str">
        <f t="shared" si="38"/>
        <v>k33_5</v>
      </c>
      <c r="K2436" s="1">
        <f>IF(E2436=0,SUMPRODUCT(($A$2:$A$4734=A2436)*($B$2:$B$4734=B2436)*($D$2:$D$4734=D2436)*($E$2:$E$4734=0)),0)</f>
        <v>0</v>
      </c>
      <c r="L2436" s="1" t="str">
        <f>IF(E2436=0,SUMPRODUCT(MIN($K$2:$K$4734+((($A$2:$A$4734&lt;&gt;A2436)+($E$2:$E$4734&lt;&gt;0))&gt;0)*1000000)),"")</f>
        <v/>
      </c>
      <c r="M2436" s="1">
        <f>IF(AND(E2436=0,COUNTIFS($A$2:A2436,A2436,$E$2:E2436,0)=1),L2436,0)</f>
        <v>0</v>
      </c>
    </row>
    <row r="2437" spans="1:13" ht="15" customHeight="1">
      <c r="A2437" s="1">
        <v>33</v>
      </c>
      <c r="B2437" s="1" t="s">
        <v>16</v>
      </c>
      <c r="C2437" s="2" t="s">
        <v>2830</v>
      </c>
      <c r="D2437" s="2" t="s">
        <v>2831</v>
      </c>
      <c r="E2437" s="1">
        <v>1</v>
      </c>
      <c r="F2437" s="2" t="s">
        <v>2832</v>
      </c>
      <c r="G2437" s="1">
        <v>6</v>
      </c>
      <c r="H2437" s="1" t="str">
        <f t="shared" si="38"/>
        <v>k33_6</v>
      </c>
      <c r="K2437" s="1">
        <f>IF(E2437=0,SUMPRODUCT(($A$2:$A$4734=A2437)*($B$2:$B$4734=B2437)*($D$2:$D$4734=D2437)*($E$2:$E$4734=0)),0)</f>
        <v>0</v>
      </c>
      <c r="L2437" s="1" t="str">
        <f>IF(E2437=0,SUMPRODUCT(MIN($K$2:$K$4734+((($A$2:$A$4734&lt;&gt;A2437)+($E$2:$E$4734&lt;&gt;0))&gt;0)*1000000)),"")</f>
        <v/>
      </c>
      <c r="M2437" s="1">
        <f>IF(AND(E2437=0,COUNTIFS($A$2:A2437,A2437,$E$2:E2437,0)=1),L2437,0)</f>
        <v>0</v>
      </c>
    </row>
    <row r="2438" spans="1:13" ht="15" customHeight="1">
      <c r="A2438" s="1">
        <v>33</v>
      </c>
      <c r="B2438" s="1" t="s">
        <v>16</v>
      </c>
      <c r="C2438" s="2" t="s">
        <v>2830</v>
      </c>
      <c r="D2438" s="2" t="s">
        <v>2831</v>
      </c>
      <c r="E2438" s="1">
        <v>1</v>
      </c>
      <c r="F2438" s="2" t="s">
        <v>2833</v>
      </c>
      <c r="G2438" s="1">
        <v>7</v>
      </c>
      <c r="H2438" s="1" t="str">
        <f t="shared" si="38"/>
        <v>k33_7</v>
      </c>
      <c r="K2438" s="1">
        <f>IF(E2438=0,SUMPRODUCT(($A$2:$A$4734=A2438)*($B$2:$B$4734=B2438)*($D$2:$D$4734=D2438)*($E$2:$E$4734=0)),0)</f>
        <v>0</v>
      </c>
      <c r="L2438" s="1" t="str">
        <f>IF(E2438=0,SUMPRODUCT(MIN($K$2:$K$4734+((($A$2:$A$4734&lt;&gt;A2438)+($E$2:$E$4734&lt;&gt;0))&gt;0)*1000000)),"")</f>
        <v/>
      </c>
      <c r="M2438" s="1">
        <f>IF(AND(E2438=0,COUNTIFS($A$2:A2438,A2438,$E$2:E2438,0)=1),L2438,0)</f>
        <v>0</v>
      </c>
    </row>
    <row r="2439" spans="1:13" ht="15" customHeight="1">
      <c r="A2439" s="1">
        <v>33</v>
      </c>
      <c r="B2439" s="1" t="s">
        <v>16</v>
      </c>
      <c r="C2439" s="2" t="s">
        <v>2830</v>
      </c>
      <c r="D2439" s="2" t="s">
        <v>2831</v>
      </c>
      <c r="E2439" s="1">
        <v>1</v>
      </c>
      <c r="F2439" s="2" t="s">
        <v>2834</v>
      </c>
      <c r="G2439" s="1">
        <v>8</v>
      </c>
      <c r="H2439" s="1" t="str">
        <f t="shared" si="38"/>
        <v>k33_8</v>
      </c>
      <c r="K2439" s="1">
        <f>IF(E2439=0,SUMPRODUCT(($A$2:$A$4734=A2439)*($B$2:$B$4734=B2439)*($D$2:$D$4734=D2439)*($E$2:$E$4734=0)),0)</f>
        <v>0</v>
      </c>
      <c r="L2439" s="1" t="str">
        <f>IF(E2439=0,SUMPRODUCT(MIN($K$2:$K$4734+((($A$2:$A$4734&lt;&gt;A2439)+($E$2:$E$4734&lt;&gt;0))&gt;0)*1000000)),"")</f>
        <v/>
      </c>
      <c r="M2439" s="1">
        <f>IF(AND(E2439=0,COUNTIFS($A$2:A2439,A2439,$E$2:E2439,0)=1),L2439,0)</f>
        <v>0</v>
      </c>
    </row>
    <row r="2440" spans="1:13" ht="15" customHeight="1">
      <c r="A2440" s="1">
        <v>33</v>
      </c>
      <c r="B2440" s="1" t="s">
        <v>16</v>
      </c>
      <c r="C2440" s="2" t="s">
        <v>2830</v>
      </c>
      <c r="D2440" s="2" t="s">
        <v>2831</v>
      </c>
      <c r="E2440" s="1">
        <v>1</v>
      </c>
      <c r="F2440" s="2" t="s">
        <v>2835</v>
      </c>
      <c r="G2440" s="1">
        <v>9</v>
      </c>
      <c r="H2440" s="1" t="str">
        <f t="shared" si="38"/>
        <v>k33_9</v>
      </c>
      <c r="K2440" s="1">
        <f>IF(E2440=0,SUMPRODUCT(($A$2:$A$4734=A2440)*($B$2:$B$4734=B2440)*($D$2:$D$4734=D2440)*($E$2:$E$4734=0)),0)</f>
        <v>0</v>
      </c>
      <c r="L2440" s="1" t="str">
        <f>IF(E2440=0,SUMPRODUCT(MIN($K$2:$K$4734+((($A$2:$A$4734&lt;&gt;A2440)+($E$2:$E$4734&lt;&gt;0))&gt;0)*1000000)),"")</f>
        <v/>
      </c>
      <c r="M2440" s="1">
        <f>IF(AND(E2440=0,COUNTIFS($A$2:A2440,A2440,$E$2:E2440,0)=1),L2440,0)</f>
        <v>0</v>
      </c>
    </row>
    <row r="2441" spans="1:13" ht="15" customHeight="1">
      <c r="A2441" s="1">
        <v>33</v>
      </c>
      <c r="B2441" s="1" t="s">
        <v>16</v>
      </c>
      <c r="C2441" s="2" t="s">
        <v>2830</v>
      </c>
      <c r="D2441" s="2" t="s">
        <v>2831</v>
      </c>
      <c r="E2441" s="1">
        <v>1</v>
      </c>
      <c r="F2441" s="2" t="s">
        <v>2836</v>
      </c>
      <c r="G2441" s="1">
        <v>10</v>
      </c>
      <c r="H2441" s="1" t="str">
        <f t="shared" si="38"/>
        <v>k33_10</v>
      </c>
      <c r="K2441" s="1">
        <f>IF(E2441=0,SUMPRODUCT(($A$2:$A$4734=A2441)*($B$2:$B$4734=B2441)*($D$2:$D$4734=D2441)*($E$2:$E$4734=0)),0)</f>
        <v>0</v>
      </c>
      <c r="L2441" s="1" t="str">
        <f>IF(E2441=0,SUMPRODUCT(MIN($K$2:$K$4734+((($A$2:$A$4734&lt;&gt;A2441)+($E$2:$E$4734&lt;&gt;0))&gt;0)*1000000)),"")</f>
        <v/>
      </c>
      <c r="M2441" s="1">
        <f>IF(AND(E2441=0,COUNTIFS($A$2:A2441,A2441,$E$2:E2441,0)=1),L2441,0)</f>
        <v>0</v>
      </c>
    </row>
    <row r="2442" spans="1:13" ht="15" customHeight="1">
      <c r="A2442" s="1">
        <v>33</v>
      </c>
      <c r="B2442" s="1" t="s">
        <v>16</v>
      </c>
      <c r="C2442" s="2" t="s">
        <v>2830</v>
      </c>
      <c r="D2442" s="2" t="s">
        <v>2831</v>
      </c>
      <c r="E2442" s="1">
        <v>1</v>
      </c>
      <c r="F2442" s="2" t="s">
        <v>2836</v>
      </c>
      <c r="G2442" s="1">
        <v>11</v>
      </c>
      <c r="H2442" s="1" t="str">
        <f t="shared" si="38"/>
        <v>k33_11</v>
      </c>
      <c r="K2442" s="1">
        <f>IF(E2442=0,SUMPRODUCT(($A$2:$A$4734=A2442)*($B$2:$B$4734=B2442)*($D$2:$D$4734=D2442)*($E$2:$E$4734=0)),0)</f>
        <v>0</v>
      </c>
      <c r="L2442" s="1" t="str">
        <f>IF(E2442=0,SUMPRODUCT(MIN($K$2:$K$4734+((($A$2:$A$4734&lt;&gt;A2442)+($E$2:$E$4734&lt;&gt;0))&gt;0)*1000000)),"")</f>
        <v/>
      </c>
      <c r="M2442" s="1">
        <f>IF(AND(E2442=0,COUNTIFS($A$2:A2442,A2442,$E$2:E2442,0)=1),L2442,0)</f>
        <v>0</v>
      </c>
    </row>
    <row r="2443" spans="1:13" ht="15" customHeight="1">
      <c r="A2443" s="1">
        <v>33</v>
      </c>
      <c r="B2443" s="1" t="s">
        <v>161</v>
      </c>
      <c r="C2443" s="2" t="s">
        <v>2830</v>
      </c>
      <c r="D2443" s="2" t="s">
        <v>2831</v>
      </c>
      <c r="E2443" s="1">
        <v>1</v>
      </c>
      <c r="F2443" s="2" t="s">
        <v>2837</v>
      </c>
      <c r="G2443" s="1">
        <v>1</v>
      </c>
      <c r="H2443" s="1" t="str">
        <f t="shared" si="38"/>
        <v>k33_1</v>
      </c>
      <c r="K2443" s="1">
        <f>IF(E2443=0,SUMPRODUCT(($A$2:$A$4734=A2443)*($B$2:$B$4734=B2443)*($D$2:$D$4734=D2443)*($E$2:$E$4734=0)),0)</f>
        <v>0</v>
      </c>
      <c r="L2443" s="1" t="str">
        <f>IF(E2443=0,SUMPRODUCT(MIN($K$2:$K$4734+((($A$2:$A$4734&lt;&gt;A2443)+($E$2:$E$4734&lt;&gt;0))&gt;0)*1000000)),"")</f>
        <v/>
      </c>
      <c r="M2443" s="1">
        <f>IF(AND(E2443=0,COUNTIFS($A$2:A2443,A2443,$E$2:E2443,0)=1),L2443,0)</f>
        <v>0</v>
      </c>
    </row>
    <row r="2444" spans="1:13" ht="15" customHeight="1">
      <c r="A2444" s="1">
        <v>33</v>
      </c>
      <c r="B2444" s="1" t="s">
        <v>161</v>
      </c>
      <c r="C2444" s="2" t="s">
        <v>2830</v>
      </c>
      <c r="D2444" s="2" t="s">
        <v>2831</v>
      </c>
      <c r="E2444" s="1">
        <v>1</v>
      </c>
      <c r="F2444" s="2" t="s">
        <v>2838</v>
      </c>
      <c r="G2444" s="1">
        <v>2</v>
      </c>
      <c r="H2444" s="1" t="str">
        <f t="shared" si="38"/>
        <v>k33_2</v>
      </c>
      <c r="K2444" s="1">
        <f>IF(E2444=0,SUMPRODUCT(($A$2:$A$4734=A2444)*($B$2:$B$4734=B2444)*($D$2:$D$4734=D2444)*($E$2:$E$4734=0)),0)</f>
        <v>0</v>
      </c>
      <c r="L2444" s="1" t="str">
        <f>IF(E2444=0,SUMPRODUCT(MIN($K$2:$K$4734+((($A$2:$A$4734&lt;&gt;A2444)+($E$2:$E$4734&lt;&gt;0))&gt;0)*1000000)),"")</f>
        <v/>
      </c>
      <c r="M2444" s="1">
        <f>IF(AND(E2444=0,COUNTIFS($A$2:A2444,A2444,$E$2:E2444,0)=1),L2444,0)</f>
        <v>0</v>
      </c>
    </row>
    <row r="2445" spans="1:13" ht="15" customHeight="1">
      <c r="A2445" s="1">
        <v>33</v>
      </c>
      <c r="B2445" s="1" t="s">
        <v>161</v>
      </c>
      <c r="C2445" s="2" t="s">
        <v>2830</v>
      </c>
      <c r="D2445" s="2" t="s">
        <v>2831</v>
      </c>
      <c r="E2445" s="1">
        <v>1</v>
      </c>
      <c r="F2445" s="2" t="s">
        <v>2839</v>
      </c>
      <c r="G2445" s="1">
        <v>3</v>
      </c>
      <c r="H2445" s="1" t="str">
        <f t="shared" si="38"/>
        <v>k33_3</v>
      </c>
      <c r="K2445" s="1">
        <f>IF(E2445=0,SUMPRODUCT(($A$2:$A$4734=A2445)*($B$2:$B$4734=B2445)*($D$2:$D$4734=D2445)*($E$2:$E$4734=0)),0)</f>
        <v>0</v>
      </c>
      <c r="L2445" s="1" t="str">
        <f>IF(E2445=0,SUMPRODUCT(MIN($K$2:$K$4734+((($A$2:$A$4734&lt;&gt;A2445)+($E$2:$E$4734&lt;&gt;0))&gt;0)*1000000)),"")</f>
        <v/>
      </c>
      <c r="M2445" s="1">
        <f>IF(AND(E2445=0,COUNTIFS($A$2:A2445,A2445,$E$2:E2445,0)=1),L2445,0)</f>
        <v>0</v>
      </c>
    </row>
    <row r="2446" spans="1:13" ht="15" customHeight="1">
      <c r="A2446" s="1">
        <v>33</v>
      </c>
      <c r="B2446" s="1" t="s">
        <v>161</v>
      </c>
      <c r="C2446" s="2" t="s">
        <v>2830</v>
      </c>
      <c r="D2446" s="2" t="s">
        <v>2831</v>
      </c>
      <c r="E2446" s="1">
        <v>1</v>
      </c>
      <c r="F2446" s="2" t="s">
        <v>2840</v>
      </c>
      <c r="G2446" s="1">
        <v>4</v>
      </c>
      <c r="H2446" s="1" t="str">
        <f t="shared" si="38"/>
        <v>k33_4</v>
      </c>
      <c r="K2446" s="1">
        <f>IF(E2446=0,SUMPRODUCT(($A$2:$A$4734=A2446)*($B$2:$B$4734=B2446)*($D$2:$D$4734=D2446)*($E$2:$E$4734=0)),0)</f>
        <v>0</v>
      </c>
      <c r="L2446" s="1" t="str">
        <f>IF(E2446=0,SUMPRODUCT(MIN($K$2:$K$4734+((($A$2:$A$4734&lt;&gt;A2446)+($E$2:$E$4734&lt;&gt;0))&gt;0)*1000000)),"")</f>
        <v/>
      </c>
      <c r="M2446" s="1">
        <f>IF(AND(E2446=0,COUNTIFS($A$2:A2446,A2446,$E$2:E2446,0)=1),L2446,0)</f>
        <v>0</v>
      </c>
    </row>
    <row r="2447" spans="1:13" ht="15" customHeight="1">
      <c r="A2447" s="1">
        <v>33</v>
      </c>
      <c r="B2447" s="1" t="s">
        <v>161</v>
      </c>
      <c r="C2447" s="2" t="s">
        <v>2830</v>
      </c>
      <c r="D2447" s="2" t="s">
        <v>2831</v>
      </c>
      <c r="E2447" s="1">
        <v>1</v>
      </c>
      <c r="F2447" s="2" t="s">
        <v>2835</v>
      </c>
      <c r="G2447" s="1">
        <v>5</v>
      </c>
      <c r="H2447" s="1" t="str">
        <f t="shared" si="38"/>
        <v>k33_5</v>
      </c>
      <c r="K2447" s="1">
        <f>IF(E2447=0,SUMPRODUCT(($A$2:$A$4734=A2447)*($B$2:$B$4734=B2447)*($D$2:$D$4734=D2447)*($E$2:$E$4734=0)),0)</f>
        <v>0</v>
      </c>
      <c r="L2447" s="1" t="str">
        <f>IF(E2447=0,SUMPRODUCT(MIN($K$2:$K$4734+((($A$2:$A$4734&lt;&gt;A2447)+($E$2:$E$4734&lt;&gt;0))&gt;0)*1000000)),"")</f>
        <v/>
      </c>
      <c r="M2447" s="1">
        <f>IF(AND(E2447=0,COUNTIFS($A$2:A2447,A2447,$E$2:E2447,0)=1),L2447,0)</f>
        <v>0</v>
      </c>
    </row>
    <row r="2448" spans="1:13" ht="15" customHeight="1">
      <c r="A2448" s="1">
        <v>33</v>
      </c>
      <c r="B2448" s="1" t="s">
        <v>161</v>
      </c>
      <c r="C2448" s="2" t="s">
        <v>2830</v>
      </c>
      <c r="D2448" s="2" t="s">
        <v>2831</v>
      </c>
      <c r="E2448" s="1">
        <v>1</v>
      </c>
      <c r="F2448" s="2" t="s">
        <v>2837</v>
      </c>
      <c r="G2448" s="1">
        <v>6</v>
      </c>
      <c r="H2448" s="1" t="str">
        <f t="shared" si="38"/>
        <v>k33_6</v>
      </c>
      <c r="K2448" s="1">
        <f>IF(E2448=0,SUMPRODUCT(($A$2:$A$4734=A2448)*($B$2:$B$4734=B2448)*($D$2:$D$4734=D2448)*($E$2:$E$4734=0)),0)</f>
        <v>0</v>
      </c>
      <c r="L2448" s="1" t="str">
        <f>IF(E2448=0,SUMPRODUCT(MIN($K$2:$K$4734+((($A$2:$A$4734&lt;&gt;A2448)+($E$2:$E$4734&lt;&gt;0))&gt;0)*1000000)),"")</f>
        <v/>
      </c>
      <c r="M2448" s="1">
        <f>IF(AND(E2448=0,COUNTIFS($A$2:A2448,A2448,$E$2:E2448,0)=1),L2448,0)</f>
        <v>0</v>
      </c>
    </row>
    <row r="2449" spans="1:13" ht="15" customHeight="1">
      <c r="A2449" s="1">
        <v>33</v>
      </c>
      <c r="B2449" s="1" t="s">
        <v>161</v>
      </c>
      <c r="C2449" s="2" t="s">
        <v>2830</v>
      </c>
      <c r="D2449" s="2" t="s">
        <v>2831</v>
      </c>
      <c r="E2449" s="1">
        <v>1</v>
      </c>
      <c r="F2449" s="2" t="s">
        <v>2838</v>
      </c>
      <c r="G2449" s="1">
        <v>7</v>
      </c>
      <c r="H2449" s="1" t="str">
        <f t="shared" si="38"/>
        <v>k33_7</v>
      </c>
      <c r="K2449" s="1">
        <f>IF(E2449=0,SUMPRODUCT(($A$2:$A$4734=A2449)*($B$2:$B$4734=B2449)*($D$2:$D$4734=D2449)*($E$2:$E$4734=0)),0)</f>
        <v>0</v>
      </c>
      <c r="L2449" s="1" t="str">
        <f>IF(E2449=0,SUMPRODUCT(MIN($K$2:$K$4734+((($A$2:$A$4734&lt;&gt;A2449)+($E$2:$E$4734&lt;&gt;0))&gt;0)*1000000)),"")</f>
        <v/>
      </c>
      <c r="M2449" s="1">
        <f>IF(AND(E2449=0,COUNTIFS($A$2:A2449,A2449,$E$2:E2449,0)=1),L2449,0)</f>
        <v>0</v>
      </c>
    </row>
    <row r="2450" spans="1:13" ht="15" customHeight="1">
      <c r="A2450" s="1">
        <v>33</v>
      </c>
      <c r="B2450" s="1" t="s">
        <v>161</v>
      </c>
      <c r="C2450" s="2" t="s">
        <v>2830</v>
      </c>
      <c r="D2450" s="2" t="s">
        <v>2831</v>
      </c>
      <c r="E2450" s="1">
        <v>1</v>
      </c>
      <c r="F2450" s="2" t="s">
        <v>2839</v>
      </c>
      <c r="G2450" s="1">
        <v>8</v>
      </c>
      <c r="H2450" s="1" t="str">
        <f t="shared" si="38"/>
        <v>k33_8</v>
      </c>
      <c r="K2450" s="1">
        <f>IF(E2450=0,SUMPRODUCT(($A$2:$A$4734=A2450)*($B$2:$B$4734=B2450)*($D$2:$D$4734=D2450)*($E$2:$E$4734=0)),0)</f>
        <v>0</v>
      </c>
      <c r="L2450" s="1" t="str">
        <f>IF(E2450=0,SUMPRODUCT(MIN($K$2:$K$4734+((($A$2:$A$4734&lt;&gt;A2450)+($E$2:$E$4734&lt;&gt;0))&gt;0)*1000000)),"")</f>
        <v/>
      </c>
      <c r="M2450" s="1">
        <f>IF(AND(E2450=0,COUNTIFS($A$2:A2450,A2450,$E$2:E2450,0)=1),L2450,0)</f>
        <v>0</v>
      </c>
    </row>
    <row r="2451" spans="1:13" ht="15" customHeight="1">
      <c r="A2451" s="1">
        <v>33</v>
      </c>
      <c r="B2451" s="1" t="s">
        <v>161</v>
      </c>
      <c r="C2451" s="2" t="s">
        <v>2830</v>
      </c>
      <c r="D2451" s="2" t="s">
        <v>2831</v>
      </c>
      <c r="E2451" s="1">
        <v>1</v>
      </c>
      <c r="F2451" s="2" t="s">
        <v>2840</v>
      </c>
      <c r="G2451" s="1">
        <v>9</v>
      </c>
      <c r="H2451" s="1" t="str">
        <f t="shared" si="38"/>
        <v>k33_9</v>
      </c>
      <c r="K2451" s="1">
        <f>IF(E2451=0,SUMPRODUCT(($A$2:$A$4734=A2451)*($B$2:$B$4734=B2451)*($D$2:$D$4734=D2451)*($E$2:$E$4734=0)),0)</f>
        <v>0</v>
      </c>
      <c r="L2451" s="1" t="str">
        <f>IF(E2451=0,SUMPRODUCT(MIN($K$2:$K$4734+((($A$2:$A$4734&lt;&gt;A2451)+($E$2:$E$4734&lt;&gt;0))&gt;0)*1000000)),"")</f>
        <v/>
      </c>
      <c r="M2451" s="1">
        <f>IF(AND(E2451=0,COUNTIFS($A$2:A2451,A2451,$E$2:E2451,0)=1),L2451,0)</f>
        <v>0</v>
      </c>
    </row>
    <row r="2452" spans="1:13" ht="15" customHeight="1">
      <c r="A2452" s="1">
        <v>33</v>
      </c>
      <c r="B2452" s="1" t="s">
        <v>161</v>
      </c>
      <c r="C2452" s="2" t="s">
        <v>2830</v>
      </c>
      <c r="D2452" s="2" t="s">
        <v>2831</v>
      </c>
      <c r="E2452" s="1">
        <v>1</v>
      </c>
      <c r="F2452" s="2" t="s">
        <v>2835</v>
      </c>
      <c r="G2452" s="1">
        <v>10</v>
      </c>
      <c r="H2452" s="1" t="str">
        <f t="shared" si="38"/>
        <v>k33_10</v>
      </c>
      <c r="K2452" s="1">
        <f>IF(E2452=0,SUMPRODUCT(($A$2:$A$4734=A2452)*($B$2:$B$4734=B2452)*($D$2:$D$4734=D2452)*($E$2:$E$4734=0)),0)</f>
        <v>0</v>
      </c>
      <c r="L2452" s="1" t="str">
        <f>IF(E2452=0,SUMPRODUCT(MIN($K$2:$K$4734+((($A$2:$A$4734&lt;&gt;A2452)+($E$2:$E$4734&lt;&gt;0))&gt;0)*1000000)),"")</f>
        <v/>
      </c>
      <c r="M2452" s="1">
        <f>IF(AND(E2452=0,COUNTIFS($A$2:A2452,A2452,$E$2:E2452,0)=1),L2452,0)</f>
        <v>0</v>
      </c>
    </row>
    <row r="2453" spans="1:13" ht="15" customHeight="1">
      <c r="A2453" s="1">
        <v>33</v>
      </c>
      <c r="B2453" s="1" t="s">
        <v>161</v>
      </c>
      <c r="C2453" s="2" t="s">
        <v>2830</v>
      </c>
      <c r="D2453" s="2" t="s">
        <v>2831</v>
      </c>
      <c r="E2453" s="1">
        <v>1</v>
      </c>
      <c r="F2453" s="2" t="s">
        <v>2841</v>
      </c>
      <c r="G2453" s="1">
        <v>11</v>
      </c>
      <c r="H2453" s="1" t="str">
        <f t="shared" si="38"/>
        <v>k33_11</v>
      </c>
      <c r="K2453" s="1">
        <f>IF(E2453=0,SUMPRODUCT(($A$2:$A$4734=A2453)*($B$2:$B$4734=B2453)*($D$2:$D$4734=D2453)*($E$2:$E$4734=0)),0)</f>
        <v>0</v>
      </c>
      <c r="L2453" s="1" t="str">
        <f>IF(E2453=0,SUMPRODUCT(MIN($K$2:$K$4734+((($A$2:$A$4734&lt;&gt;A2453)+($E$2:$E$4734&lt;&gt;0))&gt;0)*1000000)),"")</f>
        <v/>
      </c>
      <c r="M2453" s="1">
        <f>IF(AND(E2453=0,COUNTIFS($A$2:A2453,A2453,$E$2:E2453,0)=1),L2453,0)</f>
        <v>0</v>
      </c>
    </row>
    <row r="2454" spans="1:13" ht="15" customHeight="1">
      <c r="A2454" s="1">
        <v>34</v>
      </c>
      <c r="B2454" s="1" t="s">
        <v>16</v>
      </c>
      <c r="C2454" s="2" t="s">
        <v>2842</v>
      </c>
      <c r="D2454" s="2" t="s">
        <v>2843</v>
      </c>
      <c r="E2454" s="1">
        <v>0</v>
      </c>
      <c r="F2454" s="2" t="s">
        <v>2844</v>
      </c>
      <c r="H2454" s="1" t="str">
        <f t="shared" ref="H2454:H2509" si="39">IF(OR(E2454&lt;&gt;1,G2454=""),"","k"&amp;A2454&amp;"_"&amp;G2454)</f>
        <v/>
      </c>
      <c r="K2454" s="1">
        <f>IF(E2454=0,SUMPRODUCT(($A$2:$A$4734=A2454)*($B$2:$B$4734=B2454)*($D$2:$D$4734=D2454)*($E$2:$E$4734=0)),0)</f>
        <v>4</v>
      </c>
      <c r="L2454" s="1">
        <f>IF(E2454=0,SUMPRODUCT(MIN($K$2:$K$4734+((($A$2:$A$4734&lt;&gt;A2454)+($E$2:$E$4734&lt;&gt;0))&gt;0)*1000000)),"")</f>
        <v>4</v>
      </c>
      <c r="M2454" s="1">
        <f>IF(AND(E2454=0,COUNTIFS($A$2:A2454,A2454,$E$2:E2454,0)=1),L2454,0)</f>
        <v>4</v>
      </c>
    </row>
    <row r="2455" spans="1:13" ht="15" customHeight="1">
      <c r="A2455" s="1">
        <v>34</v>
      </c>
      <c r="B2455" s="1" t="s">
        <v>16</v>
      </c>
      <c r="C2455" s="2" t="s">
        <v>2842</v>
      </c>
      <c r="D2455" s="2" t="s">
        <v>2843</v>
      </c>
      <c r="E2455" s="1">
        <v>0</v>
      </c>
      <c r="F2455" s="2" t="s">
        <v>2845</v>
      </c>
      <c r="H2455" s="1" t="str">
        <f t="shared" si="39"/>
        <v/>
      </c>
      <c r="K2455" s="1">
        <f>IF(E2455=0,SUMPRODUCT(($A$2:$A$4734=A2455)*($B$2:$B$4734=B2455)*($D$2:$D$4734=D2455)*($E$2:$E$4734=0)),0)</f>
        <v>4</v>
      </c>
      <c r="L2455" s="1">
        <f>IF(E2455=0,SUMPRODUCT(MIN($K$2:$K$4734+((($A$2:$A$4734&lt;&gt;A2455)+($E$2:$E$4734&lt;&gt;0))&gt;0)*1000000)),"")</f>
        <v>4</v>
      </c>
      <c r="M2455" s="1">
        <f>IF(AND(E2455=0,COUNTIFS($A$2:A2455,A2455,$E$2:E2455,0)=1),L2455,0)</f>
        <v>0</v>
      </c>
    </row>
    <row r="2456" spans="1:13" ht="15" customHeight="1">
      <c r="A2456" s="1">
        <v>34</v>
      </c>
      <c r="B2456" s="1" t="s">
        <v>16</v>
      </c>
      <c r="C2456" s="2" t="s">
        <v>2842</v>
      </c>
      <c r="D2456" s="2" t="s">
        <v>2843</v>
      </c>
      <c r="E2456" s="1">
        <v>0</v>
      </c>
      <c r="F2456" s="2" t="s">
        <v>2846</v>
      </c>
      <c r="H2456" s="1" t="str">
        <f t="shared" si="39"/>
        <v/>
      </c>
      <c r="K2456" s="1">
        <f>IF(E2456=0,SUMPRODUCT(($A$2:$A$4734=A2456)*($B$2:$B$4734=B2456)*($D$2:$D$4734=D2456)*($E$2:$E$4734=0)),0)</f>
        <v>4</v>
      </c>
      <c r="L2456" s="1">
        <f>IF(E2456=0,SUMPRODUCT(MIN($K$2:$K$4734+((($A$2:$A$4734&lt;&gt;A2456)+($E$2:$E$4734&lt;&gt;0))&gt;0)*1000000)),"")</f>
        <v>4</v>
      </c>
      <c r="M2456" s="1">
        <f>IF(AND(E2456=0,COUNTIFS($A$2:A2456,A2456,$E$2:E2456,0)=1),L2456,0)</f>
        <v>0</v>
      </c>
    </row>
    <row r="2457" spans="1:13" ht="15" customHeight="1">
      <c r="A2457" s="1">
        <v>34</v>
      </c>
      <c r="B2457" s="1" t="s">
        <v>16</v>
      </c>
      <c r="C2457" s="2" t="s">
        <v>2842</v>
      </c>
      <c r="D2457" s="2" t="s">
        <v>2843</v>
      </c>
      <c r="E2457" s="1">
        <v>0</v>
      </c>
      <c r="F2457" s="2" t="s">
        <v>2847</v>
      </c>
      <c r="H2457" s="1" t="str">
        <f t="shared" si="39"/>
        <v/>
      </c>
      <c r="K2457" s="1">
        <f>IF(E2457=0,SUMPRODUCT(($A$2:$A$4734=A2457)*($B$2:$B$4734=B2457)*($D$2:$D$4734=D2457)*($E$2:$E$4734=0)),0)</f>
        <v>4</v>
      </c>
      <c r="L2457" s="1">
        <f>IF(E2457=0,SUMPRODUCT(MIN($K$2:$K$4734+((($A$2:$A$4734&lt;&gt;A2457)+($E$2:$E$4734&lt;&gt;0))&gt;0)*1000000)),"")</f>
        <v>4</v>
      </c>
      <c r="M2457" s="1">
        <f>IF(AND(E2457=0,COUNTIFS($A$2:A2457,A2457,$E$2:E2457,0)=1),L2457,0)</f>
        <v>0</v>
      </c>
    </row>
    <row r="2458" spans="1:13" ht="15" customHeight="1">
      <c r="A2458" s="1">
        <v>34</v>
      </c>
      <c r="B2458" s="1" t="s">
        <v>9</v>
      </c>
      <c r="C2458" s="2" t="s">
        <v>2842</v>
      </c>
      <c r="D2458" s="2" t="s">
        <v>2848</v>
      </c>
      <c r="E2458" s="1">
        <v>0</v>
      </c>
      <c r="F2458" s="2" t="s">
        <v>2849</v>
      </c>
      <c r="H2458" s="1" t="str">
        <f t="shared" si="39"/>
        <v/>
      </c>
      <c r="K2458" s="1">
        <f>IF(E2458=0,SUMPRODUCT(($A$2:$A$4734=A2458)*($B$2:$B$4734=B2458)*($D$2:$D$4734=D2458)*($E$2:$E$4734=0)),0)</f>
        <v>5</v>
      </c>
      <c r="L2458" s="1">
        <f>IF(E2458=0,SUMPRODUCT(MIN($K$2:$K$4734+((($A$2:$A$4734&lt;&gt;A2458)+($E$2:$E$4734&lt;&gt;0))&gt;0)*1000000)),"")</f>
        <v>4</v>
      </c>
      <c r="M2458" s="1">
        <f>IF(AND(E2458=0,COUNTIFS($A$2:A2458,A2458,$E$2:E2458,0)=1),L2458,0)</f>
        <v>0</v>
      </c>
    </row>
    <row r="2459" spans="1:13" ht="15" customHeight="1">
      <c r="A2459" s="1">
        <v>34</v>
      </c>
      <c r="B2459" s="1" t="s">
        <v>9</v>
      </c>
      <c r="C2459" s="2" t="s">
        <v>2842</v>
      </c>
      <c r="D2459" s="2" t="s">
        <v>2848</v>
      </c>
      <c r="E2459" s="1">
        <v>0</v>
      </c>
      <c r="F2459" s="2" t="s">
        <v>2850</v>
      </c>
      <c r="H2459" s="1" t="str">
        <f t="shared" si="39"/>
        <v/>
      </c>
      <c r="K2459" s="1">
        <f>IF(E2459=0,SUMPRODUCT(($A$2:$A$4734=A2459)*($B$2:$B$4734=B2459)*($D$2:$D$4734=D2459)*($E$2:$E$4734=0)),0)</f>
        <v>5</v>
      </c>
      <c r="L2459" s="1">
        <f>IF(E2459=0,SUMPRODUCT(MIN($K$2:$K$4734+((($A$2:$A$4734&lt;&gt;A2459)+($E$2:$E$4734&lt;&gt;0))&gt;0)*1000000)),"")</f>
        <v>4</v>
      </c>
      <c r="M2459" s="1">
        <f>IF(AND(E2459=0,COUNTIFS($A$2:A2459,A2459,$E$2:E2459,0)=1),L2459,0)</f>
        <v>0</v>
      </c>
    </row>
    <row r="2460" spans="1:13" ht="15" customHeight="1">
      <c r="A2460" s="1">
        <v>34</v>
      </c>
      <c r="B2460" s="1" t="s">
        <v>9</v>
      </c>
      <c r="C2460" s="2" t="s">
        <v>2842</v>
      </c>
      <c r="D2460" s="2" t="s">
        <v>2848</v>
      </c>
      <c r="E2460" s="1">
        <v>0</v>
      </c>
      <c r="F2460" s="2" t="s">
        <v>2851</v>
      </c>
      <c r="H2460" s="1" t="str">
        <f t="shared" si="39"/>
        <v/>
      </c>
      <c r="K2460" s="1">
        <f>IF(E2460=0,SUMPRODUCT(($A$2:$A$4734=A2460)*($B$2:$B$4734=B2460)*($D$2:$D$4734=D2460)*($E$2:$E$4734=0)),0)</f>
        <v>5</v>
      </c>
      <c r="L2460" s="1">
        <f>IF(E2460=0,SUMPRODUCT(MIN($K$2:$K$4734+((($A$2:$A$4734&lt;&gt;A2460)+($E$2:$E$4734&lt;&gt;0))&gt;0)*1000000)),"")</f>
        <v>4</v>
      </c>
      <c r="M2460" s="1">
        <f>IF(AND(E2460=0,COUNTIFS($A$2:A2460,A2460,$E$2:E2460,0)=1),L2460,0)</f>
        <v>0</v>
      </c>
    </row>
    <row r="2461" spans="1:13" ht="15" customHeight="1">
      <c r="A2461" s="1">
        <v>34</v>
      </c>
      <c r="B2461" s="1" t="s">
        <v>9</v>
      </c>
      <c r="C2461" s="2" t="s">
        <v>2842</v>
      </c>
      <c r="D2461" s="2" t="s">
        <v>2848</v>
      </c>
      <c r="E2461" s="1">
        <v>0</v>
      </c>
      <c r="F2461" s="2" t="s">
        <v>2852</v>
      </c>
      <c r="H2461" s="1" t="str">
        <f t="shared" si="39"/>
        <v/>
      </c>
      <c r="K2461" s="1">
        <f>IF(E2461=0,SUMPRODUCT(($A$2:$A$4734=A2461)*($B$2:$B$4734=B2461)*($D$2:$D$4734=D2461)*($E$2:$E$4734=0)),0)</f>
        <v>5</v>
      </c>
      <c r="L2461" s="1">
        <f>IF(E2461=0,SUMPRODUCT(MIN($K$2:$K$4734+((($A$2:$A$4734&lt;&gt;A2461)+($E$2:$E$4734&lt;&gt;0))&gt;0)*1000000)),"")</f>
        <v>4</v>
      </c>
      <c r="M2461" s="1">
        <f>IF(AND(E2461=0,COUNTIFS($A$2:A2461,A2461,$E$2:E2461,0)=1),L2461,0)</f>
        <v>0</v>
      </c>
    </row>
    <row r="2462" spans="1:13" ht="15" customHeight="1">
      <c r="A2462" s="1">
        <v>34</v>
      </c>
      <c r="B2462" s="1" t="s">
        <v>9</v>
      </c>
      <c r="C2462" s="2" t="s">
        <v>2842</v>
      </c>
      <c r="D2462" s="2" t="s">
        <v>2848</v>
      </c>
      <c r="E2462" s="1">
        <v>0</v>
      </c>
      <c r="F2462" s="2" t="s">
        <v>2853</v>
      </c>
      <c r="H2462" s="1" t="str">
        <f t="shared" si="39"/>
        <v/>
      </c>
      <c r="K2462" s="1">
        <f>IF(E2462=0,SUMPRODUCT(($A$2:$A$4734=A2462)*($B$2:$B$4734=B2462)*($D$2:$D$4734=D2462)*($E$2:$E$4734=0)),0)</f>
        <v>5</v>
      </c>
      <c r="L2462" s="1">
        <f>IF(E2462=0,SUMPRODUCT(MIN($K$2:$K$4734+((($A$2:$A$4734&lt;&gt;A2462)+($E$2:$E$4734&lt;&gt;0))&gt;0)*1000000)),"")</f>
        <v>4</v>
      </c>
      <c r="M2462" s="1">
        <f>IF(AND(E2462=0,COUNTIFS($A$2:A2462,A2462,$E$2:E2462,0)=1),L2462,0)</f>
        <v>0</v>
      </c>
    </row>
    <row r="2463" spans="1:13" ht="15" customHeight="1">
      <c r="A2463" s="1">
        <v>35</v>
      </c>
      <c r="B2463" s="1" t="s">
        <v>9</v>
      </c>
      <c r="C2463" s="2" t="s">
        <v>2854</v>
      </c>
      <c r="D2463" s="2" t="s">
        <v>2855</v>
      </c>
      <c r="E2463" s="1">
        <v>0</v>
      </c>
      <c r="F2463" s="2" t="s">
        <v>2856</v>
      </c>
      <c r="H2463" s="1" t="str">
        <f t="shared" si="39"/>
        <v/>
      </c>
      <c r="K2463" s="1">
        <f>IF(E2463=0,SUMPRODUCT(($A$2:$A$4734=A2463)*($B$2:$B$4734=B2463)*($D$2:$D$4734=D2463)*($E$2:$E$4734=0)),0)</f>
        <v>5</v>
      </c>
      <c r="L2463" s="1">
        <f>IF(E2463=0,SUMPRODUCT(MIN($K$2:$K$4734+((($A$2:$A$4734&lt;&gt;A2463)+($E$2:$E$4734&lt;&gt;0))&gt;0)*1000000)),"")</f>
        <v>3</v>
      </c>
      <c r="M2463" s="1">
        <f>IF(AND(E2463=0,COUNTIFS($A$2:A2463,A2463,$E$2:E2463,0)=1),L2463,0)</f>
        <v>3</v>
      </c>
    </row>
    <row r="2464" spans="1:13" ht="15" customHeight="1">
      <c r="A2464" s="1">
        <v>35</v>
      </c>
      <c r="B2464" s="1" t="s">
        <v>9</v>
      </c>
      <c r="C2464" s="2" t="s">
        <v>2854</v>
      </c>
      <c r="D2464" s="2" t="s">
        <v>2855</v>
      </c>
      <c r="E2464" s="1">
        <v>0</v>
      </c>
      <c r="F2464" s="2" t="s">
        <v>2857</v>
      </c>
      <c r="H2464" s="1" t="str">
        <f t="shared" si="39"/>
        <v/>
      </c>
      <c r="K2464" s="1">
        <f>IF(E2464=0,SUMPRODUCT(($A$2:$A$4734=A2464)*($B$2:$B$4734=B2464)*($D$2:$D$4734=D2464)*($E$2:$E$4734=0)),0)</f>
        <v>5</v>
      </c>
      <c r="L2464" s="1">
        <f>IF(E2464=0,SUMPRODUCT(MIN($K$2:$K$4734+((($A$2:$A$4734&lt;&gt;A2464)+($E$2:$E$4734&lt;&gt;0))&gt;0)*1000000)),"")</f>
        <v>3</v>
      </c>
      <c r="M2464" s="1">
        <f>IF(AND(E2464=0,COUNTIFS($A$2:A2464,A2464,$E$2:E2464,0)=1),L2464,0)</f>
        <v>0</v>
      </c>
    </row>
    <row r="2465" spans="1:13" ht="15" customHeight="1">
      <c r="A2465" s="1">
        <v>35</v>
      </c>
      <c r="B2465" s="1" t="s">
        <v>9</v>
      </c>
      <c r="C2465" s="2" t="s">
        <v>2854</v>
      </c>
      <c r="D2465" s="2" t="s">
        <v>2855</v>
      </c>
      <c r="E2465" s="1">
        <v>0</v>
      </c>
      <c r="F2465" s="2" t="s">
        <v>2858</v>
      </c>
      <c r="H2465" s="1" t="str">
        <f t="shared" si="39"/>
        <v/>
      </c>
      <c r="K2465" s="1">
        <f>IF(E2465=0,SUMPRODUCT(($A$2:$A$4734=A2465)*($B$2:$B$4734=B2465)*($D$2:$D$4734=D2465)*($E$2:$E$4734=0)),0)</f>
        <v>5</v>
      </c>
      <c r="L2465" s="1">
        <f>IF(E2465=0,SUMPRODUCT(MIN($K$2:$K$4734+((($A$2:$A$4734&lt;&gt;A2465)+($E$2:$E$4734&lt;&gt;0))&gt;0)*1000000)),"")</f>
        <v>3</v>
      </c>
      <c r="M2465" s="1">
        <f>IF(AND(E2465=0,COUNTIFS($A$2:A2465,A2465,$E$2:E2465,0)=1),L2465,0)</f>
        <v>0</v>
      </c>
    </row>
    <row r="2466" spans="1:13" ht="15" customHeight="1">
      <c r="A2466" s="1">
        <v>35</v>
      </c>
      <c r="B2466" s="1" t="s">
        <v>9</v>
      </c>
      <c r="C2466" s="2" t="s">
        <v>2854</v>
      </c>
      <c r="D2466" s="2" t="s">
        <v>2855</v>
      </c>
      <c r="E2466" s="1">
        <v>0</v>
      </c>
      <c r="F2466" s="2" t="s">
        <v>2859</v>
      </c>
      <c r="H2466" s="1" t="str">
        <f t="shared" si="39"/>
        <v/>
      </c>
      <c r="K2466" s="1">
        <f>IF(E2466=0,SUMPRODUCT(($A$2:$A$4734=A2466)*($B$2:$B$4734=B2466)*($D$2:$D$4734=D2466)*($E$2:$E$4734=0)),0)</f>
        <v>5</v>
      </c>
      <c r="L2466" s="1">
        <f>IF(E2466=0,SUMPRODUCT(MIN($K$2:$K$4734+((($A$2:$A$4734&lt;&gt;A2466)+($E$2:$E$4734&lt;&gt;0))&gt;0)*1000000)),"")</f>
        <v>3</v>
      </c>
      <c r="M2466" s="1">
        <f>IF(AND(E2466=0,COUNTIFS($A$2:A2466,A2466,$E$2:E2466,0)=1),L2466,0)</f>
        <v>0</v>
      </c>
    </row>
    <row r="2467" spans="1:13" ht="15" customHeight="1">
      <c r="A2467" s="1">
        <v>35</v>
      </c>
      <c r="B2467" s="1" t="s">
        <v>9</v>
      </c>
      <c r="C2467" s="2" t="s">
        <v>2854</v>
      </c>
      <c r="D2467" s="2" t="s">
        <v>2855</v>
      </c>
      <c r="E2467" s="1">
        <v>0</v>
      </c>
      <c r="F2467" s="2" t="s">
        <v>2860</v>
      </c>
      <c r="H2467" s="1" t="str">
        <f t="shared" si="39"/>
        <v/>
      </c>
      <c r="K2467" s="1">
        <f>IF(E2467=0,SUMPRODUCT(($A$2:$A$4734=A2467)*($B$2:$B$4734=B2467)*($D$2:$D$4734=D2467)*($E$2:$E$4734=0)),0)</f>
        <v>5</v>
      </c>
      <c r="L2467" s="1">
        <f>IF(E2467=0,SUMPRODUCT(MIN($K$2:$K$4734+((($A$2:$A$4734&lt;&gt;A2467)+($E$2:$E$4734&lt;&gt;0))&gt;0)*1000000)),"")</f>
        <v>3</v>
      </c>
      <c r="M2467" s="1">
        <f>IF(AND(E2467=0,COUNTIFS($A$2:A2467,A2467,$E$2:E2467,0)=1),L2467,0)</f>
        <v>0</v>
      </c>
    </row>
    <row r="2468" spans="1:13" ht="15" customHeight="1">
      <c r="A2468" s="1">
        <v>35</v>
      </c>
      <c r="B2468" s="1" t="s">
        <v>9</v>
      </c>
      <c r="C2468" s="2" t="s">
        <v>2854</v>
      </c>
      <c r="D2468" s="2" t="s">
        <v>2861</v>
      </c>
      <c r="E2468" s="1">
        <v>0</v>
      </c>
      <c r="F2468" s="2" t="s">
        <v>2862</v>
      </c>
      <c r="H2468" s="1" t="str">
        <f t="shared" si="39"/>
        <v/>
      </c>
      <c r="K2468" s="1">
        <f>IF(E2468=0,SUMPRODUCT(($A$2:$A$4734=A2468)*($B$2:$B$4734=B2468)*($D$2:$D$4734=D2468)*($E$2:$E$4734=0)),0)</f>
        <v>5</v>
      </c>
      <c r="L2468" s="1">
        <f>IF(E2468=0,SUMPRODUCT(MIN($K$2:$K$4734+((($A$2:$A$4734&lt;&gt;A2468)+($E$2:$E$4734&lt;&gt;0))&gt;0)*1000000)),"")</f>
        <v>3</v>
      </c>
      <c r="M2468" s="1">
        <f>IF(AND(E2468=0,COUNTIFS($A$2:A2468,A2468,$E$2:E2468,0)=1),L2468,0)</f>
        <v>0</v>
      </c>
    </row>
    <row r="2469" spans="1:13" ht="15" customHeight="1">
      <c r="A2469" s="1">
        <v>35</v>
      </c>
      <c r="B2469" s="1" t="s">
        <v>9</v>
      </c>
      <c r="C2469" s="2" t="s">
        <v>2854</v>
      </c>
      <c r="D2469" s="2" t="s">
        <v>2861</v>
      </c>
      <c r="E2469" s="1">
        <v>0</v>
      </c>
      <c r="F2469" s="2" t="s">
        <v>2863</v>
      </c>
      <c r="H2469" s="1" t="str">
        <f t="shared" si="39"/>
        <v/>
      </c>
      <c r="K2469" s="1">
        <f>IF(E2469=0,SUMPRODUCT(($A$2:$A$4734=A2469)*($B$2:$B$4734=B2469)*($D$2:$D$4734=D2469)*($E$2:$E$4734=0)),0)</f>
        <v>5</v>
      </c>
      <c r="L2469" s="1">
        <f>IF(E2469=0,SUMPRODUCT(MIN($K$2:$K$4734+((($A$2:$A$4734&lt;&gt;A2469)+($E$2:$E$4734&lt;&gt;0))&gt;0)*1000000)),"")</f>
        <v>3</v>
      </c>
      <c r="M2469" s="1">
        <f>IF(AND(E2469=0,COUNTIFS($A$2:A2469,A2469,$E$2:E2469,0)=1),L2469,0)</f>
        <v>0</v>
      </c>
    </row>
    <row r="2470" spans="1:13" ht="15" customHeight="1">
      <c r="A2470" s="1">
        <v>35</v>
      </c>
      <c r="B2470" s="1" t="s">
        <v>9</v>
      </c>
      <c r="C2470" s="2" t="s">
        <v>2854</v>
      </c>
      <c r="D2470" s="2" t="s">
        <v>2861</v>
      </c>
      <c r="E2470" s="1">
        <v>0</v>
      </c>
      <c r="F2470" s="2" t="s">
        <v>2864</v>
      </c>
      <c r="H2470" s="1" t="str">
        <f t="shared" si="39"/>
        <v/>
      </c>
      <c r="K2470" s="1">
        <f>IF(E2470=0,SUMPRODUCT(($A$2:$A$4734=A2470)*($B$2:$B$4734=B2470)*($D$2:$D$4734=D2470)*($E$2:$E$4734=0)),0)</f>
        <v>5</v>
      </c>
      <c r="L2470" s="1">
        <f>IF(E2470=0,SUMPRODUCT(MIN($K$2:$K$4734+((($A$2:$A$4734&lt;&gt;A2470)+($E$2:$E$4734&lt;&gt;0))&gt;0)*1000000)),"")</f>
        <v>3</v>
      </c>
      <c r="M2470" s="1">
        <f>IF(AND(E2470=0,COUNTIFS($A$2:A2470,A2470,$E$2:E2470,0)=1),L2470,0)</f>
        <v>0</v>
      </c>
    </row>
    <row r="2471" spans="1:13" ht="15" customHeight="1">
      <c r="A2471" s="1">
        <v>35</v>
      </c>
      <c r="B2471" s="1" t="s">
        <v>9</v>
      </c>
      <c r="C2471" s="2" t="s">
        <v>2854</v>
      </c>
      <c r="D2471" s="2" t="s">
        <v>2861</v>
      </c>
      <c r="E2471" s="1">
        <v>0</v>
      </c>
      <c r="F2471" s="2" t="s">
        <v>2865</v>
      </c>
      <c r="H2471" s="1" t="str">
        <f t="shared" si="39"/>
        <v/>
      </c>
      <c r="K2471" s="1">
        <f>IF(E2471=0,SUMPRODUCT(($A$2:$A$4734=A2471)*($B$2:$B$4734=B2471)*($D$2:$D$4734=D2471)*($E$2:$E$4734=0)),0)</f>
        <v>5</v>
      </c>
      <c r="L2471" s="1">
        <f>IF(E2471=0,SUMPRODUCT(MIN($K$2:$K$4734+((($A$2:$A$4734&lt;&gt;A2471)+($E$2:$E$4734&lt;&gt;0))&gt;0)*1000000)),"")</f>
        <v>3</v>
      </c>
      <c r="M2471" s="1">
        <f>IF(AND(E2471=0,COUNTIFS($A$2:A2471,A2471,$E$2:E2471,0)=1),L2471,0)</f>
        <v>0</v>
      </c>
    </row>
    <row r="2472" spans="1:13" ht="15" customHeight="1">
      <c r="A2472" s="1">
        <v>35</v>
      </c>
      <c r="B2472" s="1" t="s">
        <v>9</v>
      </c>
      <c r="C2472" s="2" t="s">
        <v>2854</v>
      </c>
      <c r="D2472" s="2" t="s">
        <v>2861</v>
      </c>
      <c r="E2472" s="1">
        <v>0</v>
      </c>
      <c r="F2472" s="2" t="s">
        <v>2866</v>
      </c>
      <c r="H2472" s="1" t="str">
        <f t="shared" si="39"/>
        <v/>
      </c>
      <c r="K2472" s="1">
        <f>IF(E2472=0,SUMPRODUCT(($A$2:$A$4734=A2472)*($B$2:$B$4734=B2472)*($D$2:$D$4734=D2472)*($E$2:$E$4734=0)),0)</f>
        <v>5</v>
      </c>
      <c r="L2472" s="1">
        <f>IF(E2472=0,SUMPRODUCT(MIN($K$2:$K$4734+((($A$2:$A$4734&lt;&gt;A2472)+($E$2:$E$4734&lt;&gt;0))&gt;0)*1000000)),"")</f>
        <v>3</v>
      </c>
      <c r="M2472" s="1">
        <f>IF(AND(E2472=0,COUNTIFS($A$2:A2472,A2472,$E$2:E2472,0)=1),L2472,0)</f>
        <v>0</v>
      </c>
    </row>
    <row r="2473" spans="1:13" ht="15" customHeight="1">
      <c r="A2473" s="1">
        <v>35</v>
      </c>
      <c r="B2473" s="1" t="s">
        <v>9</v>
      </c>
      <c r="C2473" s="2" t="s">
        <v>2854</v>
      </c>
      <c r="D2473" s="2" t="s">
        <v>2867</v>
      </c>
      <c r="E2473" s="1">
        <v>0</v>
      </c>
      <c r="F2473" s="2" t="s">
        <v>2868</v>
      </c>
      <c r="H2473" s="1" t="str">
        <f t="shared" si="39"/>
        <v/>
      </c>
      <c r="K2473" s="1">
        <f>IF(E2473=0,SUMPRODUCT(($A$2:$A$4734=A2473)*($B$2:$B$4734=B2473)*($D$2:$D$4734=D2473)*($E$2:$E$4734=0)),0)</f>
        <v>3</v>
      </c>
      <c r="L2473" s="1">
        <f>IF(E2473=0,SUMPRODUCT(MIN($K$2:$K$4734+((($A$2:$A$4734&lt;&gt;A2473)+($E$2:$E$4734&lt;&gt;0))&gt;0)*1000000)),"")</f>
        <v>3</v>
      </c>
      <c r="M2473" s="1">
        <f>IF(AND(E2473=0,COUNTIFS($A$2:A2473,A2473,$E$2:E2473,0)=1),L2473,0)</f>
        <v>0</v>
      </c>
    </row>
    <row r="2474" spans="1:13" ht="15" customHeight="1">
      <c r="A2474" s="1">
        <v>35</v>
      </c>
      <c r="B2474" s="1" t="s">
        <v>9</v>
      </c>
      <c r="C2474" s="2" t="s">
        <v>2854</v>
      </c>
      <c r="D2474" s="2" t="s">
        <v>2867</v>
      </c>
      <c r="E2474" s="1">
        <v>0</v>
      </c>
      <c r="F2474" s="2" t="s">
        <v>2869</v>
      </c>
      <c r="H2474" s="1" t="str">
        <f t="shared" si="39"/>
        <v/>
      </c>
      <c r="K2474" s="1">
        <f>IF(E2474=0,SUMPRODUCT(($A$2:$A$4734=A2474)*($B$2:$B$4734=B2474)*($D$2:$D$4734=D2474)*($E$2:$E$4734=0)),0)</f>
        <v>3</v>
      </c>
      <c r="L2474" s="1">
        <f>IF(E2474=0,SUMPRODUCT(MIN($K$2:$K$4734+((($A$2:$A$4734&lt;&gt;A2474)+($E$2:$E$4734&lt;&gt;0))&gt;0)*1000000)),"")</f>
        <v>3</v>
      </c>
      <c r="M2474" s="1">
        <f>IF(AND(E2474=0,COUNTIFS($A$2:A2474,A2474,$E$2:E2474,0)=1),L2474,0)</f>
        <v>0</v>
      </c>
    </row>
    <row r="2475" spans="1:13" ht="15" customHeight="1">
      <c r="A2475" s="1">
        <v>35</v>
      </c>
      <c r="B2475" s="1" t="s">
        <v>9</v>
      </c>
      <c r="C2475" s="2" t="s">
        <v>2854</v>
      </c>
      <c r="D2475" s="2" t="s">
        <v>2867</v>
      </c>
      <c r="E2475" s="1">
        <v>0</v>
      </c>
      <c r="F2475" s="2" t="s">
        <v>2870</v>
      </c>
      <c r="H2475" s="1" t="str">
        <f t="shared" si="39"/>
        <v/>
      </c>
      <c r="K2475" s="1">
        <f>IF(E2475=0,SUMPRODUCT(($A$2:$A$4734=A2475)*($B$2:$B$4734=B2475)*($D$2:$D$4734=D2475)*($E$2:$E$4734=0)),0)</f>
        <v>3</v>
      </c>
      <c r="L2475" s="1">
        <f>IF(E2475=0,SUMPRODUCT(MIN($K$2:$K$4734+((($A$2:$A$4734&lt;&gt;A2475)+($E$2:$E$4734&lt;&gt;0))&gt;0)*1000000)),"")</f>
        <v>3</v>
      </c>
      <c r="M2475" s="1">
        <f>IF(AND(E2475=0,COUNTIFS($A$2:A2475,A2475,$E$2:E2475,0)=1),L2475,0)</f>
        <v>0</v>
      </c>
    </row>
    <row r="2476" spans="1:13" ht="15" customHeight="1">
      <c r="A2476" s="1">
        <v>36</v>
      </c>
      <c r="B2476" s="1" t="s">
        <v>9</v>
      </c>
      <c r="C2476" s="2" t="s">
        <v>2871</v>
      </c>
      <c r="D2476" s="2" t="s">
        <v>2872</v>
      </c>
      <c r="E2476" s="1">
        <v>0</v>
      </c>
      <c r="F2476" s="2" t="s">
        <v>2873</v>
      </c>
      <c r="H2476" s="1" t="str">
        <f t="shared" si="39"/>
        <v/>
      </c>
      <c r="K2476" s="1">
        <f>IF(E2476=0,SUMPRODUCT(($A$2:$A$4734=A2476)*($B$2:$B$4734=B2476)*($D$2:$D$4734=D2476)*($E$2:$E$4734=0)),0)</f>
        <v>2</v>
      </c>
      <c r="L2476" s="1">
        <f>IF(E2476=0,SUMPRODUCT(MIN($K$2:$K$4734+((($A$2:$A$4734&lt;&gt;A2476)+($E$2:$E$4734&lt;&gt;0))&gt;0)*1000000)),"")</f>
        <v>2</v>
      </c>
      <c r="M2476" s="1">
        <f>IF(AND(E2476=0,COUNTIFS($A$2:A2476,A2476,$E$2:E2476,0)=1),L2476,0)</f>
        <v>2</v>
      </c>
    </row>
    <row r="2477" spans="1:13" ht="15" customHeight="1">
      <c r="A2477" s="1">
        <v>36</v>
      </c>
      <c r="B2477" s="1" t="s">
        <v>9</v>
      </c>
      <c r="C2477" s="2" t="s">
        <v>2871</v>
      </c>
      <c r="D2477" s="2" t="s">
        <v>2872</v>
      </c>
      <c r="E2477" s="1">
        <v>0</v>
      </c>
      <c r="F2477" s="2" t="s">
        <v>2874</v>
      </c>
      <c r="H2477" s="1" t="str">
        <f t="shared" si="39"/>
        <v/>
      </c>
      <c r="K2477" s="1">
        <f>IF(E2477=0,SUMPRODUCT(($A$2:$A$4734=A2477)*($B$2:$B$4734=B2477)*($D$2:$D$4734=D2477)*($E$2:$E$4734=0)),0)</f>
        <v>2</v>
      </c>
      <c r="L2477" s="1">
        <f>IF(E2477=0,SUMPRODUCT(MIN($K$2:$K$4734+((($A$2:$A$4734&lt;&gt;A2477)+($E$2:$E$4734&lt;&gt;0))&gt;0)*1000000)),"")</f>
        <v>2</v>
      </c>
      <c r="M2477" s="1">
        <f>IF(AND(E2477=0,COUNTIFS($A$2:A2477,A2477,$E$2:E2477,0)=1),L2477,0)</f>
        <v>0</v>
      </c>
    </row>
    <row r="2478" spans="1:13" ht="15" customHeight="1">
      <c r="A2478" s="1">
        <v>36</v>
      </c>
      <c r="B2478" s="1" t="s">
        <v>9</v>
      </c>
      <c r="C2478" s="2" t="s">
        <v>2871</v>
      </c>
      <c r="D2478" s="2" t="s">
        <v>2875</v>
      </c>
      <c r="E2478" s="1">
        <v>0</v>
      </c>
      <c r="F2478" s="2" t="s">
        <v>2876</v>
      </c>
      <c r="H2478" s="1" t="str">
        <f t="shared" si="39"/>
        <v/>
      </c>
      <c r="K2478" s="1">
        <f>IF(E2478=0,SUMPRODUCT(($A$2:$A$4734=A2478)*($B$2:$B$4734=B2478)*($D$2:$D$4734=D2478)*($E$2:$E$4734=0)),0)</f>
        <v>5</v>
      </c>
      <c r="L2478" s="1">
        <f>IF(E2478=0,SUMPRODUCT(MIN($K$2:$K$4734+((($A$2:$A$4734&lt;&gt;A2478)+($E$2:$E$4734&lt;&gt;0))&gt;0)*1000000)),"")</f>
        <v>2</v>
      </c>
      <c r="M2478" s="1">
        <f>IF(AND(E2478=0,COUNTIFS($A$2:A2478,A2478,$E$2:E2478,0)=1),L2478,0)</f>
        <v>0</v>
      </c>
    </row>
    <row r="2479" spans="1:13" ht="15" customHeight="1">
      <c r="A2479" s="1">
        <v>36</v>
      </c>
      <c r="B2479" s="1" t="s">
        <v>9</v>
      </c>
      <c r="C2479" s="2" t="s">
        <v>2871</v>
      </c>
      <c r="D2479" s="2" t="s">
        <v>2875</v>
      </c>
      <c r="E2479" s="1">
        <v>0</v>
      </c>
      <c r="F2479" s="2" t="s">
        <v>2877</v>
      </c>
      <c r="H2479" s="1" t="str">
        <f t="shared" si="39"/>
        <v/>
      </c>
      <c r="K2479" s="1">
        <f>IF(E2479=0,SUMPRODUCT(($A$2:$A$4734=A2479)*($B$2:$B$4734=B2479)*($D$2:$D$4734=D2479)*($E$2:$E$4734=0)),0)</f>
        <v>5</v>
      </c>
      <c r="L2479" s="1">
        <f>IF(E2479=0,SUMPRODUCT(MIN($K$2:$K$4734+((($A$2:$A$4734&lt;&gt;A2479)+($E$2:$E$4734&lt;&gt;0))&gt;0)*1000000)),"")</f>
        <v>2</v>
      </c>
      <c r="M2479" s="1">
        <f>IF(AND(E2479=0,COUNTIFS($A$2:A2479,A2479,$E$2:E2479,0)=1),L2479,0)</f>
        <v>0</v>
      </c>
    </row>
    <row r="2480" spans="1:13" ht="15" customHeight="1">
      <c r="A2480" s="1">
        <v>36</v>
      </c>
      <c r="B2480" s="1" t="s">
        <v>9</v>
      </c>
      <c r="C2480" s="2" t="s">
        <v>2871</v>
      </c>
      <c r="D2480" s="2" t="s">
        <v>2875</v>
      </c>
      <c r="E2480" s="1">
        <v>0</v>
      </c>
      <c r="F2480" s="2" t="s">
        <v>2878</v>
      </c>
      <c r="H2480" s="1" t="str">
        <f t="shared" si="39"/>
        <v/>
      </c>
      <c r="K2480" s="1">
        <f>IF(E2480=0,SUMPRODUCT(($A$2:$A$4734=A2480)*($B$2:$B$4734=B2480)*($D$2:$D$4734=D2480)*($E$2:$E$4734=0)),0)</f>
        <v>5</v>
      </c>
      <c r="L2480" s="1">
        <f>IF(E2480=0,SUMPRODUCT(MIN($K$2:$K$4734+((($A$2:$A$4734&lt;&gt;A2480)+($E$2:$E$4734&lt;&gt;0))&gt;0)*1000000)),"")</f>
        <v>2</v>
      </c>
      <c r="M2480" s="1">
        <f>IF(AND(E2480=0,COUNTIFS($A$2:A2480,A2480,$E$2:E2480,0)=1),L2480,0)</f>
        <v>0</v>
      </c>
    </row>
    <row r="2481" spans="1:13" ht="15" customHeight="1">
      <c r="A2481" s="1">
        <v>36</v>
      </c>
      <c r="B2481" s="1" t="s">
        <v>9</v>
      </c>
      <c r="C2481" s="2" t="s">
        <v>2871</v>
      </c>
      <c r="D2481" s="2" t="s">
        <v>2875</v>
      </c>
      <c r="E2481" s="1">
        <v>0</v>
      </c>
      <c r="F2481" s="2" t="s">
        <v>2879</v>
      </c>
      <c r="H2481" s="1" t="str">
        <f t="shared" si="39"/>
        <v/>
      </c>
      <c r="K2481" s="1">
        <f>IF(E2481=0,SUMPRODUCT(($A$2:$A$4734=A2481)*($B$2:$B$4734=B2481)*($D$2:$D$4734=D2481)*($E$2:$E$4734=0)),0)</f>
        <v>5</v>
      </c>
      <c r="L2481" s="1">
        <f>IF(E2481=0,SUMPRODUCT(MIN($K$2:$K$4734+((($A$2:$A$4734&lt;&gt;A2481)+($E$2:$E$4734&lt;&gt;0))&gt;0)*1000000)),"")</f>
        <v>2</v>
      </c>
      <c r="M2481" s="1">
        <f>IF(AND(E2481=0,COUNTIFS($A$2:A2481,A2481,$E$2:E2481,0)=1),L2481,0)</f>
        <v>0</v>
      </c>
    </row>
    <row r="2482" spans="1:13" ht="15" customHeight="1">
      <c r="A2482" s="1">
        <v>36</v>
      </c>
      <c r="B2482" s="1" t="s">
        <v>9</v>
      </c>
      <c r="C2482" s="2" t="s">
        <v>2871</v>
      </c>
      <c r="D2482" s="2" t="s">
        <v>2875</v>
      </c>
      <c r="E2482" s="1">
        <v>0</v>
      </c>
      <c r="F2482" s="2" t="s">
        <v>2880</v>
      </c>
      <c r="H2482" s="1" t="str">
        <f t="shared" si="39"/>
        <v/>
      </c>
      <c r="K2482" s="1">
        <f>IF(E2482=0,SUMPRODUCT(($A$2:$A$4734=A2482)*($B$2:$B$4734=B2482)*($D$2:$D$4734=D2482)*($E$2:$E$4734=0)),0)</f>
        <v>5</v>
      </c>
      <c r="L2482" s="1">
        <f>IF(E2482=0,SUMPRODUCT(MIN($K$2:$K$4734+((($A$2:$A$4734&lt;&gt;A2482)+($E$2:$E$4734&lt;&gt;0))&gt;0)*1000000)),"")</f>
        <v>2</v>
      </c>
      <c r="M2482" s="1">
        <f>IF(AND(E2482=0,COUNTIFS($A$2:A2482,A2482,$E$2:E2482,0)=1),L2482,0)</f>
        <v>0</v>
      </c>
    </row>
    <row r="2483" spans="1:13" ht="15" customHeight="1">
      <c r="A2483" s="1">
        <v>37</v>
      </c>
      <c r="B2483" s="1" t="s">
        <v>16</v>
      </c>
      <c r="C2483" s="2" t="s">
        <v>2881</v>
      </c>
      <c r="D2483" s="2" t="s">
        <v>2882</v>
      </c>
      <c r="E2483" s="1">
        <v>0</v>
      </c>
      <c r="F2483" s="2" t="s">
        <v>2883</v>
      </c>
      <c r="H2483" s="1" t="str">
        <f t="shared" si="39"/>
        <v/>
      </c>
      <c r="K2483" s="1">
        <f>IF(E2483=0,SUMPRODUCT(($A$2:$A$4734=A2483)*($B$2:$B$4734=B2483)*($D$2:$D$4734=D2483)*($E$2:$E$4734=0)),0)</f>
        <v>5</v>
      </c>
      <c r="L2483" s="1">
        <f>IF(E2483=0,SUMPRODUCT(MIN($K$2:$K$4734+((($A$2:$A$4734&lt;&gt;A2483)+($E$2:$E$4734&lt;&gt;0))&gt;0)*1000000)),"")</f>
        <v>5</v>
      </c>
      <c r="M2483" s="1">
        <f>IF(AND(E2483=0,COUNTIFS($A$2:A2483,A2483,$E$2:E2483,0)=1),L2483,0)</f>
        <v>5</v>
      </c>
    </row>
    <row r="2484" spans="1:13" ht="15" customHeight="1">
      <c r="A2484" s="1">
        <v>37</v>
      </c>
      <c r="B2484" s="1" t="s">
        <v>16</v>
      </c>
      <c r="C2484" s="2" t="s">
        <v>2881</v>
      </c>
      <c r="D2484" s="2" t="s">
        <v>2882</v>
      </c>
      <c r="E2484" s="1">
        <v>0</v>
      </c>
      <c r="F2484" s="2" t="s">
        <v>2884</v>
      </c>
      <c r="H2484" s="1" t="str">
        <f t="shared" si="39"/>
        <v/>
      </c>
      <c r="K2484" s="1">
        <f>IF(E2484=0,SUMPRODUCT(($A$2:$A$4734=A2484)*($B$2:$B$4734=B2484)*($D$2:$D$4734=D2484)*($E$2:$E$4734=0)),0)</f>
        <v>5</v>
      </c>
      <c r="L2484" s="1">
        <f>IF(E2484=0,SUMPRODUCT(MIN($K$2:$K$4734+((($A$2:$A$4734&lt;&gt;A2484)+($E$2:$E$4734&lt;&gt;0))&gt;0)*1000000)),"")</f>
        <v>5</v>
      </c>
      <c r="M2484" s="1">
        <f>IF(AND(E2484=0,COUNTIFS($A$2:A2484,A2484,$E$2:E2484,0)=1),L2484,0)</f>
        <v>0</v>
      </c>
    </row>
    <row r="2485" spans="1:13" ht="15" customHeight="1">
      <c r="A2485" s="1">
        <v>37</v>
      </c>
      <c r="B2485" s="1" t="s">
        <v>16</v>
      </c>
      <c r="C2485" s="2" t="s">
        <v>2881</v>
      </c>
      <c r="D2485" s="2" t="s">
        <v>2882</v>
      </c>
      <c r="E2485" s="1">
        <v>0</v>
      </c>
      <c r="F2485" s="2" t="s">
        <v>2885</v>
      </c>
      <c r="H2485" s="1" t="str">
        <f t="shared" si="39"/>
        <v/>
      </c>
      <c r="K2485" s="1">
        <f>IF(E2485=0,SUMPRODUCT(($A$2:$A$4734=A2485)*($B$2:$B$4734=B2485)*($D$2:$D$4734=D2485)*($E$2:$E$4734=0)),0)</f>
        <v>5</v>
      </c>
      <c r="L2485" s="1">
        <f>IF(E2485=0,SUMPRODUCT(MIN($K$2:$K$4734+((($A$2:$A$4734&lt;&gt;A2485)+($E$2:$E$4734&lt;&gt;0))&gt;0)*1000000)),"")</f>
        <v>5</v>
      </c>
      <c r="M2485" s="1">
        <f>IF(AND(E2485=0,COUNTIFS($A$2:A2485,A2485,$E$2:E2485,0)=1),L2485,0)</f>
        <v>0</v>
      </c>
    </row>
    <row r="2486" spans="1:13" ht="15" customHeight="1">
      <c r="A2486" s="1">
        <v>37</v>
      </c>
      <c r="B2486" s="1" t="s">
        <v>16</v>
      </c>
      <c r="C2486" s="2" t="s">
        <v>2881</v>
      </c>
      <c r="D2486" s="2" t="s">
        <v>2882</v>
      </c>
      <c r="E2486" s="1">
        <v>0</v>
      </c>
      <c r="F2486" s="2" t="s">
        <v>2886</v>
      </c>
      <c r="H2486" s="1" t="str">
        <f t="shared" si="39"/>
        <v/>
      </c>
      <c r="K2486" s="1">
        <f>IF(E2486=0,SUMPRODUCT(($A$2:$A$4734=A2486)*($B$2:$B$4734=B2486)*($D$2:$D$4734=D2486)*($E$2:$E$4734=0)),0)</f>
        <v>5</v>
      </c>
      <c r="L2486" s="1">
        <f>IF(E2486=0,SUMPRODUCT(MIN($K$2:$K$4734+((($A$2:$A$4734&lt;&gt;A2486)+($E$2:$E$4734&lt;&gt;0))&gt;0)*1000000)),"")</f>
        <v>5</v>
      </c>
      <c r="M2486" s="1">
        <f>IF(AND(E2486=0,COUNTIFS($A$2:A2486,A2486,$E$2:E2486,0)=1),L2486,0)</f>
        <v>0</v>
      </c>
    </row>
    <row r="2487" spans="1:13" ht="15" customHeight="1">
      <c r="A2487" s="1">
        <v>37</v>
      </c>
      <c r="B2487" s="1" t="s">
        <v>16</v>
      </c>
      <c r="C2487" s="2" t="s">
        <v>2881</v>
      </c>
      <c r="D2487" s="2" t="s">
        <v>2882</v>
      </c>
      <c r="E2487" s="1">
        <v>0</v>
      </c>
      <c r="F2487" s="2" t="s">
        <v>2887</v>
      </c>
      <c r="H2487" s="1" t="str">
        <f t="shared" si="39"/>
        <v/>
      </c>
      <c r="K2487" s="1">
        <f>IF(E2487=0,SUMPRODUCT(($A$2:$A$4734=A2487)*($B$2:$B$4734=B2487)*($D$2:$D$4734=D2487)*($E$2:$E$4734=0)),0)</f>
        <v>5</v>
      </c>
      <c r="L2487" s="1">
        <f>IF(E2487=0,SUMPRODUCT(MIN($K$2:$K$4734+((($A$2:$A$4734&lt;&gt;A2487)+($E$2:$E$4734&lt;&gt;0))&gt;0)*1000000)),"")</f>
        <v>5</v>
      </c>
      <c r="M2487" s="1">
        <f>IF(AND(E2487=0,COUNTIFS($A$2:A2487,A2487,$E$2:E2487,0)=1),L2487,0)</f>
        <v>0</v>
      </c>
    </row>
    <row r="2488" spans="1:13" ht="15" customHeight="1">
      <c r="A2488" s="1">
        <v>38</v>
      </c>
      <c r="B2488" s="1" t="s">
        <v>9</v>
      </c>
      <c r="C2488" s="2" t="s">
        <v>2888</v>
      </c>
      <c r="D2488" s="2" t="s">
        <v>2889</v>
      </c>
      <c r="E2488" s="1">
        <v>0</v>
      </c>
      <c r="F2488" s="2" t="s">
        <v>2890</v>
      </c>
      <c r="H2488" s="1" t="str">
        <f t="shared" si="39"/>
        <v/>
      </c>
      <c r="K2488" s="1">
        <f>IF(E2488=0,SUMPRODUCT(($A$2:$A$4734=A2488)*($B$2:$B$4734=B2488)*($D$2:$D$4734=D2488)*($E$2:$E$4734=0)),0)</f>
        <v>4</v>
      </c>
      <c r="L2488" s="1">
        <f>IF(E2488=0,SUMPRODUCT(MIN($K$2:$K$4734+((($A$2:$A$4734&lt;&gt;A2488)+($E$2:$E$4734&lt;&gt;0))&gt;0)*1000000)),"")</f>
        <v>4</v>
      </c>
      <c r="M2488" s="1">
        <f>IF(AND(E2488=0,COUNTIFS($A$2:A2488,A2488,$E$2:E2488,0)=1),L2488,0)</f>
        <v>4</v>
      </c>
    </row>
    <row r="2489" spans="1:13" ht="15" customHeight="1">
      <c r="A2489" s="1">
        <v>38</v>
      </c>
      <c r="B2489" s="1" t="s">
        <v>9</v>
      </c>
      <c r="C2489" s="2" t="s">
        <v>2888</v>
      </c>
      <c r="D2489" s="2" t="s">
        <v>2889</v>
      </c>
      <c r="E2489" s="1">
        <v>0</v>
      </c>
      <c r="F2489" s="2" t="s">
        <v>2891</v>
      </c>
      <c r="H2489" s="1" t="str">
        <f t="shared" si="39"/>
        <v/>
      </c>
      <c r="K2489" s="1">
        <f>IF(E2489=0,SUMPRODUCT(($A$2:$A$4734=A2489)*($B$2:$B$4734=B2489)*($D$2:$D$4734=D2489)*($E$2:$E$4734=0)),0)</f>
        <v>4</v>
      </c>
      <c r="L2489" s="1">
        <f>IF(E2489=0,SUMPRODUCT(MIN($K$2:$K$4734+((($A$2:$A$4734&lt;&gt;A2489)+($E$2:$E$4734&lt;&gt;0))&gt;0)*1000000)),"")</f>
        <v>4</v>
      </c>
      <c r="M2489" s="1">
        <f>IF(AND(E2489=0,COUNTIFS($A$2:A2489,A2489,$E$2:E2489,0)=1),L2489,0)</f>
        <v>0</v>
      </c>
    </row>
    <row r="2490" spans="1:13" ht="15" customHeight="1">
      <c r="A2490" s="1">
        <v>38</v>
      </c>
      <c r="B2490" s="1" t="s">
        <v>9</v>
      </c>
      <c r="C2490" s="2" t="s">
        <v>2888</v>
      </c>
      <c r="D2490" s="2" t="s">
        <v>2889</v>
      </c>
      <c r="E2490" s="1">
        <v>0</v>
      </c>
      <c r="F2490" s="2" t="s">
        <v>2892</v>
      </c>
      <c r="H2490" s="1" t="str">
        <f t="shared" si="39"/>
        <v/>
      </c>
      <c r="K2490" s="1">
        <f>IF(E2490=0,SUMPRODUCT(($A$2:$A$4734=A2490)*($B$2:$B$4734=B2490)*($D$2:$D$4734=D2490)*($E$2:$E$4734=0)),0)</f>
        <v>4</v>
      </c>
      <c r="L2490" s="1">
        <f>IF(E2490=0,SUMPRODUCT(MIN($K$2:$K$4734+((($A$2:$A$4734&lt;&gt;A2490)+($E$2:$E$4734&lt;&gt;0))&gt;0)*1000000)),"")</f>
        <v>4</v>
      </c>
      <c r="M2490" s="1">
        <f>IF(AND(E2490=0,COUNTIFS($A$2:A2490,A2490,$E$2:E2490,0)=1),L2490,0)</f>
        <v>0</v>
      </c>
    </row>
    <row r="2491" spans="1:13" ht="15" customHeight="1">
      <c r="A2491" s="1">
        <v>38</v>
      </c>
      <c r="B2491" s="1" t="s">
        <v>9</v>
      </c>
      <c r="C2491" s="2" t="s">
        <v>2888</v>
      </c>
      <c r="D2491" s="2" t="s">
        <v>2889</v>
      </c>
      <c r="E2491" s="1">
        <v>0</v>
      </c>
      <c r="F2491" s="2" t="s">
        <v>2893</v>
      </c>
      <c r="H2491" s="1" t="str">
        <f t="shared" si="39"/>
        <v/>
      </c>
      <c r="K2491" s="1">
        <f>IF(E2491=0,SUMPRODUCT(($A$2:$A$4734=A2491)*($B$2:$B$4734=B2491)*($D$2:$D$4734=D2491)*($E$2:$E$4734=0)),0)</f>
        <v>4</v>
      </c>
      <c r="L2491" s="1">
        <f>IF(E2491=0,SUMPRODUCT(MIN($K$2:$K$4734+((($A$2:$A$4734&lt;&gt;A2491)+($E$2:$E$4734&lt;&gt;0))&gt;0)*1000000)),"")</f>
        <v>4</v>
      </c>
      <c r="M2491" s="1">
        <f>IF(AND(E2491=0,COUNTIFS($A$2:A2491,A2491,$E$2:E2491,0)=1),L2491,0)</f>
        <v>0</v>
      </c>
    </row>
    <row r="2492" spans="1:13" ht="15" customHeight="1">
      <c r="A2492" s="1">
        <v>38</v>
      </c>
      <c r="B2492" s="1" t="s">
        <v>9</v>
      </c>
      <c r="C2492" s="2" t="s">
        <v>2888</v>
      </c>
      <c r="D2492" s="2" t="s">
        <v>2894</v>
      </c>
      <c r="E2492" s="1">
        <v>0</v>
      </c>
      <c r="F2492" s="2" t="s">
        <v>2895</v>
      </c>
      <c r="H2492" s="1" t="str">
        <f t="shared" si="39"/>
        <v/>
      </c>
      <c r="K2492" s="1">
        <f>IF(E2492=0,SUMPRODUCT(($A$2:$A$4734=A2492)*($B$2:$B$4734=B2492)*($D$2:$D$4734=D2492)*($E$2:$E$4734=0)),0)</f>
        <v>6</v>
      </c>
      <c r="L2492" s="1">
        <f>IF(E2492=0,SUMPRODUCT(MIN($K$2:$K$4734+((($A$2:$A$4734&lt;&gt;A2492)+($E$2:$E$4734&lt;&gt;0))&gt;0)*1000000)),"")</f>
        <v>4</v>
      </c>
      <c r="M2492" s="1">
        <f>IF(AND(E2492=0,COUNTIFS($A$2:A2492,A2492,$E$2:E2492,0)=1),L2492,0)</f>
        <v>0</v>
      </c>
    </row>
    <row r="2493" spans="1:13" ht="15" customHeight="1">
      <c r="A2493" s="1">
        <v>38</v>
      </c>
      <c r="B2493" s="1" t="s">
        <v>9</v>
      </c>
      <c r="C2493" s="2" t="s">
        <v>2888</v>
      </c>
      <c r="D2493" s="2" t="s">
        <v>2894</v>
      </c>
      <c r="E2493" s="1">
        <v>0</v>
      </c>
      <c r="F2493" s="2" t="s">
        <v>2896</v>
      </c>
      <c r="H2493" s="1" t="str">
        <f t="shared" si="39"/>
        <v/>
      </c>
      <c r="K2493" s="1">
        <f>IF(E2493=0,SUMPRODUCT(($A$2:$A$4734=A2493)*($B$2:$B$4734=B2493)*($D$2:$D$4734=D2493)*($E$2:$E$4734=0)),0)</f>
        <v>6</v>
      </c>
      <c r="L2493" s="1">
        <f>IF(E2493=0,SUMPRODUCT(MIN($K$2:$K$4734+((($A$2:$A$4734&lt;&gt;A2493)+($E$2:$E$4734&lt;&gt;0))&gt;0)*1000000)),"")</f>
        <v>4</v>
      </c>
      <c r="M2493" s="1">
        <f>IF(AND(E2493=0,COUNTIFS($A$2:A2493,A2493,$E$2:E2493,0)=1),L2493,0)</f>
        <v>0</v>
      </c>
    </row>
    <row r="2494" spans="1:13" ht="15" customHeight="1">
      <c r="A2494" s="1">
        <v>38</v>
      </c>
      <c r="B2494" s="1" t="s">
        <v>9</v>
      </c>
      <c r="C2494" s="2" t="s">
        <v>2888</v>
      </c>
      <c r="D2494" s="2" t="s">
        <v>2894</v>
      </c>
      <c r="E2494" s="1">
        <v>0</v>
      </c>
      <c r="F2494" s="2" t="s">
        <v>2897</v>
      </c>
      <c r="H2494" s="1" t="str">
        <f t="shared" si="39"/>
        <v/>
      </c>
      <c r="K2494" s="1">
        <f>IF(E2494=0,SUMPRODUCT(($A$2:$A$4734=A2494)*($B$2:$B$4734=B2494)*($D$2:$D$4734=D2494)*($E$2:$E$4734=0)),0)</f>
        <v>6</v>
      </c>
      <c r="L2494" s="1">
        <f>IF(E2494=0,SUMPRODUCT(MIN($K$2:$K$4734+((($A$2:$A$4734&lt;&gt;A2494)+($E$2:$E$4734&lt;&gt;0))&gt;0)*1000000)),"")</f>
        <v>4</v>
      </c>
      <c r="M2494" s="1">
        <f>IF(AND(E2494=0,COUNTIFS($A$2:A2494,A2494,$E$2:E2494,0)=1),L2494,0)</f>
        <v>0</v>
      </c>
    </row>
    <row r="2495" spans="1:13" ht="15" customHeight="1">
      <c r="A2495" s="1">
        <v>38</v>
      </c>
      <c r="B2495" s="1" t="s">
        <v>9</v>
      </c>
      <c r="C2495" s="2" t="s">
        <v>2888</v>
      </c>
      <c r="D2495" s="2" t="s">
        <v>2894</v>
      </c>
      <c r="E2495" s="1">
        <v>0</v>
      </c>
      <c r="F2495" s="2" t="s">
        <v>2898</v>
      </c>
      <c r="H2495" s="1" t="str">
        <f t="shared" si="39"/>
        <v/>
      </c>
      <c r="K2495" s="1">
        <f>IF(E2495=0,SUMPRODUCT(($A$2:$A$4734=A2495)*($B$2:$B$4734=B2495)*($D$2:$D$4734=D2495)*($E$2:$E$4734=0)),0)</f>
        <v>6</v>
      </c>
      <c r="L2495" s="1">
        <f>IF(E2495=0,SUMPRODUCT(MIN($K$2:$K$4734+((($A$2:$A$4734&lt;&gt;A2495)+($E$2:$E$4734&lt;&gt;0))&gt;0)*1000000)),"")</f>
        <v>4</v>
      </c>
      <c r="M2495" s="1">
        <f>IF(AND(E2495=0,COUNTIFS($A$2:A2495,A2495,$E$2:E2495,0)=1),L2495,0)</f>
        <v>0</v>
      </c>
    </row>
    <row r="2496" spans="1:13" ht="15" customHeight="1">
      <c r="A2496" s="1">
        <v>38</v>
      </c>
      <c r="B2496" s="1" t="s">
        <v>9</v>
      </c>
      <c r="C2496" s="2" t="s">
        <v>2888</v>
      </c>
      <c r="D2496" s="2" t="s">
        <v>2894</v>
      </c>
      <c r="E2496" s="1">
        <v>0</v>
      </c>
      <c r="F2496" s="2" t="s">
        <v>2899</v>
      </c>
      <c r="H2496" s="1" t="str">
        <f t="shared" si="39"/>
        <v/>
      </c>
      <c r="K2496" s="1">
        <f>IF(E2496=0,SUMPRODUCT(($A$2:$A$4734=A2496)*($B$2:$B$4734=B2496)*($D$2:$D$4734=D2496)*($E$2:$E$4734=0)),0)</f>
        <v>6</v>
      </c>
      <c r="L2496" s="1">
        <f>IF(E2496=0,SUMPRODUCT(MIN($K$2:$K$4734+((($A$2:$A$4734&lt;&gt;A2496)+($E$2:$E$4734&lt;&gt;0))&gt;0)*1000000)),"")</f>
        <v>4</v>
      </c>
      <c r="M2496" s="1">
        <f>IF(AND(E2496=0,COUNTIFS($A$2:A2496,A2496,$E$2:E2496,0)=1),L2496,0)</f>
        <v>0</v>
      </c>
    </row>
    <row r="2497" spans="1:13" ht="15" customHeight="1">
      <c r="A2497" s="1">
        <v>38</v>
      </c>
      <c r="B2497" s="1" t="s">
        <v>9</v>
      </c>
      <c r="C2497" s="2" t="s">
        <v>2888</v>
      </c>
      <c r="D2497" s="2" t="s">
        <v>2894</v>
      </c>
      <c r="E2497" s="1">
        <v>0</v>
      </c>
      <c r="F2497" s="2" t="s">
        <v>2900</v>
      </c>
      <c r="H2497" s="1" t="str">
        <f t="shared" si="39"/>
        <v/>
      </c>
      <c r="K2497" s="1">
        <f>IF(E2497=0,SUMPRODUCT(($A$2:$A$4734=A2497)*($B$2:$B$4734=B2497)*($D$2:$D$4734=D2497)*($E$2:$E$4734=0)),0)</f>
        <v>6</v>
      </c>
      <c r="L2497" s="1">
        <f>IF(E2497=0,SUMPRODUCT(MIN($K$2:$K$4734+((($A$2:$A$4734&lt;&gt;A2497)+($E$2:$E$4734&lt;&gt;0))&gt;0)*1000000)),"")</f>
        <v>4</v>
      </c>
      <c r="M2497" s="1">
        <f>IF(AND(E2497=0,COUNTIFS($A$2:A2497,A2497,$E$2:E2497,0)=1),L2497,0)</f>
        <v>0</v>
      </c>
    </row>
    <row r="2498" spans="1:13" ht="15" customHeight="1">
      <c r="A2498" s="1">
        <v>39</v>
      </c>
      <c r="B2498" s="1" t="s">
        <v>9</v>
      </c>
      <c r="C2498" s="2" t="s">
        <v>2901</v>
      </c>
      <c r="D2498" s="2" t="s">
        <v>2902</v>
      </c>
      <c r="E2498" s="1">
        <v>0</v>
      </c>
      <c r="F2498" s="2" t="s">
        <v>2903</v>
      </c>
      <c r="H2498" s="1" t="str">
        <f t="shared" si="39"/>
        <v/>
      </c>
      <c r="K2498" s="1">
        <f>IF(E2498=0,SUMPRODUCT(($A$2:$A$4734=A2498)*($B$2:$B$4734=B2498)*($D$2:$D$4734=D2498)*($E$2:$E$4734=0)),0)</f>
        <v>4</v>
      </c>
      <c r="L2498" s="1">
        <f>IF(E2498=0,SUMPRODUCT(MIN($K$2:$K$4734+((($A$2:$A$4734&lt;&gt;A2498)+($E$2:$E$4734&lt;&gt;0))&gt;0)*1000000)),"")</f>
        <v>4</v>
      </c>
      <c r="M2498" s="1">
        <f>IF(AND(E2498=0,COUNTIFS($A$2:A2498,A2498,$E$2:E2498,0)=1),L2498,0)</f>
        <v>4</v>
      </c>
    </row>
    <row r="2499" spans="1:13" ht="15" customHeight="1">
      <c r="A2499" s="1">
        <v>39</v>
      </c>
      <c r="B2499" s="1" t="s">
        <v>9</v>
      </c>
      <c r="C2499" s="2" t="s">
        <v>2901</v>
      </c>
      <c r="D2499" s="2" t="s">
        <v>2902</v>
      </c>
      <c r="E2499" s="1">
        <v>0</v>
      </c>
      <c r="F2499" s="2" t="s">
        <v>2904</v>
      </c>
      <c r="H2499" s="1" t="str">
        <f t="shared" si="39"/>
        <v/>
      </c>
      <c r="K2499" s="1">
        <f>IF(E2499=0,SUMPRODUCT(($A$2:$A$4734=A2499)*($B$2:$B$4734=B2499)*($D$2:$D$4734=D2499)*($E$2:$E$4734=0)),0)</f>
        <v>4</v>
      </c>
      <c r="L2499" s="1">
        <f>IF(E2499=0,SUMPRODUCT(MIN($K$2:$K$4734+((($A$2:$A$4734&lt;&gt;A2499)+($E$2:$E$4734&lt;&gt;0))&gt;0)*1000000)),"")</f>
        <v>4</v>
      </c>
      <c r="M2499" s="1">
        <f>IF(AND(E2499=0,COUNTIFS($A$2:A2499,A2499,$E$2:E2499,0)=1),L2499,0)</f>
        <v>0</v>
      </c>
    </row>
    <row r="2500" spans="1:13" ht="15" customHeight="1">
      <c r="A2500" s="1">
        <v>39</v>
      </c>
      <c r="B2500" s="1" t="s">
        <v>9</v>
      </c>
      <c r="C2500" s="2" t="s">
        <v>2901</v>
      </c>
      <c r="D2500" s="2" t="s">
        <v>2902</v>
      </c>
      <c r="E2500" s="1">
        <v>0</v>
      </c>
      <c r="F2500" s="2" t="s">
        <v>2073</v>
      </c>
      <c r="H2500" s="1" t="str">
        <f t="shared" si="39"/>
        <v/>
      </c>
      <c r="K2500" s="1">
        <f>IF(E2500=0,SUMPRODUCT(($A$2:$A$4734=A2500)*($B$2:$B$4734=B2500)*($D$2:$D$4734=D2500)*($E$2:$E$4734=0)),0)</f>
        <v>4</v>
      </c>
      <c r="L2500" s="1">
        <f>IF(E2500=0,SUMPRODUCT(MIN($K$2:$K$4734+((($A$2:$A$4734&lt;&gt;A2500)+($E$2:$E$4734&lt;&gt;0))&gt;0)*1000000)),"")</f>
        <v>4</v>
      </c>
      <c r="M2500" s="1">
        <f>IF(AND(E2500=0,COUNTIFS($A$2:A2500,A2500,$E$2:E2500,0)=1),L2500,0)</f>
        <v>0</v>
      </c>
    </row>
    <row r="2501" spans="1:13" ht="15" customHeight="1">
      <c r="A2501" s="1">
        <v>39</v>
      </c>
      <c r="B2501" s="1" t="s">
        <v>9</v>
      </c>
      <c r="C2501" s="2" t="s">
        <v>2901</v>
      </c>
      <c r="D2501" s="2" t="s">
        <v>2902</v>
      </c>
      <c r="E2501" s="1">
        <v>0</v>
      </c>
      <c r="F2501" s="2" t="s">
        <v>2905</v>
      </c>
      <c r="H2501" s="1" t="str">
        <f t="shared" si="39"/>
        <v/>
      </c>
      <c r="K2501" s="1">
        <f>IF(E2501=0,SUMPRODUCT(($A$2:$A$4734=A2501)*($B$2:$B$4734=B2501)*($D$2:$D$4734=D2501)*($E$2:$E$4734=0)),0)</f>
        <v>4</v>
      </c>
      <c r="L2501" s="1">
        <f>IF(E2501=0,SUMPRODUCT(MIN($K$2:$K$4734+((($A$2:$A$4734&lt;&gt;A2501)+($E$2:$E$4734&lt;&gt;0))&gt;0)*1000000)),"")</f>
        <v>4</v>
      </c>
      <c r="M2501" s="1">
        <f>IF(AND(E2501=0,COUNTIFS($A$2:A2501,A2501,$E$2:E2501,0)=1),L2501,0)</f>
        <v>0</v>
      </c>
    </row>
    <row r="2502" spans="1:13" ht="15" customHeight="1">
      <c r="A2502" s="1">
        <v>40</v>
      </c>
      <c r="B2502" s="1" t="s">
        <v>95</v>
      </c>
      <c r="C2502" s="2" t="s">
        <v>2906</v>
      </c>
      <c r="D2502" s="2" t="s">
        <v>2907</v>
      </c>
      <c r="E2502" s="1">
        <v>1</v>
      </c>
      <c r="F2502" s="2" t="s">
        <v>2908</v>
      </c>
      <c r="G2502" s="1">
        <v>1</v>
      </c>
      <c r="H2502" s="1" t="str">
        <f t="shared" si="39"/>
        <v>k40_1</v>
      </c>
      <c r="K2502" s="1">
        <f>IF(E2502=0,SUMPRODUCT(($A$2:$A$4734=A2502)*($B$2:$B$4734=B2502)*($D$2:$D$4734=D2502)*($E$2:$E$4734=0)),0)</f>
        <v>0</v>
      </c>
      <c r="L2502" s="1" t="str">
        <f>IF(E2502=0,SUMPRODUCT(MIN($K$2:$K$4734+((($A$2:$A$4734&lt;&gt;A2502)+($E$2:$E$4734&lt;&gt;0))&gt;0)*1000000)),"")</f>
        <v/>
      </c>
      <c r="M2502" s="1">
        <f>IF(AND(E2502=0,COUNTIFS($A$2:A2502,A2502,$E$2:E2502,0)=1),L2502,0)</f>
        <v>0</v>
      </c>
    </row>
    <row r="2503" spans="1:13" ht="15" customHeight="1">
      <c r="A2503" s="1">
        <v>40</v>
      </c>
      <c r="B2503" s="1" t="s">
        <v>95</v>
      </c>
      <c r="C2503" s="2" t="s">
        <v>2906</v>
      </c>
      <c r="D2503" s="2" t="s">
        <v>2907</v>
      </c>
      <c r="E2503" s="1">
        <v>1</v>
      </c>
      <c r="F2503" s="2" t="s">
        <v>2909</v>
      </c>
      <c r="G2503" s="1">
        <v>2</v>
      </c>
      <c r="H2503" s="1" t="str">
        <f t="shared" si="39"/>
        <v>k40_2</v>
      </c>
      <c r="K2503" s="1">
        <f>IF(E2503=0,SUMPRODUCT(($A$2:$A$4734=A2503)*($B$2:$B$4734=B2503)*($D$2:$D$4734=D2503)*($E$2:$E$4734=0)),0)</f>
        <v>0</v>
      </c>
      <c r="L2503" s="1" t="str">
        <f>IF(E2503=0,SUMPRODUCT(MIN($K$2:$K$4734+((($A$2:$A$4734&lt;&gt;A2503)+($E$2:$E$4734&lt;&gt;0))&gt;0)*1000000)),"")</f>
        <v/>
      </c>
      <c r="M2503" s="1">
        <f>IF(AND(E2503=0,COUNTIFS($A$2:A2503,A2503,$E$2:E2503,0)=1),L2503,0)</f>
        <v>0</v>
      </c>
    </row>
    <row r="2504" spans="1:13" ht="15" customHeight="1">
      <c r="A2504" s="1">
        <v>40</v>
      </c>
      <c r="B2504" s="1" t="s">
        <v>95</v>
      </c>
      <c r="C2504" s="2" t="s">
        <v>2906</v>
      </c>
      <c r="D2504" s="2" t="s">
        <v>2907</v>
      </c>
      <c r="E2504" s="1">
        <v>1</v>
      </c>
      <c r="F2504" s="2" t="s">
        <v>2910</v>
      </c>
      <c r="G2504" s="1">
        <v>3</v>
      </c>
      <c r="H2504" s="1" t="str">
        <f t="shared" si="39"/>
        <v>k40_3</v>
      </c>
      <c r="K2504" s="1">
        <f>IF(E2504=0,SUMPRODUCT(($A$2:$A$4734=A2504)*($B$2:$B$4734=B2504)*($D$2:$D$4734=D2504)*($E$2:$E$4734=0)),0)</f>
        <v>0</v>
      </c>
      <c r="L2504" s="1" t="str">
        <f>IF(E2504=0,SUMPRODUCT(MIN($K$2:$K$4734+((($A$2:$A$4734&lt;&gt;A2504)+($E$2:$E$4734&lt;&gt;0))&gt;0)*1000000)),"")</f>
        <v/>
      </c>
      <c r="M2504" s="1">
        <f>IF(AND(E2504=0,COUNTIFS($A$2:A2504,A2504,$E$2:E2504,0)=1),L2504,0)</f>
        <v>0</v>
      </c>
    </row>
    <row r="2505" spans="1:13" ht="15" customHeight="1">
      <c r="A2505" s="1">
        <v>40</v>
      </c>
      <c r="B2505" s="1" t="s">
        <v>16</v>
      </c>
      <c r="C2505" s="2" t="s">
        <v>2906</v>
      </c>
      <c r="D2505" s="2" t="s">
        <v>2907</v>
      </c>
      <c r="E2505" s="1">
        <v>1</v>
      </c>
      <c r="F2505" s="2" t="s">
        <v>2911</v>
      </c>
      <c r="G2505" s="1">
        <v>1</v>
      </c>
      <c r="H2505" s="1" t="str">
        <f t="shared" si="39"/>
        <v>k40_1</v>
      </c>
      <c r="K2505" s="1">
        <f>IF(E2505=0,SUMPRODUCT(($A$2:$A$4734=A2505)*($B$2:$B$4734=B2505)*($D$2:$D$4734=D2505)*($E$2:$E$4734=0)),0)</f>
        <v>0</v>
      </c>
      <c r="L2505" s="1" t="str">
        <f>IF(E2505=0,SUMPRODUCT(MIN($K$2:$K$4734+((($A$2:$A$4734&lt;&gt;A2505)+($E$2:$E$4734&lt;&gt;0))&gt;0)*1000000)),"")</f>
        <v/>
      </c>
      <c r="M2505" s="1">
        <f>IF(AND(E2505=0,COUNTIFS($A$2:A2505,A2505,$E$2:E2505,0)=1),L2505,0)</f>
        <v>0</v>
      </c>
    </row>
    <row r="2506" spans="1:13" ht="15" customHeight="1">
      <c r="A2506" s="1">
        <v>40</v>
      </c>
      <c r="B2506" s="1" t="s">
        <v>16</v>
      </c>
      <c r="C2506" s="2" t="s">
        <v>2906</v>
      </c>
      <c r="D2506" s="2" t="s">
        <v>2907</v>
      </c>
      <c r="E2506" s="1">
        <v>1</v>
      </c>
      <c r="F2506" s="2" t="s">
        <v>2910</v>
      </c>
      <c r="G2506" s="1">
        <v>2</v>
      </c>
      <c r="H2506" s="1" t="str">
        <f t="shared" si="39"/>
        <v>k40_2</v>
      </c>
      <c r="K2506" s="1">
        <f>IF(E2506=0,SUMPRODUCT(($A$2:$A$4734=A2506)*($B$2:$B$4734=B2506)*($D$2:$D$4734=D2506)*($E$2:$E$4734=0)),0)</f>
        <v>0</v>
      </c>
      <c r="L2506" s="1" t="str">
        <f>IF(E2506=0,SUMPRODUCT(MIN($K$2:$K$4734+((($A$2:$A$4734&lt;&gt;A2506)+($E$2:$E$4734&lt;&gt;0))&gt;0)*1000000)),"")</f>
        <v/>
      </c>
      <c r="M2506" s="1">
        <f>IF(AND(E2506=0,COUNTIFS($A$2:A2506,A2506,$E$2:E2506,0)=1),L2506,0)</f>
        <v>0</v>
      </c>
    </row>
    <row r="2507" spans="1:13" ht="15" customHeight="1">
      <c r="A2507" s="1">
        <v>40</v>
      </c>
      <c r="B2507" s="1" t="s">
        <v>16</v>
      </c>
      <c r="C2507" s="2" t="s">
        <v>2906</v>
      </c>
      <c r="D2507" s="2" t="s">
        <v>2907</v>
      </c>
      <c r="E2507" s="1">
        <v>1</v>
      </c>
      <c r="F2507" s="2" t="s">
        <v>2912</v>
      </c>
      <c r="G2507" s="1">
        <v>3</v>
      </c>
      <c r="H2507" s="1" t="str">
        <f t="shared" si="39"/>
        <v>k40_3</v>
      </c>
      <c r="K2507" s="1">
        <f>IF(E2507=0,SUMPRODUCT(($A$2:$A$4734=A2507)*($B$2:$B$4734=B2507)*($D$2:$D$4734=D2507)*($E$2:$E$4734=0)),0)</f>
        <v>0</v>
      </c>
      <c r="L2507" s="1" t="str">
        <f>IF(E2507=0,SUMPRODUCT(MIN($K$2:$K$4734+((($A$2:$A$4734&lt;&gt;A2507)+($E$2:$E$4734&lt;&gt;0))&gt;0)*1000000)),"")</f>
        <v/>
      </c>
      <c r="M2507" s="1">
        <f>IF(AND(E2507=0,COUNTIFS($A$2:A2507,A2507,$E$2:E2507,0)=1),L2507,0)</f>
        <v>0</v>
      </c>
    </row>
    <row r="2508" spans="1:13" ht="15" customHeight="1">
      <c r="A2508" s="1">
        <v>41</v>
      </c>
      <c r="B2508" s="1" t="s">
        <v>144</v>
      </c>
      <c r="C2508" s="2" t="s">
        <v>2913</v>
      </c>
      <c r="D2508" s="2" t="s">
        <v>2914</v>
      </c>
      <c r="E2508" s="1">
        <v>1</v>
      </c>
      <c r="F2508" s="2" t="s">
        <v>2915</v>
      </c>
      <c r="G2508" s="1">
        <v>1</v>
      </c>
      <c r="H2508" s="1" t="str">
        <f t="shared" si="39"/>
        <v>k41_1</v>
      </c>
      <c r="K2508" s="1">
        <f>IF(E2508=0,SUMPRODUCT(($A$2:$A$4734=A2508)*($B$2:$B$4734=B2508)*($D$2:$D$4734=D2508)*($E$2:$E$4734=0)),0)</f>
        <v>0</v>
      </c>
      <c r="L2508" s="1" t="str">
        <f>IF(E2508=0,SUMPRODUCT(MIN($K$2:$K$4734+((($A$2:$A$4734&lt;&gt;A2508)+($E$2:$E$4734&lt;&gt;0))&gt;0)*1000000)),"")</f>
        <v/>
      </c>
      <c r="M2508" s="1">
        <f>IF(AND(E2508=0,COUNTIFS($A$2:A2508,A2508,$E$2:E2508,0)=1),L2508,0)</f>
        <v>0</v>
      </c>
    </row>
    <row r="2509" spans="1:13" ht="15" customHeight="1">
      <c r="A2509" s="1">
        <v>41</v>
      </c>
      <c r="B2509" s="1" t="s">
        <v>144</v>
      </c>
      <c r="C2509" s="2" t="s">
        <v>2913</v>
      </c>
      <c r="D2509" s="2" t="s">
        <v>2914</v>
      </c>
      <c r="E2509" s="1">
        <v>1</v>
      </c>
      <c r="F2509" s="2" t="s">
        <v>2916</v>
      </c>
      <c r="G2509" s="1">
        <v>2</v>
      </c>
      <c r="H2509" s="1" t="str">
        <f t="shared" si="39"/>
        <v>k41_2</v>
      </c>
      <c r="K2509" s="1">
        <f>IF(E2509=0,SUMPRODUCT(($A$2:$A$4734=A2509)*($B$2:$B$4734=B2509)*($D$2:$D$4734=D2509)*($E$2:$E$4734=0)),0)</f>
        <v>0</v>
      </c>
      <c r="L2509" s="1" t="str">
        <f>IF(E2509=0,SUMPRODUCT(MIN($K$2:$K$4734+((($A$2:$A$4734&lt;&gt;A2509)+($E$2:$E$4734&lt;&gt;0))&gt;0)*1000000)),"")</f>
        <v/>
      </c>
      <c r="M2509" s="1">
        <f>IF(AND(E2509=0,COUNTIFS($A$2:A2509,A2509,$E$2:E2509,0)=1),L2509,0)</f>
        <v>0</v>
      </c>
    </row>
    <row r="2510" spans="1:13" ht="15" customHeight="1">
      <c r="A2510" s="1">
        <v>41</v>
      </c>
      <c r="B2510" s="1" t="s">
        <v>144</v>
      </c>
      <c r="C2510" s="2" t="s">
        <v>2913</v>
      </c>
      <c r="D2510" s="2" t="s">
        <v>2914</v>
      </c>
      <c r="E2510" s="1">
        <v>1</v>
      </c>
      <c r="F2510" s="2" t="s">
        <v>2917</v>
      </c>
      <c r="G2510" s="1">
        <v>3</v>
      </c>
      <c r="H2510" s="1" t="str">
        <f t="shared" ref="H2510:H2573" si="40">IF(OR(E2510&lt;&gt;1,G2510=""),"","k"&amp;A2510&amp;"_"&amp;G2510)</f>
        <v>k41_3</v>
      </c>
      <c r="K2510" s="1">
        <f>IF(E2510=0,SUMPRODUCT(($A$2:$A$4734=A2510)*($B$2:$B$4734=B2510)*($D$2:$D$4734=D2510)*($E$2:$E$4734=0)),0)</f>
        <v>0</v>
      </c>
      <c r="L2510" s="1" t="str">
        <f>IF(E2510=0,SUMPRODUCT(MIN($K$2:$K$4734+((($A$2:$A$4734&lt;&gt;A2510)+($E$2:$E$4734&lt;&gt;0))&gt;0)*1000000)),"")</f>
        <v/>
      </c>
      <c r="M2510" s="1">
        <f>IF(AND(E2510=0,COUNTIFS($A$2:A2510,A2510,$E$2:E2510,0)=1),L2510,0)</f>
        <v>0</v>
      </c>
    </row>
    <row r="2511" spans="1:13" ht="15" customHeight="1">
      <c r="A2511" s="1">
        <v>41</v>
      </c>
      <c r="B2511" s="1" t="s">
        <v>144</v>
      </c>
      <c r="C2511" s="2" t="s">
        <v>2913</v>
      </c>
      <c r="D2511" s="2" t="s">
        <v>2914</v>
      </c>
      <c r="E2511" s="1">
        <v>1</v>
      </c>
      <c r="F2511" s="2" t="s">
        <v>2918</v>
      </c>
      <c r="G2511" s="1">
        <v>4</v>
      </c>
      <c r="H2511" s="1" t="str">
        <f t="shared" si="40"/>
        <v>k41_4</v>
      </c>
      <c r="K2511" s="1">
        <f>IF(E2511=0,SUMPRODUCT(($A$2:$A$4734=A2511)*($B$2:$B$4734=B2511)*($D$2:$D$4734=D2511)*($E$2:$E$4734=0)),0)</f>
        <v>0</v>
      </c>
      <c r="L2511" s="1" t="str">
        <f>IF(E2511=0,SUMPRODUCT(MIN($K$2:$K$4734+((($A$2:$A$4734&lt;&gt;A2511)+($E$2:$E$4734&lt;&gt;0))&gt;0)*1000000)),"")</f>
        <v/>
      </c>
      <c r="M2511" s="1">
        <f>IF(AND(E2511=0,COUNTIFS($A$2:A2511,A2511,$E$2:E2511,0)=1),L2511,0)</f>
        <v>0</v>
      </c>
    </row>
    <row r="2512" spans="1:13" ht="15" customHeight="1">
      <c r="A2512" s="1">
        <v>41</v>
      </c>
      <c r="B2512" s="1" t="s">
        <v>144</v>
      </c>
      <c r="C2512" s="2" t="s">
        <v>2913</v>
      </c>
      <c r="D2512" s="2" t="s">
        <v>2914</v>
      </c>
      <c r="E2512" s="1">
        <v>1</v>
      </c>
      <c r="F2512" s="2" t="s">
        <v>2919</v>
      </c>
      <c r="G2512" s="1">
        <v>5</v>
      </c>
      <c r="H2512" s="1" t="str">
        <f t="shared" si="40"/>
        <v>k41_5</v>
      </c>
      <c r="K2512" s="1">
        <f>IF(E2512=0,SUMPRODUCT(($A$2:$A$4734=A2512)*($B$2:$B$4734=B2512)*($D$2:$D$4734=D2512)*($E$2:$E$4734=0)),0)</f>
        <v>0</v>
      </c>
      <c r="L2512" s="1" t="str">
        <f>IF(E2512=0,SUMPRODUCT(MIN($K$2:$K$4734+((($A$2:$A$4734&lt;&gt;A2512)+($E$2:$E$4734&lt;&gt;0))&gt;0)*1000000)),"")</f>
        <v/>
      </c>
      <c r="M2512" s="1">
        <f>IF(AND(E2512=0,COUNTIFS($A$2:A2512,A2512,$E$2:E2512,0)=1),L2512,0)</f>
        <v>0</v>
      </c>
    </row>
    <row r="2513" spans="1:13" ht="15" customHeight="1">
      <c r="A2513" s="1">
        <v>41</v>
      </c>
      <c r="B2513" s="1" t="s">
        <v>16</v>
      </c>
      <c r="C2513" s="2" t="s">
        <v>2913</v>
      </c>
      <c r="D2513" s="2" t="s">
        <v>2920</v>
      </c>
      <c r="E2513" s="1">
        <v>1</v>
      </c>
      <c r="F2513" s="2" t="s">
        <v>2921</v>
      </c>
      <c r="G2513" s="1">
        <v>1</v>
      </c>
      <c r="H2513" s="1" t="str">
        <f t="shared" si="40"/>
        <v>k41_1</v>
      </c>
      <c r="K2513" s="1">
        <f>IF(E2513=0,SUMPRODUCT(($A$2:$A$4734=A2513)*($B$2:$B$4734=B2513)*($D$2:$D$4734=D2513)*($E$2:$E$4734=0)),0)</f>
        <v>0</v>
      </c>
      <c r="L2513" s="1" t="str">
        <f>IF(E2513=0,SUMPRODUCT(MIN($K$2:$K$4734+((($A$2:$A$4734&lt;&gt;A2513)+($E$2:$E$4734&lt;&gt;0))&gt;0)*1000000)),"")</f>
        <v/>
      </c>
      <c r="M2513" s="1">
        <f>IF(AND(E2513=0,COUNTIFS($A$2:A2513,A2513,$E$2:E2513,0)=1),L2513,0)</f>
        <v>0</v>
      </c>
    </row>
    <row r="2514" spans="1:13" ht="15" customHeight="1">
      <c r="A2514" s="1">
        <v>41</v>
      </c>
      <c r="B2514" s="1" t="s">
        <v>16</v>
      </c>
      <c r="C2514" s="2" t="s">
        <v>2913</v>
      </c>
      <c r="D2514" s="2" t="s">
        <v>2920</v>
      </c>
      <c r="E2514" s="1">
        <v>1</v>
      </c>
      <c r="F2514" s="2" t="s">
        <v>2922</v>
      </c>
      <c r="G2514" s="1">
        <v>2</v>
      </c>
      <c r="H2514" s="1" t="str">
        <f t="shared" si="40"/>
        <v>k41_2</v>
      </c>
      <c r="K2514" s="1">
        <f>IF(E2514=0,SUMPRODUCT(($A$2:$A$4734=A2514)*($B$2:$B$4734=B2514)*($D$2:$D$4734=D2514)*($E$2:$E$4734=0)),0)</f>
        <v>0</v>
      </c>
      <c r="L2514" s="1" t="str">
        <f>IF(E2514=0,SUMPRODUCT(MIN($K$2:$K$4734+((($A$2:$A$4734&lt;&gt;A2514)+($E$2:$E$4734&lt;&gt;0))&gt;0)*1000000)),"")</f>
        <v/>
      </c>
      <c r="M2514" s="1">
        <f>IF(AND(E2514=0,COUNTIFS($A$2:A2514,A2514,$E$2:E2514,0)=1),L2514,0)</f>
        <v>0</v>
      </c>
    </row>
    <row r="2515" spans="1:13" ht="15" customHeight="1">
      <c r="A2515" s="1">
        <v>41</v>
      </c>
      <c r="B2515" s="1" t="s">
        <v>16</v>
      </c>
      <c r="C2515" s="2" t="s">
        <v>2913</v>
      </c>
      <c r="D2515" s="2" t="s">
        <v>2920</v>
      </c>
      <c r="E2515" s="1">
        <v>1</v>
      </c>
      <c r="F2515" s="2" t="s">
        <v>2923</v>
      </c>
      <c r="G2515" s="1">
        <v>3</v>
      </c>
      <c r="H2515" s="1" t="str">
        <f t="shared" si="40"/>
        <v>k41_3</v>
      </c>
      <c r="K2515" s="1">
        <f>IF(E2515=0,SUMPRODUCT(($A$2:$A$4734=A2515)*($B$2:$B$4734=B2515)*($D$2:$D$4734=D2515)*($E$2:$E$4734=0)),0)</f>
        <v>0</v>
      </c>
      <c r="L2515" s="1" t="str">
        <f>IF(E2515=0,SUMPRODUCT(MIN($K$2:$K$4734+((($A$2:$A$4734&lt;&gt;A2515)+($E$2:$E$4734&lt;&gt;0))&gt;0)*1000000)),"")</f>
        <v/>
      </c>
      <c r="M2515" s="1">
        <f>IF(AND(E2515=0,COUNTIFS($A$2:A2515,A2515,$E$2:E2515,0)=1),L2515,0)</f>
        <v>0</v>
      </c>
    </row>
    <row r="2516" spans="1:13" ht="15" customHeight="1">
      <c r="A2516" s="1">
        <v>41</v>
      </c>
      <c r="B2516" s="1" t="s">
        <v>16</v>
      </c>
      <c r="C2516" s="2" t="s">
        <v>2913</v>
      </c>
      <c r="D2516" s="2" t="s">
        <v>2920</v>
      </c>
      <c r="E2516" s="1">
        <v>1</v>
      </c>
      <c r="F2516" s="2" t="s">
        <v>2924</v>
      </c>
      <c r="G2516" s="1">
        <v>4</v>
      </c>
      <c r="H2516" s="1" t="str">
        <f t="shared" si="40"/>
        <v>k41_4</v>
      </c>
      <c r="K2516" s="1">
        <f>IF(E2516=0,SUMPRODUCT(($A$2:$A$4734=A2516)*($B$2:$B$4734=B2516)*($D$2:$D$4734=D2516)*($E$2:$E$4734=0)),0)</f>
        <v>0</v>
      </c>
      <c r="L2516" s="1" t="str">
        <f>IF(E2516=0,SUMPRODUCT(MIN($K$2:$K$4734+((($A$2:$A$4734&lt;&gt;A2516)+($E$2:$E$4734&lt;&gt;0))&gt;0)*1000000)),"")</f>
        <v/>
      </c>
      <c r="M2516" s="1">
        <f>IF(AND(E2516=0,COUNTIFS($A$2:A2516,A2516,$E$2:E2516,0)=1),L2516,0)</f>
        <v>0</v>
      </c>
    </row>
    <row r="2517" spans="1:13" ht="15" customHeight="1">
      <c r="A2517" s="1">
        <v>41</v>
      </c>
      <c r="B2517" s="1" t="s">
        <v>16</v>
      </c>
      <c r="C2517" s="2" t="s">
        <v>2913</v>
      </c>
      <c r="D2517" s="2" t="s">
        <v>2920</v>
      </c>
      <c r="E2517" s="1">
        <v>1</v>
      </c>
      <c r="F2517" s="2" t="s">
        <v>2925</v>
      </c>
      <c r="G2517" s="1">
        <v>5</v>
      </c>
      <c r="H2517" s="1" t="str">
        <f t="shared" si="40"/>
        <v>k41_5</v>
      </c>
      <c r="K2517" s="1">
        <f>IF(E2517=0,SUMPRODUCT(($A$2:$A$4734=A2517)*($B$2:$B$4734=B2517)*($D$2:$D$4734=D2517)*($E$2:$E$4734=0)),0)</f>
        <v>0</v>
      </c>
      <c r="L2517" s="1" t="str">
        <f>IF(E2517=0,SUMPRODUCT(MIN($K$2:$K$4734+((($A$2:$A$4734&lt;&gt;A2517)+($E$2:$E$4734&lt;&gt;0))&gt;0)*1000000)),"")</f>
        <v/>
      </c>
      <c r="M2517" s="1">
        <f>IF(AND(E2517=0,COUNTIFS($A$2:A2517,A2517,$E$2:E2517,0)=1),L2517,0)</f>
        <v>0</v>
      </c>
    </row>
    <row r="2518" spans="1:13" ht="15" customHeight="1">
      <c r="A2518" s="1">
        <v>41</v>
      </c>
      <c r="B2518" s="1" t="s">
        <v>16</v>
      </c>
      <c r="C2518" s="2" t="s">
        <v>2913</v>
      </c>
      <c r="D2518" s="2" t="s">
        <v>2926</v>
      </c>
      <c r="E2518" s="1">
        <v>1</v>
      </c>
      <c r="F2518" s="2" t="s">
        <v>2927</v>
      </c>
      <c r="G2518" s="1">
        <v>1</v>
      </c>
      <c r="H2518" s="1" t="str">
        <f t="shared" si="40"/>
        <v>k41_1</v>
      </c>
      <c r="K2518" s="1">
        <f>IF(E2518=0,SUMPRODUCT(($A$2:$A$4734=A2518)*($B$2:$B$4734=B2518)*($D$2:$D$4734=D2518)*($E$2:$E$4734=0)),0)</f>
        <v>0</v>
      </c>
      <c r="L2518" s="1" t="str">
        <f>IF(E2518=0,SUMPRODUCT(MIN($K$2:$K$4734+((($A$2:$A$4734&lt;&gt;A2518)+($E$2:$E$4734&lt;&gt;0))&gt;0)*1000000)),"")</f>
        <v/>
      </c>
      <c r="M2518" s="1">
        <f>IF(AND(E2518=0,COUNTIFS($A$2:A2518,A2518,$E$2:E2518,0)=1),L2518,0)</f>
        <v>0</v>
      </c>
    </row>
    <row r="2519" spans="1:13" ht="15" customHeight="1">
      <c r="A2519" s="1">
        <v>41</v>
      </c>
      <c r="B2519" s="1" t="s">
        <v>16</v>
      </c>
      <c r="C2519" s="2" t="s">
        <v>2913</v>
      </c>
      <c r="D2519" s="2" t="s">
        <v>2926</v>
      </c>
      <c r="E2519" s="1">
        <v>1</v>
      </c>
      <c r="F2519" s="2" t="s">
        <v>2928</v>
      </c>
      <c r="G2519" s="1">
        <v>2</v>
      </c>
      <c r="H2519" s="1" t="str">
        <f t="shared" si="40"/>
        <v>k41_2</v>
      </c>
      <c r="K2519" s="1">
        <f>IF(E2519=0,SUMPRODUCT(($A$2:$A$4734=A2519)*($B$2:$B$4734=B2519)*($D$2:$D$4734=D2519)*($E$2:$E$4734=0)),0)</f>
        <v>0</v>
      </c>
      <c r="L2519" s="1" t="str">
        <f>IF(E2519=0,SUMPRODUCT(MIN($K$2:$K$4734+((($A$2:$A$4734&lt;&gt;A2519)+($E$2:$E$4734&lt;&gt;0))&gt;0)*1000000)),"")</f>
        <v/>
      </c>
      <c r="M2519" s="1">
        <f>IF(AND(E2519=0,COUNTIFS($A$2:A2519,A2519,$E$2:E2519,0)=1),L2519,0)</f>
        <v>0</v>
      </c>
    </row>
    <row r="2520" spans="1:13" ht="15" customHeight="1">
      <c r="A2520" s="1">
        <v>41</v>
      </c>
      <c r="B2520" s="1" t="s">
        <v>16</v>
      </c>
      <c r="C2520" s="2" t="s">
        <v>2913</v>
      </c>
      <c r="D2520" s="2" t="s">
        <v>2926</v>
      </c>
      <c r="E2520" s="1">
        <v>1</v>
      </c>
      <c r="F2520" s="2" t="s">
        <v>2929</v>
      </c>
      <c r="G2520" s="1">
        <v>3</v>
      </c>
      <c r="H2520" s="1" t="str">
        <f t="shared" si="40"/>
        <v>k41_3</v>
      </c>
      <c r="K2520" s="1">
        <f>IF(E2520=0,SUMPRODUCT(($A$2:$A$4734=A2520)*($B$2:$B$4734=B2520)*($D$2:$D$4734=D2520)*($E$2:$E$4734=0)),0)</f>
        <v>0</v>
      </c>
      <c r="L2520" s="1" t="str">
        <f>IF(E2520=0,SUMPRODUCT(MIN($K$2:$K$4734+((($A$2:$A$4734&lt;&gt;A2520)+($E$2:$E$4734&lt;&gt;0))&gt;0)*1000000)),"")</f>
        <v/>
      </c>
      <c r="M2520" s="1">
        <f>IF(AND(E2520=0,COUNTIFS($A$2:A2520,A2520,$E$2:E2520,0)=1),L2520,0)</f>
        <v>0</v>
      </c>
    </row>
    <row r="2521" spans="1:13" ht="15" customHeight="1">
      <c r="A2521" s="1">
        <v>41</v>
      </c>
      <c r="B2521" s="1" t="s">
        <v>16</v>
      </c>
      <c r="C2521" s="2" t="s">
        <v>2913</v>
      </c>
      <c r="D2521" s="2" t="s">
        <v>2926</v>
      </c>
      <c r="E2521" s="1">
        <v>1</v>
      </c>
      <c r="F2521" s="2" t="s">
        <v>2930</v>
      </c>
      <c r="G2521" s="1">
        <v>4</v>
      </c>
      <c r="H2521" s="1" t="str">
        <f t="shared" si="40"/>
        <v>k41_4</v>
      </c>
      <c r="K2521" s="1">
        <f>IF(E2521=0,SUMPRODUCT(($A$2:$A$4734=A2521)*($B$2:$B$4734=B2521)*($D$2:$D$4734=D2521)*($E$2:$E$4734=0)),0)</f>
        <v>0</v>
      </c>
      <c r="L2521" s="1" t="str">
        <f>IF(E2521=0,SUMPRODUCT(MIN($K$2:$K$4734+((($A$2:$A$4734&lt;&gt;A2521)+($E$2:$E$4734&lt;&gt;0))&gt;0)*1000000)),"")</f>
        <v/>
      </c>
      <c r="M2521" s="1">
        <f>IF(AND(E2521=0,COUNTIFS($A$2:A2521,A2521,$E$2:E2521,0)=1),L2521,0)</f>
        <v>0</v>
      </c>
    </row>
    <row r="2522" spans="1:13" ht="15" customHeight="1">
      <c r="A2522" s="1">
        <v>41</v>
      </c>
      <c r="B2522" s="1" t="s">
        <v>16</v>
      </c>
      <c r="C2522" s="2" t="s">
        <v>2913</v>
      </c>
      <c r="D2522" s="2" t="s">
        <v>2926</v>
      </c>
      <c r="E2522" s="1">
        <v>1</v>
      </c>
      <c r="F2522" s="2" t="s">
        <v>2931</v>
      </c>
      <c r="G2522" s="1">
        <v>5</v>
      </c>
      <c r="H2522" s="1" t="str">
        <f t="shared" si="40"/>
        <v>k41_5</v>
      </c>
      <c r="K2522" s="1">
        <f>IF(E2522=0,SUMPRODUCT(($A$2:$A$4734=A2522)*($B$2:$B$4734=B2522)*($D$2:$D$4734=D2522)*($E$2:$E$4734=0)),0)</f>
        <v>0</v>
      </c>
      <c r="L2522" s="1" t="str">
        <f>IF(E2522=0,SUMPRODUCT(MIN($K$2:$K$4734+((($A$2:$A$4734&lt;&gt;A2522)+($E$2:$E$4734&lt;&gt;0))&gt;0)*1000000)),"")</f>
        <v/>
      </c>
      <c r="M2522" s="1">
        <f>IF(AND(E2522=0,COUNTIFS($A$2:A2522,A2522,$E$2:E2522,0)=1),L2522,0)</f>
        <v>0</v>
      </c>
    </row>
    <row r="2523" spans="1:13" ht="15" customHeight="1">
      <c r="A2523" s="1">
        <v>41</v>
      </c>
      <c r="B2523" s="1" t="s">
        <v>69</v>
      </c>
      <c r="C2523" s="2" t="s">
        <v>2913</v>
      </c>
      <c r="D2523" s="2" t="s">
        <v>2932</v>
      </c>
      <c r="E2523" s="1">
        <v>1</v>
      </c>
      <c r="F2523" s="2" t="s">
        <v>2933</v>
      </c>
      <c r="G2523" s="1">
        <v>1</v>
      </c>
      <c r="H2523" s="1" t="str">
        <f t="shared" si="40"/>
        <v>k41_1</v>
      </c>
      <c r="K2523" s="1">
        <f>IF(E2523=0,SUMPRODUCT(($A$2:$A$4734=A2523)*($B$2:$B$4734=B2523)*($D$2:$D$4734=D2523)*($E$2:$E$4734=0)),0)</f>
        <v>0</v>
      </c>
      <c r="L2523" s="1" t="str">
        <f>IF(E2523=0,SUMPRODUCT(MIN($K$2:$K$4734+((($A$2:$A$4734&lt;&gt;A2523)+($E$2:$E$4734&lt;&gt;0))&gt;0)*1000000)),"")</f>
        <v/>
      </c>
      <c r="M2523" s="1">
        <f>IF(AND(E2523=0,COUNTIFS($A$2:A2523,A2523,$E$2:E2523,0)=1),L2523,0)</f>
        <v>0</v>
      </c>
    </row>
    <row r="2524" spans="1:13" ht="15" customHeight="1">
      <c r="A2524" s="1">
        <v>41</v>
      </c>
      <c r="B2524" s="1" t="s">
        <v>69</v>
      </c>
      <c r="C2524" s="2" t="s">
        <v>2913</v>
      </c>
      <c r="D2524" s="2" t="s">
        <v>2932</v>
      </c>
      <c r="E2524" s="1">
        <v>1</v>
      </c>
      <c r="F2524" s="2" t="s">
        <v>2934</v>
      </c>
      <c r="G2524" s="1">
        <v>2</v>
      </c>
      <c r="H2524" s="1" t="str">
        <f t="shared" si="40"/>
        <v>k41_2</v>
      </c>
      <c r="K2524" s="1">
        <f>IF(E2524=0,SUMPRODUCT(($A$2:$A$4734=A2524)*($B$2:$B$4734=B2524)*($D$2:$D$4734=D2524)*($E$2:$E$4734=0)),0)</f>
        <v>0</v>
      </c>
      <c r="L2524" s="1" t="str">
        <f>IF(E2524=0,SUMPRODUCT(MIN($K$2:$K$4734+((($A$2:$A$4734&lt;&gt;A2524)+($E$2:$E$4734&lt;&gt;0))&gt;0)*1000000)),"")</f>
        <v/>
      </c>
      <c r="M2524" s="1">
        <f>IF(AND(E2524=0,COUNTIFS($A$2:A2524,A2524,$E$2:E2524,0)=1),L2524,0)</f>
        <v>0</v>
      </c>
    </row>
    <row r="2525" spans="1:13" ht="15" customHeight="1">
      <c r="A2525" s="1">
        <v>41</v>
      </c>
      <c r="B2525" s="1" t="s">
        <v>69</v>
      </c>
      <c r="C2525" s="2" t="s">
        <v>2913</v>
      </c>
      <c r="D2525" s="2" t="s">
        <v>2932</v>
      </c>
      <c r="E2525" s="1">
        <v>1</v>
      </c>
      <c r="F2525" s="2" t="s">
        <v>2935</v>
      </c>
      <c r="G2525" s="1">
        <v>3</v>
      </c>
      <c r="H2525" s="1" t="str">
        <f t="shared" si="40"/>
        <v>k41_3</v>
      </c>
      <c r="K2525" s="1">
        <f>IF(E2525=0,SUMPRODUCT(($A$2:$A$4734=A2525)*($B$2:$B$4734=B2525)*($D$2:$D$4734=D2525)*($E$2:$E$4734=0)),0)</f>
        <v>0</v>
      </c>
      <c r="L2525" s="1" t="str">
        <f>IF(E2525=0,SUMPRODUCT(MIN($K$2:$K$4734+((($A$2:$A$4734&lt;&gt;A2525)+($E$2:$E$4734&lt;&gt;0))&gt;0)*1000000)),"")</f>
        <v/>
      </c>
      <c r="M2525" s="1">
        <f>IF(AND(E2525=0,COUNTIFS($A$2:A2525,A2525,$E$2:E2525,0)=1),L2525,0)</f>
        <v>0</v>
      </c>
    </row>
    <row r="2526" spans="1:13" ht="15" customHeight="1">
      <c r="A2526" s="1">
        <v>41</v>
      </c>
      <c r="B2526" s="1" t="s">
        <v>69</v>
      </c>
      <c r="C2526" s="2" t="s">
        <v>2913</v>
      </c>
      <c r="D2526" s="2" t="s">
        <v>2932</v>
      </c>
      <c r="E2526" s="1">
        <v>1</v>
      </c>
      <c r="F2526" s="2" t="s">
        <v>2936</v>
      </c>
      <c r="G2526" s="1">
        <v>4</v>
      </c>
      <c r="H2526" s="1" t="str">
        <f t="shared" si="40"/>
        <v>k41_4</v>
      </c>
      <c r="K2526" s="1">
        <f>IF(E2526=0,SUMPRODUCT(($A$2:$A$4734=A2526)*($B$2:$B$4734=B2526)*($D$2:$D$4734=D2526)*($E$2:$E$4734=0)),0)</f>
        <v>0</v>
      </c>
      <c r="L2526" s="1" t="str">
        <f>IF(E2526=0,SUMPRODUCT(MIN($K$2:$K$4734+((($A$2:$A$4734&lt;&gt;A2526)+($E$2:$E$4734&lt;&gt;0))&gt;0)*1000000)),"")</f>
        <v/>
      </c>
      <c r="M2526" s="1">
        <f>IF(AND(E2526=0,COUNTIFS($A$2:A2526,A2526,$E$2:E2526,0)=1),L2526,0)</f>
        <v>0</v>
      </c>
    </row>
    <row r="2527" spans="1:13" ht="15" customHeight="1">
      <c r="A2527" s="1">
        <v>41</v>
      </c>
      <c r="B2527" s="1" t="s">
        <v>69</v>
      </c>
      <c r="C2527" s="2" t="s">
        <v>2913</v>
      </c>
      <c r="D2527" s="2" t="s">
        <v>2932</v>
      </c>
      <c r="E2527" s="1">
        <v>1</v>
      </c>
      <c r="F2527" s="2" t="s">
        <v>2937</v>
      </c>
      <c r="G2527" s="1">
        <v>5</v>
      </c>
      <c r="H2527" s="1" t="str">
        <f t="shared" si="40"/>
        <v>k41_5</v>
      </c>
      <c r="K2527" s="1">
        <f>IF(E2527=0,SUMPRODUCT(($A$2:$A$4734=A2527)*($B$2:$B$4734=B2527)*($D$2:$D$4734=D2527)*($E$2:$E$4734=0)),0)</f>
        <v>0</v>
      </c>
      <c r="L2527" s="1" t="str">
        <f>IF(E2527=0,SUMPRODUCT(MIN($K$2:$K$4734+((($A$2:$A$4734&lt;&gt;A2527)+($E$2:$E$4734&lt;&gt;0))&gt;0)*1000000)),"")</f>
        <v/>
      </c>
      <c r="M2527" s="1">
        <f>IF(AND(E2527=0,COUNTIFS($A$2:A2527,A2527,$E$2:E2527,0)=1),L2527,0)</f>
        <v>0</v>
      </c>
    </row>
    <row r="2528" spans="1:13" ht="15" customHeight="1">
      <c r="A2528" s="1">
        <v>42</v>
      </c>
      <c r="B2528" s="1" t="s">
        <v>2938</v>
      </c>
      <c r="C2528" s="2" t="s">
        <v>2939</v>
      </c>
      <c r="D2528" s="2" t="s">
        <v>2940</v>
      </c>
      <c r="E2528" s="1">
        <v>1</v>
      </c>
      <c r="F2528" s="2" t="s">
        <v>2941</v>
      </c>
      <c r="G2528" s="1">
        <v>1</v>
      </c>
      <c r="H2528" s="1" t="str">
        <f t="shared" si="40"/>
        <v>k42_1</v>
      </c>
      <c r="K2528" s="1">
        <f>IF(E2528=0,SUMPRODUCT(($A$2:$A$4734=A2528)*($B$2:$B$4734=B2528)*($D$2:$D$4734=D2528)*($E$2:$E$4734=0)),0)</f>
        <v>0</v>
      </c>
      <c r="L2528" s="1" t="str">
        <f>IF(E2528=0,SUMPRODUCT(MIN($K$2:$K$4734+((($A$2:$A$4734&lt;&gt;A2528)+($E$2:$E$4734&lt;&gt;0))&gt;0)*1000000)),"")</f>
        <v/>
      </c>
      <c r="M2528" s="1">
        <f>IF(AND(E2528=0,COUNTIFS($A$2:A2528,A2528,$E$2:E2528,0)=1),L2528,0)</f>
        <v>0</v>
      </c>
    </row>
    <row r="2529" spans="1:13" ht="15" customHeight="1">
      <c r="A2529" s="1">
        <v>42</v>
      </c>
      <c r="B2529" s="1" t="s">
        <v>2938</v>
      </c>
      <c r="C2529" s="2" t="s">
        <v>2939</v>
      </c>
      <c r="D2529" s="2" t="s">
        <v>2940</v>
      </c>
      <c r="E2529" s="1">
        <v>1</v>
      </c>
      <c r="F2529" s="2" t="s">
        <v>2942</v>
      </c>
      <c r="G2529" s="1">
        <v>2</v>
      </c>
      <c r="H2529" s="1" t="str">
        <f t="shared" si="40"/>
        <v>k42_2</v>
      </c>
      <c r="K2529" s="1">
        <f>IF(E2529=0,SUMPRODUCT(($A$2:$A$4734=A2529)*($B$2:$B$4734=B2529)*($D$2:$D$4734=D2529)*($E$2:$E$4734=0)),0)</f>
        <v>0</v>
      </c>
      <c r="L2529" s="1" t="str">
        <f>IF(E2529=0,SUMPRODUCT(MIN($K$2:$K$4734+((($A$2:$A$4734&lt;&gt;A2529)+($E$2:$E$4734&lt;&gt;0))&gt;0)*1000000)),"")</f>
        <v/>
      </c>
      <c r="M2529" s="1">
        <f>IF(AND(E2529=0,COUNTIFS($A$2:A2529,A2529,$E$2:E2529,0)=1),L2529,0)</f>
        <v>0</v>
      </c>
    </row>
    <row r="2530" spans="1:13" ht="15" customHeight="1">
      <c r="A2530" s="1">
        <v>42</v>
      </c>
      <c r="B2530" s="1" t="s">
        <v>2938</v>
      </c>
      <c r="C2530" s="2" t="s">
        <v>2939</v>
      </c>
      <c r="D2530" s="2" t="s">
        <v>2940</v>
      </c>
      <c r="E2530" s="1">
        <v>1</v>
      </c>
      <c r="F2530" s="2" t="s">
        <v>2943</v>
      </c>
      <c r="G2530" s="1">
        <v>3</v>
      </c>
      <c r="H2530" s="1" t="str">
        <f t="shared" si="40"/>
        <v>k42_3</v>
      </c>
      <c r="K2530" s="1">
        <f>IF(E2530=0,SUMPRODUCT(($A$2:$A$4734=A2530)*($B$2:$B$4734=B2530)*($D$2:$D$4734=D2530)*($E$2:$E$4734=0)),0)</f>
        <v>0</v>
      </c>
      <c r="L2530" s="1" t="str">
        <f>IF(E2530=0,SUMPRODUCT(MIN($K$2:$K$4734+((($A$2:$A$4734&lt;&gt;A2530)+($E$2:$E$4734&lt;&gt;0))&gt;0)*1000000)),"")</f>
        <v/>
      </c>
      <c r="M2530" s="1">
        <f>IF(AND(E2530=0,COUNTIFS($A$2:A2530,A2530,$E$2:E2530,0)=1),L2530,0)</f>
        <v>0</v>
      </c>
    </row>
    <row r="2531" spans="1:13" ht="15" customHeight="1">
      <c r="A2531" s="1">
        <v>42</v>
      </c>
      <c r="B2531" s="1" t="s">
        <v>2938</v>
      </c>
      <c r="C2531" s="2" t="s">
        <v>2939</v>
      </c>
      <c r="D2531" s="2" t="s">
        <v>2940</v>
      </c>
      <c r="E2531" s="1">
        <v>1</v>
      </c>
      <c r="F2531" s="2" t="s">
        <v>2944</v>
      </c>
      <c r="G2531" s="1">
        <v>4</v>
      </c>
      <c r="H2531" s="1" t="str">
        <f t="shared" si="40"/>
        <v>k42_4</v>
      </c>
      <c r="K2531" s="1">
        <f>IF(E2531=0,SUMPRODUCT(($A$2:$A$4734=A2531)*($B$2:$B$4734=B2531)*($D$2:$D$4734=D2531)*($E$2:$E$4734=0)),0)</f>
        <v>0</v>
      </c>
      <c r="L2531" s="1" t="str">
        <f>IF(E2531=0,SUMPRODUCT(MIN($K$2:$K$4734+((($A$2:$A$4734&lt;&gt;A2531)+($E$2:$E$4734&lt;&gt;0))&gt;0)*1000000)),"")</f>
        <v/>
      </c>
      <c r="M2531" s="1">
        <f>IF(AND(E2531=0,COUNTIFS($A$2:A2531,A2531,$E$2:E2531,0)=1),L2531,0)</f>
        <v>0</v>
      </c>
    </row>
    <row r="2532" spans="1:13" ht="15" customHeight="1">
      <c r="A2532" s="1">
        <v>42</v>
      </c>
      <c r="B2532" s="1" t="s">
        <v>2938</v>
      </c>
      <c r="C2532" s="2" t="s">
        <v>2939</v>
      </c>
      <c r="D2532" s="2" t="s">
        <v>2940</v>
      </c>
      <c r="E2532" s="1">
        <v>1</v>
      </c>
      <c r="F2532" s="2" t="s">
        <v>2945</v>
      </c>
      <c r="G2532" s="1">
        <v>5</v>
      </c>
      <c r="H2532" s="1" t="str">
        <f t="shared" si="40"/>
        <v>k42_5</v>
      </c>
      <c r="K2532" s="1">
        <f>IF(E2532=0,SUMPRODUCT(($A$2:$A$4734=A2532)*($B$2:$B$4734=B2532)*($D$2:$D$4734=D2532)*($E$2:$E$4734=0)),0)</f>
        <v>0</v>
      </c>
      <c r="L2532" s="1" t="str">
        <f>IF(E2532=0,SUMPRODUCT(MIN($K$2:$K$4734+((($A$2:$A$4734&lt;&gt;A2532)+($E$2:$E$4734&lt;&gt;0))&gt;0)*1000000)),"")</f>
        <v/>
      </c>
      <c r="M2532" s="1">
        <f>IF(AND(E2532=0,COUNTIFS($A$2:A2532,A2532,$E$2:E2532,0)=1),L2532,0)</f>
        <v>0</v>
      </c>
    </row>
    <row r="2533" spans="1:13" ht="15" customHeight="1">
      <c r="A2533" s="1">
        <v>42</v>
      </c>
      <c r="B2533" s="1" t="s">
        <v>9</v>
      </c>
      <c r="C2533" s="2" t="s">
        <v>2939</v>
      </c>
      <c r="D2533" s="2" t="s">
        <v>2791</v>
      </c>
      <c r="E2533" s="1">
        <v>1</v>
      </c>
      <c r="F2533" s="2" t="s">
        <v>2946</v>
      </c>
      <c r="G2533" s="1">
        <v>1</v>
      </c>
      <c r="H2533" s="1" t="str">
        <f t="shared" si="40"/>
        <v>k42_1</v>
      </c>
      <c r="K2533" s="1">
        <f>IF(E2533=0,SUMPRODUCT(($A$2:$A$4734=A2533)*($B$2:$B$4734=B2533)*($D$2:$D$4734=D2533)*($E$2:$E$4734=0)),0)</f>
        <v>0</v>
      </c>
      <c r="L2533" s="1" t="str">
        <f>IF(E2533=0,SUMPRODUCT(MIN($K$2:$K$4734+((($A$2:$A$4734&lt;&gt;A2533)+($E$2:$E$4734&lt;&gt;0))&gt;0)*1000000)),"")</f>
        <v/>
      </c>
      <c r="M2533" s="1">
        <f>IF(AND(E2533=0,COUNTIFS($A$2:A2533,A2533,$E$2:E2533,0)=1),L2533,0)</f>
        <v>0</v>
      </c>
    </row>
    <row r="2534" spans="1:13" ht="15" customHeight="1">
      <c r="A2534" s="1">
        <v>42</v>
      </c>
      <c r="B2534" s="1" t="s">
        <v>9</v>
      </c>
      <c r="C2534" s="2" t="s">
        <v>2939</v>
      </c>
      <c r="D2534" s="2" t="s">
        <v>2791</v>
      </c>
      <c r="E2534" s="1">
        <v>1</v>
      </c>
      <c r="F2534" s="2" t="s">
        <v>63</v>
      </c>
      <c r="G2534" s="1">
        <v>2</v>
      </c>
      <c r="H2534" s="1" t="str">
        <f t="shared" si="40"/>
        <v>k42_2</v>
      </c>
      <c r="K2534" s="1">
        <f>IF(E2534=0,SUMPRODUCT(($A$2:$A$4734=A2534)*($B$2:$B$4734=B2534)*($D$2:$D$4734=D2534)*($E$2:$E$4734=0)),0)</f>
        <v>0</v>
      </c>
      <c r="L2534" s="1" t="str">
        <f>IF(E2534=0,SUMPRODUCT(MIN($K$2:$K$4734+((($A$2:$A$4734&lt;&gt;A2534)+($E$2:$E$4734&lt;&gt;0))&gt;0)*1000000)),"")</f>
        <v/>
      </c>
      <c r="M2534" s="1">
        <f>IF(AND(E2534=0,COUNTIFS($A$2:A2534,A2534,$E$2:E2534,0)=1),L2534,0)</f>
        <v>0</v>
      </c>
    </row>
    <row r="2535" spans="1:13" ht="15" customHeight="1">
      <c r="A2535" s="1">
        <v>42</v>
      </c>
      <c r="B2535" s="1" t="s">
        <v>9</v>
      </c>
      <c r="C2535" s="2" t="s">
        <v>2939</v>
      </c>
      <c r="D2535" s="2" t="s">
        <v>2791</v>
      </c>
      <c r="E2535" s="1">
        <v>1</v>
      </c>
      <c r="F2535" s="2" t="s">
        <v>2947</v>
      </c>
      <c r="G2535" s="1">
        <v>3</v>
      </c>
      <c r="H2535" s="1" t="str">
        <f t="shared" si="40"/>
        <v>k42_3</v>
      </c>
      <c r="K2535" s="1">
        <f>IF(E2535=0,SUMPRODUCT(($A$2:$A$4734=A2535)*($B$2:$B$4734=B2535)*($D$2:$D$4734=D2535)*($E$2:$E$4734=0)),0)</f>
        <v>0</v>
      </c>
      <c r="L2535" s="1" t="str">
        <f>IF(E2535=0,SUMPRODUCT(MIN($K$2:$K$4734+((($A$2:$A$4734&lt;&gt;A2535)+($E$2:$E$4734&lt;&gt;0))&gt;0)*1000000)),"")</f>
        <v/>
      </c>
      <c r="M2535" s="1">
        <f>IF(AND(E2535=0,COUNTIFS($A$2:A2535,A2535,$E$2:E2535,0)=1),L2535,0)</f>
        <v>0</v>
      </c>
    </row>
    <row r="2536" spans="1:13" ht="15" customHeight="1">
      <c r="A2536" s="1">
        <v>42</v>
      </c>
      <c r="B2536" s="1" t="s">
        <v>9</v>
      </c>
      <c r="C2536" s="2" t="s">
        <v>2939</v>
      </c>
      <c r="D2536" s="2" t="s">
        <v>2791</v>
      </c>
      <c r="E2536" s="1">
        <v>1</v>
      </c>
      <c r="F2536" s="2" t="s">
        <v>65</v>
      </c>
      <c r="G2536" s="1">
        <v>4</v>
      </c>
      <c r="H2536" s="1" t="str">
        <f t="shared" si="40"/>
        <v>k42_4</v>
      </c>
      <c r="K2536" s="1">
        <f>IF(E2536=0,SUMPRODUCT(($A$2:$A$4734=A2536)*($B$2:$B$4734=B2536)*($D$2:$D$4734=D2536)*($E$2:$E$4734=0)),0)</f>
        <v>0</v>
      </c>
      <c r="L2536" s="1" t="str">
        <f>IF(E2536=0,SUMPRODUCT(MIN($K$2:$K$4734+((($A$2:$A$4734&lt;&gt;A2536)+($E$2:$E$4734&lt;&gt;0))&gt;0)*1000000)),"")</f>
        <v/>
      </c>
      <c r="M2536" s="1">
        <f>IF(AND(E2536=0,COUNTIFS($A$2:A2536,A2536,$E$2:E2536,0)=1),L2536,0)</f>
        <v>0</v>
      </c>
    </row>
    <row r="2537" spans="1:13" ht="15" customHeight="1">
      <c r="A2537" s="1">
        <v>42</v>
      </c>
      <c r="B2537" s="1" t="s">
        <v>9</v>
      </c>
      <c r="C2537" s="2" t="s">
        <v>2939</v>
      </c>
      <c r="D2537" s="2" t="s">
        <v>2791</v>
      </c>
      <c r="E2537" s="1">
        <v>1</v>
      </c>
      <c r="F2537" s="2" t="s">
        <v>65</v>
      </c>
      <c r="G2537" s="1">
        <v>5</v>
      </c>
      <c r="H2537" s="1" t="str">
        <f t="shared" si="40"/>
        <v>k42_5</v>
      </c>
      <c r="K2537" s="1">
        <f>IF(E2537=0,SUMPRODUCT(($A$2:$A$4734=A2537)*($B$2:$B$4734=B2537)*($D$2:$D$4734=D2537)*($E$2:$E$4734=0)),0)</f>
        <v>0</v>
      </c>
      <c r="L2537" s="1" t="str">
        <f>IF(E2537=0,SUMPRODUCT(MIN($K$2:$K$4734+((($A$2:$A$4734&lt;&gt;A2537)+($E$2:$E$4734&lt;&gt;0))&gt;0)*1000000)),"")</f>
        <v/>
      </c>
      <c r="M2537" s="1">
        <f>IF(AND(E2537=0,COUNTIFS($A$2:A2537,A2537,$E$2:E2537,0)=1),L2537,0)</f>
        <v>0</v>
      </c>
    </row>
    <row r="2538" spans="1:13" ht="15" customHeight="1">
      <c r="A2538" s="1">
        <v>42</v>
      </c>
      <c r="B2538" s="1" t="s">
        <v>16</v>
      </c>
      <c r="C2538" s="2" t="s">
        <v>2939</v>
      </c>
      <c r="D2538" s="2" t="s">
        <v>2948</v>
      </c>
      <c r="E2538" s="1">
        <v>1</v>
      </c>
      <c r="F2538" s="2" t="s">
        <v>2949</v>
      </c>
      <c r="G2538" s="1">
        <v>1</v>
      </c>
      <c r="H2538" s="1" t="str">
        <f t="shared" si="40"/>
        <v>k42_1</v>
      </c>
      <c r="K2538" s="1">
        <f>IF(E2538=0,SUMPRODUCT(($A$2:$A$4734=A2538)*($B$2:$B$4734=B2538)*($D$2:$D$4734=D2538)*($E$2:$E$4734=0)),0)</f>
        <v>0</v>
      </c>
      <c r="L2538" s="1" t="str">
        <f>IF(E2538=0,SUMPRODUCT(MIN($K$2:$K$4734+((($A$2:$A$4734&lt;&gt;A2538)+($E$2:$E$4734&lt;&gt;0))&gt;0)*1000000)),"")</f>
        <v/>
      </c>
      <c r="M2538" s="1">
        <f>IF(AND(E2538=0,COUNTIFS($A$2:A2538,A2538,$E$2:E2538,0)=1),L2538,0)</f>
        <v>0</v>
      </c>
    </row>
    <row r="2539" spans="1:13" ht="15" customHeight="1">
      <c r="A2539" s="1">
        <v>42</v>
      </c>
      <c r="B2539" s="1" t="s">
        <v>16</v>
      </c>
      <c r="C2539" s="2" t="s">
        <v>2939</v>
      </c>
      <c r="D2539" s="2" t="s">
        <v>2948</v>
      </c>
      <c r="E2539" s="1">
        <v>1</v>
      </c>
      <c r="F2539" s="2" t="s">
        <v>2950</v>
      </c>
      <c r="G2539" s="1">
        <v>2</v>
      </c>
      <c r="H2539" s="1" t="str">
        <f t="shared" si="40"/>
        <v>k42_2</v>
      </c>
      <c r="K2539" s="1">
        <f>IF(E2539=0,SUMPRODUCT(($A$2:$A$4734=A2539)*($B$2:$B$4734=B2539)*($D$2:$D$4734=D2539)*($E$2:$E$4734=0)),0)</f>
        <v>0</v>
      </c>
      <c r="L2539" s="1" t="str">
        <f>IF(E2539=0,SUMPRODUCT(MIN($K$2:$K$4734+((($A$2:$A$4734&lt;&gt;A2539)+($E$2:$E$4734&lt;&gt;0))&gt;0)*1000000)),"")</f>
        <v/>
      </c>
      <c r="M2539" s="1">
        <f>IF(AND(E2539=0,COUNTIFS($A$2:A2539,A2539,$E$2:E2539,0)=1),L2539,0)</f>
        <v>0</v>
      </c>
    </row>
    <row r="2540" spans="1:13" ht="15" customHeight="1">
      <c r="A2540" s="1">
        <v>42</v>
      </c>
      <c r="B2540" s="1" t="s">
        <v>16</v>
      </c>
      <c r="C2540" s="2" t="s">
        <v>2939</v>
      </c>
      <c r="D2540" s="2" t="s">
        <v>2948</v>
      </c>
      <c r="E2540" s="1">
        <v>1</v>
      </c>
      <c r="F2540" s="2" t="s">
        <v>2951</v>
      </c>
      <c r="G2540" s="1">
        <v>3</v>
      </c>
      <c r="H2540" s="1" t="str">
        <f t="shared" si="40"/>
        <v>k42_3</v>
      </c>
      <c r="K2540" s="1">
        <f>IF(E2540=0,SUMPRODUCT(($A$2:$A$4734=A2540)*($B$2:$B$4734=B2540)*($D$2:$D$4734=D2540)*($E$2:$E$4734=0)),0)</f>
        <v>0</v>
      </c>
      <c r="L2540" s="1" t="str">
        <f>IF(E2540=0,SUMPRODUCT(MIN($K$2:$K$4734+((($A$2:$A$4734&lt;&gt;A2540)+($E$2:$E$4734&lt;&gt;0))&gt;0)*1000000)),"")</f>
        <v/>
      </c>
      <c r="M2540" s="1">
        <f>IF(AND(E2540=0,COUNTIFS($A$2:A2540,A2540,$E$2:E2540,0)=1),L2540,0)</f>
        <v>0</v>
      </c>
    </row>
    <row r="2541" spans="1:13" ht="15" customHeight="1">
      <c r="A2541" s="1">
        <v>42</v>
      </c>
      <c r="B2541" s="1" t="s">
        <v>16</v>
      </c>
      <c r="C2541" s="2" t="s">
        <v>2939</v>
      </c>
      <c r="D2541" s="2" t="s">
        <v>2948</v>
      </c>
      <c r="E2541" s="1">
        <v>1</v>
      </c>
      <c r="F2541" s="2" t="s">
        <v>2952</v>
      </c>
      <c r="G2541" s="1">
        <v>4</v>
      </c>
      <c r="H2541" s="1" t="str">
        <f t="shared" si="40"/>
        <v>k42_4</v>
      </c>
      <c r="K2541" s="1">
        <f>IF(E2541=0,SUMPRODUCT(($A$2:$A$4734=A2541)*($B$2:$B$4734=B2541)*($D$2:$D$4734=D2541)*($E$2:$E$4734=0)),0)</f>
        <v>0</v>
      </c>
      <c r="L2541" s="1" t="str">
        <f>IF(E2541=0,SUMPRODUCT(MIN($K$2:$K$4734+((($A$2:$A$4734&lt;&gt;A2541)+($E$2:$E$4734&lt;&gt;0))&gt;0)*1000000)),"")</f>
        <v/>
      </c>
      <c r="M2541" s="1">
        <f>IF(AND(E2541=0,COUNTIFS($A$2:A2541,A2541,$E$2:E2541,0)=1),L2541,0)</f>
        <v>0</v>
      </c>
    </row>
    <row r="2542" spans="1:13" ht="15" customHeight="1">
      <c r="A2542" s="1">
        <v>42</v>
      </c>
      <c r="B2542" s="1" t="s">
        <v>16</v>
      </c>
      <c r="C2542" s="2" t="s">
        <v>2939</v>
      </c>
      <c r="D2542" s="2" t="s">
        <v>2948</v>
      </c>
      <c r="E2542" s="1">
        <v>1</v>
      </c>
      <c r="F2542" s="2" t="s">
        <v>2953</v>
      </c>
      <c r="G2542" s="1">
        <v>5</v>
      </c>
      <c r="H2542" s="1" t="str">
        <f t="shared" si="40"/>
        <v>k42_5</v>
      </c>
      <c r="K2542" s="1">
        <f>IF(E2542=0,SUMPRODUCT(($A$2:$A$4734=A2542)*($B$2:$B$4734=B2542)*($D$2:$D$4734=D2542)*($E$2:$E$4734=0)),0)</f>
        <v>0</v>
      </c>
      <c r="L2542" s="1" t="str">
        <f>IF(E2542=0,SUMPRODUCT(MIN($K$2:$K$4734+((($A$2:$A$4734&lt;&gt;A2542)+($E$2:$E$4734&lt;&gt;0))&gt;0)*1000000)),"")</f>
        <v/>
      </c>
      <c r="M2542" s="1">
        <f>IF(AND(E2542=0,COUNTIFS($A$2:A2542,A2542,$E$2:E2542,0)=1),L2542,0)</f>
        <v>0</v>
      </c>
    </row>
    <row r="2543" spans="1:13" ht="15" customHeight="1">
      <c r="A2543" s="1">
        <v>43</v>
      </c>
      <c r="B2543" s="1" t="s">
        <v>9</v>
      </c>
      <c r="C2543" s="2" t="s">
        <v>2315</v>
      </c>
      <c r="D2543" s="2" t="s">
        <v>2316</v>
      </c>
      <c r="E2543" s="1">
        <v>0</v>
      </c>
      <c r="F2543" s="2" t="s">
        <v>2954</v>
      </c>
      <c r="H2543" s="1" t="str">
        <f t="shared" si="40"/>
        <v/>
      </c>
      <c r="K2543" s="1">
        <f>IF(E2543=0,SUMPRODUCT(($A$2:$A$4734=A2543)*($B$2:$B$4734=B2543)*($D$2:$D$4734=D2543)*($E$2:$E$4734=0)),0)</f>
        <v>4</v>
      </c>
      <c r="L2543" s="1">
        <f>IF(E2543=0,SUMPRODUCT(MIN($K$2:$K$4734+((($A$2:$A$4734&lt;&gt;A2543)+($E$2:$E$4734&lt;&gt;0))&gt;0)*1000000)),"")</f>
        <v>4</v>
      </c>
      <c r="M2543" s="1">
        <f>IF(AND(E2543=0,COUNTIFS($A$2:A2543,A2543,$E$2:E2543,0)=1),L2543,0)</f>
        <v>4</v>
      </c>
    </row>
    <row r="2544" spans="1:13" ht="15" customHeight="1">
      <c r="A2544" s="1">
        <v>43</v>
      </c>
      <c r="B2544" s="1" t="s">
        <v>9</v>
      </c>
      <c r="C2544" s="2" t="s">
        <v>2955</v>
      </c>
      <c r="D2544" s="2" t="s">
        <v>2316</v>
      </c>
      <c r="E2544" s="1">
        <v>0</v>
      </c>
      <c r="F2544" s="2" t="s">
        <v>2956</v>
      </c>
      <c r="H2544" s="1" t="str">
        <f t="shared" si="40"/>
        <v/>
      </c>
      <c r="K2544" s="1">
        <f>IF(E2544=0,SUMPRODUCT(($A$2:$A$4734=A2544)*($B$2:$B$4734=B2544)*($D$2:$D$4734=D2544)*($E$2:$E$4734=0)),0)</f>
        <v>4</v>
      </c>
      <c r="L2544" s="1">
        <f>IF(E2544=0,SUMPRODUCT(MIN($K$2:$K$4734+((($A$2:$A$4734&lt;&gt;A2544)+($E$2:$E$4734&lt;&gt;0))&gt;0)*1000000)),"")</f>
        <v>4</v>
      </c>
      <c r="M2544" s="1">
        <f>IF(AND(E2544=0,COUNTIFS($A$2:A2544,A2544,$E$2:E2544,0)=1),L2544,0)</f>
        <v>0</v>
      </c>
    </row>
    <row r="2545" spans="1:13" ht="15" customHeight="1">
      <c r="A2545" s="1">
        <v>43</v>
      </c>
      <c r="B2545" s="1" t="s">
        <v>9</v>
      </c>
      <c r="C2545" s="2" t="s">
        <v>2957</v>
      </c>
      <c r="D2545" s="2" t="s">
        <v>2316</v>
      </c>
      <c r="E2545" s="1">
        <v>0</v>
      </c>
      <c r="F2545" s="2" t="s">
        <v>2318</v>
      </c>
      <c r="H2545" s="1" t="str">
        <f t="shared" si="40"/>
        <v/>
      </c>
      <c r="K2545" s="1">
        <f>IF(E2545=0,SUMPRODUCT(($A$2:$A$4734=A2545)*($B$2:$B$4734=B2545)*($D$2:$D$4734=D2545)*($E$2:$E$4734=0)),0)</f>
        <v>4</v>
      </c>
      <c r="L2545" s="1">
        <f>IF(E2545=0,SUMPRODUCT(MIN($K$2:$K$4734+((($A$2:$A$4734&lt;&gt;A2545)+($E$2:$E$4734&lt;&gt;0))&gt;0)*1000000)),"")</f>
        <v>4</v>
      </c>
      <c r="M2545" s="1">
        <f>IF(AND(E2545=0,COUNTIFS($A$2:A2545,A2545,$E$2:E2545,0)=1),L2545,0)</f>
        <v>0</v>
      </c>
    </row>
    <row r="2546" spans="1:13" ht="15" customHeight="1">
      <c r="A2546" s="1">
        <v>43</v>
      </c>
      <c r="B2546" s="1" t="s">
        <v>9</v>
      </c>
      <c r="C2546" s="2" t="s">
        <v>2958</v>
      </c>
      <c r="D2546" s="2" t="s">
        <v>2316</v>
      </c>
      <c r="E2546" s="1">
        <v>0</v>
      </c>
      <c r="F2546" s="2" t="s">
        <v>2959</v>
      </c>
      <c r="H2546" s="1" t="str">
        <f t="shared" si="40"/>
        <v/>
      </c>
      <c r="K2546" s="1">
        <f>IF(E2546=0,SUMPRODUCT(($A$2:$A$4734=A2546)*($B$2:$B$4734=B2546)*($D$2:$D$4734=D2546)*($E$2:$E$4734=0)),0)</f>
        <v>4</v>
      </c>
      <c r="L2546" s="1">
        <f>IF(E2546=0,SUMPRODUCT(MIN($K$2:$K$4734+((($A$2:$A$4734&lt;&gt;A2546)+($E$2:$E$4734&lt;&gt;0))&gt;0)*1000000)),"")</f>
        <v>4</v>
      </c>
      <c r="M2546" s="1">
        <f>IF(AND(E2546=0,COUNTIFS($A$2:A2546,A2546,$E$2:E2546,0)=1),L2546,0)</f>
        <v>0</v>
      </c>
    </row>
    <row r="2547" spans="1:13" ht="15" customHeight="1">
      <c r="A2547" s="1">
        <v>44</v>
      </c>
      <c r="B2547" s="1" t="s">
        <v>358</v>
      </c>
      <c r="C2547" s="2" t="s">
        <v>2960</v>
      </c>
      <c r="D2547" s="2" t="s">
        <v>2961</v>
      </c>
      <c r="E2547" s="1">
        <v>1</v>
      </c>
      <c r="F2547" s="2" t="s">
        <v>2962</v>
      </c>
      <c r="G2547" s="1">
        <v>1</v>
      </c>
      <c r="H2547" s="1" t="str">
        <f t="shared" si="40"/>
        <v>k44_1</v>
      </c>
      <c r="K2547" s="1">
        <f>IF(E2547=0,SUMPRODUCT(($A$2:$A$4734=A2547)*($B$2:$B$4734=B2547)*($D$2:$D$4734=D2547)*($E$2:$E$4734=0)),0)</f>
        <v>0</v>
      </c>
      <c r="L2547" s="1" t="str">
        <f>IF(E2547=0,SUMPRODUCT(MIN($K$2:$K$4734+((($A$2:$A$4734&lt;&gt;A2547)+($E$2:$E$4734&lt;&gt;0))&gt;0)*1000000)),"")</f>
        <v/>
      </c>
      <c r="M2547" s="1">
        <f>IF(AND(E2547=0,COUNTIFS($A$2:A2547,A2547,$E$2:E2547,0)=1),L2547,0)</f>
        <v>0</v>
      </c>
    </row>
    <row r="2548" spans="1:13" ht="15" customHeight="1">
      <c r="A2548" s="1">
        <v>44</v>
      </c>
      <c r="B2548" s="1" t="s">
        <v>358</v>
      </c>
      <c r="C2548" s="2" t="s">
        <v>2963</v>
      </c>
      <c r="D2548" s="2" t="s">
        <v>2961</v>
      </c>
      <c r="E2548" s="1">
        <v>1</v>
      </c>
      <c r="F2548" s="2" t="s">
        <v>2964</v>
      </c>
      <c r="G2548" s="1">
        <v>2</v>
      </c>
      <c r="H2548" s="1" t="str">
        <f t="shared" si="40"/>
        <v>k44_2</v>
      </c>
      <c r="K2548" s="1">
        <f>IF(E2548=0,SUMPRODUCT(($A$2:$A$4734=A2548)*($B$2:$B$4734=B2548)*($D$2:$D$4734=D2548)*($E$2:$E$4734=0)),0)</f>
        <v>0</v>
      </c>
      <c r="L2548" s="1" t="str">
        <f>IF(E2548=0,SUMPRODUCT(MIN($K$2:$K$4734+((($A$2:$A$4734&lt;&gt;A2548)+($E$2:$E$4734&lt;&gt;0))&gt;0)*1000000)),"")</f>
        <v/>
      </c>
      <c r="M2548" s="1">
        <f>IF(AND(E2548=0,COUNTIFS($A$2:A2548,A2548,$E$2:E2548,0)=1),L2548,0)</f>
        <v>0</v>
      </c>
    </row>
    <row r="2549" spans="1:13" ht="15" customHeight="1">
      <c r="A2549" s="1">
        <v>44</v>
      </c>
      <c r="B2549" s="1" t="s">
        <v>358</v>
      </c>
      <c r="C2549" s="2" t="s">
        <v>2965</v>
      </c>
      <c r="D2549" s="2" t="s">
        <v>2961</v>
      </c>
      <c r="E2549" s="1">
        <v>1</v>
      </c>
      <c r="F2549" s="2" t="s">
        <v>2966</v>
      </c>
      <c r="G2549" s="1">
        <v>3</v>
      </c>
      <c r="H2549" s="1" t="str">
        <f t="shared" si="40"/>
        <v>k44_3</v>
      </c>
      <c r="K2549" s="1">
        <f>IF(E2549=0,SUMPRODUCT(($A$2:$A$4734=A2549)*($B$2:$B$4734=B2549)*($D$2:$D$4734=D2549)*($E$2:$E$4734=0)),0)</f>
        <v>0</v>
      </c>
      <c r="L2549" s="1" t="str">
        <f>IF(E2549=0,SUMPRODUCT(MIN($K$2:$K$4734+((($A$2:$A$4734&lt;&gt;A2549)+($E$2:$E$4734&lt;&gt;0))&gt;0)*1000000)),"")</f>
        <v/>
      </c>
      <c r="M2549" s="1">
        <f>IF(AND(E2549=0,COUNTIFS($A$2:A2549,A2549,$E$2:E2549,0)=1),L2549,0)</f>
        <v>0</v>
      </c>
    </row>
    <row r="2550" spans="1:13" ht="15" customHeight="1">
      <c r="A2550" s="1">
        <v>44</v>
      </c>
      <c r="B2550" s="1" t="s">
        <v>358</v>
      </c>
      <c r="C2550" s="2" t="s">
        <v>2967</v>
      </c>
      <c r="D2550" s="2" t="s">
        <v>2961</v>
      </c>
      <c r="E2550" s="1">
        <v>1</v>
      </c>
      <c r="F2550" s="2" t="s">
        <v>2968</v>
      </c>
      <c r="G2550" s="1">
        <v>4</v>
      </c>
      <c r="H2550" s="1" t="str">
        <f t="shared" si="40"/>
        <v>k44_4</v>
      </c>
      <c r="K2550" s="1">
        <f>IF(E2550=0,SUMPRODUCT(($A$2:$A$4734=A2550)*($B$2:$B$4734=B2550)*($D$2:$D$4734=D2550)*($E$2:$E$4734=0)),0)</f>
        <v>0</v>
      </c>
      <c r="L2550" s="1" t="str">
        <f>IF(E2550=0,SUMPRODUCT(MIN($K$2:$K$4734+((($A$2:$A$4734&lt;&gt;A2550)+($E$2:$E$4734&lt;&gt;0))&gt;0)*1000000)),"")</f>
        <v/>
      </c>
      <c r="M2550" s="1">
        <f>IF(AND(E2550=0,COUNTIFS($A$2:A2550,A2550,$E$2:E2550,0)=1),L2550,0)</f>
        <v>0</v>
      </c>
    </row>
    <row r="2551" spans="1:13" ht="15" customHeight="1">
      <c r="A2551" s="1">
        <v>44</v>
      </c>
      <c r="B2551" s="1" t="s">
        <v>358</v>
      </c>
      <c r="C2551" s="2" t="s">
        <v>2969</v>
      </c>
      <c r="D2551" s="2" t="s">
        <v>2961</v>
      </c>
      <c r="E2551" s="1">
        <v>1</v>
      </c>
      <c r="F2551" s="2" t="s">
        <v>2970</v>
      </c>
      <c r="G2551" s="1">
        <v>5</v>
      </c>
      <c r="H2551" s="1" t="str">
        <f t="shared" si="40"/>
        <v>k44_5</v>
      </c>
      <c r="K2551" s="1">
        <f>IF(E2551=0,SUMPRODUCT(($A$2:$A$4734=A2551)*($B$2:$B$4734=B2551)*($D$2:$D$4734=D2551)*($E$2:$E$4734=0)),0)</f>
        <v>0</v>
      </c>
      <c r="L2551" s="1" t="str">
        <f>IF(E2551=0,SUMPRODUCT(MIN($K$2:$K$4734+((($A$2:$A$4734&lt;&gt;A2551)+($E$2:$E$4734&lt;&gt;0))&gt;0)*1000000)),"")</f>
        <v/>
      </c>
      <c r="M2551" s="1">
        <f>IF(AND(E2551=0,COUNTIFS($A$2:A2551,A2551,$E$2:E2551,0)=1),L2551,0)</f>
        <v>0</v>
      </c>
    </row>
    <row r="2552" spans="1:13" ht="15" customHeight="1">
      <c r="A2552" s="1">
        <v>44</v>
      </c>
      <c r="B2552" s="1" t="s">
        <v>358</v>
      </c>
      <c r="C2552" s="2" t="s">
        <v>2971</v>
      </c>
      <c r="D2552" s="2" t="s">
        <v>2961</v>
      </c>
      <c r="E2552" s="1">
        <v>1</v>
      </c>
      <c r="F2552" s="2" t="s">
        <v>2972</v>
      </c>
      <c r="G2552" s="1">
        <v>6</v>
      </c>
      <c r="H2552" s="1" t="str">
        <f t="shared" si="40"/>
        <v>k44_6</v>
      </c>
      <c r="K2552" s="1">
        <f>IF(E2552=0,SUMPRODUCT(($A$2:$A$4734=A2552)*($B$2:$B$4734=B2552)*($D$2:$D$4734=D2552)*($E$2:$E$4734=0)),0)</f>
        <v>0</v>
      </c>
      <c r="L2552" s="1" t="str">
        <f>IF(E2552=0,SUMPRODUCT(MIN($K$2:$K$4734+((($A$2:$A$4734&lt;&gt;A2552)+($E$2:$E$4734&lt;&gt;0))&gt;0)*1000000)),"")</f>
        <v/>
      </c>
      <c r="M2552" s="1">
        <f>IF(AND(E2552=0,COUNTIFS($A$2:A2552,A2552,$E$2:E2552,0)=1),L2552,0)</f>
        <v>0</v>
      </c>
    </row>
    <row r="2553" spans="1:13" ht="15" customHeight="1">
      <c r="A2553" s="1">
        <v>45</v>
      </c>
      <c r="B2553" s="1" t="s">
        <v>358</v>
      </c>
      <c r="C2553" s="2" t="s">
        <v>2973</v>
      </c>
      <c r="D2553" s="2" t="s">
        <v>2974</v>
      </c>
      <c r="E2553" s="1">
        <v>1</v>
      </c>
      <c r="F2553" s="2" t="s">
        <v>2975</v>
      </c>
      <c r="G2553" s="1">
        <v>1</v>
      </c>
      <c r="H2553" s="1" t="str">
        <f t="shared" si="40"/>
        <v>k45_1</v>
      </c>
      <c r="K2553" s="1">
        <f>IF(E2553=0,SUMPRODUCT(($A$2:$A$4734=A2553)*($B$2:$B$4734=B2553)*($D$2:$D$4734=D2553)*($E$2:$E$4734=0)),0)</f>
        <v>0</v>
      </c>
      <c r="L2553" s="1" t="str">
        <f>IF(E2553=0,SUMPRODUCT(MIN($K$2:$K$4734+((($A$2:$A$4734&lt;&gt;A2553)+($E$2:$E$4734&lt;&gt;0))&gt;0)*1000000)),"")</f>
        <v/>
      </c>
      <c r="M2553" s="1">
        <f>IF(AND(E2553=0,COUNTIFS($A$2:A2553,A2553,$E$2:E2553,0)=1),L2553,0)</f>
        <v>0</v>
      </c>
    </row>
    <row r="2554" spans="1:13" ht="15" customHeight="1">
      <c r="A2554" s="1">
        <v>45</v>
      </c>
      <c r="B2554" s="1" t="s">
        <v>358</v>
      </c>
      <c r="C2554" s="2" t="s">
        <v>2973</v>
      </c>
      <c r="D2554" s="2" t="s">
        <v>2974</v>
      </c>
      <c r="E2554" s="1">
        <v>1</v>
      </c>
      <c r="F2554" s="2" t="s">
        <v>2976</v>
      </c>
      <c r="G2554" s="1">
        <v>2</v>
      </c>
      <c r="H2554" s="1" t="str">
        <f t="shared" si="40"/>
        <v>k45_2</v>
      </c>
      <c r="K2554" s="1">
        <f>IF(E2554=0,SUMPRODUCT(($A$2:$A$4734=A2554)*($B$2:$B$4734=B2554)*($D$2:$D$4734=D2554)*($E$2:$E$4734=0)),0)</f>
        <v>0</v>
      </c>
      <c r="L2554" s="1" t="str">
        <f>IF(E2554=0,SUMPRODUCT(MIN($K$2:$K$4734+((($A$2:$A$4734&lt;&gt;A2554)+($E$2:$E$4734&lt;&gt;0))&gt;0)*1000000)),"")</f>
        <v/>
      </c>
      <c r="M2554" s="1">
        <f>IF(AND(E2554=0,COUNTIFS($A$2:A2554,A2554,$E$2:E2554,0)=1),L2554,0)</f>
        <v>0</v>
      </c>
    </row>
    <row r="2555" spans="1:13" ht="15" customHeight="1">
      <c r="A2555" s="1">
        <v>45</v>
      </c>
      <c r="B2555" s="1" t="s">
        <v>358</v>
      </c>
      <c r="C2555" s="2" t="s">
        <v>2973</v>
      </c>
      <c r="D2555" s="2" t="s">
        <v>2974</v>
      </c>
      <c r="E2555" s="1">
        <v>1</v>
      </c>
      <c r="F2555" s="2" t="s">
        <v>2977</v>
      </c>
      <c r="G2555" s="1">
        <v>3</v>
      </c>
      <c r="H2555" s="1" t="str">
        <f t="shared" si="40"/>
        <v>k45_3</v>
      </c>
      <c r="K2555" s="1">
        <f>IF(E2555=0,SUMPRODUCT(($A$2:$A$4734=A2555)*($B$2:$B$4734=B2555)*($D$2:$D$4734=D2555)*($E$2:$E$4734=0)),0)</f>
        <v>0</v>
      </c>
      <c r="L2555" s="1" t="str">
        <f>IF(E2555=0,SUMPRODUCT(MIN($K$2:$K$4734+((($A$2:$A$4734&lt;&gt;A2555)+($E$2:$E$4734&lt;&gt;0))&gt;0)*1000000)),"")</f>
        <v/>
      </c>
      <c r="M2555" s="1">
        <f>IF(AND(E2555=0,COUNTIFS($A$2:A2555,A2555,$E$2:E2555,0)=1),L2555,0)</f>
        <v>0</v>
      </c>
    </row>
    <row r="2556" spans="1:13" ht="15" customHeight="1">
      <c r="A2556" s="1">
        <v>45</v>
      </c>
      <c r="B2556" s="1" t="s">
        <v>358</v>
      </c>
      <c r="C2556" s="2" t="s">
        <v>2973</v>
      </c>
      <c r="D2556" s="2" t="s">
        <v>2974</v>
      </c>
      <c r="E2556" s="1">
        <v>1</v>
      </c>
      <c r="F2556" s="2" t="s">
        <v>2978</v>
      </c>
      <c r="G2556" s="1">
        <v>4</v>
      </c>
      <c r="H2556" s="1" t="str">
        <f t="shared" si="40"/>
        <v>k45_4</v>
      </c>
      <c r="K2556" s="1">
        <f>IF(E2556=0,SUMPRODUCT(($A$2:$A$4734=A2556)*($B$2:$B$4734=B2556)*($D$2:$D$4734=D2556)*($E$2:$E$4734=0)),0)</f>
        <v>0</v>
      </c>
      <c r="L2556" s="1" t="str">
        <f>IF(E2556=0,SUMPRODUCT(MIN($K$2:$K$4734+((($A$2:$A$4734&lt;&gt;A2556)+($E$2:$E$4734&lt;&gt;0))&gt;0)*1000000)),"")</f>
        <v/>
      </c>
      <c r="M2556" s="1">
        <f>IF(AND(E2556=0,COUNTIFS($A$2:A2556,A2556,$E$2:E2556,0)=1),L2556,0)</f>
        <v>0</v>
      </c>
    </row>
    <row r="2557" spans="1:13" ht="15" customHeight="1">
      <c r="A2557" s="1">
        <v>45</v>
      </c>
      <c r="B2557" s="1" t="s">
        <v>358</v>
      </c>
      <c r="C2557" s="2" t="s">
        <v>2973</v>
      </c>
      <c r="D2557" s="2" t="s">
        <v>2974</v>
      </c>
      <c r="E2557" s="1">
        <v>1</v>
      </c>
      <c r="F2557" s="2" t="s">
        <v>2978</v>
      </c>
      <c r="G2557" s="1">
        <v>5</v>
      </c>
      <c r="H2557" s="1" t="str">
        <f t="shared" si="40"/>
        <v>k45_5</v>
      </c>
      <c r="K2557" s="1">
        <f>IF(E2557=0,SUMPRODUCT(($A$2:$A$4734=A2557)*($B$2:$B$4734=B2557)*($D$2:$D$4734=D2557)*($E$2:$E$4734=0)),0)</f>
        <v>0</v>
      </c>
      <c r="L2557" s="1" t="str">
        <f>IF(E2557=0,SUMPRODUCT(MIN($K$2:$K$4734+((($A$2:$A$4734&lt;&gt;A2557)+($E$2:$E$4734&lt;&gt;0))&gt;0)*1000000)),"")</f>
        <v/>
      </c>
      <c r="M2557" s="1">
        <f>IF(AND(E2557=0,COUNTIFS($A$2:A2557,A2557,$E$2:E2557,0)=1),L2557,0)</f>
        <v>0</v>
      </c>
    </row>
    <row r="2558" spans="1:13" ht="15" customHeight="1">
      <c r="A2558" s="1">
        <v>45</v>
      </c>
      <c r="B2558" s="1" t="s">
        <v>9</v>
      </c>
      <c r="C2558" s="2" t="s">
        <v>2973</v>
      </c>
      <c r="D2558" s="2" t="s">
        <v>2979</v>
      </c>
      <c r="E2558" s="1">
        <v>1</v>
      </c>
      <c r="F2558" s="2" t="s">
        <v>2980</v>
      </c>
      <c r="G2558" s="1">
        <v>4</v>
      </c>
      <c r="H2558" s="1" t="str">
        <f t="shared" si="40"/>
        <v>k45_4</v>
      </c>
      <c r="K2558" s="1">
        <f>IF(E2558=0,SUMPRODUCT(($A$2:$A$4734=A2558)*($B$2:$B$4734=B2558)*($D$2:$D$4734=D2558)*($E$2:$E$4734=0)),0)</f>
        <v>0</v>
      </c>
      <c r="L2558" s="1" t="str">
        <f>IF(E2558=0,SUMPRODUCT(MIN($K$2:$K$4734+((($A$2:$A$4734&lt;&gt;A2558)+($E$2:$E$4734&lt;&gt;0))&gt;0)*1000000)),"")</f>
        <v/>
      </c>
      <c r="M2558" s="1">
        <f>IF(AND(E2558=0,COUNTIFS($A$2:A2558,A2558,$E$2:E2558,0)=1),L2558,0)</f>
        <v>0</v>
      </c>
    </row>
    <row r="2559" spans="1:13" ht="15" customHeight="1">
      <c r="A2559" s="1">
        <v>45</v>
      </c>
      <c r="B2559" s="1" t="s">
        <v>9</v>
      </c>
      <c r="C2559" s="2" t="s">
        <v>2973</v>
      </c>
      <c r="D2559" s="2" t="s">
        <v>2979</v>
      </c>
      <c r="E2559" s="1">
        <v>1</v>
      </c>
      <c r="F2559" s="2" t="s">
        <v>2981</v>
      </c>
      <c r="G2559" s="1">
        <v>1</v>
      </c>
      <c r="H2559" s="1" t="str">
        <f t="shared" si="40"/>
        <v>k45_1</v>
      </c>
      <c r="K2559" s="1">
        <f>IF(E2559=0,SUMPRODUCT(($A$2:$A$4734=A2559)*($B$2:$B$4734=B2559)*($D$2:$D$4734=D2559)*($E$2:$E$4734=0)),0)</f>
        <v>0</v>
      </c>
      <c r="L2559" s="1" t="str">
        <f>IF(E2559=0,SUMPRODUCT(MIN($K$2:$K$4734+((($A$2:$A$4734&lt;&gt;A2559)+($E$2:$E$4734&lt;&gt;0))&gt;0)*1000000)),"")</f>
        <v/>
      </c>
      <c r="M2559" s="1">
        <f>IF(AND(E2559=0,COUNTIFS($A$2:A2559,A2559,$E$2:E2559,0)=1),L2559,0)</f>
        <v>0</v>
      </c>
    </row>
    <row r="2560" spans="1:13" ht="15" customHeight="1">
      <c r="A2560" s="1">
        <v>45</v>
      </c>
      <c r="B2560" s="1" t="s">
        <v>9</v>
      </c>
      <c r="C2560" s="2" t="s">
        <v>2973</v>
      </c>
      <c r="D2560" s="2" t="s">
        <v>2979</v>
      </c>
      <c r="E2560" s="1">
        <v>1</v>
      </c>
      <c r="F2560" s="2" t="s">
        <v>2982</v>
      </c>
      <c r="G2560" s="1">
        <v>5</v>
      </c>
      <c r="H2560" s="1" t="str">
        <f t="shared" si="40"/>
        <v>k45_5</v>
      </c>
      <c r="K2560" s="1">
        <f>IF(E2560=0,SUMPRODUCT(($A$2:$A$4734=A2560)*($B$2:$B$4734=B2560)*($D$2:$D$4734=D2560)*($E$2:$E$4734=0)),0)</f>
        <v>0</v>
      </c>
      <c r="L2560" s="1" t="str">
        <f>IF(E2560=0,SUMPRODUCT(MIN($K$2:$K$4734+((($A$2:$A$4734&lt;&gt;A2560)+($E$2:$E$4734&lt;&gt;0))&gt;0)*1000000)),"")</f>
        <v/>
      </c>
      <c r="M2560" s="1">
        <f>IF(AND(E2560=0,COUNTIFS($A$2:A2560,A2560,$E$2:E2560,0)=1),L2560,0)</f>
        <v>0</v>
      </c>
    </row>
    <row r="2561" spans="1:13" ht="15" customHeight="1">
      <c r="A2561" s="1">
        <v>45</v>
      </c>
      <c r="B2561" s="1" t="s">
        <v>9</v>
      </c>
      <c r="C2561" s="2" t="s">
        <v>2973</v>
      </c>
      <c r="D2561" s="2" t="s">
        <v>2979</v>
      </c>
      <c r="E2561" s="1">
        <v>1</v>
      </c>
      <c r="F2561" s="2" t="s">
        <v>2983</v>
      </c>
      <c r="G2561" s="1">
        <v>2</v>
      </c>
      <c r="H2561" s="1" t="str">
        <f t="shared" si="40"/>
        <v>k45_2</v>
      </c>
      <c r="K2561" s="1">
        <f>IF(E2561=0,SUMPRODUCT(($A$2:$A$4734=A2561)*($B$2:$B$4734=B2561)*($D$2:$D$4734=D2561)*($E$2:$E$4734=0)),0)</f>
        <v>0</v>
      </c>
      <c r="L2561" s="1" t="str">
        <f>IF(E2561=0,SUMPRODUCT(MIN($K$2:$K$4734+((($A$2:$A$4734&lt;&gt;A2561)+($E$2:$E$4734&lt;&gt;0))&gt;0)*1000000)),"")</f>
        <v/>
      </c>
      <c r="M2561" s="1">
        <f>IF(AND(E2561=0,COUNTIFS($A$2:A2561,A2561,$E$2:E2561,0)=1),L2561,0)</f>
        <v>0</v>
      </c>
    </row>
    <row r="2562" spans="1:13" ht="15" customHeight="1">
      <c r="A2562" s="1">
        <v>45</v>
      </c>
      <c r="B2562" s="1" t="s">
        <v>9</v>
      </c>
      <c r="C2562" s="2" t="s">
        <v>2973</v>
      </c>
      <c r="D2562" s="2" t="s">
        <v>2979</v>
      </c>
      <c r="E2562" s="1">
        <v>1</v>
      </c>
      <c r="F2562" s="2" t="s">
        <v>2984</v>
      </c>
      <c r="G2562" s="1">
        <v>3</v>
      </c>
      <c r="H2562" s="1" t="str">
        <f t="shared" si="40"/>
        <v>k45_3</v>
      </c>
      <c r="K2562" s="1">
        <f>IF(E2562=0,SUMPRODUCT(($A$2:$A$4734=A2562)*($B$2:$B$4734=B2562)*($D$2:$D$4734=D2562)*($E$2:$E$4734=0)),0)</f>
        <v>0</v>
      </c>
      <c r="L2562" s="1" t="str">
        <f>IF(E2562=0,SUMPRODUCT(MIN($K$2:$K$4734+((($A$2:$A$4734&lt;&gt;A2562)+($E$2:$E$4734&lt;&gt;0))&gt;0)*1000000)),"")</f>
        <v/>
      </c>
      <c r="M2562" s="1">
        <f>IF(AND(E2562=0,COUNTIFS($A$2:A2562,A2562,$E$2:E2562,0)=1),L2562,0)</f>
        <v>0</v>
      </c>
    </row>
    <row r="2563" spans="1:13" ht="15" customHeight="1">
      <c r="A2563" s="1">
        <v>46</v>
      </c>
      <c r="B2563" s="1" t="s">
        <v>9</v>
      </c>
      <c r="C2563" s="2" t="s">
        <v>2985</v>
      </c>
      <c r="D2563" s="2" t="s">
        <v>2986</v>
      </c>
      <c r="E2563" s="1">
        <v>1</v>
      </c>
      <c r="F2563" s="2" t="s">
        <v>2987</v>
      </c>
      <c r="G2563" s="1">
        <v>1</v>
      </c>
      <c r="H2563" s="1" t="str">
        <f t="shared" si="40"/>
        <v>k46_1</v>
      </c>
      <c r="K2563" s="1">
        <f>IF(E2563=0,SUMPRODUCT(($A$2:$A$4734=A2563)*($B$2:$B$4734=B2563)*($D$2:$D$4734=D2563)*($E$2:$E$4734=0)),0)</f>
        <v>0</v>
      </c>
      <c r="L2563" s="1" t="str">
        <f>IF(E2563=0,SUMPRODUCT(MIN($K$2:$K$4734+((($A$2:$A$4734&lt;&gt;A2563)+($E$2:$E$4734&lt;&gt;0))&gt;0)*1000000)),"")</f>
        <v/>
      </c>
      <c r="M2563" s="1">
        <f>IF(AND(E2563=0,COUNTIFS($A$2:A2563,A2563,$E$2:E2563,0)=1),L2563,0)</f>
        <v>0</v>
      </c>
    </row>
    <row r="2564" spans="1:13" ht="15" customHeight="1">
      <c r="A2564" s="1">
        <v>46</v>
      </c>
      <c r="B2564" s="1" t="s">
        <v>9</v>
      </c>
      <c r="C2564" s="2" t="s">
        <v>2985</v>
      </c>
      <c r="D2564" s="2" t="s">
        <v>2986</v>
      </c>
      <c r="E2564" s="1">
        <v>1</v>
      </c>
      <c r="F2564" s="2" t="s">
        <v>2988</v>
      </c>
      <c r="G2564" s="1">
        <v>2</v>
      </c>
      <c r="H2564" s="1" t="str">
        <f t="shared" si="40"/>
        <v>k46_2</v>
      </c>
      <c r="K2564" s="1">
        <f>IF(E2564=0,SUMPRODUCT(($A$2:$A$4734=A2564)*($B$2:$B$4734=B2564)*($D$2:$D$4734=D2564)*($E$2:$E$4734=0)),0)</f>
        <v>0</v>
      </c>
      <c r="L2564" s="1" t="str">
        <f>IF(E2564=0,SUMPRODUCT(MIN($K$2:$K$4734+((($A$2:$A$4734&lt;&gt;A2564)+($E$2:$E$4734&lt;&gt;0))&gt;0)*1000000)),"")</f>
        <v/>
      </c>
      <c r="M2564" s="1">
        <f>IF(AND(E2564=0,COUNTIFS($A$2:A2564,A2564,$E$2:E2564,0)=1),L2564,0)</f>
        <v>0</v>
      </c>
    </row>
    <row r="2565" spans="1:13" ht="15" customHeight="1">
      <c r="A2565" s="1">
        <v>46</v>
      </c>
      <c r="B2565" s="1" t="s">
        <v>9</v>
      </c>
      <c r="C2565" s="2" t="s">
        <v>2985</v>
      </c>
      <c r="D2565" s="2" t="s">
        <v>2986</v>
      </c>
      <c r="E2565" s="1">
        <v>1</v>
      </c>
      <c r="F2565" s="2" t="s">
        <v>2989</v>
      </c>
      <c r="G2565" s="1">
        <v>3</v>
      </c>
      <c r="H2565" s="1" t="str">
        <f t="shared" si="40"/>
        <v>k46_3</v>
      </c>
      <c r="K2565" s="1">
        <f>IF(E2565=0,SUMPRODUCT(($A$2:$A$4734=A2565)*($B$2:$B$4734=B2565)*($D$2:$D$4734=D2565)*($E$2:$E$4734=0)),0)</f>
        <v>0</v>
      </c>
      <c r="L2565" s="1" t="str">
        <f>IF(E2565=0,SUMPRODUCT(MIN($K$2:$K$4734+((($A$2:$A$4734&lt;&gt;A2565)+($E$2:$E$4734&lt;&gt;0))&gt;0)*1000000)),"")</f>
        <v/>
      </c>
      <c r="M2565" s="1">
        <f>IF(AND(E2565=0,COUNTIFS($A$2:A2565,A2565,$E$2:E2565,0)=1),L2565,0)</f>
        <v>0</v>
      </c>
    </row>
    <row r="2566" spans="1:13" ht="15" customHeight="1">
      <c r="A2566" s="1">
        <v>46</v>
      </c>
      <c r="B2566" s="1" t="s">
        <v>9</v>
      </c>
      <c r="C2566" s="2" t="s">
        <v>2985</v>
      </c>
      <c r="D2566" s="2" t="s">
        <v>2986</v>
      </c>
      <c r="E2566" s="1">
        <v>1</v>
      </c>
      <c r="F2566" s="2" t="s">
        <v>2990</v>
      </c>
      <c r="G2566" s="1">
        <v>4</v>
      </c>
      <c r="H2566" s="1" t="str">
        <f t="shared" si="40"/>
        <v>k46_4</v>
      </c>
      <c r="K2566" s="1">
        <f>IF(E2566=0,SUMPRODUCT(($A$2:$A$4734=A2566)*($B$2:$B$4734=B2566)*($D$2:$D$4734=D2566)*($E$2:$E$4734=0)),0)</f>
        <v>0</v>
      </c>
      <c r="L2566" s="1" t="str">
        <f>IF(E2566=0,SUMPRODUCT(MIN($K$2:$K$4734+((($A$2:$A$4734&lt;&gt;A2566)+($E$2:$E$4734&lt;&gt;0))&gt;0)*1000000)),"")</f>
        <v/>
      </c>
      <c r="M2566" s="1">
        <f>IF(AND(E2566=0,COUNTIFS($A$2:A2566,A2566,$E$2:E2566,0)=1),L2566,0)</f>
        <v>0</v>
      </c>
    </row>
    <row r="2567" spans="1:13" ht="15" customHeight="1">
      <c r="A2567" s="1">
        <v>46</v>
      </c>
      <c r="B2567" s="1" t="s">
        <v>9</v>
      </c>
      <c r="C2567" s="2" t="s">
        <v>2985</v>
      </c>
      <c r="D2567" s="2" t="s">
        <v>2991</v>
      </c>
      <c r="E2567" s="1">
        <v>1</v>
      </c>
      <c r="F2567" s="2" t="s">
        <v>2992</v>
      </c>
      <c r="G2567" s="1">
        <v>1</v>
      </c>
      <c r="H2567" s="1" t="str">
        <f t="shared" si="40"/>
        <v>k46_1</v>
      </c>
      <c r="K2567" s="1">
        <f>IF(E2567=0,SUMPRODUCT(($A$2:$A$4734=A2567)*($B$2:$B$4734=B2567)*($D$2:$D$4734=D2567)*($E$2:$E$4734=0)),0)</f>
        <v>0</v>
      </c>
      <c r="L2567" s="1" t="str">
        <f>IF(E2567=0,SUMPRODUCT(MIN($K$2:$K$4734+((($A$2:$A$4734&lt;&gt;A2567)+($E$2:$E$4734&lt;&gt;0))&gt;0)*1000000)),"")</f>
        <v/>
      </c>
      <c r="M2567" s="1">
        <f>IF(AND(E2567=0,COUNTIFS($A$2:A2567,A2567,$E$2:E2567,0)=1),L2567,0)</f>
        <v>0</v>
      </c>
    </row>
    <row r="2568" spans="1:13" ht="15" customHeight="1">
      <c r="A2568" s="1">
        <v>46</v>
      </c>
      <c r="B2568" s="1" t="s">
        <v>9</v>
      </c>
      <c r="C2568" s="2" t="s">
        <v>2985</v>
      </c>
      <c r="D2568" s="2" t="s">
        <v>2991</v>
      </c>
      <c r="E2568" s="1">
        <v>1</v>
      </c>
      <c r="F2568" s="2" t="s">
        <v>2993</v>
      </c>
      <c r="G2568" s="1">
        <v>2</v>
      </c>
      <c r="H2568" s="1" t="str">
        <f t="shared" si="40"/>
        <v>k46_2</v>
      </c>
      <c r="K2568" s="1">
        <f>IF(E2568=0,SUMPRODUCT(($A$2:$A$4734=A2568)*($B$2:$B$4734=B2568)*($D$2:$D$4734=D2568)*($E$2:$E$4734=0)),0)</f>
        <v>0</v>
      </c>
      <c r="L2568" s="1" t="str">
        <f>IF(E2568=0,SUMPRODUCT(MIN($K$2:$K$4734+((($A$2:$A$4734&lt;&gt;A2568)+($E$2:$E$4734&lt;&gt;0))&gt;0)*1000000)),"")</f>
        <v/>
      </c>
      <c r="M2568" s="1">
        <f>IF(AND(E2568=0,COUNTIFS($A$2:A2568,A2568,$E$2:E2568,0)=1),L2568,0)</f>
        <v>0</v>
      </c>
    </row>
    <row r="2569" spans="1:13" ht="15" customHeight="1">
      <c r="A2569" s="1">
        <v>46</v>
      </c>
      <c r="B2569" s="1" t="s">
        <v>9</v>
      </c>
      <c r="C2569" s="2" t="s">
        <v>2985</v>
      </c>
      <c r="D2569" s="2" t="s">
        <v>2991</v>
      </c>
      <c r="E2569" s="1">
        <v>1</v>
      </c>
      <c r="F2569" s="2" t="s">
        <v>2994</v>
      </c>
      <c r="G2569" s="1">
        <v>3</v>
      </c>
      <c r="H2569" s="1" t="str">
        <f t="shared" si="40"/>
        <v>k46_3</v>
      </c>
      <c r="K2569" s="1">
        <f>IF(E2569=0,SUMPRODUCT(($A$2:$A$4734=A2569)*($B$2:$B$4734=B2569)*($D$2:$D$4734=D2569)*($E$2:$E$4734=0)),0)</f>
        <v>0</v>
      </c>
      <c r="L2569" s="1" t="str">
        <f>IF(E2569=0,SUMPRODUCT(MIN($K$2:$K$4734+((($A$2:$A$4734&lt;&gt;A2569)+($E$2:$E$4734&lt;&gt;0))&gt;0)*1000000)),"")</f>
        <v/>
      </c>
      <c r="M2569" s="1">
        <f>IF(AND(E2569=0,COUNTIFS($A$2:A2569,A2569,$E$2:E2569,0)=1),L2569,0)</f>
        <v>0</v>
      </c>
    </row>
    <row r="2570" spans="1:13" ht="15" customHeight="1">
      <c r="A2570" s="1">
        <v>46</v>
      </c>
      <c r="B2570" s="1" t="s">
        <v>9</v>
      </c>
      <c r="C2570" s="2" t="s">
        <v>2985</v>
      </c>
      <c r="D2570" s="2" t="s">
        <v>2991</v>
      </c>
      <c r="E2570" s="1">
        <v>1</v>
      </c>
      <c r="F2570" s="2" t="s">
        <v>2995</v>
      </c>
      <c r="G2570" s="1">
        <v>4</v>
      </c>
      <c r="H2570" s="1" t="str">
        <f t="shared" si="40"/>
        <v>k46_4</v>
      </c>
      <c r="K2570" s="1">
        <f>IF(E2570=0,SUMPRODUCT(($A$2:$A$4734=A2570)*($B$2:$B$4734=B2570)*($D$2:$D$4734=D2570)*($E$2:$E$4734=0)),0)</f>
        <v>0</v>
      </c>
      <c r="L2570" s="1" t="str">
        <f>IF(E2570=0,SUMPRODUCT(MIN($K$2:$K$4734+((($A$2:$A$4734&lt;&gt;A2570)+($E$2:$E$4734&lt;&gt;0))&gt;0)*1000000)),"")</f>
        <v/>
      </c>
      <c r="M2570" s="1">
        <f>IF(AND(E2570=0,COUNTIFS($A$2:A2570,A2570,$E$2:E2570,0)=1),L2570,0)</f>
        <v>0</v>
      </c>
    </row>
    <row r="2571" spans="1:13" ht="15" customHeight="1">
      <c r="A2571" s="1">
        <v>46</v>
      </c>
      <c r="B2571" s="1" t="s">
        <v>1644</v>
      </c>
      <c r="C2571" s="2" t="s">
        <v>2985</v>
      </c>
      <c r="D2571" s="2" t="s">
        <v>2996</v>
      </c>
      <c r="E2571" s="1">
        <v>1</v>
      </c>
      <c r="F2571" s="2" t="s">
        <v>2997</v>
      </c>
      <c r="G2571" s="1">
        <v>1</v>
      </c>
      <c r="H2571" s="1" t="str">
        <f t="shared" si="40"/>
        <v>k46_1</v>
      </c>
      <c r="K2571" s="1">
        <f>IF(E2571=0,SUMPRODUCT(($A$2:$A$4734=A2571)*($B$2:$B$4734=B2571)*($D$2:$D$4734=D2571)*($E$2:$E$4734=0)),0)</f>
        <v>0</v>
      </c>
      <c r="L2571" s="1" t="str">
        <f>IF(E2571=0,SUMPRODUCT(MIN($K$2:$K$4734+((($A$2:$A$4734&lt;&gt;A2571)+($E$2:$E$4734&lt;&gt;0))&gt;0)*1000000)),"")</f>
        <v/>
      </c>
      <c r="M2571" s="1">
        <f>IF(AND(E2571=0,COUNTIFS($A$2:A2571,A2571,$E$2:E2571,0)=1),L2571,0)</f>
        <v>0</v>
      </c>
    </row>
    <row r="2572" spans="1:13" ht="15" customHeight="1">
      <c r="A2572" s="1">
        <v>46</v>
      </c>
      <c r="B2572" s="1" t="s">
        <v>1644</v>
      </c>
      <c r="C2572" s="2" t="s">
        <v>2985</v>
      </c>
      <c r="D2572" s="2" t="s">
        <v>2996</v>
      </c>
      <c r="E2572" s="1">
        <v>1</v>
      </c>
      <c r="F2572" s="2" t="s">
        <v>2998</v>
      </c>
      <c r="G2572" s="1">
        <v>2</v>
      </c>
      <c r="H2572" s="1" t="str">
        <f t="shared" si="40"/>
        <v>k46_2</v>
      </c>
      <c r="K2572" s="1">
        <f>IF(E2572=0,SUMPRODUCT(($A$2:$A$4734=A2572)*($B$2:$B$4734=B2572)*($D$2:$D$4734=D2572)*($E$2:$E$4734=0)),0)</f>
        <v>0</v>
      </c>
      <c r="L2572" s="1" t="str">
        <f>IF(E2572=0,SUMPRODUCT(MIN($K$2:$K$4734+((($A$2:$A$4734&lt;&gt;A2572)+($E$2:$E$4734&lt;&gt;0))&gt;0)*1000000)),"")</f>
        <v/>
      </c>
      <c r="M2572" s="1">
        <f>IF(AND(E2572=0,COUNTIFS($A$2:A2572,A2572,$E$2:E2572,0)=1),L2572,0)</f>
        <v>0</v>
      </c>
    </row>
    <row r="2573" spans="1:13" ht="15" customHeight="1">
      <c r="A2573" s="1">
        <v>46</v>
      </c>
      <c r="B2573" s="1" t="s">
        <v>1644</v>
      </c>
      <c r="C2573" s="2" t="s">
        <v>2985</v>
      </c>
      <c r="D2573" s="2" t="s">
        <v>2996</v>
      </c>
      <c r="E2573" s="1">
        <v>1</v>
      </c>
      <c r="F2573" s="2" t="s">
        <v>2999</v>
      </c>
      <c r="G2573" s="1">
        <v>4</v>
      </c>
      <c r="H2573" s="1" t="str">
        <f t="shared" si="40"/>
        <v>k46_4</v>
      </c>
      <c r="K2573" s="1">
        <f>IF(E2573=0,SUMPRODUCT(($A$2:$A$4734=A2573)*($B$2:$B$4734=B2573)*($D$2:$D$4734=D2573)*($E$2:$E$4734=0)),0)</f>
        <v>0</v>
      </c>
      <c r="L2573" s="1" t="str">
        <f>IF(E2573=0,SUMPRODUCT(MIN($K$2:$K$4734+((($A$2:$A$4734&lt;&gt;A2573)+($E$2:$E$4734&lt;&gt;0))&gt;0)*1000000)),"")</f>
        <v/>
      </c>
      <c r="M2573" s="1">
        <f>IF(AND(E2573=0,COUNTIFS($A$2:A2573,A2573,$E$2:E2573,0)=1),L2573,0)</f>
        <v>0</v>
      </c>
    </row>
    <row r="2574" spans="1:13" ht="15" customHeight="1">
      <c r="A2574" s="1">
        <v>46</v>
      </c>
      <c r="B2574" s="1" t="s">
        <v>1644</v>
      </c>
      <c r="C2574" s="2" t="s">
        <v>2985</v>
      </c>
      <c r="D2574" s="2" t="s">
        <v>2996</v>
      </c>
      <c r="E2574" s="1">
        <v>1</v>
      </c>
      <c r="F2574" s="2" t="s">
        <v>3000</v>
      </c>
      <c r="G2574" s="1">
        <v>3</v>
      </c>
      <c r="H2574" s="1" t="str">
        <f t="shared" ref="H2574:H2631" si="41">IF(OR(E2574&lt;&gt;1,G2574=""),"","k"&amp;A2574&amp;"_"&amp;G2574)</f>
        <v>k46_3</v>
      </c>
      <c r="K2574" s="1">
        <f>IF(E2574=0,SUMPRODUCT(($A$2:$A$4734=A2574)*($B$2:$B$4734=B2574)*($D$2:$D$4734=D2574)*($E$2:$E$4734=0)),0)</f>
        <v>0</v>
      </c>
      <c r="L2574" s="1" t="str">
        <f>IF(E2574=0,SUMPRODUCT(MIN($K$2:$K$4734+((($A$2:$A$4734&lt;&gt;A2574)+($E$2:$E$4734&lt;&gt;0))&gt;0)*1000000)),"")</f>
        <v/>
      </c>
      <c r="M2574" s="1">
        <f>IF(AND(E2574=0,COUNTIFS($A$2:A2574,A2574,$E$2:E2574,0)=1),L2574,0)</f>
        <v>0</v>
      </c>
    </row>
    <row r="2575" spans="1:13" ht="15" customHeight="1">
      <c r="A2575" s="1">
        <v>47</v>
      </c>
      <c r="B2575" s="1" t="s">
        <v>9</v>
      </c>
      <c r="C2575" s="2" t="s">
        <v>3001</v>
      </c>
      <c r="D2575" s="2" t="s">
        <v>3002</v>
      </c>
      <c r="E2575" s="1">
        <v>0</v>
      </c>
      <c r="F2575" s="2" t="s">
        <v>3003</v>
      </c>
      <c r="H2575" s="1" t="str">
        <f t="shared" si="41"/>
        <v/>
      </c>
      <c r="K2575" s="1">
        <f>IF(E2575=0,SUMPRODUCT(($A$2:$A$4734=A2575)*($B$2:$B$4734=B2575)*($D$2:$D$4734=D2575)*($E$2:$E$4734=0)),0)</f>
        <v>2</v>
      </c>
      <c r="L2575" s="1">
        <f>IF(E2575=0,SUMPRODUCT(MIN($K$2:$K$4734+((($A$2:$A$4734&lt;&gt;A2575)+($E$2:$E$4734&lt;&gt;0))&gt;0)*1000000)),"")</f>
        <v>2</v>
      </c>
      <c r="M2575" s="1">
        <f>IF(AND(E2575=0,COUNTIFS($A$2:A2575,A2575,$E$2:E2575,0)=1),L2575,0)</f>
        <v>2</v>
      </c>
    </row>
    <row r="2576" spans="1:13" ht="15" customHeight="1">
      <c r="A2576" s="1">
        <v>47</v>
      </c>
      <c r="B2576" s="1" t="s">
        <v>9</v>
      </c>
      <c r="C2576" s="2" t="s">
        <v>3001</v>
      </c>
      <c r="D2576" s="2" t="s">
        <v>3002</v>
      </c>
      <c r="E2576" s="1">
        <v>0</v>
      </c>
      <c r="F2576" s="2" t="s">
        <v>3004</v>
      </c>
      <c r="H2576" s="1" t="str">
        <f t="shared" si="41"/>
        <v/>
      </c>
      <c r="K2576" s="1">
        <f>IF(E2576=0,SUMPRODUCT(($A$2:$A$4734=A2576)*($B$2:$B$4734=B2576)*($D$2:$D$4734=D2576)*($E$2:$E$4734=0)),0)</f>
        <v>2</v>
      </c>
      <c r="L2576" s="1">
        <f>IF(E2576=0,SUMPRODUCT(MIN($K$2:$K$4734+((($A$2:$A$4734&lt;&gt;A2576)+($E$2:$E$4734&lt;&gt;0))&gt;0)*1000000)),"")</f>
        <v>2</v>
      </c>
      <c r="M2576" s="1">
        <f>IF(AND(E2576=0,COUNTIFS($A$2:A2576,A2576,$E$2:E2576,0)=1),L2576,0)</f>
        <v>0</v>
      </c>
    </row>
    <row r="2577" spans="1:13" ht="15" customHeight="1">
      <c r="A2577" s="1">
        <v>47</v>
      </c>
      <c r="B2577" s="1" t="s">
        <v>9</v>
      </c>
      <c r="C2577" s="2" t="s">
        <v>3001</v>
      </c>
      <c r="D2577" s="2" t="s">
        <v>3005</v>
      </c>
      <c r="E2577" s="1">
        <v>0</v>
      </c>
      <c r="F2577" s="2" t="s">
        <v>3006</v>
      </c>
      <c r="H2577" s="1" t="str">
        <f t="shared" si="41"/>
        <v/>
      </c>
      <c r="K2577" s="1">
        <f>IF(E2577=0,SUMPRODUCT(($A$2:$A$4734=A2577)*($B$2:$B$4734=B2577)*($D$2:$D$4734=D2577)*($E$2:$E$4734=0)),0)</f>
        <v>6</v>
      </c>
      <c r="L2577" s="1">
        <f>IF(E2577=0,SUMPRODUCT(MIN($K$2:$K$4734+((($A$2:$A$4734&lt;&gt;A2577)+($E$2:$E$4734&lt;&gt;0))&gt;0)*1000000)),"")</f>
        <v>2</v>
      </c>
      <c r="M2577" s="1">
        <f>IF(AND(E2577=0,COUNTIFS($A$2:A2577,A2577,$E$2:E2577,0)=1),L2577,0)</f>
        <v>0</v>
      </c>
    </row>
    <row r="2578" spans="1:13" ht="15" customHeight="1">
      <c r="A2578" s="1">
        <v>47</v>
      </c>
      <c r="B2578" s="1" t="s">
        <v>9</v>
      </c>
      <c r="C2578" s="2" t="s">
        <v>3001</v>
      </c>
      <c r="D2578" s="2" t="s">
        <v>3005</v>
      </c>
      <c r="E2578" s="1">
        <v>0</v>
      </c>
      <c r="F2578" s="2" t="s">
        <v>3007</v>
      </c>
      <c r="H2578" s="1" t="str">
        <f t="shared" si="41"/>
        <v/>
      </c>
      <c r="K2578" s="1">
        <f>IF(E2578=0,SUMPRODUCT(($A$2:$A$4734=A2578)*($B$2:$B$4734=B2578)*($D$2:$D$4734=D2578)*($E$2:$E$4734=0)),0)</f>
        <v>6</v>
      </c>
      <c r="L2578" s="1">
        <f>IF(E2578=0,SUMPRODUCT(MIN($K$2:$K$4734+((($A$2:$A$4734&lt;&gt;A2578)+($E$2:$E$4734&lt;&gt;0))&gt;0)*1000000)),"")</f>
        <v>2</v>
      </c>
      <c r="M2578" s="1">
        <f>IF(AND(E2578=0,COUNTIFS($A$2:A2578,A2578,$E$2:E2578,0)=1),L2578,0)</f>
        <v>0</v>
      </c>
    </row>
    <row r="2579" spans="1:13" ht="15" customHeight="1">
      <c r="A2579" s="1">
        <v>47</v>
      </c>
      <c r="B2579" s="1" t="s">
        <v>9</v>
      </c>
      <c r="C2579" s="2" t="s">
        <v>3001</v>
      </c>
      <c r="D2579" s="2" t="s">
        <v>3005</v>
      </c>
      <c r="E2579" s="1">
        <v>0</v>
      </c>
      <c r="F2579" s="2" t="s">
        <v>3008</v>
      </c>
      <c r="H2579" s="1" t="str">
        <f t="shared" si="41"/>
        <v/>
      </c>
      <c r="K2579" s="1">
        <f>IF(E2579=0,SUMPRODUCT(($A$2:$A$4734=A2579)*($B$2:$B$4734=B2579)*($D$2:$D$4734=D2579)*($E$2:$E$4734=0)),0)</f>
        <v>6</v>
      </c>
      <c r="L2579" s="1">
        <f>IF(E2579=0,SUMPRODUCT(MIN($K$2:$K$4734+((($A$2:$A$4734&lt;&gt;A2579)+($E$2:$E$4734&lt;&gt;0))&gt;0)*1000000)),"")</f>
        <v>2</v>
      </c>
      <c r="M2579" s="1">
        <f>IF(AND(E2579=0,COUNTIFS($A$2:A2579,A2579,$E$2:E2579,0)=1),L2579,0)</f>
        <v>0</v>
      </c>
    </row>
    <row r="2580" spans="1:13" ht="15" customHeight="1">
      <c r="A2580" s="1">
        <v>47</v>
      </c>
      <c r="B2580" s="1" t="s">
        <v>9</v>
      </c>
      <c r="C2580" s="2" t="s">
        <v>3001</v>
      </c>
      <c r="D2580" s="2" t="s">
        <v>3005</v>
      </c>
      <c r="E2580" s="1">
        <v>0</v>
      </c>
      <c r="F2580" s="2" t="s">
        <v>3009</v>
      </c>
      <c r="H2580" s="1" t="str">
        <f t="shared" si="41"/>
        <v/>
      </c>
      <c r="K2580" s="1">
        <f>IF(E2580=0,SUMPRODUCT(($A$2:$A$4734=A2580)*($B$2:$B$4734=B2580)*($D$2:$D$4734=D2580)*($E$2:$E$4734=0)),0)</f>
        <v>6</v>
      </c>
      <c r="L2580" s="1">
        <f>IF(E2580=0,SUMPRODUCT(MIN($K$2:$K$4734+((($A$2:$A$4734&lt;&gt;A2580)+($E$2:$E$4734&lt;&gt;0))&gt;0)*1000000)),"")</f>
        <v>2</v>
      </c>
      <c r="M2580" s="1">
        <f>IF(AND(E2580=0,COUNTIFS($A$2:A2580,A2580,$E$2:E2580,0)=1),L2580,0)</f>
        <v>0</v>
      </c>
    </row>
    <row r="2581" spans="1:13" ht="15" customHeight="1">
      <c r="A2581" s="1">
        <v>47</v>
      </c>
      <c r="B2581" s="1" t="s">
        <v>9</v>
      </c>
      <c r="C2581" s="2" t="s">
        <v>3001</v>
      </c>
      <c r="D2581" s="2" t="s">
        <v>3005</v>
      </c>
      <c r="E2581" s="1">
        <v>0</v>
      </c>
      <c r="F2581" s="2" t="s">
        <v>3010</v>
      </c>
      <c r="H2581" s="1" t="str">
        <f t="shared" si="41"/>
        <v/>
      </c>
      <c r="K2581" s="1">
        <f>IF(E2581=0,SUMPRODUCT(($A$2:$A$4734=A2581)*($B$2:$B$4734=B2581)*($D$2:$D$4734=D2581)*($E$2:$E$4734=0)),0)</f>
        <v>6</v>
      </c>
      <c r="L2581" s="1">
        <f>IF(E2581=0,SUMPRODUCT(MIN($K$2:$K$4734+((($A$2:$A$4734&lt;&gt;A2581)+($E$2:$E$4734&lt;&gt;0))&gt;0)*1000000)),"")</f>
        <v>2</v>
      </c>
      <c r="M2581" s="1">
        <f>IF(AND(E2581=0,COUNTIFS($A$2:A2581,A2581,$E$2:E2581,0)=1),L2581,0)</f>
        <v>0</v>
      </c>
    </row>
    <row r="2582" spans="1:13" ht="15" customHeight="1">
      <c r="A2582" s="1">
        <v>47</v>
      </c>
      <c r="B2582" s="1" t="s">
        <v>9</v>
      </c>
      <c r="C2582" s="2" t="s">
        <v>3001</v>
      </c>
      <c r="D2582" s="2" t="s">
        <v>3005</v>
      </c>
      <c r="E2582" s="1">
        <v>0</v>
      </c>
      <c r="F2582" s="2" t="s">
        <v>3011</v>
      </c>
      <c r="H2582" s="1" t="str">
        <f t="shared" si="41"/>
        <v/>
      </c>
      <c r="K2582" s="1">
        <f>IF(E2582=0,SUMPRODUCT(($A$2:$A$4734=A2582)*($B$2:$B$4734=B2582)*($D$2:$D$4734=D2582)*($E$2:$E$4734=0)),0)</f>
        <v>6</v>
      </c>
      <c r="L2582" s="1">
        <f>IF(E2582=0,SUMPRODUCT(MIN($K$2:$K$4734+((($A$2:$A$4734&lt;&gt;A2582)+($E$2:$E$4734&lt;&gt;0))&gt;0)*1000000)),"")</f>
        <v>2</v>
      </c>
      <c r="M2582" s="1">
        <f>IF(AND(E2582=0,COUNTIFS($A$2:A2582,A2582,$E$2:E2582,0)=1),L2582,0)</f>
        <v>0</v>
      </c>
    </row>
    <row r="2583" spans="1:13" ht="15" customHeight="1">
      <c r="A2583" s="1">
        <v>48</v>
      </c>
      <c r="B2583" s="1" t="s">
        <v>9</v>
      </c>
      <c r="C2583" s="1" t="s">
        <v>3012</v>
      </c>
      <c r="D2583" s="2" t="s">
        <v>3013</v>
      </c>
      <c r="E2583" s="1">
        <v>1</v>
      </c>
      <c r="F2583" s="2" t="s">
        <v>3014</v>
      </c>
      <c r="G2583" s="1">
        <v>3</v>
      </c>
      <c r="H2583" s="1" t="str">
        <f t="shared" si="41"/>
        <v>k48_3</v>
      </c>
      <c r="K2583" s="1">
        <f>IF(E2583=0,SUMPRODUCT(($A$2:$A$4734=A2583)*($B$2:$B$4734=B2583)*($D$2:$D$4734=D2583)*($E$2:$E$4734=0)),0)</f>
        <v>0</v>
      </c>
      <c r="L2583" s="1" t="str">
        <f>IF(E2583=0,SUMPRODUCT(MIN($K$2:$K$4734+((($A$2:$A$4734&lt;&gt;A2583)+($E$2:$E$4734&lt;&gt;0))&gt;0)*1000000)),"")</f>
        <v/>
      </c>
      <c r="M2583" s="1">
        <f>IF(AND(E2583=0,COUNTIFS($A$2:A2583,A2583,$E$2:E2583,0)=1),L2583,0)</f>
        <v>0</v>
      </c>
    </row>
    <row r="2584" spans="1:13" ht="15" customHeight="1">
      <c r="A2584" s="1">
        <v>48</v>
      </c>
      <c r="B2584" s="1" t="s">
        <v>9</v>
      </c>
      <c r="C2584" s="1" t="s">
        <v>3012</v>
      </c>
      <c r="D2584" s="2" t="s">
        <v>3013</v>
      </c>
      <c r="E2584" s="1">
        <v>1</v>
      </c>
      <c r="F2584" s="2" t="s">
        <v>3015</v>
      </c>
      <c r="G2584" s="1">
        <v>1</v>
      </c>
      <c r="H2584" s="1" t="str">
        <f t="shared" si="41"/>
        <v>k48_1</v>
      </c>
      <c r="K2584" s="1">
        <f>IF(E2584=0,SUMPRODUCT(($A$2:$A$4734=A2584)*($B$2:$B$4734=B2584)*($D$2:$D$4734=D2584)*($E$2:$E$4734=0)),0)</f>
        <v>0</v>
      </c>
      <c r="L2584" s="1" t="str">
        <f>IF(E2584=0,SUMPRODUCT(MIN($K$2:$K$4734+((($A$2:$A$4734&lt;&gt;A2584)+($E$2:$E$4734&lt;&gt;0))&gt;0)*1000000)),"")</f>
        <v/>
      </c>
      <c r="M2584" s="1">
        <f>IF(AND(E2584=0,COUNTIFS($A$2:A2584,A2584,$E$2:E2584,0)=1),L2584,0)</f>
        <v>0</v>
      </c>
    </row>
    <row r="2585" spans="1:13" ht="15" customHeight="1">
      <c r="A2585" s="1">
        <v>48</v>
      </c>
      <c r="B2585" s="1" t="s">
        <v>9</v>
      </c>
      <c r="C2585" s="1" t="s">
        <v>3012</v>
      </c>
      <c r="D2585" s="2" t="s">
        <v>3013</v>
      </c>
      <c r="E2585" s="1">
        <v>1</v>
      </c>
      <c r="F2585" s="2" t="s">
        <v>3016</v>
      </c>
      <c r="G2585" s="1">
        <v>2</v>
      </c>
      <c r="H2585" s="1" t="str">
        <f t="shared" si="41"/>
        <v>k48_2</v>
      </c>
      <c r="K2585" s="1">
        <f>IF(E2585=0,SUMPRODUCT(($A$2:$A$4734=A2585)*($B$2:$B$4734=B2585)*($D$2:$D$4734=D2585)*($E$2:$E$4734=0)),0)</f>
        <v>0</v>
      </c>
      <c r="L2585" s="1" t="str">
        <f>IF(E2585=0,SUMPRODUCT(MIN($K$2:$K$4734+((($A$2:$A$4734&lt;&gt;A2585)+($E$2:$E$4734&lt;&gt;0))&gt;0)*1000000)),"")</f>
        <v/>
      </c>
      <c r="M2585" s="1">
        <f>IF(AND(E2585=0,COUNTIFS($A$2:A2585,A2585,$E$2:E2585,0)=1),L2585,0)</f>
        <v>0</v>
      </c>
    </row>
    <row r="2586" spans="1:13" ht="15" customHeight="1">
      <c r="A2586" s="1">
        <v>48</v>
      </c>
      <c r="B2586" s="1" t="s">
        <v>9</v>
      </c>
      <c r="C2586" s="1" t="s">
        <v>3012</v>
      </c>
      <c r="D2586" s="2" t="s">
        <v>3013</v>
      </c>
      <c r="E2586" s="1">
        <v>1</v>
      </c>
      <c r="F2586" s="2" t="s">
        <v>3015</v>
      </c>
      <c r="G2586" s="1">
        <v>4</v>
      </c>
      <c r="H2586" s="1" t="str">
        <f t="shared" si="41"/>
        <v>k48_4</v>
      </c>
      <c r="K2586" s="1">
        <f>IF(E2586=0,SUMPRODUCT(($A$2:$A$4734=A2586)*($B$2:$B$4734=B2586)*($D$2:$D$4734=D2586)*($E$2:$E$4734=0)),0)</f>
        <v>0</v>
      </c>
      <c r="L2586" s="1" t="str">
        <f>IF(E2586=0,SUMPRODUCT(MIN($K$2:$K$4734+((($A$2:$A$4734&lt;&gt;A2586)+($E$2:$E$4734&lt;&gt;0))&gt;0)*1000000)),"")</f>
        <v/>
      </c>
      <c r="M2586" s="1">
        <f>IF(AND(E2586=0,COUNTIFS($A$2:A2586,A2586,$E$2:E2586,0)=1),L2586,0)</f>
        <v>0</v>
      </c>
    </row>
    <row r="2587" spans="1:13" ht="15" customHeight="1">
      <c r="A2587" s="1">
        <v>48</v>
      </c>
      <c r="B2587" s="1" t="s">
        <v>9</v>
      </c>
      <c r="C2587" s="1" t="s">
        <v>3012</v>
      </c>
      <c r="D2587" s="2" t="s">
        <v>3013</v>
      </c>
      <c r="E2587" s="1">
        <v>1</v>
      </c>
      <c r="F2587" s="2" t="s">
        <v>3016</v>
      </c>
      <c r="G2587" s="1">
        <v>5</v>
      </c>
      <c r="H2587" s="1" t="str">
        <f t="shared" si="41"/>
        <v>k48_5</v>
      </c>
      <c r="K2587" s="1">
        <f>IF(E2587=0,SUMPRODUCT(($A$2:$A$4734=A2587)*($B$2:$B$4734=B2587)*($D$2:$D$4734=D2587)*($E$2:$E$4734=0)),0)</f>
        <v>0</v>
      </c>
      <c r="L2587" s="1" t="str">
        <f>IF(E2587=0,SUMPRODUCT(MIN($K$2:$K$4734+((($A$2:$A$4734&lt;&gt;A2587)+($E$2:$E$4734&lt;&gt;0))&gt;0)*1000000)),"")</f>
        <v/>
      </c>
      <c r="M2587" s="1">
        <f>IF(AND(E2587=0,COUNTIFS($A$2:A2587,A2587,$E$2:E2587,0)=1),L2587,0)</f>
        <v>0</v>
      </c>
    </row>
    <row r="2588" spans="1:13" ht="15" customHeight="1">
      <c r="A2588" s="1">
        <v>48</v>
      </c>
      <c r="B2588" s="1" t="s">
        <v>9</v>
      </c>
      <c r="C2588" s="1" t="s">
        <v>3012</v>
      </c>
      <c r="D2588" s="2" t="s">
        <v>3017</v>
      </c>
      <c r="E2588" s="1">
        <v>1</v>
      </c>
      <c r="F2588" s="2" t="s">
        <v>3018</v>
      </c>
      <c r="G2588" s="1">
        <v>1</v>
      </c>
      <c r="H2588" s="1" t="str">
        <f t="shared" si="41"/>
        <v>k48_1</v>
      </c>
      <c r="K2588" s="1">
        <f>IF(E2588=0,SUMPRODUCT(($A$2:$A$4734=A2588)*($B$2:$B$4734=B2588)*($D$2:$D$4734=D2588)*($E$2:$E$4734=0)),0)</f>
        <v>0</v>
      </c>
      <c r="L2588" s="1" t="str">
        <f>IF(E2588=0,SUMPRODUCT(MIN($K$2:$K$4734+((($A$2:$A$4734&lt;&gt;A2588)+($E$2:$E$4734&lt;&gt;0))&gt;0)*1000000)),"")</f>
        <v/>
      </c>
      <c r="M2588" s="1">
        <f>IF(AND(E2588=0,COUNTIFS($A$2:A2588,A2588,$E$2:E2588,0)=1),L2588,0)</f>
        <v>0</v>
      </c>
    </row>
    <row r="2589" spans="1:13" ht="15" customHeight="1">
      <c r="A2589" s="1">
        <v>48</v>
      </c>
      <c r="B2589" s="1" t="s">
        <v>9</v>
      </c>
      <c r="C2589" s="1" t="s">
        <v>3012</v>
      </c>
      <c r="D2589" s="2" t="s">
        <v>3017</v>
      </c>
      <c r="E2589" s="1">
        <v>1</v>
      </c>
      <c r="F2589" s="2" t="s">
        <v>3019</v>
      </c>
      <c r="G2589" s="1">
        <v>2</v>
      </c>
      <c r="H2589" s="1" t="str">
        <f t="shared" si="41"/>
        <v>k48_2</v>
      </c>
      <c r="K2589" s="1">
        <f>IF(E2589=0,SUMPRODUCT(($A$2:$A$4734=A2589)*($B$2:$B$4734=B2589)*($D$2:$D$4734=D2589)*($E$2:$E$4734=0)),0)</f>
        <v>0</v>
      </c>
      <c r="L2589" s="1" t="str">
        <f>IF(E2589=0,SUMPRODUCT(MIN($K$2:$K$4734+((($A$2:$A$4734&lt;&gt;A2589)+($E$2:$E$4734&lt;&gt;0))&gt;0)*1000000)),"")</f>
        <v/>
      </c>
      <c r="M2589" s="1">
        <f>IF(AND(E2589=0,COUNTIFS($A$2:A2589,A2589,$E$2:E2589,0)=1),L2589,0)</f>
        <v>0</v>
      </c>
    </row>
    <row r="2590" spans="1:13" ht="15" customHeight="1">
      <c r="A2590" s="1">
        <v>48</v>
      </c>
      <c r="B2590" s="1" t="s">
        <v>9</v>
      </c>
      <c r="C2590" s="1" t="s">
        <v>3012</v>
      </c>
      <c r="D2590" s="2" t="s">
        <v>3017</v>
      </c>
      <c r="E2590" s="1">
        <v>1</v>
      </c>
      <c r="F2590" s="2" t="s">
        <v>3020</v>
      </c>
      <c r="G2590" s="1">
        <v>3</v>
      </c>
      <c r="H2590" s="1" t="str">
        <f t="shared" si="41"/>
        <v>k48_3</v>
      </c>
      <c r="K2590" s="1">
        <f>IF(E2590=0,SUMPRODUCT(($A$2:$A$4734=A2590)*($B$2:$B$4734=B2590)*($D$2:$D$4734=D2590)*($E$2:$E$4734=0)),0)</f>
        <v>0</v>
      </c>
      <c r="L2590" s="1" t="str">
        <f>IF(E2590=0,SUMPRODUCT(MIN($K$2:$K$4734+((($A$2:$A$4734&lt;&gt;A2590)+($E$2:$E$4734&lt;&gt;0))&gt;0)*1000000)),"")</f>
        <v/>
      </c>
      <c r="M2590" s="1">
        <f>IF(AND(E2590=0,COUNTIFS($A$2:A2590,A2590,$E$2:E2590,0)=1),L2590,0)</f>
        <v>0</v>
      </c>
    </row>
    <row r="2591" spans="1:13" ht="15" customHeight="1">
      <c r="A2591" s="1">
        <v>48</v>
      </c>
      <c r="B2591" s="1" t="s">
        <v>9</v>
      </c>
      <c r="C2591" s="1" t="s">
        <v>3012</v>
      </c>
      <c r="D2591" s="2" t="s">
        <v>3017</v>
      </c>
      <c r="E2591" s="1">
        <v>1</v>
      </c>
      <c r="F2591" s="2" t="s">
        <v>3021</v>
      </c>
      <c r="G2591" s="1">
        <v>4</v>
      </c>
      <c r="H2591" s="1" t="str">
        <f t="shared" si="41"/>
        <v>k48_4</v>
      </c>
      <c r="K2591" s="1">
        <f>IF(E2591=0,SUMPRODUCT(($A$2:$A$4734=A2591)*($B$2:$B$4734=B2591)*($D$2:$D$4734=D2591)*($E$2:$E$4734=0)),0)</f>
        <v>0</v>
      </c>
      <c r="L2591" s="1" t="str">
        <f>IF(E2591=0,SUMPRODUCT(MIN($K$2:$K$4734+((($A$2:$A$4734&lt;&gt;A2591)+($E$2:$E$4734&lt;&gt;0))&gt;0)*1000000)),"")</f>
        <v/>
      </c>
      <c r="M2591" s="1">
        <f>IF(AND(E2591=0,COUNTIFS($A$2:A2591,A2591,$E$2:E2591,0)=1),L2591,0)</f>
        <v>0</v>
      </c>
    </row>
    <row r="2592" spans="1:13" ht="15" customHeight="1">
      <c r="A2592" s="1">
        <v>48</v>
      </c>
      <c r="B2592" s="1" t="s">
        <v>9</v>
      </c>
      <c r="C2592" s="1" t="s">
        <v>3012</v>
      </c>
      <c r="D2592" s="2" t="s">
        <v>3017</v>
      </c>
      <c r="E2592" s="1">
        <v>1</v>
      </c>
      <c r="F2592" s="2" t="s">
        <v>3021</v>
      </c>
      <c r="G2592" s="1">
        <v>5</v>
      </c>
      <c r="H2592" s="1" t="str">
        <f t="shared" si="41"/>
        <v>k48_5</v>
      </c>
      <c r="K2592" s="1">
        <f>IF(E2592=0,SUMPRODUCT(($A$2:$A$4734=A2592)*($B$2:$B$4734=B2592)*($D$2:$D$4734=D2592)*($E$2:$E$4734=0)),0)</f>
        <v>0</v>
      </c>
      <c r="L2592" s="1" t="str">
        <f>IF(E2592=0,SUMPRODUCT(MIN($K$2:$K$4734+((($A$2:$A$4734&lt;&gt;A2592)+($E$2:$E$4734&lt;&gt;0))&gt;0)*1000000)),"")</f>
        <v/>
      </c>
      <c r="M2592" s="1">
        <f>IF(AND(E2592=0,COUNTIFS($A$2:A2592,A2592,$E$2:E2592,0)=1),L2592,0)</f>
        <v>0</v>
      </c>
    </row>
    <row r="2593" spans="1:13" ht="15" customHeight="1">
      <c r="A2593" s="1">
        <v>48</v>
      </c>
      <c r="B2593" s="1" t="s">
        <v>144</v>
      </c>
      <c r="C2593" s="1" t="s">
        <v>3012</v>
      </c>
      <c r="D2593" s="2" t="s">
        <v>3022</v>
      </c>
      <c r="E2593" s="1">
        <v>1</v>
      </c>
      <c r="F2593" s="2" t="s">
        <v>3023</v>
      </c>
      <c r="G2593" s="1">
        <v>1</v>
      </c>
      <c r="H2593" s="1" t="str">
        <f t="shared" si="41"/>
        <v>k48_1</v>
      </c>
      <c r="K2593" s="1">
        <f>IF(E2593=0,SUMPRODUCT(($A$2:$A$4734=A2593)*($B$2:$B$4734=B2593)*($D$2:$D$4734=D2593)*($E$2:$E$4734=0)),0)</f>
        <v>0</v>
      </c>
      <c r="L2593" s="1" t="str">
        <f>IF(E2593=0,SUMPRODUCT(MIN($K$2:$K$4734+((($A$2:$A$4734&lt;&gt;A2593)+($E$2:$E$4734&lt;&gt;0))&gt;0)*1000000)),"")</f>
        <v/>
      </c>
      <c r="M2593" s="1">
        <f>IF(AND(E2593=0,COUNTIFS($A$2:A2593,A2593,$E$2:E2593,0)=1),L2593,0)</f>
        <v>0</v>
      </c>
    </row>
    <row r="2594" spans="1:13" ht="15" customHeight="1">
      <c r="A2594" s="1">
        <v>48</v>
      </c>
      <c r="B2594" s="1" t="s">
        <v>144</v>
      </c>
      <c r="C2594" s="1" t="s">
        <v>3012</v>
      </c>
      <c r="D2594" s="2" t="s">
        <v>3022</v>
      </c>
      <c r="E2594" s="1">
        <v>1</v>
      </c>
      <c r="F2594" s="2" t="s">
        <v>3024</v>
      </c>
      <c r="G2594" s="1">
        <v>2</v>
      </c>
      <c r="H2594" s="1" t="str">
        <f t="shared" si="41"/>
        <v>k48_2</v>
      </c>
      <c r="K2594" s="1">
        <f>IF(E2594=0,SUMPRODUCT(($A$2:$A$4734=A2594)*($B$2:$B$4734=B2594)*($D$2:$D$4734=D2594)*($E$2:$E$4734=0)),0)</f>
        <v>0</v>
      </c>
      <c r="L2594" s="1" t="str">
        <f>IF(E2594=0,SUMPRODUCT(MIN($K$2:$K$4734+((($A$2:$A$4734&lt;&gt;A2594)+($E$2:$E$4734&lt;&gt;0))&gt;0)*1000000)),"")</f>
        <v/>
      </c>
      <c r="M2594" s="1">
        <f>IF(AND(E2594=0,COUNTIFS($A$2:A2594,A2594,$E$2:E2594,0)=1),L2594,0)</f>
        <v>0</v>
      </c>
    </row>
    <row r="2595" spans="1:13" ht="15" customHeight="1">
      <c r="A2595" s="1">
        <v>48</v>
      </c>
      <c r="B2595" s="1" t="s">
        <v>144</v>
      </c>
      <c r="C2595" s="1" t="s">
        <v>3012</v>
      </c>
      <c r="D2595" s="2" t="s">
        <v>3022</v>
      </c>
      <c r="E2595" s="1">
        <v>1</v>
      </c>
      <c r="F2595" s="2" t="s">
        <v>3025</v>
      </c>
      <c r="G2595" s="1">
        <v>3</v>
      </c>
      <c r="H2595" s="1" t="str">
        <f t="shared" si="41"/>
        <v>k48_3</v>
      </c>
      <c r="K2595" s="1">
        <f>IF(E2595=0,SUMPRODUCT(($A$2:$A$4734=A2595)*($B$2:$B$4734=B2595)*($D$2:$D$4734=D2595)*($E$2:$E$4734=0)),0)</f>
        <v>0</v>
      </c>
      <c r="L2595" s="1" t="str">
        <f>IF(E2595=0,SUMPRODUCT(MIN($K$2:$K$4734+((($A$2:$A$4734&lt;&gt;A2595)+($E$2:$E$4734&lt;&gt;0))&gt;0)*1000000)),"")</f>
        <v/>
      </c>
      <c r="M2595" s="1">
        <f>IF(AND(E2595=0,COUNTIFS($A$2:A2595,A2595,$E$2:E2595,0)=1),L2595,0)</f>
        <v>0</v>
      </c>
    </row>
    <row r="2596" spans="1:13" ht="15" customHeight="1">
      <c r="A2596" s="1">
        <v>48</v>
      </c>
      <c r="B2596" s="1" t="s">
        <v>144</v>
      </c>
      <c r="C2596" s="1" t="s">
        <v>3012</v>
      </c>
      <c r="D2596" s="2" t="s">
        <v>3022</v>
      </c>
      <c r="E2596" s="1">
        <v>1</v>
      </c>
      <c r="F2596" s="2" t="s">
        <v>3026</v>
      </c>
      <c r="G2596" s="1">
        <v>4</v>
      </c>
      <c r="H2596" s="1" t="str">
        <f t="shared" si="41"/>
        <v>k48_4</v>
      </c>
      <c r="K2596" s="1">
        <f>IF(E2596=0,SUMPRODUCT(($A$2:$A$4734=A2596)*($B$2:$B$4734=B2596)*($D$2:$D$4734=D2596)*($E$2:$E$4734=0)),0)</f>
        <v>0</v>
      </c>
      <c r="L2596" s="1" t="str">
        <f>IF(E2596=0,SUMPRODUCT(MIN($K$2:$K$4734+((($A$2:$A$4734&lt;&gt;A2596)+($E$2:$E$4734&lt;&gt;0))&gt;0)*1000000)),"")</f>
        <v/>
      </c>
      <c r="M2596" s="1">
        <f>IF(AND(E2596=0,COUNTIFS($A$2:A2596,A2596,$E$2:E2596,0)=1),L2596,0)</f>
        <v>0</v>
      </c>
    </row>
    <row r="2597" spans="1:13" ht="15" customHeight="1">
      <c r="A2597" s="1">
        <v>48</v>
      </c>
      <c r="B2597" s="1" t="s">
        <v>144</v>
      </c>
      <c r="C2597" s="1" t="s">
        <v>3012</v>
      </c>
      <c r="D2597" s="2" t="s">
        <v>3022</v>
      </c>
      <c r="E2597" s="1">
        <v>1</v>
      </c>
      <c r="F2597" s="2" t="s">
        <v>3027</v>
      </c>
      <c r="G2597" s="1">
        <v>5</v>
      </c>
      <c r="H2597" s="1" t="str">
        <f t="shared" si="41"/>
        <v>k48_5</v>
      </c>
      <c r="K2597" s="1">
        <f>IF(E2597=0,SUMPRODUCT(($A$2:$A$4734=A2597)*($B$2:$B$4734=B2597)*($D$2:$D$4734=D2597)*($E$2:$E$4734=0)),0)</f>
        <v>0</v>
      </c>
      <c r="L2597" s="1" t="str">
        <f>IF(E2597=0,SUMPRODUCT(MIN($K$2:$K$4734+((($A$2:$A$4734&lt;&gt;A2597)+($E$2:$E$4734&lt;&gt;0))&gt;0)*1000000)),"")</f>
        <v/>
      </c>
      <c r="M2597" s="1">
        <f>IF(AND(E2597=0,COUNTIFS($A$2:A2597,A2597,$E$2:E2597,0)=1),L2597,0)</f>
        <v>0</v>
      </c>
    </row>
    <row r="2598" spans="1:13" ht="15" customHeight="1">
      <c r="A2598" s="1">
        <v>49</v>
      </c>
      <c r="B2598" s="1" t="s">
        <v>9</v>
      </c>
      <c r="C2598" s="2" t="s">
        <v>3028</v>
      </c>
      <c r="D2598" s="2" t="s">
        <v>3029</v>
      </c>
      <c r="E2598" s="1">
        <v>0</v>
      </c>
      <c r="F2598" s="2" t="s">
        <v>3030</v>
      </c>
      <c r="H2598" s="1" t="str">
        <f t="shared" si="41"/>
        <v/>
      </c>
      <c r="K2598" s="1">
        <f>IF(E2598=0,SUMPRODUCT(($A$2:$A$4734=A2598)*($B$2:$B$4734=B2598)*($D$2:$D$4734=D2598)*($E$2:$E$4734=0)),0)</f>
        <v>2</v>
      </c>
      <c r="L2598" s="1">
        <f>IF(E2598=0,SUMPRODUCT(MIN($K$2:$K$4734+((($A$2:$A$4734&lt;&gt;A2598)+($E$2:$E$4734&lt;&gt;0))&gt;0)*1000000)),"")</f>
        <v>2</v>
      </c>
      <c r="M2598" s="1">
        <f>IF(AND(E2598=0,COUNTIFS($A$2:A2598,A2598,$E$2:E2598,0)=1),L2598,0)</f>
        <v>2</v>
      </c>
    </row>
    <row r="2599" spans="1:13" ht="15" customHeight="1">
      <c r="A2599" s="1">
        <v>49</v>
      </c>
      <c r="B2599" s="1" t="s">
        <v>9</v>
      </c>
      <c r="C2599" s="2" t="s">
        <v>3028</v>
      </c>
      <c r="D2599" s="2" t="s">
        <v>3029</v>
      </c>
      <c r="E2599" s="1">
        <v>0</v>
      </c>
      <c r="F2599" s="2" t="s">
        <v>3031</v>
      </c>
      <c r="H2599" s="1" t="str">
        <f t="shared" si="41"/>
        <v/>
      </c>
      <c r="K2599" s="1">
        <f>IF(E2599=0,SUMPRODUCT(($A$2:$A$4734=A2599)*($B$2:$B$4734=B2599)*($D$2:$D$4734=D2599)*($E$2:$E$4734=0)),0)</f>
        <v>2</v>
      </c>
      <c r="L2599" s="1">
        <f>IF(E2599=0,SUMPRODUCT(MIN($K$2:$K$4734+((($A$2:$A$4734&lt;&gt;A2599)+($E$2:$E$4734&lt;&gt;0))&gt;0)*1000000)),"")</f>
        <v>2</v>
      </c>
      <c r="M2599" s="1">
        <f>IF(AND(E2599=0,COUNTIFS($A$2:A2599,A2599,$E$2:E2599,0)=1),L2599,0)</f>
        <v>0</v>
      </c>
    </row>
    <row r="2600" spans="1:13" ht="15" customHeight="1">
      <c r="A2600" s="1">
        <v>50</v>
      </c>
      <c r="B2600" s="1" t="s">
        <v>1236</v>
      </c>
      <c r="C2600" s="1" t="s">
        <v>3032</v>
      </c>
      <c r="D2600" s="2" t="s">
        <v>3033</v>
      </c>
      <c r="E2600" s="1">
        <v>1</v>
      </c>
      <c r="F2600" s="2" t="s">
        <v>3034</v>
      </c>
      <c r="G2600" s="1">
        <v>1</v>
      </c>
      <c r="H2600" s="1" t="str">
        <f t="shared" si="41"/>
        <v>k50_1</v>
      </c>
      <c r="K2600" s="1">
        <f>IF(E2600=0,SUMPRODUCT(($A$2:$A$4734=A2600)*($B$2:$B$4734=B2600)*($D$2:$D$4734=D2600)*($E$2:$E$4734=0)),0)</f>
        <v>0</v>
      </c>
      <c r="L2600" s="1" t="str">
        <f>IF(E2600=0,SUMPRODUCT(MIN($K$2:$K$4734+((($A$2:$A$4734&lt;&gt;A2600)+($E$2:$E$4734&lt;&gt;0))&gt;0)*1000000)),"")</f>
        <v/>
      </c>
      <c r="M2600" s="1">
        <f>IF(AND(E2600=0,COUNTIFS($A$2:A2600,A2600,$E$2:E2600,0)=1),L2600,0)</f>
        <v>0</v>
      </c>
    </row>
    <row r="2601" spans="1:13" ht="15" customHeight="1">
      <c r="A2601" s="1">
        <v>50</v>
      </c>
      <c r="B2601" s="1" t="s">
        <v>1236</v>
      </c>
      <c r="C2601" s="1" t="s">
        <v>3032</v>
      </c>
      <c r="D2601" s="2" t="s">
        <v>3033</v>
      </c>
      <c r="E2601" s="1">
        <v>1</v>
      </c>
      <c r="F2601" s="2" t="s">
        <v>3035</v>
      </c>
      <c r="G2601" s="1">
        <v>2</v>
      </c>
      <c r="H2601" s="1" t="str">
        <f t="shared" si="41"/>
        <v>k50_2</v>
      </c>
      <c r="K2601" s="1">
        <f>IF(E2601=0,SUMPRODUCT(($A$2:$A$4734=A2601)*($B$2:$B$4734=B2601)*($D$2:$D$4734=D2601)*($E$2:$E$4734=0)),0)</f>
        <v>0</v>
      </c>
      <c r="L2601" s="1" t="str">
        <f>IF(E2601=0,SUMPRODUCT(MIN($K$2:$K$4734+((($A$2:$A$4734&lt;&gt;A2601)+($E$2:$E$4734&lt;&gt;0))&gt;0)*1000000)),"")</f>
        <v/>
      </c>
      <c r="M2601" s="1">
        <f>IF(AND(E2601=0,COUNTIFS($A$2:A2601,A2601,$E$2:E2601,0)=1),L2601,0)</f>
        <v>0</v>
      </c>
    </row>
    <row r="2602" spans="1:13" ht="15" customHeight="1">
      <c r="A2602" s="1">
        <v>50</v>
      </c>
      <c r="B2602" s="1" t="s">
        <v>1236</v>
      </c>
      <c r="C2602" s="1" t="s">
        <v>3032</v>
      </c>
      <c r="D2602" s="2" t="s">
        <v>3033</v>
      </c>
      <c r="E2602" s="1">
        <v>1</v>
      </c>
      <c r="F2602" s="2" t="s">
        <v>3036</v>
      </c>
      <c r="G2602" s="1">
        <v>3</v>
      </c>
      <c r="H2602" s="1" t="str">
        <f t="shared" si="41"/>
        <v>k50_3</v>
      </c>
      <c r="K2602" s="1">
        <f>IF(E2602=0,SUMPRODUCT(($A$2:$A$4734=A2602)*($B$2:$B$4734=B2602)*($D$2:$D$4734=D2602)*($E$2:$E$4734=0)),0)</f>
        <v>0</v>
      </c>
      <c r="L2602" s="1" t="str">
        <f>IF(E2602=0,SUMPRODUCT(MIN($K$2:$K$4734+((($A$2:$A$4734&lt;&gt;A2602)+($E$2:$E$4734&lt;&gt;0))&gt;0)*1000000)),"")</f>
        <v/>
      </c>
      <c r="M2602" s="1">
        <f>IF(AND(E2602=0,COUNTIFS($A$2:A2602,A2602,$E$2:E2602,0)=1),L2602,0)</f>
        <v>0</v>
      </c>
    </row>
    <row r="2603" spans="1:13" ht="15" customHeight="1">
      <c r="A2603" s="1">
        <v>50</v>
      </c>
      <c r="B2603" s="1" t="s">
        <v>1236</v>
      </c>
      <c r="C2603" s="1" t="s">
        <v>3032</v>
      </c>
      <c r="D2603" s="2" t="s">
        <v>3033</v>
      </c>
      <c r="E2603" s="1">
        <v>1</v>
      </c>
      <c r="F2603" s="2" t="s">
        <v>3037</v>
      </c>
      <c r="G2603" s="1">
        <v>4</v>
      </c>
      <c r="H2603" s="1" t="str">
        <f t="shared" si="41"/>
        <v>k50_4</v>
      </c>
      <c r="K2603" s="1">
        <f>IF(E2603=0,SUMPRODUCT(($A$2:$A$4734=A2603)*($B$2:$B$4734=B2603)*($D$2:$D$4734=D2603)*($E$2:$E$4734=0)),0)</f>
        <v>0</v>
      </c>
      <c r="L2603" s="1" t="str">
        <f>IF(E2603=0,SUMPRODUCT(MIN($K$2:$K$4734+((($A$2:$A$4734&lt;&gt;A2603)+($E$2:$E$4734&lt;&gt;0))&gt;0)*1000000)),"")</f>
        <v/>
      </c>
      <c r="M2603" s="1">
        <f>IF(AND(E2603=0,COUNTIFS($A$2:A2603,A2603,$E$2:E2603,0)=1),L2603,0)</f>
        <v>0</v>
      </c>
    </row>
    <row r="2604" spans="1:13" ht="15" customHeight="1">
      <c r="A2604" s="1">
        <v>51</v>
      </c>
      <c r="B2604" s="1" t="s">
        <v>9</v>
      </c>
      <c r="C2604" s="2" t="s">
        <v>3038</v>
      </c>
      <c r="D2604" s="2" t="s">
        <v>3039</v>
      </c>
      <c r="E2604" s="1">
        <v>1</v>
      </c>
      <c r="F2604" s="2" t="s">
        <v>3040</v>
      </c>
      <c r="G2604" s="1">
        <v>1</v>
      </c>
      <c r="H2604" s="1" t="str">
        <f t="shared" si="41"/>
        <v>k51_1</v>
      </c>
      <c r="K2604" s="1">
        <f>IF(E2604=0,SUMPRODUCT(($A$2:$A$4734=A2604)*($B$2:$B$4734=B2604)*($D$2:$D$4734=D2604)*($E$2:$E$4734=0)),0)</f>
        <v>0</v>
      </c>
      <c r="L2604" s="1" t="str">
        <f>IF(E2604=0,SUMPRODUCT(MIN($K$2:$K$4734+((($A$2:$A$4734&lt;&gt;A2604)+($E$2:$E$4734&lt;&gt;0))&gt;0)*1000000)),"")</f>
        <v/>
      </c>
      <c r="M2604" s="1">
        <f>IF(AND(E2604=0,COUNTIFS($A$2:A2604,A2604,$E$2:E2604,0)=1),L2604,0)</f>
        <v>0</v>
      </c>
    </row>
    <row r="2605" spans="1:13" ht="15" customHeight="1">
      <c r="A2605" s="1">
        <v>51</v>
      </c>
      <c r="B2605" s="1" t="s">
        <v>9</v>
      </c>
      <c r="C2605" s="2" t="s">
        <v>3038</v>
      </c>
      <c r="D2605" s="2" t="s">
        <v>3039</v>
      </c>
      <c r="E2605" s="1">
        <v>1</v>
      </c>
      <c r="F2605" s="2" t="s">
        <v>3041</v>
      </c>
      <c r="G2605" s="1">
        <v>2</v>
      </c>
      <c r="H2605" s="1" t="str">
        <f t="shared" si="41"/>
        <v>k51_2</v>
      </c>
      <c r="K2605" s="1">
        <f>IF(E2605=0,SUMPRODUCT(($A$2:$A$4734=A2605)*($B$2:$B$4734=B2605)*($D$2:$D$4734=D2605)*($E$2:$E$4734=0)),0)</f>
        <v>0</v>
      </c>
      <c r="L2605" s="1" t="str">
        <f>IF(E2605=0,SUMPRODUCT(MIN($K$2:$K$4734+((($A$2:$A$4734&lt;&gt;A2605)+($E$2:$E$4734&lt;&gt;0))&gt;0)*1000000)),"")</f>
        <v/>
      </c>
      <c r="M2605" s="1">
        <f>IF(AND(E2605=0,COUNTIFS($A$2:A2605,A2605,$E$2:E2605,0)=1),L2605,0)</f>
        <v>0</v>
      </c>
    </row>
    <row r="2606" spans="1:13" ht="15" customHeight="1">
      <c r="A2606" s="1">
        <v>51</v>
      </c>
      <c r="B2606" s="1" t="s">
        <v>9</v>
      </c>
      <c r="C2606" s="2" t="s">
        <v>3038</v>
      </c>
      <c r="D2606" s="2" t="s">
        <v>3039</v>
      </c>
      <c r="E2606" s="1">
        <v>1</v>
      </c>
      <c r="F2606" s="2" t="s">
        <v>3042</v>
      </c>
      <c r="G2606" s="1">
        <v>3</v>
      </c>
      <c r="H2606" s="1" t="str">
        <f t="shared" si="41"/>
        <v>k51_3</v>
      </c>
      <c r="K2606" s="1">
        <f>IF(E2606=0,SUMPRODUCT(($A$2:$A$4734=A2606)*($B$2:$B$4734=B2606)*($D$2:$D$4734=D2606)*($E$2:$E$4734=0)),0)</f>
        <v>0</v>
      </c>
      <c r="L2606" s="1" t="str">
        <f>IF(E2606=0,SUMPRODUCT(MIN($K$2:$K$4734+((($A$2:$A$4734&lt;&gt;A2606)+($E$2:$E$4734&lt;&gt;0))&gt;0)*1000000)),"")</f>
        <v/>
      </c>
      <c r="M2606" s="1">
        <f>IF(AND(E2606=0,COUNTIFS($A$2:A2606,A2606,$E$2:E2606,0)=1),L2606,0)</f>
        <v>0</v>
      </c>
    </row>
    <row r="2607" spans="1:13" ht="15" customHeight="1">
      <c r="A2607" s="1">
        <v>51</v>
      </c>
      <c r="B2607" s="1" t="s">
        <v>9</v>
      </c>
      <c r="C2607" s="2" t="s">
        <v>3038</v>
      </c>
      <c r="D2607" s="2" t="s">
        <v>3039</v>
      </c>
      <c r="E2607" s="1">
        <v>1</v>
      </c>
      <c r="F2607" s="2" t="s">
        <v>3043</v>
      </c>
      <c r="G2607" s="1">
        <v>4</v>
      </c>
      <c r="H2607" s="1" t="str">
        <f t="shared" si="41"/>
        <v>k51_4</v>
      </c>
      <c r="K2607" s="1">
        <f>IF(E2607=0,SUMPRODUCT(($A$2:$A$4734=A2607)*($B$2:$B$4734=B2607)*($D$2:$D$4734=D2607)*($E$2:$E$4734=0)),0)</f>
        <v>0</v>
      </c>
      <c r="L2607" s="1" t="str">
        <f>IF(E2607=0,SUMPRODUCT(MIN($K$2:$K$4734+((($A$2:$A$4734&lt;&gt;A2607)+($E$2:$E$4734&lt;&gt;0))&gt;0)*1000000)),"")</f>
        <v/>
      </c>
      <c r="M2607" s="1">
        <f>IF(AND(E2607=0,COUNTIFS($A$2:A2607,A2607,$E$2:E2607,0)=1),L2607,0)</f>
        <v>0</v>
      </c>
    </row>
    <row r="2608" spans="1:13" ht="15" customHeight="1">
      <c r="A2608" s="1">
        <v>51</v>
      </c>
      <c r="B2608" s="1" t="s">
        <v>9</v>
      </c>
      <c r="C2608" s="2" t="s">
        <v>3038</v>
      </c>
      <c r="D2608" s="2" t="s">
        <v>3039</v>
      </c>
      <c r="E2608" s="1">
        <v>1</v>
      </c>
      <c r="F2608" s="2" t="s">
        <v>3044</v>
      </c>
      <c r="G2608" s="1">
        <v>5</v>
      </c>
      <c r="H2608" s="1" t="str">
        <f t="shared" si="41"/>
        <v>k51_5</v>
      </c>
      <c r="K2608" s="1">
        <f>IF(E2608=0,SUMPRODUCT(($A$2:$A$4734=A2608)*($B$2:$B$4734=B2608)*($D$2:$D$4734=D2608)*($E$2:$E$4734=0)),0)</f>
        <v>0</v>
      </c>
      <c r="L2608" s="1" t="str">
        <f>IF(E2608=0,SUMPRODUCT(MIN($K$2:$K$4734+((($A$2:$A$4734&lt;&gt;A2608)+($E$2:$E$4734&lt;&gt;0))&gt;0)*1000000)),"")</f>
        <v/>
      </c>
      <c r="M2608" s="1">
        <f>IF(AND(E2608=0,COUNTIFS($A$2:A2608,A2608,$E$2:E2608,0)=1),L2608,0)</f>
        <v>0</v>
      </c>
    </row>
    <row r="2609" spans="1:13" ht="15" customHeight="1">
      <c r="A2609" s="1">
        <v>51</v>
      </c>
      <c r="B2609" s="1" t="s">
        <v>9</v>
      </c>
      <c r="C2609" s="2" t="s">
        <v>3038</v>
      </c>
      <c r="D2609" s="2" t="s">
        <v>3045</v>
      </c>
      <c r="E2609" s="1">
        <v>1</v>
      </c>
      <c r="F2609" s="2" t="s">
        <v>3046</v>
      </c>
      <c r="G2609" s="1">
        <v>1</v>
      </c>
      <c r="H2609" s="1" t="str">
        <f t="shared" si="41"/>
        <v>k51_1</v>
      </c>
      <c r="K2609" s="1">
        <f>IF(E2609=0,SUMPRODUCT(($A$2:$A$4734=A2609)*($B$2:$B$4734=B2609)*($D$2:$D$4734=D2609)*($E$2:$E$4734=0)),0)</f>
        <v>0</v>
      </c>
      <c r="L2609" s="1" t="str">
        <f>IF(E2609=0,SUMPRODUCT(MIN($K$2:$K$4734+((($A$2:$A$4734&lt;&gt;A2609)+($E$2:$E$4734&lt;&gt;0))&gt;0)*1000000)),"")</f>
        <v/>
      </c>
      <c r="M2609" s="1">
        <f>IF(AND(E2609=0,COUNTIFS($A$2:A2609,A2609,$E$2:E2609,0)=1),L2609,0)</f>
        <v>0</v>
      </c>
    </row>
    <row r="2610" spans="1:13" ht="15" customHeight="1">
      <c r="A2610" s="1">
        <v>51</v>
      </c>
      <c r="B2610" s="1" t="s">
        <v>9</v>
      </c>
      <c r="C2610" s="2" t="s">
        <v>3038</v>
      </c>
      <c r="D2610" s="2" t="s">
        <v>3045</v>
      </c>
      <c r="E2610" s="1">
        <v>1</v>
      </c>
      <c r="F2610" s="2" t="s">
        <v>3047</v>
      </c>
      <c r="G2610" s="1">
        <v>2</v>
      </c>
      <c r="H2610" s="1" t="str">
        <f t="shared" si="41"/>
        <v>k51_2</v>
      </c>
      <c r="K2610" s="1">
        <f>IF(E2610=0,SUMPRODUCT(($A$2:$A$4734=A2610)*($B$2:$B$4734=B2610)*($D$2:$D$4734=D2610)*($E$2:$E$4734=0)),0)</f>
        <v>0</v>
      </c>
      <c r="L2610" s="1" t="str">
        <f>IF(E2610=0,SUMPRODUCT(MIN($K$2:$K$4734+((($A$2:$A$4734&lt;&gt;A2610)+($E$2:$E$4734&lt;&gt;0))&gt;0)*1000000)),"")</f>
        <v/>
      </c>
      <c r="M2610" s="1">
        <f>IF(AND(E2610=0,COUNTIFS($A$2:A2610,A2610,$E$2:E2610,0)=1),L2610,0)</f>
        <v>0</v>
      </c>
    </row>
    <row r="2611" spans="1:13" ht="15" customHeight="1">
      <c r="A2611" s="1">
        <v>51</v>
      </c>
      <c r="B2611" s="1" t="s">
        <v>9</v>
      </c>
      <c r="C2611" s="2" t="s">
        <v>3038</v>
      </c>
      <c r="D2611" s="2" t="s">
        <v>3045</v>
      </c>
      <c r="E2611" s="1">
        <v>1</v>
      </c>
      <c r="F2611" s="2" t="s">
        <v>3047</v>
      </c>
      <c r="G2611" s="1">
        <v>4</v>
      </c>
      <c r="H2611" s="1" t="str">
        <f t="shared" si="41"/>
        <v>k51_4</v>
      </c>
      <c r="K2611" s="1">
        <f>IF(E2611=0,SUMPRODUCT(($A$2:$A$4734=A2611)*($B$2:$B$4734=B2611)*($D$2:$D$4734=D2611)*($E$2:$E$4734=0)),0)</f>
        <v>0</v>
      </c>
      <c r="L2611" s="1" t="str">
        <f>IF(E2611=0,SUMPRODUCT(MIN($K$2:$K$4734+((($A$2:$A$4734&lt;&gt;A2611)+($E$2:$E$4734&lt;&gt;0))&gt;0)*1000000)),"")</f>
        <v/>
      </c>
      <c r="M2611" s="1">
        <f>IF(AND(E2611=0,COUNTIFS($A$2:A2611,A2611,$E$2:E2611,0)=1),L2611,0)</f>
        <v>0</v>
      </c>
    </row>
    <row r="2612" spans="1:13" ht="15" customHeight="1">
      <c r="A2612" s="1">
        <v>51</v>
      </c>
      <c r="B2612" s="1" t="s">
        <v>9</v>
      </c>
      <c r="C2612" s="2" t="s">
        <v>3038</v>
      </c>
      <c r="D2612" s="2" t="s">
        <v>3045</v>
      </c>
      <c r="E2612" s="1">
        <v>1</v>
      </c>
      <c r="F2612" s="2" t="s">
        <v>3048</v>
      </c>
      <c r="G2612" s="1">
        <v>3</v>
      </c>
      <c r="H2612" s="1" t="str">
        <f t="shared" si="41"/>
        <v>k51_3</v>
      </c>
      <c r="K2612" s="1">
        <f>IF(E2612=0,SUMPRODUCT(($A$2:$A$4734=A2612)*($B$2:$B$4734=B2612)*($D$2:$D$4734=D2612)*($E$2:$E$4734=0)),0)</f>
        <v>0</v>
      </c>
      <c r="L2612" s="1" t="str">
        <f>IF(E2612=0,SUMPRODUCT(MIN($K$2:$K$4734+((($A$2:$A$4734&lt;&gt;A2612)+($E$2:$E$4734&lt;&gt;0))&gt;0)*1000000)),"")</f>
        <v/>
      </c>
      <c r="M2612" s="1">
        <f>IF(AND(E2612=0,COUNTIFS($A$2:A2612,A2612,$E$2:E2612,0)=1),L2612,0)</f>
        <v>0</v>
      </c>
    </row>
    <row r="2613" spans="1:13" ht="15" customHeight="1">
      <c r="A2613" s="1">
        <v>51</v>
      </c>
      <c r="B2613" s="1" t="s">
        <v>9</v>
      </c>
      <c r="C2613" s="2" t="s">
        <v>3038</v>
      </c>
      <c r="D2613" s="2" t="s">
        <v>3045</v>
      </c>
      <c r="E2613" s="1">
        <v>1</v>
      </c>
      <c r="F2613" s="2" t="s">
        <v>3049</v>
      </c>
      <c r="G2613" s="1">
        <v>5</v>
      </c>
      <c r="H2613" s="1" t="str">
        <f t="shared" si="41"/>
        <v>k51_5</v>
      </c>
      <c r="K2613" s="1">
        <f>IF(E2613=0,SUMPRODUCT(($A$2:$A$4734=A2613)*($B$2:$B$4734=B2613)*($D$2:$D$4734=D2613)*($E$2:$E$4734=0)),0)</f>
        <v>0</v>
      </c>
      <c r="L2613" s="1" t="str">
        <f>IF(E2613=0,SUMPRODUCT(MIN($K$2:$K$4734+((($A$2:$A$4734&lt;&gt;A2613)+($E$2:$E$4734&lt;&gt;0))&gt;0)*1000000)),"")</f>
        <v/>
      </c>
      <c r="M2613" s="1">
        <f>IF(AND(E2613=0,COUNTIFS($A$2:A2613,A2613,$E$2:E2613,0)=1),L2613,0)</f>
        <v>0</v>
      </c>
    </row>
    <row r="2614" spans="1:13" ht="15" customHeight="1">
      <c r="A2614" s="1">
        <v>51</v>
      </c>
      <c r="B2614" s="1" t="s">
        <v>9</v>
      </c>
      <c r="C2614" s="2" t="s">
        <v>3038</v>
      </c>
      <c r="D2614" s="2" t="s">
        <v>3050</v>
      </c>
      <c r="E2614" s="1">
        <v>1</v>
      </c>
      <c r="F2614" s="2" t="s">
        <v>3051</v>
      </c>
      <c r="G2614" s="1">
        <v>1</v>
      </c>
      <c r="H2614" s="1" t="str">
        <f t="shared" si="41"/>
        <v>k51_1</v>
      </c>
      <c r="K2614" s="1">
        <f>IF(E2614=0,SUMPRODUCT(($A$2:$A$4734=A2614)*($B$2:$B$4734=B2614)*($D$2:$D$4734=D2614)*($E$2:$E$4734=0)),0)</f>
        <v>0</v>
      </c>
      <c r="L2614" s="1" t="str">
        <f>IF(E2614=0,SUMPRODUCT(MIN($K$2:$K$4734+((($A$2:$A$4734&lt;&gt;A2614)+($E$2:$E$4734&lt;&gt;0))&gt;0)*1000000)),"")</f>
        <v/>
      </c>
      <c r="M2614" s="1">
        <f>IF(AND(E2614=0,COUNTIFS($A$2:A2614,A2614,$E$2:E2614,0)=1),L2614,0)</f>
        <v>0</v>
      </c>
    </row>
    <row r="2615" spans="1:13" ht="15" customHeight="1">
      <c r="A2615" s="1">
        <v>51</v>
      </c>
      <c r="B2615" s="1" t="s">
        <v>9</v>
      </c>
      <c r="C2615" s="2" t="s">
        <v>3038</v>
      </c>
      <c r="D2615" s="2" t="s">
        <v>3050</v>
      </c>
      <c r="E2615" s="1">
        <v>1</v>
      </c>
      <c r="F2615" s="2" t="s">
        <v>3052</v>
      </c>
      <c r="G2615" s="1">
        <v>2</v>
      </c>
      <c r="H2615" s="1" t="str">
        <f t="shared" si="41"/>
        <v>k51_2</v>
      </c>
      <c r="K2615" s="1">
        <f>IF(E2615=0,SUMPRODUCT(($A$2:$A$4734=A2615)*($B$2:$B$4734=B2615)*($D$2:$D$4734=D2615)*($E$2:$E$4734=0)),0)</f>
        <v>0</v>
      </c>
      <c r="L2615" s="1" t="str">
        <f>IF(E2615=0,SUMPRODUCT(MIN($K$2:$K$4734+((($A$2:$A$4734&lt;&gt;A2615)+($E$2:$E$4734&lt;&gt;0))&gt;0)*1000000)),"")</f>
        <v/>
      </c>
      <c r="M2615" s="1">
        <f>IF(AND(E2615=0,COUNTIFS($A$2:A2615,A2615,$E$2:E2615,0)=1),L2615,0)</f>
        <v>0</v>
      </c>
    </row>
    <row r="2616" spans="1:13" ht="15" customHeight="1">
      <c r="A2616" s="1">
        <v>51</v>
      </c>
      <c r="B2616" s="1" t="s">
        <v>9</v>
      </c>
      <c r="C2616" s="2" t="s">
        <v>3038</v>
      </c>
      <c r="D2616" s="2" t="s">
        <v>3050</v>
      </c>
      <c r="E2616" s="1">
        <v>1</v>
      </c>
      <c r="F2616" s="2" t="s">
        <v>3053</v>
      </c>
      <c r="G2616" s="1">
        <v>3</v>
      </c>
      <c r="H2616" s="1" t="str">
        <f t="shared" si="41"/>
        <v>k51_3</v>
      </c>
      <c r="K2616" s="1">
        <f>IF(E2616=0,SUMPRODUCT(($A$2:$A$4734=A2616)*($B$2:$B$4734=B2616)*($D$2:$D$4734=D2616)*($E$2:$E$4734=0)),0)</f>
        <v>0</v>
      </c>
      <c r="L2616" s="1" t="str">
        <f>IF(E2616=0,SUMPRODUCT(MIN($K$2:$K$4734+((($A$2:$A$4734&lt;&gt;A2616)+($E$2:$E$4734&lt;&gt;0))&gt;0)*1000000)),"")</f>
        <v/>
      </c>
      <c r="M2616" s="1">
        <f>IF(AND(E2616=0,COUNTIFS($A$2:A2616,A2616,$E$2:E2616,0)=1),L2616,0)</f>
        <v>0</v>
      </c>
    </row>
    <row r="2617" spans="1:13" ht="15" customHeight="1">
      <c r="A2617" s="1">
        <v>51</v>
      </c>
      <c r="B2617" s="1" t="s">
        <v>9</v>
      </c>
      <c r="C2617" s="2" t="s">
        <v>3038</v>
      </c>
      <c r="D2617" s="2" t="s">
        <v>3050</v>
      </c>
      <c r="E2617" s="1">
        <v>1</v>
      </c>
      <c r="F2617" s="2" t="s">
        <v>3054</v>
      </c>
      <c r="G2617" s="1">
        <v>4</v>
      </c>
      <c r="H2617" s="1" t="str">
        <f t="shared" si="41"/>
        <v>k51_4</v>
      </c>
      <c r="K2617" s="1">
        <f>IF(E2617=0,SUMPRODUCT(($A$2:$A$4734=A2617)*($B$2:$B$4734=B2617)*($D$2:$D$4734=D2617)*($E$2:$E$4734=0)),0)</f>
        <v>0</v>
      </c>
      <c r="L2617" s="1" t="str">
        <f>IF(E2617=0,SUMPRODUCT(MIN($K$2:$K$4734+((($A$2:$A$4734&lt;&gt;A2617)+($E$2:$E$4734&lt;&gt;0))&gt;0)*1000000)),"")</f>
        <v/>
      </c>
      <c r="M2617" s="1">
        <f>IF(AND(E2617=0,COUNTIFS($A$2:A2617,A2617,$E$2:E2617,0)=1),L2617,0)</f>
        <v>0</v>
      </c>
    </row>
    <row r="2618" spans="1:13" ht="15" customHeight="1">
      <c r="A2618" s="1">
        <v>51</v>
      </c>
      <c r="B2618" s="1" t="s">
        <v>9</v>
      </c>
      <c r="C2618" s="2" t="s">
        <v>3038</v>
      </c>
      <c r="D2618" s="2" t="s">
        <v>3050</v>
      </c>
      <c r="E2618" s="1">
        <v>1</v>
      </c>
      <c r="F2618" s="2" t="s">
        <v>3055</v>
      </c>
      <c r="G2618" s="1">
        <v>5</v>
      </c>
      <c r="H2618" s="1" t="str">
        <f t="shared" si="41"/>
        <v>k51_5</v>
      </c>
      <c r="K2618" s="1">
        <f>IF(E2618=0,SUMPRODUCT(($A$2:$A$4734=A2618)*($B$2:$B$4734=B2618)*($D$2:$D$4734=D2618)*($E$2:$E$4734=0)),0)</f>
        <v>0</v>
      </c>
      <c r="L2618" s="1" t="str">
        <f>IF(E2618=0,SUMPRODUCT(MIN($K$2:$K$4734+((($A$2:$A$4734&lt;&gt;A2618)+($E$2:$E$4734&lt;&gt;0))&gt;0)*1000000)),"")</f>
        <v/>
      </c>
      <c r="M2618" s="1">
        <f>IF(AND(E2618=0,COUNTIFS($A$2:A2618,A2618,$E$2:E2618,0)=1),L2618,0)</f>
        <v>0</v>
      </c>
    </row>
    <row r="2619" spans="1:13" ht="15" customHeight="1">
      <c r="A2619" s="1">
        <v>51</v>
      </c>
      <c r="B2619" s="1" t="s">
        <v>144</v>
      </c>
      <c r="C2619" s="2" t="s">
        <v>3038</v>
      </c>
      <c r="D2619" s="2" t="s">
        <v>3056</v>
      </c>
      <c r="E2619" s="1">
        <v>1</v>
      </c>
      <c r="F2619" s="2" t="s">
        <v>3057</v>
      </c>
      <c r="G2619" s="1">
        <v>1</v>
      </c>
      <c r="H2619" s="1" t="str">
        <f t="shared" si="41"/>
        <v>k51_1</v>
      </c>
      <c r="K2619" s="1">
        <f>IF(E2619=0,SUMPRODUCT(($A$2:$A$4734=A2619)*($B$2:$B$4734=B2619)*($D$2:$D$4734=D2619)*($E$2:$E$4734=0)),0)</f>
        <v>0</v>
      </c>
      <c r="L2619" s="1" t="str">
        <f>IF(E2619=0,SUMPRODUCT(MIN($K$2:$K$4734+((($A$2:$A$4734&lt;&gt;A2619)+($E$2:$E$4734&lt;&gt;0))&gt;0)*1000000)),"")</f>
        <v/>
      </c>
      <c r="M2619" s="1">
        <f>IF(AND(E2619=0,COUNTIFS($A$2:A2619,A2619,$E$2:E2619,0)=1),L2619,0)</f>
        <v>0</v>
      </c>
    </row>
    <row r="2620" spans="1:13" ht="15" customHeight="1">
      <c r="A2620" s="1">
        <v>51</v>
      </c>
      <c r="B2620" s="1" t="s">
        <v>144</v>
      </c>
      <c r="C2620" s="2" t="s">
        <v>3038</v>
      </c>
      <c r="D2620" s="2" t="s">
        <v>3056</v>
      </c>
      <c r="E2620" s="1">
        <v>1</v>
      </c>
      <c r="F2620" s="2" t="s">
        <v>3058</v>
      </c>
      <c r="G2620" s="1">
        <v>2</v>
      </c>
      <c r="H2620" s="1" t="str">
        <f t="shared" si="41"/>
        <v>k51_2</v>
      </c>
      <c r="K2620" s="1">
        <f>IF(E2620=0,SUMPRODUCT(($A$2:$A$4734=A2620)*($B$2:$B$4734=B2620)*($D$2:$D$4734=D2620)*($E$2:$E$4734=0)),0)</f>
        <v>0</v>
      </c>
      <c r="L2620" s="1" t="str">
        <f>IF(E2620=0,SUMPRODUCT(MIN($K$2:$K$4734+((($A$2:$A$4734&lt;&gt;A2620)+($E$2:$E$4734&lt;&gt;0))&gt;0)*1000000)),"")</f>
        <v/>
      </c>
      <c r="M2620" s="1">
        <f>IF(AND(E2620=0,COUNTIFS($A$2:A2620,A2620,$E$2:E2620,0)=1),L2620,0)</f>
        <v>0</v>
      </c>
    </row>
    <row r="2621" spans="1:13" ht="15" customHeight="1">
      <c r="A2621" s="1">
        <v>51</v>
      </c>
      <c r="B2621" s="1" t="s">
        <v>144</v>
      </c>
      <c r="C2621" s="2" t="s">
        <v>3038</v>
      </c>
      <c r="D2621" s="2" t="s">
        <v>3056</v>
      </c>
      <c r="E2621" s="1">
        <v>1</v>
      </c>
      <c r="F2621" s="2" t="s">
        <v>3059</v>
      </c>
      <c r="G2621" s="1">
        <v>3</v>
      </c>
      <c r="H2621" s="1" t="str">
        <f t="shared" si="41"/>
        <v>k51_3</v>
      </c>
      <c r="K2621" s="1">
        <f>IF(E2621=0,SUMPRODUCT(($A$2:$A$4734=A2621)*($B$2:$B$4734=B2621)*($D$2:$D$4734=D2621)*($E$2:$E$4734=0)),0)</f>
        <v>0</v>
      </c>
      <c r="L2621" s="1" t="str">
        <f>IF(E2621=0,SUMPRODUCT(MIN($K$2:$K$4734+((($A$2:$A$4734&lt;&gt;A2621)+($E$2:$E$4734&lt;&gt;0))&gt;0)*1000000)),"")</f>
        <v/>
      </c>
      <c r="M2621" s="1">
        <f>IF(AND(E2621=0,COUNTIFS($A$2:A2621,A2621,$E$2:E2621,0)=1),L2621,0)</f>
        <v>0</v>
      </c>
    </row>
    <row r="2622" spans="1:13" ht="15" customHeight="1">
      <c r="A2622" s="1">
        <v>51</v>
      </c>
      <c r="B2622" s="1" t="s">
        <v>144</v>
      </c>
      <c r="C2622" s="2" t="s">
        <v>3038</v>
      </c>
      <c r="D2622" s="2" t="s">
        <v>3056</v>
      </c>
      <c r="E2622" s="1">
        <v>1</v>
      </c>
      <c r="F2622" s="2" t="s">
        <v>3060</v>
      </c>
      <c r="G2622" s="1">
        <v>4</v>
      </c>
      <c r="H2622" s="1" t="str">
        <f t="shared" si="41"/>
        <v>k51_4</v>
      </c>
      <c r="K2622" s="1">
        <f>IF(E2622=0,SUMPRODUCT(($A$2:$A$4734=A2622)*($B$2:$B$4734=B2622)*($D$2:$D$4734=D2622)*($E$2:$E$4734=0)),0)</f>
        <v>0</v>
      </c>
      <c r="L2622" s="1" t="str">
        <f>IF(E2622=0,SUMPRODUCT(MIN($K$2:$K$4734+((($A$2:$A$4734&lt;&gt;A2622)+($E$2:$E$4734&lt;&gt;0))&gt;0)*1000000)),"")</f>
        <v/>
      </c>
      <c r="M2622" s="1">
        <f>IF(AND(E2622=0,COUNTIFS($A$2:A2622,A2622,$E$2:E2622,0)=1),L2622,0)</f>
        <v>0</v>
      </c>
    </row>
    <row r="2623" spans="1:13" ht="15" customHeight="1">
      <c r="A2623" s="1">
        <v>51</v>
      </c>
      <c r="B2623" s="1" t="s">
        <v>144</v>
      </c>
      <c r="C2623" s="2" t="s">
        <v>3038</v>
      </c>
      <c r="D2623" s="2" t="s">
        <v>3056</v>
      </c>
      <c r="E2623" s="1">
        <v>1</v>
      </c>
      <c r="F2623" s="2" t="s">
        <v>3061</v>
      </c>
      <c r="G2623" s="1">
        <v>5</v>
      </c>
      <c r="H2623" s="1" t="str">
        <f t="shared" si="41"/>
        <v>k51_5</v>
      </c>
      <c r="K2623" s="1">
        <f>IF(E2623=0,SUMPRODUCT(($A$2:$A$4734=A2623)*($B$2:$B$4734=B2623)*($D$2:$D$4734=D2623)*($E$2:$E$4734=0)),0)</f>
        <v>0</v>
      </c>
      <c r="L2623" s="1" t="str">
        <f>IF(E2623=0,SUMPRODUCT(MIN($K$2:$K$4734+((($A$2:$A$4734&lt;&gt;A2623)+($E$2:$E$4734&lt;&gt;0))&gt;0)*1000000)),"")</f>
        <v/>
      </c>
      <c r="M2623" s="1">
        <f>IF(AND(E2623=0,COUNTIFS($A$2:A2623,A2623,$E$2:E2623,0)=1),L2623,0)</f>
        <v>0</v>
      </c>
    </row>
    <row r="2624" spans="1:13" ht="15" customHeight="1">
      <c r="A2624" s="1">
        <v>52</v>
      </c>
      <c r="B2624" s="1" t="s">
        <v>9</v>
      </c>
      <c r="C2624" s="2" t="s">
        <v>3062</v>
      </c>
      <c r="D2624" s="2" t="s">
        <v>3063</v>
      </c>
      <c r="E2624" s="1">
        <v>0</v>
      </c>
      <c r="F2624" s="2" t="s">
        <v>3064</v>
      </c>
      <c r="H2624" s="1" t="str">
        <f t="shared" si="41"/>
        <v/>
      </c>
      <c r="K2624" s="1">
        <f>IF(E2624=0,SUMPRODUCT(($A$2:$A$4734=A2624)*($B$2:$B$4734=B2624)*($D$2:$D$4734=D2624)*($E$2:$E$4734=0)),0)</f>
        <v>2</v>
      </c>
      <c r="L2624" s="1">
        <f>IF(E2624=0,SUMPRODUCT(MIN($K$2:$K$4734+((($A$2:$A$4734&lt;&gt;A2624)+($E$2:$E$4734&lt;&gt;0))&gt;0)*1000000)),"")</f>
        <v>2</v>
      </c>
      <c r="M2624" s="1">
        <f>IF(AND(E2624=0,COUNTIFS($A$2:A2624,A2624,$E$2:E2624,0)=1),L2624,0)</f>
        <v>2</v>
      </c>
    </row>
    <row r="2625" spans="1:13" ht="15" customHeight="1">
      <c r="A2625" s="1">
        <v>52</v>
      </c>
      <c r="B2625" s="1" t="s">
        <v>9</v>
      </c>
      <c r="C2625" s="2" t="s">
        <v>3062</v>
      </c>
      <c r="D2625" s="2" t="s">
        <v>3063</v>
      </c>
      <c r="E2625" s="1">
        <v>0</v>
      </c>
      <c r="F2625" s="2" t="s">
        <v>3065</v>
      </c>
      <c r="H2625" s="1" t="str">
        <f t="shared" si="41"/>
        <v/>
      </c>
      <c r="K2625" s="1">
        <f>IF(E2625=0,SUMPRODUCT(($A$2:$A$4734=A2625)*($B$2:$B$4734=B2625)*($D$2:$D$4734=D2625)*($E$2:$E$4734=0)),0)</f>
        <v>2</v>
      </c>
      <c r="L2625" s="1">
        <f>IF(E2625=0,SUMPRODUCT(MIN($K$2:$K$4734+((($A$2:$A$4734&lt;&gt;A2625)+($E$2:$E$4734&lt;&gt;0))&gt;0)*1000000)),"")</f>
        <v>2</v>
      </c>
      <c r="M2625" s="1">
        <f>IF(AND(E2625=0,COUNTIFS($A$2:A2625,A2625,$E$2:E2625,0)=1),L2625,0)</f>
        <v>0</v>
      </c>
    </row>
    <row r="2626" spans="1:13" ht="15" customHeight="1">
      <c r="A2626" s="1">
        <v>53</v>
      </c>
      <c r="B2626" s="1" t="s">
        <v>95</v>
      </c>
      <c r="C2626" s="2" t="s">
        <v>3066</v>
      </c>
      <c r="D2626" s="2" t="s">
        <v>3067</v>
      </c>
      <c r="E2626" s="1">
        <v>1</v>
      </c>
      <c r="F2626" s="2" t="s">
        <v>3068</v>
      </c>
      <c r="G2626" s="1">
        <v>1</v>
      </c>
      <c r="H2626" s="1" t="str">
        <f t="shared" si="41"/>
        <v>k53_1</v>
      </c>
      <c r="K2626" s="1">
        <f>IF(E2626=0,SUMPRODUCT(($A$2:$A$4734=A2626)*($B$2:$B$4734=B2626)*($D$2:$D$4734=D2626)*($E$2:$E$4734=0)),0)</f>
        <v>0</v>
      </c>
      <c r="L2626" s="1" t="str">
        <f>IF(E2626=0,SUMPRODUCT(MIN($K$2:$K$4734+((($A$2:$A$4734&lt;&gt;A2626)+($E$2:$E$4734&lt;&gt;0))&gt;0)*1000000)),"")</f>
        <v/>
      </c>
      <c r="M2626" s="1">
        <f>IF(AND(E2626=0,COUNTIFS($A$2:A2626,A2626,$E$2:E2626,0)=1),L2626,0)</f>
        <v>0</v>
      </c>
    </row>
    <row r="2627" spans="1:13" ht="15" customHeight="1">
      <c r="A2627" s="1">
        <v>53</v>
      </c>
      <c r="B2627" s="1" t="s">
        <v>95</v>
      </c>
      <c r="C2627" s="2" t="s">
        <v>3069</v>
      </c>
      <c r="D2627" s="2" t="s">
        <v>3067</v>
      </c>
      <c r="E2627" s="1">
        <v>1</v>
      </c>
      <c r="F2627" s="2" t="s">
        <v>3070</v>
      </c>
      <c r="G2627" s="1">
        <v>2</v>
      </c>
      <c r="H2627" s="1" t="str">
        <f t="shared" si="41"/>
        <v>k53_2</v>
      </c>
      <c r="K2627" s="1">
        <f>IF(E2627=0,SUMPRODUCT(($A$2:$A$4734=A2627)*($B$2:$B$4734=B2627)*($D$2:$D$4734=D2627)*($E$2:$E$4734=0)),0)</f>
        <v>0</v>
      </c>
      <c r="L2627" s="1" t="str">
        <f>IF(E2627=0,SUMPRODUCT(MIN($K$2:$K$4734+((($A$2:$A$4734&lt;&gt;A2627)+($E$2:$E$4734&lt;&gt;0))&gt;0)*1000000)),"")</f>
        <v/>
      </c>
      <c r="M2627" s="1">
        <f>IF(AND(E2627=0,COUNTIFS($A$2:A2627,A2627,$E$2:E2627,0)=1),L2627,0)</f>
        <v>0</v>
      </c>
    </row>
    <row r="2628" spans="1:13" ht="15" customHeight="1">
      <c r="A2628" s="1">
        <v>53</v>
      </c>
      <c r="B2628" s="1" t="s">
        <v>95</v>
      </c>
      <c r="C2628" s="2" t="s">
        <v>3071</v>
      </c>
      <c r="D2628" s="2" t="s">
        <v>3067</v>
      </c>
      <c r="E2628" s="1">
        <v>1</v>
      </c>
      <c r="F2628" s="2" t="s">
        <v>3072</v>
      </c>
      <c r="G2628" s="1">
        <v>3</v>
      </c>
      <c r="H2628" s="1" t="str">
        <f t="shared" si="41"/>
        <v>k53_3</v>
      </c>
      <c r="K2628" s="1">
        <f>IF(E2628=0,SUMPRODUCT(($A$2:$A$4734=A2628)*($B$2:$B$4734=B2628)*($D$2:$D$4734=D2628)*($E$2:$E$4734=0)),0)</f>
        <v>0</v>
      </c>
      <c r="L2628" s="1" t="str">
        <f>IF(E2628=0,SUMPRODUCT(MIN($K$2:$K$4734+((($A$2:$A$4734&lt;&gt;A2628)+($E$2:$E$4734&lt;&gt;0))&gt;0)*1000000)),"")</f>
        <v/>
      </c>
      <c r="M2628" s="1">
        <f>IF(AND(E2628=0,COUNTIFS($A$2:A2628,A2628,$E$2:E2628,0)=1),L2628,0)</f>
        <v>0</v>
      </c>
    </row>
    <row r="2629" spans="1:13" ht="15" customHeight="1">
      <c r="A2629" s="1">
        <v>53</v>
      </c>
      <c r="B2629" s="1" t="s">
        <v>95</v>
      </c>
      <c r="C2629" s="2" t="s">
        <v>3073</v>
      </c>
      <c r="D2629" s="2" t="s">
        <v>3067</v>
      </c>
      <c r="E2629" s="1">
        <v>1</v>
      </c>
      <c r="F2629" s="2" t="s">
        <v>3074</v>
      </c>
      <c r="G2629" s="1">
        <v>4</v>
      </c>
      <c r="H2629" s="1" t="str">
        <f t="shared" si="41"/>
        <v>k53_4</v>
      </c>
      <c r="K2629" s="1">
        <f>IF(E2629=0,SUMPRODUCT(($A$2:$A$4734=A2629)*($B$2:$B$4734=B2629)*($D$2:$D$4734=D2629)*($E$2:$E$4734=0)),0)</f>
        <v>0</v>
      </c>
      <c r="L2629" s="1" t="str">
        <f>IF(E2629=0,SUMPRODUCT(MIN($K$2:$K$4734+((($A$2:$A$4734&lt;&gt;A2629)+($E$2:$E$4734&lt;&gt;0))&gt;0)*1000000)),"")</f>
        <v/>
      </c>
      <c r="M2629" s="1">
        <f>IF(AND(E2629=0,COUNTIFS($A$2:A2629,A2629,$E$2:E2629,0)=1),L2629,0)</f>
        <v>0</v>
      </c>
    </row>
    <row r="2630" spans="1:13" ht="15" customHeight="1">
      <c r="A2630" s="1">
        <v>54</v>
      </c>
      <c r="B2630" s="1" t="s">
        <v>161</v>
      </c>
      <c r="C2630" s="2" t="s">
        <v>3075</v>
      </c>
      <c r="D2630" s="2" t="s">
        <v>3076</v>
      </c>
      <c r="E2630" s="1">
        <v>1</v>
      </c>
      <c r="F2630" s="2" t="s">
        <v>3077</v>
      </c>
      <c r="G2630" s="1">
        <v>1</v>
      </c>
      <c r="H2630" s="1" t="str">
        <f t="shared" si="41"/>
        <v>k54_1</v>
      </c>
      <c r="K2630" s="1">
        <f>IF(E2630=0,SUMPRODUCT(($A$2:$A$4734=A2630)*($B$2:$B$4734=B2630)*($D$2:$D$4734=D2630)*($E$2:$E$4734=0)),0)</f>
        <v>0</v>
      </c>
      <c r="L2630" s="1" t="str">
        <f>IF(E2630=0,SUMPRODUCT(MIN($K$2:$K$4734+((($A$2:$A$4734&lt;&gt;A2630)+($E$2:$E$4734&lt;&gt;0))&gt;0)*1000000)),"")</f>
        <v/>
      </c>
      <c r="M2630" s="1">
        <f>IF(AND(E2630=0,COUNTIFS($A$2:A2630,A2630,$E$2:E2630,0)=1),L2630,0)</f>
        <v>0</v>
      </c>
    </row>
    <row r="2631" spans="1:13" ht="15" customHeight="1">
      <c r="A2631" s="1">
        <v>54</v>
      </c>
      <c r="B2631" s="1" t="s">
        <v>161</v>
      </c>
      <c r="C2631" s="2" t="s">
        <v>3075</v>
      </c>
      <c r="D2631" s="2" t="s">
        <v>3076</v>
      </c>
      <c r="E2631" s="1">
        <v>1</v>
      </c>
      <c r="F2631" s="2" t="s">
        <v>3078</v>
      </c>
      <c r="G2631" s="1">
        <v>2</v>
      </c>
      <c r="H2631" s="1" t="str">
        <f t="shared" si="41"/>
        <v>k54_2</v>
      </c>
      <c r="K2631" s="1">
        <f>IF(E2631=0,SUMPRODUCT(($A$2:$A$4734=A2631)*($B$2:$B$4734=B2631)*($D$2:$D$4734=D2631)*($E$2:$E$4734=0)),0)</f>
        <v>0</v>
      </c>
      <c r="L2631" s="1" t="str">
        <f>IF(E2631=0,SUMPRODUCT(MIN($K$2:$K$4734+((($A$2:$A$4734&lt;&gt;A2631)+($E$2:$E$4734&lt;&gt;0))&gt;0)*1000000)),"")</f>
        <v/>
      </c>
      <c r="M2631" s="1">
        <f>IF(AND(E2631=0,COUNTIFS($A$2:A2631,A2631,$E$2:E2631,0)=1),L2631,0)</f>
        <v>0</v>
      </c>
    </row>
    <row r="2632" spans="1:13" ht="15" customHeight="1">
      <c r="A2632" s="1">
        <v>54</v>
      </c>
      <c r="B2632" s="1" t="s">
        <v>161</v>
      </c>
      <c r="C2632" s="2" t="s">
        <v>3075</v>
      </c>
      <c r="D2632" s="2" t="s">
        <v>3076</v>
      </c>
      <c r="E2632" s="1">
        <v>1</v>
      </c>
      <c r="F2632" s="2" t="s">
        <v>3079</v>
      </c>
      <c r="G2632" s="1">
        <v>3</v>
      </c>
      <c r="H2632" s="1" t="str">
        <f t="shared" ref="H2632:H2689" si="42">IF(OR(E2632&lt;&gt;1,G2632=""),"","k"&amp;A2632&amp;"_"&amp;G2632)</f>
        <v>k54_3</v>
      </c>
      <c r="K2632" s="1">
        <f>IF(E2632=0,SUMPRODUCT(($A$2:$A$4734=A2632)*($B$2:$B$4734=B2632)*($D$2:$D$4734=D2632)*($E$2:$E$4734=0)),0)</f>
        <v>0</v>
      </c>
      <c r="L2632" s="1" t="str">
        <f>IF(E2632=0,SUMPRODUCT(MIN($K$2:$K$4734+((($A$2:$A$4734&lt;&gt;A2632)+($E$2:$E$4734&lt;&gt;0))&gt;0)*1000000)),"")</f>
        <v/>
      </c>
      <c r="M2632" s="1">
        <f>IF(AND(E2632=0,COUNTIFS($A$2:A2632,A2632,$E$2:E2632,0)=1),L2632,0)</f>
        <v>0</v>
      </c>
    </row>
    <row r="2633" spans="1:13" ht="15" customHeight="1">
      <c r="A2633" s="1">
        <v>54</v>
      </c>
      <c r="B2633" s="1" t="s">
        <v>161</v>
      </c>
      <c r="C2633" s="2" t="s">
        <v>3075</v>
      </c>
      <c r="D2633" s="2" t="s">
        <v>3076</v>
      </c>
      <c r="E2633" s="1">
        <v>1</v>
      </c>
      <c r="F2633" s="2" t="s">
        <v>3080</v>
      </c>
      <c r="G2633" s="1">
        <v>4</v>
      </c>
      <c r="H2633" s="1" t="str">
        <f t="shared" si="42"/>
        <v>k54_4</v>
      </c>
      <c r="K2633" s="1">
        <f>IF(E2633=0,SUMPRODUCT(($A$2:$A$4734=A2633)*($B$2:$B$4734=B2633)*($D$2:$D$4734=D2633)*($E$2:$E$4734=0)),0)</f>
        <v>0</v>
      </c>
      <c r="L2633" s="1" t="str">
        <f>IF(E2633=0,SUMPRODUCT(MIN($K$2:$K$4734+((($A$2:$A$4734&lt;&gt;A2633)+($E$2:$E$4734&lt;&gt;0))&gt;0)*1000000)),"")</f>
        <v/>
      </c>
      <c r="M2633" s="1">
        <f>IF(AND(E2633=0,COUNTIFS($A$2:A2633,A2633,$E$2:E2633,0)=1),L2633,0)</f>
        <v>0</v>
      </c>
    </row>
    <row r="2634" spans="1:13" ht="15" customHeight="1">
      <c r="A2634" s="1">
        <v>54</v>
      </c>
      <c r="B2634" s="1" t="s">
        <v>161</v>
      </c>
      <c r="C2634" s="2" t="s">
        <v>3075</v>
      </c>
      <c r="D2634" s="2" t="s">
        <v>3076</v>
      </c>
      <c r="E2634" s="1">
        <v>1</v>
      </c>
      <c r="F2634" s="2" t="s">
        <v>3081</v>
      </c>
      <c r="G2634" s="1">
        <v>5</v>
      </c>
      <c r="H2634" s="1" t="str">
        <f t="shared" si="42"/>
        <v>k54_5</v>
      </c>
      <c r="K2634" s="1">
        <f>IF(E2634=0,SUMPRODUCT(($A$2:$A$4734=A2634)*($B$2:$B$4734=B2634)*($D$2:$D$4734=D2634)*($E$2:$E$4734=0)),0)</f>
        <v>0</v>
      </c>
      <c r="L2634" s="1" t="str">
        <f>IF(E2634=0,SUMPRODUCT(MIN($K$2:$K$4734+((($A$2:$A$4734&lt;&gt;A2634)+($E$2:$E$4734&lt;&gt;0))&gt;0)*1000000)),"")</f>
        <v/>
      </c>
      <c r="M2634" s="1">
        <f>IF(AND(E2634=0,COUNTIFS($A$2:A2634,A2634,$E$2:E2634,0)=1),L2634,0)</f>
        <v>0</v>
      </c>
    </row>
    <row r="2635" spans="1:13" ht="15" customHeight="1">
      <c r="A2635" s="1">
        <v>55</v>
      </c>
      <c r="B2635" s="1" t="s">
        <v>9</v>
      </c>
      <c r="C2635" s="2" t="s">
        <v>3082</v>
      </c>
      <c r="D2635" s="2" t="s">
        <v>3083</v>
      </c>
      <c r="E2635" s="1">
        <v>0</v>
      </c>
      <c r="F2635" s="2" t="s">
        <v>3084</v>
      </c>
      <c r="H2635" s="1" t="str">
        <f t="shared" si="42"/>
        <v/>
      </c>
      <c r="K2635" s="1">
        <f>IF(E2635=0,SUMPRODUCT(($A$2:$A$4734=A2635)*($B$2:$B$4734=B2635)*($D$2:$D$4734=D2635)*($E$2:$E$4734=0)),0)</f>
        <v>4</v>
      </c>
      <c r="L2635" s="1">
        <f>IF(E2635=0,SUMPRODUCT(MIN($K$2:$K$4734+((($A$2:$A$4734&lt;&gt;A2635)+($E$2:$E$4734&lt;&gt;0))&gt;0)*1000000)),"")</f>
        <v>4</v>
      </c>
      <c r="M2635" s="1">
        <f>IF(AND(E2635=0,COUNTIFS($A$2:A2635,A2635,$E$2:E2635,0)=1),L2635,0)</f>
        <v>4</v>
      </c>
    </row>
    <row r="2636" spans="1:13" ht="15" customHeight="1">
      <c r="A2636" s="1">
        <v>55</v>
      </c>
      <c r="B2636" s="1" t="s">
        <v>9</v>
      </c>
      <c r="C2636" s="2" t="s">
        <v>3082</v>
      </c>
      <c r="D2636" s="2" t="s">
        <v>3083</v>
      </c>
      <c r="E2636" s="1">
        <v>0</v>
      </c>
      <c r="F2636" s="2" t="s">
        <v>3085</v>
      </c>
      <c r="H2636" s="1" t="str">
        <f t="shared" si="42"/>
        <v/>
      </c>
      <c r="K2636" s="1">
        <f>IF(E2636=0,SUMPRODUCT(($A$2:$A$4734=A2636)*($B$2:$B$4734=B2636)*($D$2:$D$4734=D2636)*($E$2:$E$4734=0)),0)</f>
        <v>4</v>
      </c>
      <c r="L2636" s="1">
        <f>IF(E2636=0,SUMPRODUCT(MIN($K$2:$K$4734+((($A$2:$A$4734&lt;&gt;A2636)+($E$2:$E$4734&lt;&gt;0))&gt;0)*1000000)),"")</f>
        <v>4</v>
      </c>
      <c r="M2636" s="1">
        <f>IF(AND(E2636=0,COUNTIFS($A$2:A2636,A2636,$E$2:E2636,0)=1),L2636,0)</f>
        <v>0</v>
      </c>
    </row>
    <row r="2637" spans="1:13" ht="15" customHeight="1">
      <c r="A2637" s="1">
        <v>55</v>
      </c>
      <c r="B2637" s="1" t="s">
        <v>9</v>
      </c>
      <c r="C2637" s="2" t="s">
        <v>3082</v>
      </c>
      <c r="D2637" s="2" t="s">
        <v>3083</v>
      </c>
      <c r="E2637" s="1">
        <v>0</v>
      </c>
      <c r="F2637" s="2" t="s">
        <v>3086</v>
      </c>
      <c r="H2637" s="1" t="str">
        <f t="shared" si="42"/>
        <v/>
      </c>
      <c r="K2637" s="1">
        <f>IF(E2637=0,SUMPRODUCT(($A$2:$A$4734=A2637)*($B$2:$B$4734=B2637)*($D$2:$D$4734=D2637)*($E$2:$E$4734=0)),0)</f>
        <v>4</v>
      </c>
      <c r="L2637" s="1">
        <f>IF(E2637=0,SUMPRODUCT(MIN($K$2:$K$4734+((($A$2:$A$4734&lt;&gt;A2637)+($E$2:$E$4734&lt;&gt;0))&gt;0)*1000000)),"")</f>
        <v>4</v>
      </c>
      <c r="M2637" s="1">
        <f>IF(AND(E2637=0,COUNTIFS($A$2:A2637,A2637,$E$2:E2637,0)=1),L2637,0)</f>
        <v>0</v>
      </c>
    </row>
    <row r="2638" spans="1:13" ht="15" customHeight="1">
      <c r="A2638" s="1">
        <v>55</v>
      </c>
      <c r="B2638" s="1" t="s">
        <v>9</v>
      </c>
      <c r="C2638" s="2" t="s">
        <v>3082</v>
      </c>
      <c r="D2638" s="2" t="s">
        <v>3083</v>
      </c>
      <c r="E2638" s="1">
        <v>0</v>
      </c>
      <c r="F2638" s="2" t="s">
        <v>3087</v>
      </c>
      <c r="H2638" s="1" t="str">
        <f t="shared" si="42"/>
        <v/>
      </c>
      <c r="K2638" s="1">
        <f>IF(E2638=0,SUMPRODUCT(($A$2:$A$4734=A2638)*($B$2:$B$4734=B2638)*($D$2:$D$4734=D2638)*($E$2:$E$4734=0)),0)</f>
        <v>4</v>
      </c>
      <c r="L2638" s="1">
        <f>IF(E2638=0,SUMPRODUCT(MIN($K$2:$K$4734+((($A$2:$A$4734&lt;&gt;A2638)+($E$2:$E$4734&lt;&gt;0))&gt;0)*1000000)),"")</f>
        <v>4</v>
      </c>
      <c r="M2638" s="1">
        <f>IF(AND(E2638=0,COUNTIFS($A$2:A2638,A2638,$E$2:E2638,0)=1),L2638,0)</f>
        <v>0</v>
      </c>
    </row>
    <row r="2639" spans="1:13" ht="15" customHeight="1">
      <c r="A2639" s="1">
        <v>56</v>
      </c>
      <c r="B2639" s="1" t="s">
        <v>358</v>
      </c>
      <c r="C2639" s="2" t="s">
        <v>3088</v>
      </c>
      <c r="D2639" s="2" t="s">
        <v>3089</v>
      </c>
      <c r="E2639" s="1">
        <v>1</v>
      </c>
      <c r="F2639" s="2" t="s">
        <v>3090</v>
      </c>
      <c r="G2639" s="1">
        <v>1</v>
      </c>
      <c r="H2639" s="1" t="str">
        <f t="shared" si="42"/>
        <v>k56_1</v>
      </c>
      <c r="K2639" s="1">
        <f>IF(E2639=0,SUMPRODUCT(($A$2:$A$4734=A2639)*($B$2:$B$4734=B2639)*($D$2:$D$4734=D2639)*($E$2:$E$4734=0)),0)</f>
        <v>0</v>
      </c>
      <c r="L2639" s="1" t="str">
        <f>IF(E2639=0,SUMPRODUCT(MIN($K$2:$K$4734+((($A$2:$A$4734&lt;&gt;A2639)+($E$2:$E$4734&lt;&gt;0))&gt;0)*1000000)),"")</f>
        <v/>
      </c>
      <c r="M2639" s="1">
        <f>IF(AND(E2639=0,COUNTIFS($A$2:A2639,A2639,$E$2:E2639,0)=1),L2639,0)</f>
        <v>0</v>
      </c>
    </row>
    <row r="2640" spans="1:13" ht="15" customHeight="1">
      <c r="A2640" s="1">
        <v>56</v>
      </c>
      <c r="B2640" s="1" t="s">
        <v>358</v>
      </c>
      <c r="C2640" s="2" t="s">
        <v>3088</v>
      </c>
      <c r="D2640" s="2" t="s">
        <v>3089</v>
      </c>
      <c r="E2640" s="1">
        <v>1</v>
      </c>
      <c r="F2640" s="2" t="s">
        <v>3091</v>
      </c>
      <c r="G2640" s="1">
        <v>2</v>
      </c>
      <c r="H2640" s="1" t="str">
        <f t="shared" si="42"/>
        <v>k56_2</v>
      </c>
      <c r="K2640" s="1">
        <f>IF(E2640=0,SUMPRODUCT(($A$2:$A$4734=A2640)*($B$2:$B$4734=B2640)*($D$2:$D$4734=D2640)*($E$2:$E$4734=0)),0)</f>
        <v>0</v>
      </c>
      <c r="L2640" s="1" t="str">
        <f>IF(E2640=0,SUMPRODUCT(MIN($K$2:$K$4734+((($A$2:$A$4734&lt;&gt;A2640)+($E$2:$E$4734&lt;&gt;0))&gt;0)*1000000)),"")</f>
        <v/>
      </c>
      <c r="M2640" s="1">
        <f>IF(AND(E2640=0,COUNTIFS($A$2:A2640,A2640,$E$2:E2640,0)=1),L2640,0)</f>
        <v>0</v>
      </c>
    </row>
    <row r="2641" spans="1:13" ht="15" customHeight="1">
      <c r="A2641" s="1">
        <v>56</v>
      </c>
      <c r="B2641" s="1" t="s">
        <v>358</v>
      </c>
      <c r="C2641" s="2" t="s">
        <v>3088</v>
      </c>
      <c r="D2641" s="2" t="s">
        <v>3089</v>
      </c>
      <c r="E2641" s="1">
        <v>1</v>
      </c>
      <c r="F2641" s="2" t="s">
        <v>3092</v>
      </c>
      <c r="G2641" s="1">
        <v>3</v>
      </c>
      <c r="H2641" s="1" t="str">
        <f t="shared" si="42"/>
        <v>k56_3</v>
      </c>
      <c r="K2641" s="1">
        <f>IF(E2641=0,SUMPRODUCT(($A$2:$A$4734=A2641)*($B$2:$B$4734=B2641)*($D$2:$D$4734=D2641)*($E$2:$E$4734=0)),0)</f>
        <v>0</v>
      </c>
      <c r="L2641" s="1" t="str">
        <f>IF(E2641=0,SUMPRODUCT(MIN($K$2:$K$4734+((($A$2:$A$4734&lt;&gt;A2641)+($E$2:$E$4734&lt;&gt;0))&gt;0)*1000000)),"")</f>
        <v/>
      </c>
      <c r="M2641" s="1">
        <f>IF(AND(E2641=0,COUNTIFS($A$2:A2641,A2641,$E$2:E2641,0)=1),L2641,0)</f>
        <v>0</v>
      </c>
    </row>
    <row r="2642" spans="1:13" ht="15" customHeight="1">
      <c r="A2642" s="1">
        <v>56</v>
      </c>
      <c r="B2642" s="1" t="s">
        <v>358</v>
      </c>
      <c r="C2642" s="2" t="s">
        <v>3088</v>
      </c>
      <c r="D2642" s="2" t="s">
        <v>3089</v>
      </c>
      <c r="E2642" s="1">
        <v>1</v>
      </c>
      <c r="F2642" s="2" t="s">
        <v>3093</v>
      </c>
      <c r="G2642" s="1">
        <v>4</v>
      </c>
      <c r="H2642" s="1" t="str">
        <f t="shared" si="42"/>
        <v>k56_4</v>
      </c>
      <c r="K2642" s="1">
        <f>IF(E2642=0,SUMPRODUCT(($A$2:$A$4734=A2642)*($B$2:$B$4734=B2642)*($D$2:$D$4734=D2642)*($E$2:$E$4734=0)),0)</f>
        <v>0</v>
      </c>
      <c r="L2642" s="1" t="str">
        <f>IF(E2642=0,SUMPRODUCT(MIN($K$2:$K$4734+((($A$2:$A$4734&lt;&gt;A2642)+($E$2:$E$4734&lt;&gt;0))&gt;0)*1000000)),"")</f>
        <v/>
      </c>
      <c r="M2642" s="1">
        <f>IF(AND(E2642=0,COUNTIFS($A$2:A2642,A2642,$E$2:E2642,0)=1),L2642,0)</f>
        <v>0</v>
      </c>
    </row>
    <row r="2643" spans="1:13" ht="15" customHeight="1">
      <c r="A2643" s="1">
        <v>56</v>
      </c>
      <c r="B2643" s="1" t="s">
        <v>16</v>
      </c>
      <c r="C2643" s="2" t="s">
        <v>3088</v>
      </c>
      <c r="D2643" s="2" t="s">
        <v>3094</v>
      </c>
      <c r="E2643" s="1">
        <v>1</v>
      </c>
      <c r="F2643" s="2" t="s">
        <v>1377</v>
      </c>
      <c r="G2643" s="1">
        <v>3</v>
      </c>
      <c r="H2643" s="1" t="str">
        <f t="shared" si="42"/>
        <v>k56_3</v>
      </c>
      <c r="K2643" s="1">
        <f>IF(E2643=0,SUMPRODUCT(($A$2:$A$4734=A2643)*($B$2:$B$4734=B2643)*($D$2:$D$4734=D2643)*($E$2:$E$4734=0)),0)</f>
        <v>0</v>
      </c>
      <c r="L2643" s="1" t="str">
        <f>IF(E2643=0,SUMPRODUCT(MIN($K$2:$K$4734+((($A$2:$A$4734&lt;&gt;A2643)+($E$2:$E$4734&lt;&gt;0))&gt;0)*1000000)),"")</f>
        <v/>
      </c>
      <c r="M2643" s="1">
        <f>IF(AND(E2643=0,COUNTIFS($A$2:A2643,A2643,$E$2:E2643,0)=1),L2643,0)</f>
        <v>0</v>
      </c>
    </row>
    <row r="2644" spans="1:13" ht="15" customHeight="1">
      <c r="A2644" s="1">
        <v>56</v>
      </c>
      <c r="B2644" s="1" t="s">
        <v>16</v>
      </c>
      <c r="C2644" s="2" t="s">
        <v>3088</v>
      </c>
      <c r="D2644" s="2" t="s">
        <v>3094</v>
      </c>
      <c r="E2644" s="1">
        <v>1</v>
      </c>
      <c r="F2644" s="2" t="s">
        <v>1377</v>
      </c>
      <c r="G2644" s="1">
        <v>4</v>
      </c>
      <c r="H2644" s="1" t="str">
        <f t="shared" si="42"/>
        <v>k56_4</v>
      </c>
      <c r="K2644" s="1">
        <f>IF(E2644=0,SUMPRODUCT(($A$2:$A$4734=A2644)*($B$2:$B$4734=B2644)*($D$2:$D$4734=D2644)*($E$2:$E$4734=0)),0)</f>
        <v>0</v>
      </c>
      <c r="L2644" s="1" t="str">
        <f>IF(E2644=0,SUMPRODUCT(MIN($K$2:$K$4734+((($A$2:$A$4734&lt;&gt;A2644)+($E$2:$E$4734&lt;&gt;0))&gt;0)*1000000)),"")</f>
        <v/>
      </c>
      <c r="M2644" s="1">
        <f>IF(AND(E2644=0,COUNTIFS($A$2:A2644,A2644,$E$2:E2644,0)=1),L2644,0)</f>
        <v>0</v>
      </c>
    </row>
    <row r="2645" spans="1:13" ht="15" customHeight="1">
      <c r="A2645" s="1">
        <v>56</v>
      </c>
      <c r="B2645" s="1" t="s">
        <v>16</v>
      </c>
      <c r="C2645" s="2" t="s">
        <v>3088</v>
      </c>
      <c r="D2645" s="2" t="s">
        <v>3094</v>
      </c>
      <c r="E2645" s="1">
        <v>1</v>
      </c>
      <c r="F2645" s="2" t="s">
        <v>3095</v>
      </c>
      <c r="G2645" s="1">
        <v>2</v>
      </c>
      <c r="H2645" s="1" t="str">
        <f t="shared" si="42"/>
        <v>k56_2</v>
      </c>
      <c r="K2645" s="1">
        <f>IF(E2645=0,SUMPRODUCT(($A$2:$A$4734=A2645)*($B$2:$B$4734=B2645)*($D$2:$D$4734=D2645)*($E$2:$E$4734=0)),0)</f>
        <v>0</v>
      </c>
      <c r="L2645" s="1" t="str">
        <f>IF(E2645=0,SUMPRODUCT(MIN($K$2:$K$4734+((($A$2:$A$4734&lt;&gt;A2645)+($E$2:$E$4734&lt;&gt;0))&gt;0)*1000000)),"")</f>
        <v/>
      </c>
      <c r="M2645" s="1">
        <f>IF(AND(E2645=0,COUNTIFS($A$2:A2645,A2645,$E$2:E2645,0)=1),L2645,0)</f>
        <v>0</v>
      </c>
    </row>
    <row r="2646" spans="1:13" ht="15" customHeight="1">
      <c r="A2646" s="1">
        <v>56</v>
      </c>
      <c r="B2646" s="1" t="s">
        <v>16</v>
      </c>
      <c r="C2646" s="2" t="s">
        <v>3088</v>
      </c>
      <c r="D2646" s="2" t="s">
        <v>3094</v>
      </c>
      <c r="E2646" s="1">
        <v>1</v>
      </c>
      <c r="F2646" s="2" t="s">
        <v>3096</v>
      </c>
      <c r="G2646" s="1">
        <v>1</v>
      </c>
      <c r="H2646" s="1" t="str">
        <f t="shared" si="42"/>
        <v>k56_1</v>
      </c>
      <c r="K2646" s="1">
        <f>IF(E2646=0,SUMPRODUCT(($A$2:$A$4734=A2646)*($B$2:$B$4734=B2646)*($D$2:$D$4734=D2646)*($E$2:$E$4734=0)),0)</f>
        <v>0</v>
      </c>
      <c r="L2646" s="1" t="str">
        <f>IF(E2646=0,SUMPRODUCT(MIN($K$2:$K$4734+((($A$2:$A$4734&lt;&gt;A2646)+($E$2:$E$4734&lt;&gt;0))&gt;0)*1000000)),"")</f>
        <v/>
      </c>
      <c r="M2646" s="1">
        <f>IF(AND(E2646=0,COUNTIFS($A$2:A2646,A2646,$E$2:E2646,0)=1),L2646,0)</f>
        <v>0</v>
      </c>
    </row>
    <row r="2647" spans="1:13" ht="15" customHeight="1">
      <c r="A2647" s="1">
        <v>57</v>
      </c>
      <c r="B2647" s="1" t="s">
        <v>9</v>
      </c>
      <c r="C2647" s="2" t="s">
        <v>3097</v>
      </c>
      <c r="D2647" s="2" t="s">
        <v>3098</v>
      </c>
      <c r="E2647" s="1">
        <v>0</v>
      </c>
      <c r="F2647" s="2" t="s">
        <v>2317</v>
      </c>
      <c r="H2647" s="1" t="str">
        <f t="shared" si="42"/>
        <v/>
      </c>
      <c r="K2647" s="1">
        <f>IF(E2647=0,SUMPRODUCT(($A$2:$A$4734=A2647)*($B$2:$B$4734=B2647)*($D$2:$D$4734=D2647)*($E$2:$E$4734=0)),0)</f>
        <v>5</v>
      </c>
      <c r="L2647" s="1">
        <f>IF(E2647=0,SUMPRODUCT(MIN($K$2:$K$4734+((($A$2:$A$4734&lt;&gt;A2647)+($E$2:$E$4734&lt;&gt;0))&gt;0)*1000000)),"")</f>
        <v>5</v>
      </c>
      <c r="M2647" s="1">
        <f>IF(AND(E2647=0,COUNTIFS($A$2:A2647,A2647,$E$2:E2647,0)=1),L2647,0)</f>
        <v>5</v>
      </c>
    </row>
    <row r="2648" spans="1:13" ht="15" customHeight="1">
      <c r="A2648" s="1">
        <v>57</v>
      </c>
      <c r="B2648" s="1" t="s">
        <v>9</v>
      </c>
      <c r="C2648" s="2" t="s">
        <v>3100</v>
      </c>
      <c r="D2648" s="2" t="s">
        <v>3098</v>
      </c>
      <c r="E2648" s="1">
        <v>0</v>
      </c>
      <c r="F2648" s="2" t="s">
        <v>3101</v>
      </c>
      <c r="H2648" s="1" t="str">
        <f t="shared" si="42"/>
        <v/>
      </c>
      <c r="K2648" s="1">
        <f>IF(E2648=0,SUMPRODUCT(($A$2:$A$4734=A2648)*($B$2:$B$4734=B2648)*($D$2:$D$4734=D2648)*($E$2:$E$4734=0)),0)</f>
        <v>5</v>
      </c>
      <c r="L2648" s="1">
        <f>IF(E2648=0,SUMPRODUCT(MIN($K$2:$K$4734+((($A$2:$A$4734&lt;&gt;A2648)+($E$2:$E$4734&lt;&gt;0))&gt;0)*1000000)),"")</f>
        <v>5</v>
      </c>
      <c r="M2648" s="1">
        <f>IF(AND(E2648=0,COUNTIFS($A$2:A2648,A2648,$E$2:E2648,0)=1),L2648,0)</f>
        <v>0</v>
      </c>
    </row>
    <row r="2649" spans="1:13" ht="15" customHeight="1">
      <c r="A2649" s="1">
        <v>57</v>
      </c>
      <c r="B2649" s="1" t="s">
        <v>9</v>
      </c>
      <c r="C2649" s="2" t="s">
        <v>3102</v>
      </c>
      <c r="D2649" s="2" t="s">
        <v>3098</v>
      </c>
      <c r="E2649" s="1">
        <v>0</v>
      </c>
      <c r="F2649" s="2" t="s">
        <v>3103</v>
      </c>
      <c r="H2649" s="1" t="str">
        <f t="shared" si="42"/>
        <v/>
      </c>
      <c r="K2649" s="1">
        <f>IF(E2649=0,SUMPRODUCT(($A$2:$A$4734=A2649)*($B$2:$B$4734=B2649)*($D$2:$D$4734=D2649)*($E$2:$E$4734=0)),0)</f>
        <v>5</v>
      </c>
      <c r="L2649" s="1">
        <f>IF(E2649=0,SUMPRODUCT(MIN($K$2:$K$4734+((($A$2:$A$4734&lt;&gt;A2649)+($E$2:$E$4734&lt;&gt;0))&gt;0)*1000000)),"")</f>
        <v>5</v>
      </c>
      <c r="M2649" s="1">
        <f>IF(AND(E2649=0,COUNTIFS($A$2:A2649,A2649,$E$2:E2649,0)=1),L2649,0)</f>
        <v>0</v>
      </c>
    </row>
    <row r="2650" spans="1:13" ht="15" customHeight="1">
      <c r="A2650" s="1">
        <v>57</v>
      </c>
      <c r="B2650" s="1" t="s">
        <v>9</v>
      </c>
      <c r="C2650" s="2" t="s">
        <v>3104</v>
      </c>
      <c r="D2650" s="2" t="s">
        <v>3098</v>
      </c>
      <c r="E2650" s="1">
        <v>0</v>
      </c>
      <c r="F2650" s="2" t="s">
        <v>3105</v>
      </c>
      <c r="H2650" s="1" t="str">
        <f t="shared" si="42"/>
        <v/>
      </c>
      <c r="K2650" s="1">
        <f>IF(E2650=0,SUMPRODUCT(($A$2:$A$4734=A2650)*($B$2:$B$4734=B2650)*($D$2:$D$4734=D2650)*($E$2:$E$4734=0)),0)</f>
        <v>5</v>
      </c>
      <c r="L2650" s="1">
        <f>IF(E2650=0,SUMPRODUCT(MIN($K$2:$K$4734+((($A$2:$A$4734&lt;&gt;A2650)+($E$2:$E$4734&lt;&gt;0))&gt;0)*1000000)),"")</f>
        <v>5</v>
      </c>
      <c r="M2650" s="1">
        <f>IF(AND(E2650=0,COUNTIFS($A$2:A2650,A2650,$E$2:E2650,0)=1),L2650,0)</f>
        <v>0</v>
      </c>
    </row>
    <row r="2651" spans="1:13" ht="15" customHeight="1">
      <c r="A2651" s="1">
        <v>57</v>
      </c>
      <c r="B2651" s="1" t="s">
        <v>9</v>
      </c>
      <c r="C2651" s="2" t="s">
        <v>3106</v>
      </c>
      <c r="D2651" s="2" t="s">
        <v>3098</v>
      </c>
      <c r="E2651" s="1">
        <v>0</v>
      </c>
      <c r="F2651" s="2" t="s">
        <v>2319</v>
      </c>
      <c r="H2651" s="1" t="str">
        <f t="shared" si="42"/>
        <v/>
      </c>
      <c r="K2651" s="1">
        <f>IF(E2651=0,SUMPRODUCT(($A$2:$A$4734=A2651)*($B$2:$B$4734=B2651)*($D$2:$D$4734=D2651)*($E$2:$E$4734=0)),0)</f>
        <v>5</v>
      </c>
      <c r="L2651" s="1">
        <f>IF(E2651=0,SUMPRODUCT(MIN($K$2:$K$4734+((($A$2:$A$4734&lt;&gt;A2651)+($E$2:$E$4734&lt;&gt;0))&gt;0)*1000000)),"")</f>
        <v>5</v>
      </c>
      <c r="M2651" s="1">
        <f>IF(AND(E2651=0,COUNTIFS($A$2:A2651,A2651,$E$2:E2651,0)=1),L2651,0)</f>
        <v>0</v>
      </c>
    </row>
    <row r="2652" spans="1:13" ht="15" customHeight="1">
      <c r="A2652" s="1">
        <v>58</v>
      </c>
      <c r="B2652" s="1" t="s">
        <v>9</v>
      </c>
      <c r="C2652" s="2" t="s">
        <v>3107</v>
      </c>
      <c r="D2652" s="2" t="s">
        <v>3108</v>
      </c>
      <c r="E2652" s="1">
        <v>0</v>
      </c>
      <c r="F2652" s="2" t="s">
        <v>3109</v>
      </c>
      <c r="H2652" s="1" t="str">
        <f t="shared" si="42"/>
        <v/>
      </c>
      <c r="K2652" s="1">
        <f>IF(E2652=0,SUMPRODUCT(($A$2:$A$4734=A2652)*($B$2:$B$4734=B2652)*($D$2:$D$4734=D2652)*($E$2:$E$4734=0)),0)</f>
        <v>2</v>
      </c>
      <c r="L2652" s="1">
        <f>IF(E2652=0,SUMPRODUCT(MIN($K$2:$K$4734+((($A$2:$A$4734&lt;&gt;A2652)+($E$2:$E$4734&lt;&gt;0))&gt;0)*1000000)),"")</f>
        <v>2</v>
      </c>
      <c r="M2652" s="1">
        <f>IF(AND(E2652=0,COUNTIFS($A$2:A2652,A2652,$E$2:E2652,0)=1),L2652,0)</f>
        <v>2</v>
      </c>
    </row>
    <row r="2653" spans="1:13" ht="15" customHeight="1">
      <c r="A2653" s="1">
        <v>58</v>
      </c>
      <c r="B2653" s="1" t="s">
        <v>9</v>
      </c>
      <c r="C2653" s="2" t="s">
        <v>3107</v>
      </c>
      <c r="D2653" s="2" t="s">
        <v>3108</v>
      </c>
      <c r="E2653" s="1">
        <v>0</v>
      </c>
      <c r="F2653" s="2" t="s">
        <v>3110</v>
      </c>
      <c r="H2653" s="1" t="str">
        <f t="shared" si="42"/>
        <v/>
      </c>
      <c r="K2653" s="1">
        <f>IF(E2653=0,SUMPRODUCT(($A$2:$A$4734=A2653)*($B$2:$B$4734=B2653)*($D$2:$D$4734=D2653)*($E$2:$E$4734=0)),0)</f>
        <v>2</v>
      </c>
      <c r="L2653" s="1">
        <f>IF(E2653=0,SUMPRODUCT(MIN($K$2:$K$4734+((($A$2:$A$4734&lt;&gt;A2653)+($E$2:$E$4734&lt;&gt;0))&gt;0)*1000000)),"")</f>
        <v>2</v>
      </c>
      <c r="M2653" s="1">
        <f>IF(AND(E2653=0,COUNTIFS($A$2:A2653,A2653,$E$2:E2653,0)=1),L2653,0)</f>
        <v>0</v>
      </c>
    </row>
    <row r="2654" spans="1:13" ht="15" customHeight="1">
      <c r="A2654" s="1">
        <v>58</v>
      </c>
      <c r="B2654" s="1" t="s">
        <v>9</v>
      </c>
      <c r="C2654" s="2" t="s">
        <v>3107</v>
      </c>
      <c r="D2654" s="2" t="s">
        <v>3111</v>
      </c>
      <c r="E2654" s="1">
        <v>0</v>
      </c>
      <c r="F2654" s="2" t="s">
        <v>3112</v>
      </c>
      <c r="H2654" s="1" t="str">
        <f t="shared" si="42"/>
        <v/>
      </c>
      <c r="K2654" s="1">
        <f>IF(E2654=0,SUMPRODUCT(($A$2:$A$4734=A2654)*($B$2:$B$4734=B2654)*($D$2:$D$4734=D2654)*($E$2:$E$4734=0)),0)</f>
        <v>5</v>
      </c>
      <c r="L2654" s="1">
        <f>IF(E2654=0,SUMPRODUCT(MIN($K$2:$K$4734+((($A$2:$A$4734&lt;&gt;A2654)+($E$2:$E$4734&lt;&gt;0))&gt;0)*1000000)),"")</f>
        <v>2</v>
      </c>
      <c r="M2654" s="1">
        <f>IF(AND(E2654=0,COUNTIFS($A$2:A2654,A2654,$E$2:E2654,0)=1),L2654,0)</f>
        <v>0</v>
      </c>
    </row>
    <row r="2655" spans="1:13" ht="15" customHeight="1">
      <c r="A2655" s="1">
        <v>58</v>
      </c>
      <c r="B2655" s="1" t="s">
        <v>9</v>
      </c>
      <c r="C2655" s="2" t="s">
        <v>3107</v>
      </c>
      <c r="D2655" s="2" t="s">
        <v>3111</v>
      </c>
      <c r="E2655" s="1">
        <v>0</v>
      </c>
      <c r="F2655" s="2" t="s">
        <v>3113</v>
      </c>
      <c r="H2655" s="1" t="str">
        <f t="shared" si="42"/>
        <v/>
      </c>
      <c r="K2655" s="1">
        <f>IF(E2655=0,SUMPRODUCT(($A$2:$A$4734=A2655)*($B$2:$B$4734=B2655)*($D$2:$D$4734=D2655)*($E$2:$E$4734=0)),0)</f>
        <v>5</v>
      </c>
      <c r="L2655" s="1">
        <f>IF(E2655=0,SUMPRODUCT(MIN($K$2:$K$4734+((($A$2:$A$4734&lt;&gt;A2655)+($E$2:$E$4734&lt;&gt;0))&gt;0)*1000000)),"")</f>
        <v>2</v>
      </c>
      <c r="M2655" s="1">
        <f>IF(AND(E2655=0,COUNTIFS($A$2:A2655,A2655,$E$2:E2655,0)=1),L2655,0)</f>
        <v>0</v>
      </c>
    </row>
    <row r="2656" spans="1:13" ht="15" customHeight="1">
      <c r="A2656" s="1">
        <v>58</v>
      </c>
      <c r="B2656" s="1" t="s">
        <v>9</v>
      </c>
      <c r="C2656" s="2" t="s">
        <v>3107</v>
      </c>
      <c r="D2656" s="2" t="s">
        <v>3111</v>
      </c>
      <c r="E2656" s="1">
        <v>0</v>
      </c>
      <c r="F2656" s="2" t="s">
        <v>3114</v>
      </c>
      <c r="H2656" s="1" t="str">
        <f t="shared" si="42"/>
        <v/>
      </c>
      <c r="K2656" s="1">
        <f>IF(E2656=0,SUMPRODUCT(($A$2:$A$4734=A2656)*($B$2:$B$4734=B2656)*($D$2:$D$4734=D2656)*($E$2:$E$4734=0)),0)</f>
        <v>5</v>
      </c>
      <c r="L2656" s="1">
        <f>IF(E2656=0,SUMPRODUCT(MIN($K$2:$K$4734+((($A$2:$A$4734&lt;&gt;A2656)+($E$2:$E$4734&lt;&gt;0))&gt;0)*1000000)),"")</f>
        <v>2</v>
      </c>
      <c r="M2656" s="1">
        <f>IF(AND(E2656=0,COUNTIFS($A$2:A2656,A2656,$E$2:E2656,0)=1),L2656,0)</f>
        <v>0</v>
      </c>
    </row>
    <row r="2657" spans="1:13" ht="15" customHeight="1">
      <c r="A2657" s="1">
        <v>58</v>
      </c>
      <c r="B2657" s="1" t="s">
        <v>9</v>
      </c>
      <c r="C2657" s="2" t="s">
        <v>3107</v>
      </c>
      <c r="D2657" s="2" t="s">
        <v>3111</v>
      </c>
      <c r="E2657" s="1">
        <v>0</v>
      </c>
      <c r="F2657" s="2" t="s">
        <v>3115</v>
      </c>
      <c r="H2657" s="1" t="str">
        <f t="shared" si="42"/>
        <v/>
      </c>
      <c r="K2657" s="1">
        <f>IF(E2657=0,SUMPRODUCT(($A$2:$A$4734=A2657)*($B$2:$B$4734=B2657)*($D$2:$D$4734=D2657)*($E$2:$E$4734=0)),0)</f>
        <v>5</v>
      </c>
      <c r="L2657" s="1">
        <f>IF(E2657=0,SUMPRODUCT(MIN($K$2:$K$4734+((($A$2:$A$4734&lt;&gt;A2657)+($E$2:$E$4734&lt;&gt;0))&gt;0)*1000000)),"")</f>
        <v>2</v>
      </c>
      <c r="M2657" s="1">
        <f>IF(AND(E2657=0,COUNTIFS($A$2:A2657,A2657,$E$2:E2657,0)=1),L2657,0)</f>
        <v>0</v>
      </c>
    </row>
    <row r="2658" spans="1:13" ht="15" customHeight="1">
      <c r="A2658" s="1">
        <v>58</v>
      </c>
      <c r="B2658" s="1" t="s">
        <v>9</v>
      </c>
      <c r="C2658" s="2" t="s">
        <v>3107</v>
      </c>
      <c r="D2658" s="2" t="s">
        <v>3111</v>
      </c>
      <c r="E2658" s="1">
        <v>0</v>
      </c>
      <c r="F2658" s="2" t="s">
        <v>3116</v>
      </c>
      <c r="H2658" s="1" t="str">
        <f t="shared" si="42"/>
        <v/>
      </c>
      <c r="K2658" s="1">
        <f>IF(E2658=0,SUMPRODUCT(($A$2:$A$4734=A2658)*($B$2:$B$4734=B2658)*($D$2:$D$4734=D2658)*($E$2:$E$4734=0)),0)</f>
        <v>5</v>
      </c>
      <c r="L2658" s="1">
        <f>IF(E2658=0,SUMPRODUCT(MIN($K$2:$K$4734+((($A$2:$A$4734&lt;&gt;A2658)+($E$2:$E$4734&lt;&gt;0))&gt;0)*1000000)),"")</f>
        <v>2</v>
      </c>
      <c r="M2658" s="1">
        <f>IF(AND(E2658=0,COUNTIFS($A$2:A2658,A2658,$E$2:E2658,0)=1),L2658,0)</f>
        <v>0</v>
      </c>
    </row>
    <row r="2659" spans="1:13" ht="15" customHeight="1">
      <c r="A2659" s="1">
        <v>58</v>
      </c>
      <c r="B2659" s="1" t="s">
        <v>16</v>
      </c>
      <c r="C2659" s="2" t="s">
        <v>3107</v>
      </c>
      <c r="D2659" s="2" t="s">
        <v>3117</v>
      </c>
      <c r="E2659" s="1">
        <v>0</v>
      </c>
      <c r="F2659" s="2" t="s">
        <v>3118</v>
      </c>
      <c r="H2659" s="1" t="str">
        <f t="shared" si="42"/>
        <v/>
      </c>
      <c r="K2659" s="1">
        <f>IF(E2659=0,SUMPRODUCT(($A$2:$A$4734=A2659)*($B$2:$B$4734=B2659)*($D$2:$D$4734=D2659)*($E$2:$E$4734=0)),0)</f>
        <v>5</v>
      </c>
      <c r="L2659" s="1">
        <f>IF(E2659=0,SUMPRODUCT(MIN($K$2:$K$4734+((($A$2:$A$4734&lt;&gt;A2659)+($E$2:$E$4734&lt;&gt;0))&gt;0)*1000000)),"")</f>
        <v>2</v>
      </c>
      <c r="M2659" s="1">
        <f>IF(AND(E2659=0,COUNTIFS($A$2:A2659,A2659,$E$2:E2659,0)=1),L2659,0)</f>
        <v>0</v>
      </c>
    </row>
    <row r="2660" spans="1:13" ht="15" customHeight="1">
      <c r="A2660" s="1">
        <v>58</v>
      </c>
      <c r="B2660" s="1" t="s">
        <v>16</v>
      </c>
      <c r="C2660" s="2" t="s">
        <v>3107</v>
      </c>
      <c r="D2660" s="2" t="s">
        <v>3117</v>
      </c>
      <c r="E2660" s="1">
        <v>0</v>
      </c>
      <c r="F2660" s="2" t="s">
        <v>3119</v>
      </c>
      <c r="H2660" s="1" t="str">
        <f t="shared" si="42"/>
        <v/>
      </c>
      <c r="K2660" s="1">
        <f>IF(E2660=0,SUMPRODUCT(($A$2:$A$4734=A2660)*($B$2:$B$4734=B2660)*($D$2:$D$4734=D2660)*($E$2:$E$4734=0)),0)</f>
        <v>5</v>
      </c>
      <c r="L2660" s="1">
        <f>IF(E2660=0,SUMPRODUCT(MIN($K$2:$K$4734+((($A$2:$A$4734&lt;&gt;A2660)+($E$2:$E$4734&lt;&gt;0))&gt;0)*1000000)),"")</f>
        <v>2</v>
      </c>
      <c r="M2660" s="1">
        <f>IF(AND(E2660=0,COUNTIFS($A$2:A2660,A2660,$E$2:E2660,0)=1),L2660,0)</f>
        <v>0</v>
      </c>
    </row>
    <row r="2661" spans="1:13" ht="15" customHeight="1">
      <c r="A2661" s="1">
        <v>58</v>
      </c>
      <c r="B2661" s="1" t="s">
        <v>16</v>
      </c>
      <c r="C2661" s="2" t="s">
        <v>3107</v>
      </c>
      <c r="D2661" s="2" t="s">
        <v>3117</v>
      </c>
      <c r="E2661" s="1">
        <v>0</v>
      </c>
      <c r="F2661" s="2" t="s">
        <v>3120</v>
      </c>
      <c r="H2661" s="1" t="str">
        <f t="shared" si="42"/>
        <v/>
      </c>
      <c r="K2661" s="1">
        <f>IF(E2661=0,SUMPRODUCT(($A$2:$A$4734=A2661)*($B$2:$B$4734=B2661)*($D$2:$D$4734=D2661)*($E$2:$E$4734=0)),0)</f>
        <v>5</v>
      </c>
      <c r="L2661" s="1">
        <f>IF(E2661=0,SUMPRODUCT(MIN($K$2:$K$4734+((($A$2:$A$4734&lt;&gt;A2661)+($E$2:$E$4734&lt;&gt;0))&gt;0)*1000000)),"")</f>
        <v>2</v>
      </c>
      <c r="M2661" s="1">
        <f>IF(AND(E2661=0,COUNTIFS($A$2:A2661,A2661,$E$2:E2661,0)=1),L2661,0)</f>
        <v>0</v>
      </c>
    </row>
    <row r="2662" spans="1:13" ht="15" customHeight="1">
      <c r="A2662" s="1">
        <v>58</v>
      </c>
      <c r="B2662" s="1" t="s">
        <v>16</v>
      </c>
      <c r="C2662" s="2" t="s">
        <v>3107</v>
      </c>
      <c r="D2662" s="2" t="s">
        <v>3117</v>
      </c>
      <c r="E2662" s="1">
        <v>0</v>
      </c>
      <c r="F2662" s="2" t="s">
        <v>3121</v>
      </c>
      <c r="H2662" s="1" t="str">
        <f t="shared" si="42"/>
        <v/>
      </c>
      <c r="K2662" s="1">
        <f>IF(E2662=0,SUMPRODUCT(($A$2:$A$4734=A2662)*($B$2:$B$4734=B2662)*($D$2:$D$4734=D2662)*($E$2:$E$4734=0)),0)</f>
        <v>5</v>
      </c>
      <c r="L2662" s="1">
        <f>IF(E2662=0,SUMPRODUCT(MIN($K$2:$K$4734+((($A$2:$A$4734&lt;&gt;A2662)+($E$2:$E$4734&lt;&gt;0))&gt;0)*1000000)),"")</f>
        <v>2</v>
      </c>
      <c r="M2662" s="1">
        <f>IF(AND(E2662=0,COUNTIFS($A$2:A2662,A2662,$E$2:E2662,0)=1),L2662,0)</f>
        <v>0</v>
      </c>
    </row>
    <row r="2663" spans="1:13" ht="15" customHeight="1">
      <c r="A2663" s="1">
        <v>58</v>
      </c>
      <c r="B2663" s="1" t="s">
        <v>16</v>
      </c>
      <c r="C2663" s="2" t="s">
        <v>3107</v>
      </c>
      <c r="D2663" s="2" t="s">
        <v>3117</v>
      </c>
      <c r="E2663" s="1">
        <v>0</v>
      </c>
      <c r="F2663" s="2" t="s">
        <v>3122</v>
      </c>
      <c r="H2663" s="1" t="str">
        <f t="shared" si="42"/>
        <v/>
      </c>
      <c r="K2663" s="1">
        <f>IF(E2663=0,SUMPRODUCT(($A$2:$A$4734=A2663)*($B$2:$B$4734=B2663)*($D$2:$D$4734=D2663)*($E$2:$E$4734=0)),0)</f>
        <v>5</v>
      </c>
      <c r="L2663" s="1">
        <f>IF(E2663=0,SUMPRODUCT(MIN($K$2:$K$4734+((($A$2:$A$4734&lt;&gt;A2663)+($E$2:$E$4734&lt;&gt;0))&gt;0)*1000000)),"")</f>
        <v>2</v>
      </c>
      <c r="M2663" s="1">
        <f>IF(AND(E2663=0,COUNTIFS($A$2:A2663,A2663,$E$2:E2663,0)=1),L2663,0)</f>
        <v>0</v>
      </c>
    </row>
    <row r="2664" spans="1:13" ht="15" customHeight="1">
      <c r="A2664" s="1">
        <v>59</v>
      </c>
      <c r="B2664" s="1" t="s">
        <v>16</v>
      </c>
      <c r="C2664" s="2" t="s">
        <v>3123</v>
      </c>
      <c r="D2664" s="2" t="s">
        <v>3124</v>
      </c>
      <c r="E2664" s="1">
        <v>0</v>
      </c>
      <c r="F2664" s="2" t="s">
        <v>3125</v>
      </c>
      <c r="H2664" s="1" t="str">
        <f t="shared" si="42"/>
        <v/>
      </c>
      <c r="K2664" s="1">
        <f>IF(E2664=0,SUMPRODUCT(($A$2:$A$4734=A2664)*($B$2:$B$4734=B2664)*($D$2:$D$4734=D2664)*($E$2:$E$4734=0)),0)</f>
        <v>4</v>
      </c>
      <c r="L2664" s="1">
        <f>IF(E2664=0,SUMPRODUCT(MIN($K$2:$K$4734+((($A$2:$A$4734&lt;&gt;A2664)+($E$2:$E$4734&lt;&gt;0))&gt;0)*1000000)),"")</f>
        <v>4</v>
      </c>
      <c r="M2664" s="1">
        <f>IF(AND(E2664=0,COUNTIFS($A$2:A2664,A2664,$E$2:E2664,0)=1),L2664,0)</f>
        <v>4</v>
      </c>
    </row>
    <row r="2665" spans="1:13" ht="15" customHeight="1">
      <c r="A2665" s="1">
        <v>59</v>
      </c>
      <c r="B2665" s="1" t="s">
        <v>16</v>
      </c>
      <c r="C2665" s="2" t="s">
        <v>3123</v>
      </c>
      <c r="D2665" s="2" t="s">
        <v>3124</v>
      </c>
      <c r="E2665" s="1">
        <v>0</v>
      </c>
      <c r="F2665" s="2" t="s">
        <v>3126</v>
      </c>
      <c r="H2665" s="1" t="str">
        <f t="shared" si="42"/>
        <v/>
      </c>
      <c r="K2665" s="1">
        <f>IF(E2665=0,SUMPRODUCT(($A$2:$A$4734=A2665)*($B$2:$B$4734=B2665)*($D$2:$D$4734=D2665)*($E$2:$E$4734=0)),0)</f>
        <v>4</v>
      </c>
      <c r="L2665" s="1">
        <f>IF(E2665=0,SUMPRODUCT(MIN($K$2:$K$4734+((($A$2:$A$4734&lt;&gt;A2665)+($E$2:$E$4734&lt;&gt;0))&gt;0)*1000000)),"")</f>
        <v>4</v>
      </c>
      <c r="M2665" s="1">
        <f>IF(AND(E2665=0,COUNTIFS($A$2:A2665,A2665,$E$2:E2665,0)=1),L2665,0)</f>
        <v>0</v>
      </c>
    </row>
    <row r="2666" spans="1:13" ht="15" customHeight="1">
      <c r="A2666" s="1">
        <v>59</v>
      </c>
      <c r="B2666" s="1" t="s">
        <v>16</v>
      </c>
      <c r="C2666" s="2" t="s">
        <v>3123</v>
      </c>
      <c r="D2666" s="2" t="s">
        <v>3124</v>
      </c>
      <c r="E2666" s="1">
        <v>0</v>
      </c>
      <c r="F2666" s="2" t="s">
        <v>3127</v>
      </c>
      <c r="H2666" s="1" t="str">
        <f t="shared" si="42"/>
        <v/>
      </c>
      <c r="K2666" s="1">
        <f>IF(E2666=0,SUMPRODUCT(($A$2:$A$4734=A2666)*($B$2:$B$4734=B2666)*($D$2:$D$4734=D2666)*($E$2:$E$4734=0)),0)</f>
        <v>4</v>
      </c>
      <c r="L2666" s="1">
        <f>IF(E2666=0,SUMPRODUCT(MIN($K$2:$K$4734+((($A$2:$A$4734&lt;&gt;A2666)+($E$2:$E$4734&lt;&gt;0))&gt;0)*1000000)),"")</f>
        <v>4</v>
      </c>
      <c r="M2666" s="1">
        <f>IF(AND(E2666=0,COUNTIFS($A$2:A2666,A2666,$E$2:E2666,0)=1),L2666,0)</f>
        <v>0</v>
      </c>
    </row>
    <row r="2667" spans="1:13" ht="15" customHeight="1">
      <c r="A2667" s="1">
        <v>59</v>
      </c>
      <c r="B2667" s="1" t="s">
        <v>16</v>
      </c>
      <c r="C2667" s="2" t="s">
        <v>3123</v>
      </c>
      <c r="D2667" s="2" t="s">
        <v>3124</v>
      </c>
      <c r="E2667" s="1">
        <v>0</v>
      </c>
      <c r="F2667" s="2" t="s">
        <v>3128</v>
      </c>
      <c r="H2667" s="1" t="str">
        <f t="shared" si="42"/>
        <v/>
      </c>
      <c r="K2667" s="1">
        <f>IF(E2667=0,SUMPRODUCT(($A$2:$A$4734=A2667)*($B$2:$B$4734=B2667)*($D$2:$D$4734=D2667)*($E$2:$E$4734=0)),0)</f>
        <v>4</v>
      </c>
      <c r="L2667" s="1">
        <f>IF(E2667=0,SUMPRODUCT(MIN($K$2:$K$4734+((($A$2:$A$4734&lt;&gt;A2667)+($E$2:$E$4734&lt;&gt;0))&gt;0)*1000000)),"")</f>
        <v>4</v>
      </c>
      <c r="M2667" s="1">
        <f>IF(AND(E2667=0,COUNTIFS($A$2:A2667,A2667,$E$2:E2667,0)=1),L2667,0)</f>
        <v>0</v>
      </c>
    </row>
    <row r="2668" spans="1:13" ht="15" customHeight="1">
      <c r="A2668" s="1">
        <v>60</v>
      </c>
      <c r="B2668" s="1" t="s">
        <v>16</v>
      </c>
      <c r="C2668" s="2" t="s">
        <v>3129</v>
      </c>
      <c r="D2668" s="2" t="s">
        <v>993</v>
      </c>
      <c r="E2668" s="1">
        <v>0</v>
      </c>
      <c r="F2668" s="2" t="s">
        <v>3130</v>
      </c>
      <c r="H2668" s="1" t="str">
        <f t="shared" si="42"/>
        <v/>
      </c>
      <c r="K2668" s="1">
        <f>IF(E2668=0,SUMPRODUCT(($A$2:$A$4734=A2668)*($B$2:$B$4734=B2668)*($D$2:$D$4734=D2668)*($E$2:$E$4734=0)),0)</f>
        <v>4</v>
      </c>
      <c r="L2668" s="1">
        <f>IF(E2668=0,SUMPRODUCT(MIN($K$2:$K$4734+((($A$2:$A$4734&lt;&gt;A2668)+($E$2:$E$4734&lt;&gt;0))&gt;0)*1000000)),"")</f>
        <v>4</v>
      </c>
      <c r="M2668" s="1">
        <f>IF(AND(E2668=0,COUNTIFS($A$2:A2668,A2668,$E$2:E2668,0)=1),L2668,0)</f>
        <v>4</v>
      </c>
    </row>
    <row r="2669" spans="1:13" ht="15" customHeight="1">
      <c r="A2669" s="1">
        <v>60</v>
      </c>
      <c r="B2669" s="1" t="s">
        <v>16</v>
      </c>
      <c r="C2669" s="2" t="s">
        <v>3129</v>
      </c>
      <c r="D2669" s="2" t="s">
        <v>993</v>
      </c>
      <c r="E2669" s="1">
        <v>0</v>
      </c>
      <c r="F2669" s="2" t="s">
        <v>996</v>
      </c>
      <c r="H2669" s="1" t="str">
        <f t="shared" si="42"/>
        <v/>
      </c>
      <c r="K2669" s="1">
        <f>IF(E2669=0,SUMPRODUCT(($A$2:$A$4734=A2669)*($B$2:$B$4734=B2669)*($D$2:$D$4734=D2669)*($E$2:$E$4734=0)),0)</f>
        <v>4</v>
      </c>
      <c r="L2669" s="1">
        <f>IF(E2669=0,SUMPRODUCT(MIN($K$2:$K$4734+((($A$2:$A$4734&lt;&gt;A2669)+($E$2:$E$4734&lt;&gt;0))&gt;0)*1000000)),"")</f>
        <v>4</v>
      </c>
      <c r="M2669" s="1">
        <f>IF(AND(E2669=0,COUNTIFS($A$2:A2669,A2669,$E$2:E2669,0)=1),L2669,0)</f>
        <v>0</v>
      </c>
    </row>
    <row r="2670" spans="1:13" ht="15" customHeight="1">
      <c r="A2670" s="1">
        <v>60</v>
      </c>
      <c r="B2670" s="1" t="s">
        <v>16</v>
      </c>
      <c r="C2670" s="2" t="s">
        <v>3129</v>
      </c>
      <c r="D2670" s="2" t="s">
        <v>993</v>
      </c>
      <c r="E2670" s="1">
        <v>0</v>
      </c>
      <c r="F2670" s="2" t="s">
        <v>995</v>
      </c>
      <c r="H2670" s="1" t="str">
        <f t="shared" si="42"/>
        <v/>
      </c>
      <c r="K2670" s="1">
        <f>IF(E2670=0,SUMPRODUCT(($A$2:$A$4734=A2670)*($B$2:$B$4734=B2670)*($D$2:$D$4734=D2670)*($E$2:$E$4734=0)),0)</f>
        <v>4</v>
      </c>
      <c r="L2670" s="1">
        <f>IF(E2670=0,SUMPRODUCT(MIN($K$2:$K$4734+((($A$2:$A$4734&lt;&gt;A2670)+($E$2:$E$4734&lt;&gt;0))&gt;0)*1000000)),"")</f>
        <v>4</v>
      </c>
      <c r="M2670" s="1">
        <f>IF(AND(E2670=0,COUNTIFS($A$2:A2670,A2670,$E$2:E2670,0)=1),L2670,0)</f>
        <v>0</v>
      </c>
    </row>
    <row r="2671" spans="1:13" ht="15" customHeight="1">
      <c r="A2671" s="1">
        <v>60</v>
      </c>
      <c r="B2671" s="1" t="s">
        <v>16</v>
      </c>
      <c r="C2671" s="2" t="s">
        <v>3129</v>
      </c>
      <c r="D2671" s="2" t="s">
        <v>993</v>
      </c>
      <c r="E2671" s="1">
        <v>0</v>
      </c>
      <c r="F2671" s="2" t="s">
        <v>698</v>
      </c>
      <c r="H2671" s="1" t="str">
        <f t="shared" si="42"/>
        <v/>
      </c>
      <c r="K2671" s="1">
        <f>IF(E2671=0,SUMPRODUCT(($A$2:$A$4734=A2671)*($B$2:$B$4734=B2671)*($D$2:$D$4734=D2671)*($E$2:$E$4734=0)),0)</f>
        <v>4</v>
      </c>
      <c r="L2671" s="1">
        <f>IF(E2671=0,SUMPRODUCT(MIN($K$2:$K$4734+((($A$2:$A$4734&lt;&gt;A2671)+($E$2:$E$4734&lt;&gt;0))&gt;0)*1000000)),"")</f>
        <v>4</v>
      </c>
      <c r="M2671" s="1">
        <f>IF(AND(E2671=0,COUNTIFS($A$2:A2671,A2671,$E$2:E2671,0)=1),L2671,0)</f>
        <v>0</v>
      </c>
    </row>
    <row r="2672" spans="1:13" ht="15" customHeight="1">
      <c r="A2672" s="1">
        <v>60</v>
      </c>
      <c r="B2672" s="1" t="s">
        <v>9</v>
      </c>
      <c r="C2672" s="2" t="s">
        <v>3129</v>
      </c>
      <c r="D2672" s="2" t="s">
        <v>3132</v>
      </c>
      <c r="E2672" s="1">
        <v>0</v>
      </c>
      <c r="F2672" s="2" t="s">
        <v>3133</v>
      </c>
      <c r="H2672" s="1" t="str">
        <f t="shared" si="42"/>
        <v/>
      </c>
      <c r="K2672" s="1">
        <f>IF(E2672=0,SUMPRODUCT(($A$2:$A$4734=A2672)*($B$2:$B$4734=B2672)*($D$2:$D$4734=D2672)*($E$2:$E$4734=0)),0)</f>
        <v>5</v>
      </c>
      <c r="L2672" s="1">
        <f>IF(E2672=0,SUMPRODUCT(MIN($K$2:$K$4734+((($A$2:$A$4734&lt;&gt;A2672)+($E$2:$E$4734&lt;&gt;0))&gt;0)*1000000)),"")</f>
        <v>4</v>
      </c>
      <c r="M2672" s="1">
        <f>IF(AND(E2672=0,COUNTIFS($A$2:A2672,A2672,$E$2:E2672,0)=1),L2672,0)</f>
        <v>0</v>
      </c>
    </row>
    <row r="2673" spans="1:13" ht="15" customHeight="1">
      <c r="A2673" s="1">
        <v>60</v>
      </c>
      <c r="B2673" s="1" t="s">
        <v>9</v>
      </c>
      <c r="C2673" s="2" t="s">
        <v>3129</v>
      </c>
      <c r="D2673" s="2" t="s">
        <v>3132</v>
      </c>
      <c r="E2673" s="1">
        <v>0</v>
      </c>
      <c r="F2673" s="2" t="s">
        <v>3134</v>
      </c>
      <c r="H2673" s="1" t="str">
        <f t="shared" si="42"/>
        <v/>
      </c>
      <c r="K2673" s="1">
        <f>IF(E2673=0,SUMPRODUCT(($A$2:$A$4734=A2673)*($B$2:$B$4734=B2673)*($D$2:$D$4734=D2673)*($E$2:$E$4734=0)),0)</f>
        <v>5</v>
      </c>
      <c r="L2673" s="1">
        <f>IF(E2673=0,SUMPRODUCT(MIN($K$2:$K$4734+((($A$2:$A$4734&lt;&gt;A2673)+($E$2:$E$4734&lt;&gt;0))&gt;0)*1000000)),"")</f>
        <v>4</v>
      </c>
      <c r="M2673" s="1">
        <f>IF(AND(E2673=0,COUNTIFS($A$2:A2673,A2673,$E$2:E2673,0)=1),L2673,0)</f>
        <v>0</v>
      </c>
    </row>
    <row r="2674" spans="1:13" ht="15" customHeight="1">
      <c r="A2674" s="1">
        <v>60</v>
      </c>
      <c r="B2674" s="1" t="s">
        <v>9</v>
      </c>
      <c r="C2674" s="2" t="s">
        <v>3129</v>
      </c>
      <c r="D2674" s="2" t="s">
        <v>3132</v>
      </c>
      <c r="E2674" s="1">
        <v>0</v>
      </c>
      <c r="F2674" s="2" t="s">
        <v>3135</v>
      </c>
      <c r="H2674" s="1" t="str">
        <f t="shared" si="42"/>
        <v/>
      </c>
      <c r="K2674" s="1">
        <f>IF(E2674=0,SUMPRODUCT(($A$2:$A$4734=A2674)*($B$2:$B$4734=B2674)*($D$2:$D$4734=D2674)*($E$2:$E$4734=0)),0)</f>
        <v>5</v>
      </c>
      <c r="L2674" s="1">
        <f>IF(E2674=0,SUMPRODUCT(MIN($K$2:$K$4734+((($A$2:$A$4734&lt;&gt;A2674)+($E$2:$E$4734&lt;&gt;0))&gt;0)*1000000)),"")</f>
        <v>4</v>
      </c>
      <c r="M2674" s="1">
        <f>IF(AND(E2674=0,COUNTIFS($A$2:A2674,A2674,$E$2:E2674,0)=1),L2674,0)</f>
        <v>0</v>
      </c>
    </row>
    <row r="2675" spans="1:13" ht="15" customHeight="1">
      <c r="A2675" s="1">
        <v>60</v>
      </c>
      <c r="B2675" s="1" t="s">
        <v>9</v>
      </c>
      <c r="C2675" s="2" t="s">
        <v>3129</v>
      </c>
      <c r="D2675" s="2" t="s">
        <v>3132</v>
      </c>
      <c r="E2675" s="1">
        <v>0</v>
      </c>
      <c r="F2675" s="2" t="s">
        <v>3136</v>
      </c>
      <c r="H2675" s="1" t="str">
        <f t="shared" si="42"/>
        <v/>
      </c>
      <c r="K2675" s="1">
        <f>IF(E2675=0,SUMPRODUCT(($A$2:$A$4734=A2675)*($B$2:$B$4734=B2675)*($D$2:$D$4734=D2675)*($E$2:$E$4734=0)),0)</f>
        <v>5</v>
      </c>
      <c r="L2675" s="1">
        <f>IF(E2675=0,SUMPRODUCT(MIN($K$2:$K$4734+((($A$2:$A$4734&lt;&gt;A2675)+($E$2:$E$4734&lt;&gt;0))&gt;0)*1000000)),"")</f>
        <v>4</v>
      </c>
      <c r="M2675" s="1">
        <f>IF(AND(E2675=0,COUNTIFS($A$2:A2675,A2675,$E$2:E2675,0)=1),L2675,0)</f>
        <v>0</v>
      </c>
    </row>
    <row r="2676" spans="1:13" ht="15" customHeight="1">
      <c r="A2676" s="1">
        <v>60</v>
      </c>
      <c r="B2676" s="1" t="s">
        <v>9</v>
      </c>
      <c r="C2676" s="2" t="s">
        <v>3129</v>
      </c>
      <c r="D2676" s="2" t="s">
        <v>3132</v>
      </c>
      <c r="E2676" s="1">
        <v>0</v>
      </c>
      <c r="F2676" s="2" t="s">
        <v>3137</v>
      </c>
      <c r="H2676" s="1" t="str">
        <f t="shared" si="42"/>
        <v/>
      </c>
      <c r="K2676" s="1">
        <f>IF(E2676=0,SUMPRODUCT(($A$2:$A$4734=A2676)*($B$2:$B$4734=B2676)*($D$2:$D$4734=D2676)*($E$2:$E$4734=0)),0)</f>
        <v>5</v>
      </c>
      <c r="L2676" s="1">
        <f>IF(E2676=0,SUMPRODUCT(MIN($K$2:$K$4734+((($A$2:$A$4734&lt;&gt;A2676)+($E$2:$E$4734&lt;&gt;0))&gt;0)*1000000)),"")</f>
        <v>4</v>
      </c>
      <c r="M2676" s="1">
        <f>IF(AND(E2676=0,COUNTIFS($A$2:A2676,A2676,$E$2:E2676,0)=1),L2676,0)</f>
        <v>0</v>
      </c>
    </row>
    <row r="2677" spans="1:13" ht="15" customHeight="1">
      <c r="A2677" s="1">
        <v>61</v>
      </c>
      <c r="B2677" s="1" t="s">
        <v>95</v>
      </c>
      <c r="C2677" s="2" t="s">
        <v>3138</v>
      </c>
      <c r="D2677" s="2" t="s">
        <v>3139</v>
      </c>
      <c r="E2677" s="1">
        <v>1</v>
      </c>
      <c r="F2677" s="2" t="s">
        <v>3140</v>
      </c>
      <c r="G2677" s="1">
        <v>1</v>
      </c>
      <c r="H2677" s="1" t="str">
        <f t="shared" si="42"/>
        <v>k61_1</v>
      </c>
      <c r="K2677" s="1">
        <f>IF(E2677=0,SUMPRODUCT(($A$2:$A$4734=A2677)*($B$2:$B$4734=B2677)*($D$2:$D$4734=D2677)*($E$2:$E$4734=0)),0)</f>
        <v>0</v>
      </c>
      <c r="L2677" s="1" t="str">
        <f>IF(E2677=0,SUMPRODUCT(MIN($K$2:$K$4734+((($A$2:$A$4734&lt;&gt;A2677)+($E$2:$E$4734&lt;&gt;0))&gt;0)*1000000)),"")</f>
        <v/>
      </c>
      <c r="M2677" s="1">
        <f>IF(AND(E2677=0,COUNTIFS($A$2:A2677,A2677,$E$2:E2677,0)=1),L2677,0)</f>
        <v>0</v>
      </c>
    </row>
    <row r="2678" spans="1:13" ht="15" customHeight="1">
      <c r="A2678" s="1">
        <v>61</v>
      </c>
      <c r="B2678" s="1" t="s">
        <v>95</v>
      </c>
      <c r="C2678" s="2" t="s">
        <v>3138</v>
      </c>
      <c r="D2678" s="2" t="s">
        <v>3139</v>
      </c>
      <c r="E2678" s="1">
        <v>1</v>
      </c>
      <c r="F2678" s="2" t="s">
        <v>3141</v>
      </c>
      <c r="G2678" s="1">
        <v>2</v>
      </c>
      <c r="H2678" s="1" t="str">
        <f t="shared" si="42"/>
        <v>k61_2</v>
      </c>
      <c r="K2678" s="1">
        <f>IF(E2678=0,SUMPRODUCT(($A$2:$A$4734=A2678)*($B$2:$B$4734=B2678)*($D$2:$D$4734=D2678)*($E$2:$E$4734=0)),0)</f>
        <v>0</v>
      </c>
      <c r="L2678" s="1" t="str">
        <f>IF(E2678=0,SUMPRODUCT(MIN($K$2:$K$4734+((($A$2:$A$4734&lt;&gt;A2678)+($E$2:$E$4734&lt;&gt;0))&gt;0)*1000000)),"")</f>
        <v/>
      </c>
      <c r="M2678" s="1">
        <f>IF(AND(E2678=0,COUNTIFS($A$2:A2678,A2678,$E$2:E2678,0)=1),L2678,0)</f>
        <v>0</v>
      </c>
    </row>
    <row r="2679" spans="1:13" ht="15" customHeight="1">
      <c r="A2679" s="1">
        <v>61</v>
      </c>
      <c r="B2679" s="1" t="s">
        <v>95</v>
      </c>
      <c r="C2679" s="2" t="s">
        <v>3138</v>
      </c>
      <c r="D2679" s="2" t="s">
        <v>3139</v>
      </c>
      <c r="E2679" s="1">
        <v>1</v>
      </c>
      <c r="F2679" s="2" t="s">
        <v>3142</v>
      </c>
      <c r="G2679" s="1">
        <v>3</v>
      </c>
      <c r="H2679" s="1" t="str">
        <f t="shared" si="42"/>
        <v>k61_3</v>
      </c>
      <c r="K2679" s="1">
        <f>IF(E2679=0,SUMPRODUCT(($A$2:$A$4734=A2679)*($B$2:$B$4734=B2679)*($D$2:$D$4734=D2679)*($E$2:$E$4734=0)),0)</f>
        <v>0</v>
      </c>
      <c r="L2679" s="1" t="str">
        <f>IF(E2679=0,SUMPRODUCT(MIN($K$2:$K$4734+((($A$2:$A$4734&lt;&gt;A2679)+($E$2:$E$4734&lt;&gt;0))&gt;0)*1000000)),"")</f>
        <v/>
      </c>
      <c r="M2679" s="1">
        <f>IF(AND(E2679=0,COUNTIFS($A$2:A2679,A2679,$E$2:E2679,0)=1),L2679,0)</f>
        <v>0</v>
      </c>
    </row>
    <row r="2680" spans="1:13" ht="15" customHeight="1">
      <c r="A2680" s="1">
        <v>61</v>
      </c>
      <c r="B2680" s="1" t="s">
        <v>95</v>
      </c>
      <c r="C2680" s="2" t="s">
        <v>3138</v>
      </c>
      <c r="D2680" s="2" t="s">
        <v>3139</v>
      </c>
      <c r="E2680" s="1">
        <v>1</v>
      </c>
      <c r="F2680" s="2" t="s">
        <v>3143</v>
      </c>
      <c r="G2680" s="1">
        <v>4</v>
      </c>
      <c r="H2680" s="1" t="str">
        <f t="shared" si="42"/>
        <v>k61_4</v>
      </c>
      <c r="K2680" s="1">
        <f>IF(E2680=0,SUMPRODUCT(($A$2:$A$4734=A2680)*($B$2:$B$4734=B2680)*($D$2:$D$4734=D2680)*($E$2:$E$4734=0)),0)</f>
        <v>0</v>
      </c>
      <c r="L2680" s="1" t="str">
        <f>IF(E2680=0,SUMPRODUCT(MIN($K$2:$K$4734+((($A$2:$A$4734&lt;&gt;A2680)+($E$2:$E$4734&lt;&gt;0))&gt;0)*1000000)),"")</f>
        <v/>
      </c>
      <c r="M2680" s="1">
        <f>IF(AND(E2680=0,COUNTIFS($A$2:A2680,A2680,$E$2:E2680,0)=1),L2680,0)</f>
        <v>0</v>
      </c>
    </row>
    <row r="2681" spans="1:13" ht="15" customHeight="1">
      <c r="A2681" s="1">
        <v>61</v>
      </c>
      <c r="B2681" s="1" t="s">
        <v>95</v>
      </c>
      <c r="C2681" s="2" t="s">
        <v>3138</v>
      </c>
      <c r="D2681" s="2" t="s">
        <v>3139</v>
      </c>
      <c r="E2681" s="1">
        <v>1</v>
      </c>
      <c r="F2681" s="2" t="s">
        <v>3144</v>
      </c>
      <c r="G2681" s="1">
        <v>5</v>
      </c>
      <c r="H2681" s="1" t="str">
        <f t="shared" si="42"/>
        <v>k61_5</v>
      </c>
      <c r="K2681" s="1">
        <f>IF(E2681=0,SUMPRODUCT(($A$2:$A$4734=A2681)*($B$2:$B$4734=B2681)*($D$2:$D$4734=D2681)*($E$2:$E$4734=0)),0)</f>
        <v>0</v>
      </c>
      <c r="L2681" s="1" t="str">
        <f>IF(E2681=0,SUMPRODUCT(MIN($K$2:$K$4734+((($A$2:$A$4734&lt;&gt;A2681)+($E$2:$E$4734&lt;&gt;0))&gt;0)*1000000)),"")</f>
        <v/>
      </c>
      <c r="M2681" s="1">
        <f>IF(AND(E2681=0,COUNTIFS($A$2:A2681,A2681,$E$2:E2681,0)=1),L2681,0)</f>
        <v>0</v>
      </c>
    </row>
    <row r="2682" spans="1:13" ht="15" customHeight="1">
      <c r="A2682" s="1">
        <v>61</v>
      </c>
      <c r="B2682" s="1" t="s">
        <v>95</v>
      </c>
      <c r="C2682" s="2" t="s">
        <v>3138</v>
      </c>
      <c r="D2682" s="2" t="s">
        <v>3139</v>
      </c>
      <c r="E2682" s="1">
        <v>1</v>
      </c>
      <c r="F2682" s="2" t="s">
        <v>3145</v>
      </c>
      <c r="G2682" s="1">
        <v>6</v>
      </c>
      <c r="H2682" s="1" t="str">
        <f t="shared" si="42"/>
        <v>k61_6</v>
      </c>
      <c r="K2682" s="1">
        <f>IF(E2682=0,SUMPRODUCT(($A$2:$A$4734=A2682)*($B$2:$B$4734=B2682)*($D$2:$D$4734=D2682)*($E$2:$E$4734=0)),0)</f>
        <v>0</v>
      </c>
      <c r="L2682" s="1" t="str">
        <f>IF(E2682=0,SUMPRODUCT(MIN($K$2:$K$4734+((($A$2:$A$4734&lt;&gt;A2682)+($E$2:$E$4734&lt;&gt;0))&gt;0)*1000000)),"")</f>
        <v/>
      </c>
      <c r="M2682" s="1">
        <f>IF(AND(E2682=0,COUNTIFS($A$2:A2682,A2682,$E$2:E2682,0)=1),L2682,0)</f>
        <v>0</v>
      </c>
    </row>
    <row r="2683" spans="1:13" ht="15" customHeight="1">
      <c r="A2683" s="1">
        <v>61</v>
      </c>
      <c r="B2683" s="1" t="s">
        <v>16</v>
      </c>
      <c r="C2683" s="2" t="s">
        <v>3138</v>
      </c>
      <c r="D2683" s="2" t="s">
        <v>3146</v>
      </c>
      <c r="E2683" s="1">
        <v>1</v>
      </c>
      <c r="F2683" s="2" t="s">
        <v>3147</v>
      </c>
      <c r="G2683" s="1">
        <v>1</v>
      </c>
      <c r="H2683" s="1" t="str">
        <f t="shared" si="42"/>
        <v>k61_1</v>
      </c>
      <c r="K2683" s="1">
        <f>IF(E2683=0,SUMPRODUCT(($A$2:$A$4734=A2683)*($B$2:$B$4734=B2683)*($D$2:$D$4734=D2683)*($E$2:$E$4734=0)),0)</f>
        <v>0</v>
      </c>
      <c r="L2683" s="1" t="str">
        <f>IF(E2683=0,SUMPRODUCT(MIN($K$2:$K$4734+((($A$2:$A$4734&lt;&gt;A2683)+($E$2:$E$4734&lt;&gt;0))&gt;0)*1000000)),"")</f>
        <v/>
      </c>
      <c r="M2683" s="1">
        <f>IF(AND(E2683=0,COUNTIFS($A$2:A2683,A2683,$E$2:E2683,0)=1),L2683,0)</f>
        <v>0</v>
      </c>
    </row>
    <row r="2684" spans="1:13" ht="15" customHeight="1">
      <c r="A2684" s="1">
        <v>61</v>
      </c>
      <c r="B2684" s="1" t="s">
        <v>16</v>
      </c>
      <c r="C2684" s="2" t="s">
        <v>3138</v>
      </c>
      <c r="D2684" s="2" t="s">
        <v>3146</v>
      </c>
      <c r="E2684" s="1">
        <v>1</v>
      </c>
      <c r="F2684" s="2" t="s">
        <v>3148</v>
      </c>
      <c r="G2684" s="1">
        <v>2</v>
      </c>
      <c r="H2684" s="1" t="str">
        <f t="shared" si="42"/>
        <v>k61_2</v>
      </c>
      <c r="K2684" s="1">
        <f>IF(E2684=0,SUMPRODUCT(($A$2:$A$4734=A2684)*($B$2:$B$4734=B2684)*($D$2:$D$4734=D2684)*($E$2:$E$4734=0)),0)</f>
        <v>0</v>
      </c>
      <c r="L2684" s="1" t="str">
        <f>IF(E2684=0,SUMPRODUCT(MIN($K$2:$K$4734+((($A$2:$A$4734&lt;&gt;A2684)+($E$2:$E$4734&lt;&gt;0))&gt;0)*1000000)),"")</f>
        <v/>
      </c>
      <c r="M2684" s="1">
        <f>IF(AND(E2684=0,COUNTIFS($A$2:A2684,A2684,$E$2:E2684,0)=1),L2684,0)</f>
        <v>0</v>
      </c>
    </row>
    <row r="2685" spans="1:13" ht="15" customHeight="1">
      <c r="A2685" s="1">
        <v>61</v>
      </c>
      <c r="B2685" s="1" t="s">
        <v>16</v>
      </c>
      <c r="C2685" s="2" t="s">
        <v>3138</v>
      </c>
      <c r="D2685" s="2" t="s">
        <v>3146</v>
      </c>
      <c r="E2685" s="1">
        <v>1</v>
      </c>
      <c r="F2685" s="2" t="s">
        <v>3149</v>
      </c>
      <c r="G2685" s="1">
        <v>3</v>
      </c>
      <c r="H2685" s="1" t="str">
        <f t="shared" si="42"/>
        <v>k61_3</v>
      </c>
      <c r="K2685" s="1">
        <f>IF(E2685=0,SUMPRODUCT(($A$2:$A$4734=A2685)*($B$2:$B$4734=B2685)*($D$2:$D$4734=D2685)*($E$2:$E$4734=0)),0)</f>
        <v>0</v>
      </c>
      <c r="L2685" s="1" t="str">
        <f>IF(E2685=0,SUMPRODUCT(MIN($K$2:$K$4734+((($A$2:$A$4734&lt;&gt;A2685)+($E$2:$E$4734&lt;&gt;0))&gt;0)*1000000)),"")</f>
        <v/>
      </c>
      <c r="M2685" s="1">
        <f>IF(AND(E2685=0,COUNTIFS($A$2:A2685,A2685,$E$2:E2685,0)=1),L2685,0)</f>
        <v>0</v>
      </c>
    </row>
    <row r="2686" spans="1:13" ht="15" customHeight="1">
      <c r="A2686" s="1">
        <v>61</v>
      </c>
      <c r="B2686" s="1" t="s">
        <v>16</v>
      </c>
      <c r="C2686" s="2" t="s">
        <v>3138</v>
      </c>
      <c r="D2686" s="2" t="s">
        <v>3146</v>
      </c>
      <c r="E2686" s="1">
        <v>1</v>
      </c>
      <c r="F2686" s="2" t="s">
        <v>3150</v>
      </c>
      <c r="G2686" s="1">
        <v>6</v>
      </c>
      <c r="H2686" s="1" t="str">
        <f t="shared" si="42"/>
        <v>k61_6</v>
      </c>
      <c r="K2686" s="1">
        <f>IF(E2686=0,SUMPRODUCT(($A$2:$A$4734=A2686)*($B$2:$B$4734=B2686)*($D$2:$D$4734=D2686)*($E$2:$E$4734=0)),0)</f>
        <v>0</v>
      </c>
      <c r="L2686" s="1" t="str">
        <f>IF(E2686=0,SUMPRODUCT(MIN($K$2:$K$4734+((($A$2:$A$4734&lt;&gt;A2686)+($E$2:$E$4734&lt;&gt;0))&gt;0)*1000000)),"")</f>
        <v/>
      </c>
      <c r="M2686" s="1">
        <f>IF(AND(E2686=0,COUNTIFS($A$2:A2686,A2686,$E$2:E2686,0)=1),L2686,0)</f>
        <v>0</v>
      </c>
    </row>
    <row r="2687" spans="1:13" ht="15" customHeight="1">
      <c r="A2687" s="1">
        <v>61</v>
      </c>
      <c r="B2687" s="1" t="s">
        <v>16</v>
      </c>
      <c r="C2687" s="2" t="s">
        <v>3138</v>
      </c>
      <c r="D2687" s="2" t="s">
        <v>3146</v>
      </c>
      <c r="E2687" s="1">
        <v>1</v>
      </c>
      <c r="F2687" s="2" t="s">
        <v>3151</v>
      </c>
      <c r="G2687" s="1">
        <v>4</v>
      </c>
      <c r="H2687" s="1" t="str">
        <f t="shared" si="42"/>
        <v>k61_4</v>
      </c>
      <c r="K2687" s="1">
        <f>IF(E2687=0,SUMPRODUCT(($A$2:$A$4734=A2687)*($B$2:$B$4734=B2687)*($D$2:$D$4734=D2687)*($E$2:$E$4734=0)),0)</f>
        <v>0</v>
      </c>
      <c r="L2687" s="1" t="str">
        <f>IF(E2687=0,SUMPRODUCT(MIN($K$2:$K$4734+((($A$2:$A$4734&lt;&gt;A2687)+($E$2:$E$4734&lt;&gt;0))&gt;0)*1000000)),"")</f>
        <v/>
      </c>
      <c r="M2687" s="1">
        <f>IF(AND(E2687=0,COUNTIFS($A$2:A2687,A2687,$E$2:E2687,0)=1),L2687,0)</f>
        <v>0</v>
      </c>
    </row>
    <row r="2688" spans="1:13" ht="15" customHeight="1">
      <c r="A2688" s="1">
        <v>61</v>
      </c>
      <c r="B2688" s="1" t="s">
        <v>16</v>
      </c>
      <c r="C2688" s="2" t="s">
        <v>3138</v>
      </c>
      <c r="D2688" s="2" t="s">
        <v>3146</v>
      </c>
      <c r="E2688" s="1">
        <v>1</v>
      </c>
      <c r="F2688" s="2" t="s">
        <v>3152</v>
      </c>
      <c r="G2688" s="1">
        <v>5</v>
      </c>
      <c r="H2688" s="1" t="str">
        <f t="shared" si="42"/>
        <v>k61_5</v>
      </c>
      <c r="K2688" s="1">
        <f>IF(E2688=0,SUMPRODUCT(($A$2:$A$4734=A2688)*($B$2:$B$4734=B2688)*($D$2:$D$4734=D2688)*($E$2:$E$4734=0)),0)</f>
        <v>0</v>
      </c>
      <c r="L2688" s="1" t="str">
        <f>IF(E2688=0,SUMPRODUCT(MIN($K$2:$K$4734+((($A$2:$A$4734&lt;&gt;A2688)+($E$2:$E$4734&lt;&gt;0))&gt;0)*1000000)),"")</f>
        <v/>
      </c>
      <c r="M2688" s="1">
        <f>IF(AND(E2688=0,COUNTIFS($A$2:A2688,A2688,$E$2:E2688,0)=1),L2688,0)</f>
        <v>0</v>
      </c>
    </row>
    <row r="2689" spans="1:13" ht="15" customHeight="1">
      <c r="A2689" s="1">
        <v>62</v>
      </c>
      <c r="B2689" s="1" t="s">
        <v>161</v>
      </c>
      <c r="C2689" s="2" t="s">
        <v>3153</v>
      </c>
      <c r="D2689" s="2" t="s">
        <v>3154</v>
      </c>
      <c r="E2689" s="1">
        <v>1</v>
      </c>
      <c r="F2689" s="2" t="s">
        <v>3155</v>
      </c>
      <c r="G2689" s="1">
        <v>1</v>
      </c>
      <c r="H2689" s="1" t="str">
        <f t="shared" si="42"/>
        <v>k62_1</v>
      </c>
      <c r="K2689" s="1">
        <f>IF(E2689=0,SUMPRODUCT(($A$2:$A$4734=A2689)*($B$2:$B$4734=B2689)*($D$2:$D$4734=D2689)*($E$2:$E$4734=0)),0)</f>
        <v>0</v>
      </c>
      <c r="L2689" s="1" t="str">
        <f>IF(E2689=0,SUMPRODUCT(MIN($K$2:$K$4734+((($A$2:$A$4734&lt;&gt;A2689)+($E$2:$E$4734&lt;&gt;0))&gt;0)*1000000)),"")</f>
        <v/>
      </c>
      <c r="M2689" s="1">
        <f>IF(AND(E2689=0,COUNTIFS($A$2:A2689,A2689,$E$2:E2689,0)=1),L2689,0)</f>
        <v>0</v>
      </c>
    </row>
    <row r="2690" spans="1:13" ht="15" customHeight="1">
      <c r="A2690" s="1">
        <v>62</v>
      </c>
      <c r="B2690" s="1" t="s">
        <v>161</v>
      </c>
      <c r="C2690" s="2" t="s">
        <v>3153</v>
      </c>
      <c r="D2690" s="2" t="s">
        <v>3154</v>
      </c>
      <c r="E2690" s="1">
        <v>1</v>
      </c>
      <c r="F2690" s="2" t="s">
        <v>3156</v>
      </c>
      <c r="G2690" s="1">
        <v>2</v>
      </c>
      <c r="H2690" s="1" t="str">
        <f t="shared" ref="H2690:H2747" si="43">IF(OR(E2690&lt;&gt;1,G2690=""),"","k"&amp;A2690&amp;"_"&amp;G2690)</f>
        <v>k62_2</v>
      </c>
      <c r="K2690" s="1">
        <f>IF(E2690=0,SUMPRODUCT(($A$2:$A$4734=A2690)*($B$2:$B$4734=B2690)*($D$2:$D$4734=D2690)*($E$2:$E$4734=0)),0)</f>
        <v>0</v>
      </c>
      <c r="L2690" s="1" t="str">
        <f>IF(E2690=0,SUMPRODUCT(MIN($K$2:$K$4734+((($A$2:$A$4734&lt;&gt;A2690)+($E$2:$E$4734&lt;&gt;0))&gt;0)*1000000)),"")</f>
        <v/>
      </c>
      <c r="M2690" s="1">
        <f>IF(AND(E2690=0,COUNTIFS($A$2:A2690,A2690,$E$2:E2690,0)=1),L2690,0)</f>
        <v>0</v>
      </c>
    </row>
    <row r="2691" spans="1:13" ht="15" customHeight="1">
      <c r="A2691" s="1">
        <v>62</v>
      </c>
      <c r="B2691" s="1" t="s">
        <v>161</v>
      </c>
      <c r="C2691" s="2" t="s">
        <v>3153</v>
      </c>
      <c r="D2691" s="2" t="s">
        <v>3154</v>
      </c>
      <c r="E2691" s="1">
        <v>1</v>
      </c>
      <c r="F2691" s="2" t="s">
        <v>3157</v>
      </c>
      <c r="G2691" s="1">
        <v>3</v>
      </c>
      <c r="H2691" s="1" t="str">
        <f t="shared" si="43"/>
        <v>k62_3</v>
      </c>
      <c r="K2691" s="1">
        <f>IF(E2691=0,SUMPRODUCT(($A$2:$A$4734=A2691)*($B$2:$B$4734=B2691)*($D$2:$D$4734=D2691)*($E$2:$E$4734=0)),0)</f>
        <v>0</v>
      </c>
      <c r="L2691" s="1" t="str">
        <f>IF(E2691=0,SUMPRODUCT(MIN($K$2:$K$4734+((($A$2:$A$4734&lt;&gt;A2691)+($E$2:$E$4734&lt;&gt;0))&gt;0)*1000000)),"")</f>
        <v/>
      </c>
      <c r="M2691" s="1">
        <f>IF(AND(E2691=0,COUNTIFS($A$2:A2691,A2691,$E$2:E2691,0)=1),L2691,0)</f>
        <v>0</v>
      </c>
    </row>
    <row r="2692" spans="1:13" ht="15" customHeight="1">
      <c r="A2692" s="1">
        <v>62</v>
      </c>
      <c r="B2692" s="1" t="s">
        <v>161</v>
      </c>
      <c r="C2692" s="2" t="s">
        <v>3153</v>
      </c>
      <c r="D2692" s="2" t="s">
        <v>3154</v>
      </c>
      <c r="E2692" s="1">
        <v>1</v>
      </c>
      <c r="F2692" s="2" t="s">
        <v>3158</v>
      </c>
      <c r="G2692" s="1">
        <v>4</v>
      </c>
      <c r="H2692" s="1" t="str">
        <f t="shared" si="43"/>
        <v>k62_4</v>
      </c>
      <c r="K2692" s="1">
        <f>IF(E2692=0,SUMPRODUCT(($A$2:$A$4734=A2692)*($B$2:$B$4734=B2692)*($D$2:$D$4734=D2692)*($E$2:$E$4734=0)),0)</f>
        <v>0</v>
      </c>
      <c r="L2692" s="1" t="str">
        <f>IF(E2692=0,SUMPRODUCT(MIN($K$2:$K$4734+((($A$2:$A$4734&lt;&gt;A2692)+($E$2:$E$4734&lt;&gt;0))&gt;0)*1000000)),"")</f>
        <v/>
      </c>
      <c r="M2692" s="1">
        <f>IF(AND(E2692=0,COUNTIFS($A$2:A2692,A2692,$E$2:E2692,0)=1),L2692,0)</f>
        <v>0</v>
      </c>
    </row>
    <row r="2693" spans="1:13" ht="15" customHeight="1">
      <c r="A2693" s="1">
        <v>62</v>
      </c>
      <c r="B2693" s="1" t="s">
        <v>161</v>
      </c>
      <c r="C2693" s="2" t="s">
        <v>3153</v>
      </c>
      <c r="D2693" s="2" t="s">
        <v>3154</v>
      </c>
      <c r="E2693" s="1">
        <v>1</v>
      </c>
      <c r="F2693" s="2" t="s">
        <v>3159</v>
      </c>
      <c r="G2693" s="1">
        <v>5</v>
      </c>
      <c r="H2693" s="1" t="str">
        <f t="shared" si="43"/>
        <v>k62_5</v>
      </c>
      <c r="K2693" s="1">
        <f>IF(E2693=0,SUMPRODUCT(($A$2:$A$4734=A2693)*($B$2:$B$4734=B2693)*($D$2:$D$4734=D2693)*($E$2:$E$4734=0)),0)</f>
        <v>0</v>
      </c>
      <c r="L2693" s="1" t="str">
        <f>IF(E2693=0,SUMPRODUCT(MIN($K$2:$K$4734+((($A$2:$A$4734&lt;&gt;A2693)+($E$2:$E$4734&lt;&gt;0))&gt;0)*1000000)),"")</f>
        <v/>
      </c>
      <c r="M2693" s="1">
        <f>IF(AND(E2693=0,COUNTIFS($A$2:A2693,A2693,$E$2:E2693,0)=1),L2693,0)</f>
        <v>0</v>
      </c>
    </row>
    <row r="2694" spans="1:13" ht="15" customHeight="1">
      <c r="A2694" s="1">
        <v>62</v>
      </c>
      <c r="B2694" s="1" t="s">
        <v>161</v>
      </c>
      <c r="C2694" s="2" t="s">
        <v>3153</v>
      </c>
      <c r="D2694" s="2" t="s">
        <v>3154</v>
      </c>
      <c r="E2694" s="1">
        <v>1</v>
      </c>
      <c r="F2694" s="2" t="s">
        <v>3160</v>
      </c>
      <c r="G2694" s="1">
        <v>6</v>
      </c>
      <c r="H2694" s="1" t="str">
        <f t="shared" si="43"/>
        <v>k62_6</v>
      </c>
      <c r="K2694" s="1">
        <f>IF(E2694=0,SUMPRODUCT(($A$2:$A$4734=A2694)*($B$2:$B$4734=B2694)*($D$2:$D$4734=D2694)*($E$2:$E$4734=0)),0)</f>
        <v>0</v>
      </c>
      <c r="L2694" s="1" t="str">
        <f>IF(E2694=0,SUMPRODUCT(MIN($K$2:$K$4734+((($A$2:$A$4734&lt;&gt;A2694)+($E$2:$E$4734&lt;&gt;0))&gt;0)*1000000)),"")</f>
        <v/>
      </c>
      <c r="M2694" s="1">
        <f>IF(AND(E2694=0,COUNTIFS($A$2:A2694,A2694,$E$2:E2694,0)=1),L2694,0)</f>
        <v>0</v>
      </c>
    </row>
    <row r="2695" spans="1:13" ht="15" customHeight="1">
      <c r="A2695" s="1">
        <v>63</v>
      </c>
      <c r="B2695" s="1" t="s">
        <v>16</v>
      </c>
      <c r="C2695" s="2" t="s">
        <v>3161</v>
      </c>
      <c r="D2695" s="2" t="s">
        <v>3162</v>
      </c>
      <c r="E2695" s="1">
        <v>0</v>
      </c>
      <c r="F2695" s="2" t="s">
        <v>3163</v>
      </c>
      <c r="H2695" s="1" t="str">
        <f t="shared" si="43"/>
        <v/>
      </c>
      <c r="K2695" s="1">
        <f>IF(E2695=0,SUMPRODUCT(($A$2:$A$4734=A2695)*($B$2:$B$4734=B2695)*($D$2:$D$4734=D2695)*($E$2:$E$4734=0)),0)</f>
        <v>5</v>
      </c>
      <c r="L2695" s="1">
        <f>IF(E2695=0,SUMPRODUCT(MIN($K$2:$K$4734+((($A$2:$A$4734&lt;&gt;A2695)+($E$2:$E$4734&lt;&gt;0))&gt;0)*1000000)),"")</f>
        <v>3</v>
      </c>
      <c r="M2695" s="1">
        <f>IF(AND(E2695=0,COUNTIFS($A$2:A2695,A2695,$E$2:E2695,0)=1),L2695,0)</f>
        <v>3</v>
      </c>
    </row>
    <row r="2696" spans="1:13" ht="15" customHeight="1">
      <c r="A2696" s="1">
        <v>63</v>
      </c>
      <c r="B2696" s="1" t="s">
        <v>16</v>
      </c>
      <c r="C2696" s="2" t="s">
        <v>3161</v>
      </c>
      <c r="D2696" s="2" t="s">
        <v>3162</v>
      </c>
      <c r="E2696" s="1">
        <v>0</v>
      </c>
      <c r="F2696" s="2" t="s">
        <v>3164</v>
      </c>
      <c r="H2696" s="1" t="str">
        <f t="shared" si="43"/>
        <v/>
      </c>
      <c r="K2696" s="1">
        <f>IF(E2696=0,SUMPRODUCT(($A$2:$A$4734=A2696)*($B$2:$B$4734=B2696)*($D$2:$D$4734=D2696)*($E$2:$E$4734=0)),0)</f>
        <v>5</v>
      </c>
      <c r="L2696" s="1">
        <f>IF(E2696=0,SUMPRODUCT(MIN($K$2:$K$4734+((($A$2:$A$4734&lt;&gt;A2696)+($E$2:$E$4734&lt;&gt;0))&gt;0)*1000000)),"")</f>
        <v>3</v>
      </c>
      <c r="M2696" s="1">
        <f>IF(AND(E2696=0,COUNTIFS($A$2:A2696,A2696,$E$2:E2696,0)=1),L2696,0)</f>
        <v>0</v>
      </c>
    </row>
    <row r="2697" spans="1:13" ht="15" customHeight="1">
      <c r="A2697" s="1">
        <v>63</v>
      </c>
      <c r="B2697" s="1" t="s">
        <v>16</v>
      </c>
      <c r="C2697" s="2" t="s">
        <v>3161</v>
      </c>
      <c r="D2697" s="2" t="s">
        <v>3162</v>
      </c>
      <c r="E2697" s="1">
        <v>0</v>
      </c>
      <c r="F2697" s="2" t="s">
        <v>3165</v>
      </c>
      <c r="H2697" s="1" t="str">
        <f t="shared" si="43"/>
        <v/>
      </c>
      <c r="K2697" s="1">
        <f>IF(E2697=0,SUMPRODUCT(($A$2:$A$4734=A2697)*($B$2:$B$4734=B2697)*($D$2:$D$4734=D2697)*($E$2:$E$4734=0)),0)</f>
        <v>5</v>
      </c>
      <c r="L2697" s="1">
        <f>IF(E2697=0,SUMPRODUCT(MIN($K$2:$K$4734+((($A$2:$A$4734&lt;&gt;A2697)+($E$2:$E$4734&lt;&gt;0))&gt;0)*1000000)),"")</f>
        <v>3</v>
      </c>
      <c r="M2697" s="1">
        <f>IF(AND(E2697=0,COUNTIFS($A$2:A2697,A2697,$E$2:E2697,0)=1),L2697,0)</f>
        <v>0</v>
      </c>
    </row>
    <row r="2698" spans="1:13" ht="15" customHeight="1">
      <c r="A2698" s="1">
        <v>63</v>
      </c>
      <c r="B2698" s="1" t="s">
        <v>16</v>
      </c>
      <c r="C2698" s="2" t="s">
        <v>3161</v>
      </c>
      <c r="D2698" s="2" t="s">
        <v>3162</v>
      </c>
      <c r="E2698" s="1">
        <v>0</v>
      </c>
      <c r="F2698" s="2" t="s">
        <v>3166</v>
      </c>
      <c r="H2698" s="1" t="str">
        <f t="shared" si="43"/>
        <v/>
      </c>
      <c r="K2698" s="1">
        <f>IF(E2698=0,SUMPRODUCT(($A$2:$A$4734=A2698)*($B$2:$B$4734=B2698)*($D$2:$D$4734=D2698)*($E$2:$E$4734=0)),0)</f>
        <v>5</v>
      </c>
      <c r="L2698" s="1">
        <f>IF(E2698=0,SUMPRODUCT(MIN($K$2:$K$4734+((($A$2:$A$4734&lt;&gt;A2698)+($E$2:$E$4734&lt;&gt;0))&gt;0)*1000000)),"")</f>
        <v>3</v>
      </c>
      <c r="M2698" s="1">
        <f>IF(AND(E2698=0,COUNTIFS($A$2:A2698,A2698,$E$2:E2698,0)=1),L2698,0)</f>
        <v>0</v>
      </c>
    </row>
    <row r="2699" spans="1:13" ht="15" customHeight="1">
      <c r="A2699" s="1">
        <v>63</v>
      </c>
      <c r="B2699" s="1" t="s">
        <v>16</v>
      </c>
      <c r="C2699" s="2" t="s">
        <v>3161</v>
      </c>
      <c r="D2699" s="2" t="s">
        <v>3162</v>
      </c>
      <c r="E2699" s="1">
        <v>0</v>
      </c>
      <c r="F2699" s="2" t="s">
        <v>3167</v>
      </c>
      <c r="H2699" s="1" t="str">
        <f t="shared" si="43"/>
        <v/>
      </c>
      <c r="K2699" s="1">
        <f>IF(E2699=0,SUMPRODUCT(($A$2:$A$4734=A2699)*($B$2:$B$4734=B2699)*($D$2:$D$4734=D2699)*($E$2:$E$4734=0)),0)</f>
        <v>5</v>
      </c>
      <c r="L2699" s="1">
        <f>IF(E2699=0,SUMPRODUCT(MIN($K$2:$K$4734+((($A$2:$A$4734&lt;&gt;A2699)+($E$2:$E$4734&lt;&gt;0))&gt;0)*1000000)),"")</f>
        <v>3</v>
      </c>
      <c r="M2699" s="1">
        <f>IF(AND(E2699=0,COUNTIFS($A$2:A2699,A2699,$E$2:E2699,0)=1),L2699,0)</f>
        <v>0</v>
      </c>
    </row>
    <row r="2700" spans="1:13" ht="15" customHeight="1">
      <c r="A2700" s="1">
        <v>63</v>
      </c>
      <c r="B2700" s="1" t="s">
        <v>16</v>
      </c>
      <c r="C2700" s="2" t="s">
        <v>3161</v>
      </c>
      <c r="D2700" s="1" t="s">
        <v>3168</v>
      </c>
      <c r="E2700" s="1">
        <v>0</v>
      </c>
      <c r="F2700" s="2" t="s">
        <v>3169</v>
      </c>
      <c r="H2700" s="1" t="str">
        <f t="shared" si="43"/>
        <v/>
      </c>
      <c r="K2700" s="1">
        <f>IF(E2700=0,SUMPRODUCT(($A$2:$A$4734=A2700)*($B$2:$B$4734=B2700)*($D$2:$D$4734=D2700)*($E$2:$E$4734=0)),0)</f>
        <v>5</v>
      </c>
      <c r="L2700" s="1">
        <f>IF(E2700=0,SUMPRODUCT(MIN($K$2:$K$4734+((($A$2:$A$4734&lt;&gt;A2700)+($E$2:$E$4734&lt;&gt;0))&gt;0)*1000000)),"")</f>
        <v>3</v>
      </c>
      <c r="M2700" s="1">
        <f>IF(AND(E2700=0,COUNTIFS($A$2:A2700,A2700,$E$2:E2700,0)=1),L2700,0)</f>
        <v>0</v>
      </c>
    </row>
    <row r="2701" spans="1:13" ht="15" customHeight="1">
      <c r="A2701" s="1">
        <v>63</v>
      </c>
      <c r="B2701" s="1" t="s">
        <v>16</v>
      </c>
      <c r="C2701" s="2" t="s">
        <v>3161</v>
      </c>
      <c r="D2701" s="1" t="s">
        <v>3168</v>
      </c>
      <c r="E2701" s="1">
        <v>0</v>
      </c>
      <c r="F2701" s="2" t="s">
        <v>3170</v>
      </c>
      <c r="H2701" s="1" t="str">
        <f t="shared" si="43"/>
        <v/>
      </c>
      <c r="K2701" s="1">
        <f>IF(E2701=0,SUMPRODUCT(($A$2:$A$4734=A2701)*($B$2:$B$4734=B2701)*($D$2:$D$4734=D2701)*($E$2:$E$4734=0)),0)</f>
        <v>5</v>
      </c>
      <c r="L2701" s="1">
        <f>IF(E2701=0,SUMPRODUCT(MIN($K$2:$K$4734+((($A$2:$A$4734&lt;&gt;A2701)+($E$2:$E$4734&lt;&gt;0))&gt;0)*1000000)),"")</f>
        <v>3</v>
      </c>
      <c r="M2701" s="1">
        <f>IF(AND(E2701=0,COUNTIFS($A$2:A2701,A2701,$E$2:E2701,0)=1),L2701,0)</f>
        <v>0</v>
      </c>
    </row>
    <row r="2702" spans="1:13" ht="15" customHeight="1">
      <c r="A2702" s="1">
        <v>63</v>
      </c>
      <c r="B2702" s="1" t="s">
        <v>16</v>
      </c>
      <c r="C2702" s="2" t="s">
        <v>3161</v>
      </c>
      <c r="D2702" s="1" t="s">
        <v>3168</v>
      </c>
      <c r="E2702" s="1">
        <v>0</v>
      </c>
      <c r="F2702" s="2" t="s">
        <v>3171</v>
      </c>
      <c r="H2702" s="1" t="str">
        <f t="shared" si="43"/>
        <v/>
      </c>
      <c r="K2702" s="1">
        <f>IF(E2702=0,SUMPRODUCT(($A$2:$A$4734=A2702)*($B$2:$B$4734=B2702)*($D$2:$D$4734=D2702)*($E$2:$E$4734=0)),0)</f>
        <v>5</v>
      </c>
      <c r="L2702" s="1">
        <f>IF(E2702=0,SUMPRODUCT(MIN($K$2:$K$4734+((($A$2:$A$4734&lt;&gt;A2702)+($E$2:$E$4734&lt;&gt;0))&gt;0)*1000000)),"")</f>
        <v>3</v>
      </c>
      <c r="M2702" s="1">
        <f>IF(AND(E2702=0,COUNTIFS($A$2:A2702,A2702,$E$2:E2702,0)=1),L2702,0)</f>
        <v>0</v>
      </c>
    </row>
    <row r="2703" spans="1:13" ht="15" customHeight="1">
      <c r="A2703" s="1">
        <v>63</v>
      </c>
      <c r="B2703" s="1" t="s">
        <v>16</v>
      </c>
      <c r="C2703" s="2" t="s">
        <v>3161</v>
      </c>
      <c r="D2703" s="1" t="s">
        <v>3168</v>
      </c>
      <c r="E2703" s="1">
        <v>0</v>
      </c>
      <c r="F2703" s="2" t="s">
        <v>3172</v>
      </c>
      <c r="H2703" s="1" t="str">
        <f t="shared" si="43"/>
        <v/>
      </c>
      <c r="K2703" s="1">
        <f>IF(E2703=0,SUMPRODUCT(($A$2:$A$4734=A2703)*($B$2:$B$4734=B2703)*($D$2:$D$4734=D2703)*($E$2:$E$4734=0)),0)</f>
        <v>5</v>
      </c>
      <c r="L2703" s="1">
        <f>IF(E2703=0,SUMPRODUCT(MIN($K$2:$K$4734+((($A$2:$A$4734&lt;&gt;A2703)+($E$2:$E$4734&lt;&gt;0))&gt;0)*1000000)),"")</f>
        <v>3</v>
      </c>
      <c r="M2703" s="1">
        <f>IF(AND(E2703=0,COUNTIFS($A$2:A2703,A2703,$E$2:E2703,0)=1),L2703,0)</f>
        <v>0</v>
      </c>
    </row>
    <row r="2704" spans="1:13" ht="15" customHeight="1">
      <c r="A2704" s="1">
        <v>63</v>
      </c>
      <c r="B2704" s="1" t="s">
        <v>16</v>
      </c>
      <c r="C2704" s="2" t="s">
        <v>3161</v>
      </c>
      <c r="D2704" s="1" t="s">
        <v>3168</v>
      </c>
      <c r="E2704" s="1">
        <v>0</v>
      </c>
      <c r="F2704" s="2" t="s">
        <v>3173</v>
      </c>
      <c r="H2704" s="1" t="str">
        <f t="shared" si="43"/>
        <v/>
      </c>
      <c r="K2704" s="1">
        <f>IF(E2704=0,SUMPRODUCT(($A$2:$A$4734=A2704)*($B$2:$B$4734=B2704)*($D$2:$D$4734=D2704)*($E$2:$E$4734=0)),0)</f>
        <v>5</v>
      </c>
      <c r="L2704" s="1">
        <f>IF(E2704=0,SUMPRODUCT(MIN($K$2:$K$4734+((($A$2:$A$4734&lt;&gt;A2704)+($E$2:$E$4734&lt;&gt;0))&gt;0)*1000000)),"")</f>
        <v>3</v>
      </c>
      <c r="M2704" s="1">
        <f>IF(AND(E2704=0,COUNTIFS($A$2:A2704,A2704,$E$2:E2704,0)=1),L2704,0)</f>
        <v>0</v>
      </c>
    </row>
    <row r="2705" spans="1:13" ht="15" customHeight="1">
      <c r="A2705" s="1">
        <v>63</v>
      </c>
      <c r="B2705" s="1" t="s">
        <v>9</v>
      </c>
      <c r="C2705" s="2" t="s">
        <v>3161</v>
      </c>
      <c r="D2705" s="2" t="s">
        <v>3174</v>
      </c>
      <c r="E2705" s="1">
        <v>0</v>
      </c>
      <c r="F2705" s="2" t="s">
        <v>3175</v>
      </c>
      <c r="H2705" s="1" t="str">
        <f t="shared" si="43"/>
        <v/>
      </c>
      <c r="K2705" s="1">
        <f>IF(E2705=0,SUMPRODUCT(($A$2:$A$4734=A2705)*($B$2:$B$4734=B2705)*($D$2:$D$4734=D2705)*($E$2:$E$4734=0)),0)</f>
        <v>3</v>
      </c>
      <c r="L2705" s="1">
        <f>IF(E2705=0,SUMPRODUCT(MIN($K$2:$K$4734+((($A$2:$A$4734&lt;&gt;A2705)+($E$2:$E$4734&lt;&gt;0))&gt;0)*1000000)),"")</f>
        <v>3</v>
      </c>
      <c r="M2705" s="1">
        <f>IF(AND(E2705=0,COUNTIFS($A$2:A2705,A2705,$E$2:E2705,0)=1),L2705,0)</f>
        <v>0</v>
      </c>
    </row>
    <row r="2706" spans="1:13" ht="15" customHeight="1">
      <c r="A2706" s="1">
        <v>63</v>
      </c>
      <c r="B2706" s="1" t="s">
        <v>9</v>
      </c>
      <c r="C2706" s="2" t="s">
        <v>3161</v>
      </c>
      <c r="D2706" s="2" t="s">
        <v>3174</v>
      </c>
      <c r="E2706" s="1">
        <v>0</v>
      </c>
      <c r="F2706" s="2" t="s">
        <v>3176</v>
      </c>
      <c r="H2706" s="1" t="str">
        <f t="shared" si="43"/>
        <v/>
      </c>
      <c r="K2706" s="1">
        <f>IF(E2706=0,SUMPRODUCT(($A$2:$A$4734=A2706)*($B$2:$B$4734=B2706)*($D$2:$D$4734=D2706)*($E$2:$E$4734=0)),0)</f>
        <v>3</v>
      </c>
      <c r="L2706" s="1">
        <f>IF(E2706=0,SUMPRODUCT(MIN($K$2:$K$4734+((($A$2:$A$4734&lt;&gt;A2706)+($E$2:$E$4734&lt;&gt;0))&gt;0)*1000000)),"")</f>
        <v>3</v>
      </c>
      <c r="M2706" s="1">
        <f>IF(AND(E2706=0,COUNTIFS($A$2:A2706,A2706,$E$2:E2706,0)=1),L2706,0)</f>
        <v>0</v>
      </c>
    </row>
    <row r="2707" spans="1:13" ht="15" customHeight="1">
      <c r="A2707" s="1">
        <v>63</v>
      </c>
      <c r="B2707" s="1" t="s">
        <v>9</v>
      </c>
      <c r="C2707" s="2" t="s">
        <v>3161</v>
      </c>
      <c r="D2707" s="2" t="s">
        <v>3174</v>
      </c>
      <c r="E2707" s="1">
        <v>0</v>
      </c>
      <c r="F2707" s="2" t="s">
        <v>2868</v>
      </c>
      <c r="H2707" s="1" t="str">
        <f t="shared" si="43"/>
        <v/>
      </c>
      <c r="K2707" s="1">
        <f>IF(E2707=0,SUMPRODUCT(($A$2:$A$4734=A2707)*($B$2:$B$4734=B2707)*($D$2:$D$4734=D2707)*($E$2:$E$4734=0)),0)</f>
        <v>3</v>
      </c>
      <c r="L2707" s="1">
        <f>IF(E2707=0,SUMPRODUCT(MIN($K$2:$K$4734+((($A$2:$A$4734&lt;&gt;A2707)+($E$2:$E$4734&lt;&gt;0))&gt;0)*1000000)),"")</f>
        <v>3</v>
      </c>
      <c r="M2707" s="1">
        <f>IF(AND(E2707=0,COUNTIFS($A$2:A2707,A2707,$E$2:E2707,0)=1),L2707,0)</f>
        <v>0</v>
      </c>
    </row>
    <row r="2708" spans="1:13" ht="15" customHeight="1">
      <c r="A2708" s="1">
        <v>63</v>
      </c>
      <c r="B2708" s="1" t="s">
        <v>9</v>
      </c>
      <c r="C2708" s="2" t="s">
        <v>3161</v>
      </c>
      <c r="D2708" s="2" t="s">
        <v>3177</v>
      </c>
      <c r="E2708" s="1">
        <v>0</v>
      </c>
      <c r="F2708" s="2" t="s">
        <v>3178</v>
      </c>
      <c r="H2708" s="1" t="str">
        <f t="shared" si="43"/>
        <v/>
      </c>
      <c r="K2708" s="1">
        <f>IF(E2708=0,SUMPRODUCT(($A$2:$A$4734=A2708)*($B$2:$B$4734=B2708)*($D$2:$D$4734=D2708)*($E$2:$E$4734=0)),0)</f>
        <v>6</v>
      </c>
      <c r="L2708" s="1">
        <f>IF(E2708=0,SUMPRODUCT(MIN($K$2:$K$4734+((($A$2:$A$4734&lt;&gt;A2708)+($E$2:$E$4734&lt;&gt;0))&gt;0)*1000000)),"")</f>
        <v>3</v>
      </c>
      <c r="M2708" s="1">
        <f>IF(AND(E2708=0,COUNTIFS($A$2:A2708,A2708,$E$2:E2708,0)=1),L2708,0)</f>
        <v>0</v>
      </c>
    </row>
    <row r="2709" spans="1:13" ht="15" customHeight="1">
      <c r="A2709" s="1">
        <v>63</v>
      </c>
      <c r="B2709" s="1" t="s">
        <v>9</v>
      </c>
      <c r="C2709" s="2" t="s">
        <v>3161</v>
      </c>
      <c r="D2709" s="2" t="s">
        <v>3177</v>
      </c>
      <c r="E2709" s="1">
        <v>0</v>
      </c>
      <c r="F2709" s="2" t="s">
        <v>3179</v>
      </c>
      <c r="H2709" s="1" t="str">
        <f t="shared" si="43"/>
        <v/>
      </c>
      <c r="K2709" s="1">
        <f>IF(E2709=0,SUMPRODUCT(($A$2:$A$4734=A2709)*($B$2:$B$4734=B2709)*($D$2:$D$4734=D2709)*($E$2:$E$4734=0)),0)</f>
        <v>6</v>
      </c>
      <c r="L2709" s="1">
        <f>IF(E2709=0,SUMPRODUCT(MIN($K$2:$K$4734+((($A$2:$A$4734&lt;&gt;A2709)+($E$2:$E$4734&lt;&gt;0))&gt;0)*1000000)),"")</f>
        <v>3</v>
      </c>
      <c r="M2709" s="1">
        <f>IF(AND(E2709=0,COUNTIFS($A$2:A2709,A2709,$E$2:E2709,0)=1),L2709,0)</f>
        <v>0</v>
      </c>
    </row>
    <row r="2710" spans="1:13" ht="15" customHeight="1">
      <c r="A2710" s="1">
        <v>63</v>
      </c>
      <c r="B2710" s="1" t="s">
        <v>9</v>
      </c>
      <c r="C2710" s="2" t="s">
        <v>3161</v>
      </c>
      <c r="D2710" s="2" t="s">
        <v>3177</v>
      </c>
      <c r="E2710" s="1">
        <v>0</v>
      </c>
      <c r="F2710" s="2" t="s">
        <v>3180</v>
      </c>
      <c r="H2710" s="1" t="str">
        <f t="shared" si="43"/>
        <v/>
      </c>
      <c r="K2710" s="1">
        <f>IF(E2710=0,SUMPRODUCT(($A$2:$A$4734=A2710)*($B$2:$B$4734=B2710)*($D$2:$D$4734=D2710)*($E$2:$E$4734=0)),0)</f>
        <v>6</v>
      </c>
      <c r="L2710" s="1">
        <f>IF(E2710=0,SUMPRODUCT(MIN($K$2:$K$4734+((($A$2:$A$4734&lt;&gt;A2710)+($E$2:$E$4734&lt;&gt;0))&gt;0)*1000000)),"")</f>
        <v>3</v>
      </c>
      <c r="M2710" s="1">
        <f>IF(AND(E2710=0,COUNTIFS($A$2:A2710,A2710,$E$2:E2710,0)=1),L2710,0)</f>
        <v>0</v>
      </c>
    </row>
    <row r="2711" spans="1:13" ht="15" customHeight="1">
      <c r="A2711" s="1">
        <v>63</v>
      </c>
      <c r="B2711" s="1" t="s">
        <v>9</v>
      </c>
      <c r="C2711" s="2" t="s">
        <v>3161</v>
      </c>
      <c r="D2711" s="2" t="s">
        <v>3177</v>
      </c>
      <c r="E2711" s="1">
        <v>0</v>
      </c>
      <c r="F2711" s="2" t="s">
        <v>3181</v>
      </c>
      <c r="H2711" s="1" t="str">
        <f t="shared" si="43"/>
        <v/>
      </c>
      <c r="K2711" s="1">
        <f>IF(E2711=0,SUMPRODUCT(($A$2:$A$4734=A2711)*($B$2:$B$4734=B2711)*($D$2:$D$4734=D2711)*($E$2:$E$4734=0)),0)</f>
        <v>6</v>
      </c>
      <c r="L2711" s="1">
        <f>IF(E2711=0,SUMPRODUCT(MIN($K$2:$K$4734+((($A$2:$A$4734&lt;&gt;A2711)+($E$2:$E$4734&lt;&gt;0))&gt;0)*1000000)),"")</f>
        <v>3</v>
      </c>
      <c r="M2711" s="1">
        <f>IF(AND(E2711=0,COUNTIFS($A$2:A2711,A2711,$E$2:E2711,0)=1),L2711,0)</f>
        <v>0</v>
      </c>
    </row>
    <row r="2712" spans="1:13" ht="15" customHeight="1">
      <c r="A2712" s="1">
        <v>63</v>
      </c>
      <c r="B2712" s="1" t="s">
        <v>9</v>
      </c>
      <c r="C2712" s="2" t="s">
        <v>3161</v>
      </c>
      <c r="D2712" s="2" t="s">
        <v>3177</v>
      </c>
      <c r="E2712" s="1">
        <v>0</v>
      </c>
      <c r="F2712" s="2" t="s">
        <v>3182</v>
      </c>
      <c r="H2712" s="1" t="str">
        <f t="shared" si="43"/>
        <v/>
      </c>
      <c r="K2712" s="1">
        <f>IF(E2712=0,SUMPRODUCT(($A$2:$A$4734=A2712)*($B$2:$B$4734=B2712)*($D$2:$D$4734=D2712)*($E$2:$E$4734=0)),0)</f>
        <v>6</v>
      </c>
      <c r="L2712" s="1">
        <f>IF(E2712=0,SUMPRODUCT(MIN($K$2:$K$4734+((($A$2:$A$4734&lt;&gt;A2712)+($E$2:$E$4734&lt;&gt;0))&gt;0)*1000000)),"")</f>
        <v>3</v>
      </c>
      <c r="M2712" s="1">
        <f>IF(AND(E2712=0,COUNTIFS($A$2:A2712,A2712,$E$2:E2712,0)=1),L2712,0)</f>
        <v>0</v>
      </c>
    </row>
    <row r="2713" spans="1:13" ht="15" customHeight="1">
      <c r="A2713" s="1">
        <v>63</v>
      </c>
      <c r="B2713" s="1" t="s">
        <v>9</v>
      </c>
      <c r="C2713" s="2" t="s">
        <v>3161</v>
      </c>
      <c r="D2713" s="2" t="s">
        <v>3177</v>
      </c>
      <c r="E2713" s="1">
        <v>0</v>
      </c>
      <c r="F2713" s="2" t="s">
        <v>3183</v>
      </c>
      <c r="H2713" s="1" t="str">
        <f t="shared" si="43"/>
        <v/>
      </c>
      <c r="K2713" s="1">
        <f>IF(E2713=0,SUMPRODUCT(($A$2:$A$4734=A2713)*($B$2:$B$4734=B2713)*($D$2:$D$4734=D2713)*($E$2:$E$4734=0)),0)</f>
        <v>6</v>
      </c>
      <c r="L2713" s="1">
        <f>IF(E2713=0,SUMPRODUCT(MIN($K$2:$K$4734+((($A$2:$A$4734&lt;&gt;A2713)+($E$2:$E$4734&lt;&gt;0))&gt;0)*1000000)),"")</f>
        <v>3</v>
      </c>
      <c r="M2713" s="1">
        <f>IF(AND(E2713=0,COUNTIFS($A$2:A2713,A2713,$E$2:E2713,0)=1),L2713,0)</f>
        <v>0</v>
      </c>
    </row>
    <row r="2714" spans="1:13" ht="15" customHeight="1">
      <c r="A2714" s="1">
        <v>64</v>
      </c>
      <c r="B2714" s="1" t="s">
        <v>9</v>
      </c>
      <c r="C2714" s="2" t="s">
        <v>3184</v>
      </c>
      <c r="D2714" s="2" t="s">
        <v>3185</v>
      </c>
      <c r="E2714" s="1">
        <v>0</v>
      </c>
      <c r="F2714" s="2" t="s">
        <v>3186</v>
      </c>
      <c r="H2714" s="1" t="str">
        <f t="shared" si="43"/>
        <v/>
      </c>
      <c r="K2714" s="1">
        <f>IF(E2714=0,SUMPRODUCT(($A$2:$A$4734=A2714)*($B$2:$B$4734=B2714)*($D$2:$D$4734=D2714)*($E$2:$E$4734=0)),0)</f>
        <v>4</v>
      </c>
      <c r="L2714" s="1">
        <f>IF(E2714=0,SUMPRODUCT(MIN($K$2:$K$4734+((($A$2:$A$4734&lt;&gt;A2714)+($E$2:$E$4734&lt;&gt;0))&gt;0)*1000000)),"")</f>
        <v>4</v>
      </c>
      <c r="M2714" s="1">
        <f>IF(AND(E2714=0,COUNTIFS($A$2:A2714,A2714,$E$2:E2714,0)=1),L2714,0)</f>
        <v>4</v>
      </c>
    </row>
    <row r="2715" spans="1:13" ht="15" customHeight="1">
      <c r="A2715" s="1">
        <v>64</v>
      </c>
      <c r="B2715" s="1" t="s">
        <v>9</v>
      </c>
      <c r="C2715" s="2" t="s">
        <v>3187</v>
      </c>
      <c r="D2715" s="2" t="s">
        <v>3185</v>
      </c>
      <c r="E2715" s="1">
        <v>0</v>
      </c>
      <c r="F2715" s="2" t="s">
        <v>3188</v>
      </c>
      <c r="H2715" s="1" t="str">
        <f t="shared" si="43"/>
        <v/>
      </c>
      <c r="K2715" s="1">
        <f>IF(E2715=0,SUMPRODUCT(($A$2:$A$4734=A2715)*($B$2:$B$4734=B2715)*($D$2:$D$4734=D2715)*($E$2:$E$4734=0)),0)</f>
        <v>4</v>
      </c>
      <c r="L2715" s="1">
        <f>IF(E2715=0,SUMPRODUCT(MIN($K$2:$K$4734+((($A$2:$A$4734&lt;&gt;A2715)+($E$2:$E$4734&lt;&gt;0))&gt;0)*1000000)),"")</f>
        <v>4</v>
      </c>
      <c r="M2715" s="1">
        <f>IF(AND(E2715=0,COUNTIFS($A$2:A2715,A2715,$E$2:E2715,0)=1),L2715,0)</f>
        <v>0</v>
      </c>
    </row>
    <row r="2716" spans="1:13" ht="15" customHeight="1">
      <c r="A2716" s="1">
        <v>64</v>
      </c>
      <c r="B2716" s="1" t="s">
        <v>9</v>
      </c>
      <c r="C2716" s="2" t="s">
        <v>3189</v>
      </c>
      <c r="D2716" s="2" t="s">
        <v>3185</v>
      </c>
      <c r="E2716" s="1">
        <v>0</v>
      </c>
      <c r="F2716" s="2" t="s">
        <v>3190</v>
      </c>
      <c r="H2716" s="1" t="str">
        <f t="shared" si="43"/>
        <v/>
      </c>
      <c r="K2716" s="1">
        <f>IF(E2716=0,SUMPRODUCT(($A$2:$A$4734=A2716)*($B$2:$B$4734=B2716)*($D$2:$D$4734=D2716)*($E$2:$E$4734=0)),0)</f>
        <v>4</v>
      </c>
      <c r="L2716" s="1">
        <f>IF(E2716=0,SUMPRODUCT(MIN($K$2:$K$4734+((($A$2:$A$4734&lt;&gt;A2716)+($E$2:$E$4734&lt;&gt;0))&gt;0)*1000000)),"")</f>
        <v>4</v>
      </c>
      <c r="M2716" s="1">
        <f>IF(AND(E2716=0,COUNTIFS($A$2:A2716,A2716,$E$2:E2716,0)=1),L2716,0)</f>
        <v>0</v>
      </c>
    </row>
    <row r="2717" spans="1:13" ht="15" customHeight="1">
      <c r="A2717" s="1">
        <v>64</v>
      </c>
      <c r="B2717" s="1" t="s">
        <v>9</v>
      </c>
      <c r="C2717" s="2" t="s">
        <v>3191</v>
      </c>
      <c r="D2717" s="2" t="s">
        <v>3185</v>
      </c>
      <c r="E2717" s="1">
        <v>0</v>
      </c>
      <c r="F2717" s="2" t="s">
        <v>3192</v>
      </c>
      <c r="H2717" s="1" t="str">
        <f t="shared" si="43"/>
        <v/>
      </c>
      <c r="K2717" s="1">
        <f>IF(E2717=0,SUMPRODUCT(($A$2:$A$4734=A2717)*($B$2:$B$4734=B2717)*($D$2:$D$4734=D2717)*($E$2:$E$4734=0)),0)</f>
        <v>4</v>
      </c>
      <c r="L2717" s="1">
        <f>IF(E2717=0,SUMPRODUCT(MIN($K$2:$K$4734+((($A$2:$A$4734&lt;&gt;A2717)+($E$2:$E$4734&lt;&gt;0))&gt;0)*1000000)),"")</f>
        <v>4</v>
      </c>
      <c r="M2717" s="1">
        <f>IF(AND(E2717=0,COUNTIFS($A$2:A2717,A2717,$E$2:E2717,0)=1),L2717,0)</f>
        <v>0</v>
      </c>
    </row>
    <row r="2718" spans="1:13" ht="15" customHeight="1">
      <c r="A2718" s="1">
        <v>64</v>
      </c>
      <c r="B2718" s="1" t="s">
        <v>16</v>
      </c>
      <c r="C2718" s="2" t="s">
        <v>3193</v>
      </c>
      <c r="D2718" s="2" t="s">
        <v>3194</v>
      </c>
      <c r="E2718" s="1">
        <v>0</v>
      </c>
      <c r="F2718" s="2" t="s">
        <v>3195</v>
      </c>
      <c r="H2718" s="1" t="str">
        <f t="shared" si="43"/>
        <v/>
      </c>
      <c r="K2718" s="1">
        <f>IF(E2718=0,SUMPRODUCT(($A$2:$A$4734=A2718)*($B$2:$B$4734=B2718)*($D$2:$D$4734=D2718)*($E$2:$E$4734=0)),0)</f>
        <v>6</v>
      </c>
      <c r="L2718" s="1">
        <f>IF(E2718=0,SUMPRODUCT(MIN($K$2:$K$4734+((($A$2:$A$4734&lt;&gt;A2718)+($E$2:$E$4734&lt;&gt;0))&gt;0)*1000000)),"")</f>
        <v>4</v>
      </c>
      <c r="M2718" s="1">
        <f>IF(AND(E2718=0,COUNTIFS($A$2:A2718,A2718,$E$2:E2718,0)=1),L2718,0)</f>
        <v>0</v>
      </c>
    </row>
    <row r="2719" spans="1:13" ht="15" customHeight="1">
      <c r="A2719" s="1">
        <v>64</v>
      </c>
      <c r="B2719" s="1" t="s">
        <v>16</v>
      </c>
      <c r="C2719" s="2" t="s">
        <v>3196</v>
      </c>
      <c r="D2719" s="2" t="s">
        <v>3194</v>
      </c>
      <c r="E2719" s="1">
        <v>0</v>
      </c>
      <c r="F2719" s="2" t="s">
        <v>3197</v>
      </c>
      <c r="H2719" s="1" t="str">
        <f t="shared" si="43"/>
        <v/>
      </c>
      <c r="K2719" s="1">
        <f>IF(E2719=0,SUMPRODUCT(($A$2:$A$4734=A2719)*($B$2:$B$4734=B2719)*($D$2:$D$4734=D2719)*($E$2:$E$4734=0)),0)</f>
        <v>6</v>
      </c>
      <c r="L2719" s="1">
        <f>IF(E2719=0,SUMPRODUCT(MIN($K$2:$K$4734+((($A$2:$A$4734&lt;&gt;A2719)+($E$2:$E$4734&lt;&gt;0))&gt;0)*1000000)),"")</f>
        <v>4</v>
      </c>
      <c r="M2719" s="1">
        <f>IF(AND(E2719=0,COUNTIFS($A$2:A2719,A2719,$E$2:E2719,0)=1),L2719,0)</f>
        <v>0</v>
      </c>
    </row>
    <row r="2720" spans="1:13" ht="15" customHeight="1">
      <c r="A2720" s="1">
        <v>64</v>
      </c>
      <c r="B2720" s="1" t="s">
        <v>16</v>
      </c>
      <c r="C2720" s="2" t="s">
        <v>3198</v>
      </c>
      <c r="D2720" s="2" t="s">
        <v>3194</v>
      </c>
      <c r="E2720" s="1">
        <v>0</v>
      </c>
      <c r="F2720" s="2" t="s">
        <v>3199</v>
      </c>
      <c r="H2720" s="1" t="str">
        <f t="shared" si="43"/>
        <v/>
      </c>
      <c r="K2720" s="1">
        <f>IF(E2720=0,SUMPRODUCT(($A$2:$A$4734=A2720)*($B$2:$B$4734=B2720)*($D$2:$D$4734=D2720)*($E$2:$E$4734=0)),0)</f>
        <v>6</v>
      </c>
      <c r="L2720" s="1">
        <f>IF(E2720=0,SUMPRODUCT(MIN($K$2:$K$4734+((($A$2:$A$4734&lt;&gt;A2720)+($E$2:$E$4734&lt;&gt;0))&gt;0)*1000000)),"")</f>
        <v>4</v>
      </c>
      <c r="M2720" s="1">
        <f>IF(AND(E2720=0,COUNTIFS($A$2:A2720,A2720,$E$2:E2720,0)=1),L2720,0)</f>
        <v>0</v>
      </c>
    </row>
    <row r="2721" spans="1:13" ht="15" customHeight="1">
      <c r="A2721" s="1">
        <v>64</v>
      </c>
      <c r="B2721" s="1" t="s">
        <v>16</v>
      </c>
      <c r="C2721" s="2" t="s">
        <v>3200</v>
      </c>
      <c r="D2721" s="2" t="s">
        <v>3194</v>
      </c>
      <c r="E2721" s="1">
        <v>0</v>
      </c>
      <c r="F2721" s="2" t="s">
        <v>3201</v>
      </c>
      <c r="H2721" s="1" t="str">
        <f t="shared" si="43"/>
        <v/>
      </c>
      <c r="K2721" s="1">
        <f>IF(E2721=0,SUMPRODUCT(($A$2:$A$4734=A2721)*($B$2:$B$4734=B2721)*($D$2:$D$4734=D2721)*($E$2:$E$4734=0)),0)</f>
        <v>6</v>
      </c>
      <c r="L2721" s="1">
        <f>IF(E2721=0,SUMPRODUCT(MIN($K$2:$K$4734+((($A$2:$A$4734&lt;&gt;A2721)+($E$2:$E$4734&lt;&gt;0))&gt;0)*1000000)),"")</f>
        <v>4</v>
      </c>
      <c r="M2721" s="1">
        <f>IF(AND(E2721=0,COUNTIFS($A$2:A2721,A2721,$E$2:E2721,0)=1),L2721,0)</f>
        <v>0</v>
      </c>
    </row>
    <row r="2722" spans="1:13" ht="15" customHeight="1">
      <c r="A2722" s="1">
        <v>64</v>
      </c>
      <c r="B2722" s="1" t="s">
        <v>16</v>
      </c>
      <c r="C2722" s="2" t="s">
        <v>3202</v>
      </c>
      <c r="D2722" s="2" t="s">
        <v>3194</v>
      </c>
      <c r="E2722" s="1">
        <v>0</v>
      </c>
      <c r="F2722" s="2" t="s">
        <v>3203</v>
      </c>
      <c r="H2722" s="1" t="str">
        <f t="shared" si="43"/>
        <v/>
      </c>
      <c r="K2722" s="1">
        <f>IF(E2722=0,SUMPRODUCT(($A$2:$A$4734=A2722)*($B$2:$B$4734=B2722)*($D$2:$D$4734=D2722)*($E$2:$E$4734=0)),0)</f>
        <v>6</v>
      </c>
      <c r="L2722" s="1">
        <f>IF(E2722=0,SUMPRODUCT(MIN($K$2:$K$4734+((($A$2:$A$4734&lt;&gt;A2722)+($E$2:$E$4734&lt;&gt;0))&gt;0)*1000000)),"")</f>
        <v>4</v>
      </c>
      <c r="M2722" s="1">
        <f>IF(AND(E2722=0,COUNTIFS($A$2:A2722,A2722,$E$2:E2722,0)=1),L2722,0)</f>
        <v>0</v>
      </c>
    </row>
    <row r="2723" spans="1:13" ht="15" customHeight="1">
      <c r="A2723" s="1">
        <v>64</v>
      </c>
      <c r="B2723" s="1" t="s">
        <v>16</v>
      </c>
      <c r="C2723" s="2" t="s">
        <v>3204</v>
      </c>
      <c r="D2723" s="2" t="s">
        <v>3194</v>
      </c>
      <c r="E2723" s="1">
        <v>0</v>
      </c>
      <c r="F2723" s="2" t="s">
        <v>3205</v>
      </c>
      <c r="H2723" s="1" t="str">
        <f t="shared" si="43"/>
        <v/>
      </c>
      <c r="K2723" s="1">
        <f>IF(E2723=0,SUMPRODUCT(($A$2:$A$4734=A2723)*($B$2:$B$4734=B2723)*($D$2:$D$4734=D2723)*($E$2:$E$4734=0)),0)</f>
        <v>6</v>
      </c>
      <c r="L2723" s="1">
        <f>IF(E2723=0,SUMPRODUCT(MIN($K$2:$K$4734+((($A$2:$A$4734&lt;&gt;A2723)+($E$2:$E$4734&lt;&gt;0))&gt;0)*1000000)),"")</f>
        <v>4</v>
      </c>
      <c r="M2723" s="1">
        <f>IF(AND(E2723=0,COUNTIFS($A$2:A2723,A2723,$E$2:E2723,0)=1),L2723,0)</f>
        <v>0</v>
      </c>
    </row>
    <row r="2724" spans="1:13" ht="15" customHeight="1">
      <c r="A2724" s="1">
        <v>65</v>
      </c>
      <c r="B2724" s="1" t="s">
        <v>9</v>
      </c>
      <c r="C2724" s="2" t="s">
        <v>3206</v>
      </c>
      <c r="D2724" s="2" t="s">
        <v>3207</v>
      </c>
      <c r="E2724" s="1">
        <v>0</v>
      </c>
      <c r="F2724" s="2" t="s">
        <v>3208</v>
      </c>
      <c r="H2724" s="1" t="str">
        <f t="shared" si="43"/>
        <v/>
      </c>
      <c r="K2724" s="1">
        <f>IF(E2724=0,SUMPRODUCT(($A$2:$A$4734=A2724)*($B$2:$B$4734=B2724)*($D$2:$D$4734=D2724)*($E$2:$E$4734=0)),0)</f>
        <v>5</v>
      </c>
      <c r="L2724" s="1">
        <f>IF(E2724=0,SUMPRODUCT(MIN($K$2:$K$4734+((($A$2:$A$4734&lt;&gt;A2724)+($E$2:$E$4734&lt;&gt;0))&gt;0)*1000000)),"")</f>
        <v>3</v>
      </c>
      <c r="M2724" s="1">
        <f>IF(AND(E2724=0,COUNTIFS($A$2:A2724,A2724,$E$2:E2724,0)=1),L2724,0)</f>
        <v>3</v>
      </c>
    </row>
    <row r="2725" spans="1:13" ht="15" customHeight="1">
      <c r="A2725" s="1">
        <v>65</v>
      </c>
      <c r="B2725" s="1" t="s">
        <v>9</v>
      </c>
      <c r="C2725" s="2" t="s">
        <v>3206</v>
      </c>
      <c r="D2725" s="2" t="s">
        <v>3207</v>
      </c>
      <c r="E2725" s="1">
        <v>0</v>
      </c>
      <c r="F2725" s="2" t="s">
        <v>3209</v>
      </c>
      <c r="H2725" s="1" t="str">
        <f t="shared" si="43"/>
        <v/>
      </c>
      <c r="K2725" s="1">
        <f>IF(E2725=0,SUMPRODUCT(($A$2:$A$4734=A2725)*($B$2:$B$4734=B2725)*($D$2:$D$4734=D2725)*($E$2:$E$4734=0)),0)</f>
        <v>5</v>
      </c>
      <c r="L2725" s="1">
        <f>IF(E2725=0,SUMPRODUCT(MIN($K$2:$K$4734+((($A$2:$A$4734&lt;&gt;A2725)+($E$2:$E$4734&lt;&gt;0))&gt;0)*1000000)),"")</f>
        <v>3</v>
      </c>
      <c r="M2725" s="1">
        <f>IF(AND(E2725=0,COUNTIFS($A$2:A2725,A2725,$E$2:E2725,0)=1),L2725,0)</f>
        <v>0</v>
      </c>
    </row>
    <row r="2726" spans="1:13" ht="15" customHeight="1">
      <c r="A2726" s="1">
        <v>65</v>
      </c>
      <c r="B2726" s="1" t="s">
        <v>9</v>
      </c>
      <c r="C2726" s="2" t="s">
        <v>3206</v>
      </c>
      <c r="D2726" s="2" t="s">
        <v>3207</v>
      </c>
      <c r="E2726" s="1">
        <v>0</v>
      </c>
      <c r="F2726" s="2" t="s">
        <v>3210</v>
      </c>
      <c r="H2726" s="1" t="str">
        <f t="shared" si="43"/>
        <v/>
      </c>
      <c r="K2726" s="1">
        <f>IF(E2726=0,SUMPRODUCT(($A$2:$A$4734=A2726)*($B$2:$B$4734=B2726)*($D$2:$D$4734=D2726)*($E$2:$E$4734=0)),0)</f>
        <v>5</v>
      </c>
      <c r="L2726" s="1">
        <f>IF(E2726=0,SUMPRODUCT(MIN($K$2:$K$4734+((($A$2:$A$4734&lt;&gt;A2726)+($E$2:$E$4734&lt;&gt;0))&gt;0)*1000000)),"")</f>
        <v>3</v>
      </c>
      <c r="M2726" s="1">
        <f>IF(AND(E2726=0,COUNTIFS($A$2:A2726,A2726,$E$2:E2726,0)=1),L2726,0)</f>
        <v>0</v>
      </c>
    </row>
    <row r="2727" spans="1:13" ht="15" customHeight="1">
      <c r="A2727" s="1">
        <v>65</v>
      </c>
      <c r="B2727" s="1" t="s">
        <v>9</v>
      </c>
      <c r="C2727" s="2" t="s">
        <v>3206</v>
      </c>
      <c r="D2727" s="2" t="s">
        <v>3207</v>
      </c>
      <c r="E2727" s="1">
        <v>0</v>
      </c>
      <c r="F2727" s="2" t="s">
        <v>3211</v>
      </c>
      <c r="H2727" s="1" t="str">
        <f t="shared" si="43"/>
        <v/>
      </c>
      <c r="K2727" s="1">
        <f>IF(E2727=0,SUMPRODUCT(($A$2:$A$4734=A2727)*($B$2:$B$4734=B2727)*($D$2:$D$4734=D2727)*($E$2:$E$4734=0)),0)</f>
        <v>5</v>
      </c>
      <c r="L2727" s="1">
        <f>IF(E2727=0,SUMPRODUCT(MIN($K$2:$K$4734+((($A$2:$A$4734&lt;&gt;A2727)+($E$2:$E$4734&lt;&gt;0))&gt;0)*1000000)),"")</f>
        <v>3</v>
      </c>
      <c r="M2727" s="1">
        <f>IF(AND(E2727=0,COUNTIFS($A$2:A2727,A2727,$E$2:E2727,0)=1),L2727,0)</f>
        <v>0</v>
      </c>
    </row>
    <row r="2728" spans="1:13" ht="15" customHeight="1">
      <c r="A2728" s="1">
        <v>65</v>
      </c>
      <c r="B2728" s="1" t="s">
        <v>9</v>
      </c>
      <c r="C2728" s="2" t="s">
        <v>3206</v>
      </c>
      <c r="D2728" s="2" t="s">
        <v>3207</v>
      </c>
      <c r="E2728" s="1">
        <v>0</v>
      </c>
      <c r="F2728" s="2" t="s">
        <v>3212</v>
      </c>
      <c r="H2728" s="1" t="str">
        <f t="shared" si="43"/>
        <v/>
      </c>
      <c r="K2728" s="1">
        <f>IF(E2728=0,SUMPRODUCT(($A$2:$A$4734=A2728)*($B$2:$B$4734=B2728)*($D$2:$D$4734=D2728)*($E$2:$E$4734=0)),0)</f>
        <v>5</v>
      </c>
      <c r="L2728" s="1">
        <f>IF(E2728=0,SUMPRODUCT(MIN($K$2:$K$4734+((($A$2:$A$4734&lt;&gt;A2728)+($E$2:$E$4734&lt;&gt;0))&gt;0)*1000000)),"")</f>
        <v>3</v>
      </c>
      <c r="M2728" s="1">
        <f>IF(AND(E2728=0,COUNTIFS($A$2:A2728,A2728,$E$2:E2728,0)=1),L2728,0)</f>
        <v>0</v>
      </c>
    </row>
    <row r="2729" spans="1:13" ht="15" customHeight="1">
      <c r="A2729" s="1">
        <v>65</v>
      </c>
      <c r="B2729" s="1" t="s">
        <v>9</v>
      </c>
      <c r="C2729" s="2" t="s">
        <v>3206</v>
      </c>
      <c r="D2729" s="2" t="s">
        <v>3213</v>
      </c>
      <c r="E2729" s="1">
        <v>0</v>
      </c>
      <c r="F2729" s="2" t="s">
        <v>3214</v>
      </c>
      <c r="H2729" s="1" t="str">
        <f t="shared" si="43"/>
        <v/>
      </c>
      <c r="K2729" s="1">
        <f>IF(E2729=0,SUMPRODUCT(($A$2:$A$4734=A2729)*($B$2:$B$4734=B2729)*($D$2:$D$4734=D2729)*($E$2:$E$4734=0)),0)</f>
        <v>3</v>
      </c>
      <c r="L2729" s="1">
        <f>IF(E2729=0,SUMPRODUCT(MIN($K$2:$K$4734+((($A$2:$A$4734&lt;&gt;A2729)+($E$2:$E$4734&lt;&gt;0))&gt;0)*1000000)),"")</f>
        <v>3</v>
      </c>
      <c r="M2729" s="1">
        <f>IF(AND(E2729=0,COUNTIFS($A$2:A2729,A2729,$E$2:E2729,0)=1),L2729,0)</f>
        <v>0</v>
      </c>
    </row>
    <row r="2730" spans="1:13" ht="15" customHeight="1">
      <c r="A2730" s="1">
        <v>65</v>
      </c>
      <c r="B2730" s="1" t="s">
        <v>9</v>
      </c>
      <c r="C2730" s="2" t="s">
        <v>3206</v>
      </c>
      <c r="D2730" s="2" t="s">
        <v>3213</v>
      </c>
      <c r="E2730" s="1">
        <v>0</v>
      </c>
      <c r="F2730" s="2" t="s">
        <v>3215</v>
      </c>
      <c r="H2730" s="1" t="str">
        <f t="shared" si="43"/>
        <v/>
      </c>
      <c r="K2730" s="1">
        <f>IF(E2730=0,SUMPRODUCT(($A$2:$A$4734=A2730)*($B$2:$B$4734=B2730)*($D$2:$D$4734=D2730)*($E$2:$E$4734=0)),0)</f>
        <v>3</v>
      </c>
      <c r="L2730" s="1">
        <f>IF(E2730=0,SUMPRODUCT(MIN($K$2:$K$4734+((($A$2:$A$4734&lt;&gt;A2730)+($E$2:$E$4734&lt;&gt;0))&gt;0)*1000000)),"")</f>
        <v>3</v>
      </c>
      <c r="M2730" s="1">
        <f>IF(AND(E2730=0,COUNTIFS($A$2:A2730,A2730,$E$2:E2730,0)=1),L2730,0)</f>
        <v>0</v>
      </c>
    </row>
    <row r="2731" spans="1:13" ht="15" customHeight="1">
      <c r="A2731" s="1">
        <v>65</v>
      </c>
      <c r="B2731" s="1" t="s">
        <v>9</v>
      </c>
      <c r="C2731" s="2" t="s">
        <v>3206</v>
      </c>
      <c r="D2731" s="2" t="s">
        <v>3213</v>
      </c>
      <c r="E2731" s="1">
        <v>0</v>
      </c>
      <c r="F2731" s="2" t="s">
        <v>3216</v>
      </c>
      <c r="H2731" s="1" t="str">
        <f t="shared" si="43"/>
        <v/>
      </c>
      <c r="K2731" s="1">
        <f>IF(E2731=0,SUMPRODUCT(($A$2:$A$4734=A2731)*($B$2:$B$4734=B2731)*($D$2:$D$4734=D2731)*($E$2:$E$4734=0)),0)</f>
        <v>3</v>
      </c>
      <c r="L2731" s="1">
        <f>IF(E2731=0,SUMPRODUCT(MIN($K$2:$K$4734+((($A$2:$A$4734&lt;&gt;A2731)+($E$2:$E$4734&lt;&gt;0))&gt;0)*1000000)),"")</f>
        <v>3</v>
      </c>
      <c r="M2731" s="1">
        <f>IF(AND(E2731=0,COUNTIFS($A$2:A2731,A2731,$E$2:E2731,0)=1),L2731,0)</f>
        <v>0</v>
      </c>
    </row>
    <row r="2732" spans="1:13" ht="15" customHeight="1">
      <c r="A2732" s="1">
        <v>66</v>
      </c>
      <c r="B2732" s="1" t="s">
        <v>16</v>
      </c>
      <c r="C2732" s="2" t="s">
        <v>3217</v>
      </c>
      <c r="D2732" s="2" t="s">
        <v>3218</v>
      </c>
      <c r="E2732" s="1">
        <v>0</v>
      </c>
      <c r="F2732" s="2" t="s">
        <v>3219</v>
      </c>
      <c r="H2732" s="1" t="str">
        <f t="shared" si="43"/>
        <v/>
      </c>
      <c r="K2732" s="1">
        <f>IF(E2732=0,SUMPRODUCT(($A$2:$A$4734=A2732)*($B$2:$B$4734=B2732)*($D$2:$D$4734=D2732)*($E$2:$E$4734=0)),0)</f>
        <v>4</v>
      </c>
      <c r="L2732" s="1">
        <f>IF(E2732=0,SUMPRODUCT(MIN($K$2:$K$4734+((($A$2:$A$4734&lt;&gt;A2732)+($E$2:$E$4734&lt;&gt;0))&gt;0)*1000000)),"")</f>
        <v>4</v>
      </c>
      <c r="M2732" s="1">
        <f>IF(AND(E2732=0,COUNTIFS($A$2:A2732,A2732,$E$2:E2732,0)=1),L2732,0)</f>
        <v>4</v>
      </c>
    </row>
    <row r="2733" spans="1:13" ht="15" customHeight="1">
      <c r="A2733" s="1">
        <v>66</v>
      </c>
      <c r="B2733" s="1" t="s">
        <v>16</v>
      </c>
      <c r="C2733" s="2" t="s">
        <v>3217</v>
      </c>
      <c r="D2733" s="2" t="s">
        <v>3218</v>
      </c>
      <c r="E2733" s="1">
        <v>0</v>
      </c>
      <c r="F2733" s="2" t="s">
        <v>3220</v>
      </c>
      <c r="H2733" s="1" t="str">
        <f t="shared" si="43"/>
        <v/>
      </c>
      <c r="K2733" s="1">
        <f>IF(E2733=0,SUMPRODUCT(($A$2:$A$4734=A2733)*($B$2:$B$4734=B2733)*($D$2:$D$4734=D2733)*($E$2:$E$4734=0)),0)</f>
        <v>4</v>
      </c>
      <c r="L2733" s="1">
        <f>IF(E2733=0,SUMPRODUCT(MIN($K$2:$K$4734+((($A$2:$A$4734&lt;&gt;A2733)+($E$2:$E$4734&lt;&gt;0))&gt;0)*1000000)),"")</f>
        <v>4</v>
      </c>
      <c r="M2733" s="1">
        <f>IF(AND(E2733=0,COUNTIFS($A$2:A2733,A2733,$E$2:E2733,0)=1),L2733,0)</f>
        <v>0</v>
      </c>
    </row>
    <row r="2734" spans="1:13" ht="15" customHeight="1">
      <c r="A2734" s="1">
        <v>66</v>
      </c>
      <c r="B2734" s="1" t="s">
        <v>16</v>
      </c>
      <c r="C2734" s="2" t="s">
        <v>3217</v>
      </c>
      <c r="D2734" s="2" t="s">
        <v>3218</v>
      </c>
      <c r="E2734" s="1">
        <v>0</v>
      </c>
      <c r="F2734" s="2" t="s">
        <v>3221</v>
      </c>
      <c r="H2734" s="1" t="str">
        <f t="shared" si="43"/>
        <v/>
      </c>
      <c r="K2734" s="1">
        <f>IF(E2734=0,SUMPRODUCT(($A$2:$A$4734=A2734)*($B$2:$B$4734=B2734)*($D$2:$D$4734=D2734)*($E$2:$E$4734=0)),0)</f>
        <v>4</v>
      </c>
      <c r="L2734" s="1">
        <f>IF(E2734=0,SUMPRODUCT(MIN($K$2:$K$4734+((($A$2:$A$4734&lt;&gt;A2734)+($E$2:$E$4734&lt;&gt;0))&gt;0)*1000000)),"")</f>
        <v>4</v>
      </c>
      <c r="M2734" s="1">
        <f>IF(AND(E2734=0,COUNTIFS($A$2:A2734,A2734,$E$2:E2734,0)=1),L2734,0)</f>
        <v>0</v>
      </c>
    </row>
    <row r="2735" spans="1:13" ht="15" customHeight="1">
      <c r="A2735" s="1">
        <v>66</v>
      </c>
      <c r="B2735" s="1" t="s">
        <v>16</v>
      </c>
      <c r="C2735" s="2" t="s">
        <v>3217</v>
      </c>
      <c r="D2735" s="2" t="s">
        <v>3218</v>
      </c>
      <c r="E2735" s="1">
        <v>0</v>
      </c>
      <c r="F2735" s="2" t="s">
        <v>3222</v>
      </c>
      <c r="H2735" s="1" t="str">
        <f t="shared" si="43"/>
        <v/>
      </c>
      <c r="K2735" s="1">
        <f>IF(E2735=0,SUMPRODUCT(($A$2:$A$4734=A2735)*($B$2:$B$4734=B2735)*($D$2:$D$4734=D2735)*($E$2:$E$4734=0)),0)</f>
        <v>4</v>
      </c>
      <c r="L2735" s="1">
        <f>IF(E2735=0,SUMPRODUCT(MIN($K$2:$K$4734+((($A$2:$A$4734&lt;&gt;A2735)+($E$2:$E$4734&lt;&gt;0))&gt;0)*1000000)),"")</f>
        <v>4</v>
      </c>
      <c r="M2735" s="1">
        <f>IF(AND(E2735=0,COUNTIFS($A$2:A2735,A2735,$E$2:E2735,0)=1),L2735,0)</f>
        <v>0</v>
      </c>
    </row>
    <row r="2736" spans="1:13" ht="15" customHeight="1">
      <c r="A2736" s="1">
        <v>66</v>
      </c>
      <c r="B2736" s="1" t="s">
        <v>9</v>
      </c>
      <c r="C2736" s="2" t="s">
        <v>3217</v>
      </c>
      <c r="D2736" s="2" t="s">
        <v>2142</v>
      </c>
      <c r="E2736" s="1">
        <v>0</v>
      </c>
      <c r="F2736" s="2" t="s">
        <v>2146</v>
      </c>
      <c r="H2736" s="1" t="str">
        <f t="shared" si="43"/>
        <v/>
      </c>
      <c r="K2736" s="1">
        <f>IF(E2736=0,SUMPRODUCT(($A$2:$A$4734=A2736)*($B$2:$B$4734=B2736)*($D$2:$D$4734=D2736)*($E$2:$E$4734=0)),0)</f>
        <v>5</v>
      </c>
      <c r="L2736" s="1">
        <f>IF(E2736=0,SUMPRODUCT(MIN($K$2:$K$4734+((($A$2:$A$4734&lt;&gt;A2736)+($E$2:$E$4734&lt;&gt;0))&gt;0)*1000000)),"")</f>
        <v>4</v>
      </c>
      <c r="M2736" s="1">
        <f>IF(AND(E2736=0,COUNTIFS($A$2:A2736,A2736,$E$2:E2736,0)=1),L2736,0)</f>
        <v>0</v>
      </c>
    </row>
    <row r="2737" spans="1:13" ht="15" customHeight="1">
      <c r="A2737" s="1">
        <v>66</v>
      </c>
      <c r="B2737" s="1" t="s">
        <v>9</v>
      </c>
      <c r="C2737" s="2" t="s">
        <v>3217</v>
      </c>
      <c r="D2737" s="2" t="s">
        <v>2142</v>
      </c>
      <c r="E2737" s="1">
        <v>0</v>
      </c>
      <c r="F2737" s="2" t="s">
        <v>3223</v>
      </c>
      <c r="H2737" s="1" t="str">
        <f t="shared" si="43"/>
        <v/>
      </c>
      <c r="K2737" s="1">
        <f>IF(E2737=0,SUMPRODUCT(($A$2:$A$4734=A2737)*($B$2:$B$4734=B2737)*($D$2:$D$4734=D2737)*($E$2:$E$4734=0)),0)</f>
        <v>5</v>
      </c>
      <c r="L2737" s="1">
        <f>IF(E2737=0,SUMPRODUCT(MIN($K$2:$K$4734+((($A$2:$A$4734&lt;&gt;A2737)+($E$2:$E$4734&lt;&gt;0))&gt;0)*1000000)),"")</f>
        <v>4</v>
      </c>
      <c r="M2737" s="1">
        <f>IF(AND(E2737=0,COUNTIFS($A$2:A2737,A2737,$E$2:E2737,0)=1),L2737,0)</f>
        <v>0</v>
      </c>
    </row>
    <row r="2738" spans="1:13" ht="15" customHeight="1">
      <c r="A2738" s="1">
        <v>66</v>
      </c>
      <c r="B2738" s="1" t="s">
        <v>9</v>
      </c>
      <c r="C2738" s="2" t="s">
        <v>3217</v>
      </c>
      <c r="D2738" s="2" t="s">
        <v>2142</v>
      </c>
      <c r="E2738" s="1">
        <v>0</v>
      </c>
      <c r="F2738" s="2" t="s">
        <v>3224</v>
      </c>
      <c r="H2738" s="1" t="str">
        <f t="shared" si="43"/>
        <v/>
      </c>
      <c r="K2738" s="1">
        <f>IF(E2738=0,SUMPRODUCT(($A$2:$A$4734=A2738)*($B$2:$B$4734=B2738)*($D$2:$D$4734=D2738)*($E$2:$E$4734=0)),0)</f>
        <v>5</v>
      </c>
      <c r="L2738" s="1">
        <f>IF(E2738=0,SUMPRODUCT(MIN($K$2:$K$4734+((($A$2:$A$4734&lt;&gt;A2738)+($E$2:$E$4734&lt;&gt;0))&gt;0)*1000000)),"")</f>
        <v>4</v>
      </c>
      <c r="M2738" s="1">
        <f>IF(AND(E2738=0,COUNTIFS($A$2:A2738,A2738,$E$2:E2738,0)=1),L2738,0)</f>
        <v>0</v>
      </c>
    </row>
    <row r="2739" spans="1:13" ht="15" customHeight="1">
      <c r="A2739" s="1">
        <v>66</v>
      </c>
      <c r="B2739" s="1" t="s">
        <v>9</v>
      </c>
      <c r="C2739" s="2" t="s">
        <v>3217</v>
      </c>
      <c r="D2739" s="2" t="s">
        <v>2142</v>
      </c>
      <c r="E2739" s="1">
        <v>0</v>
      </c>
      <c r="F2739" s="2" t="s">
        <v>3225</v>
      </c>
      <c r="H2739" s="1" t="str">
        <f t="shared" si="43"/>
        <v/>
      </c>
      <c r="K2739" s="1">
        <f>IF(E2739=0,SUMPRODUCT(($A$2:$A$4734=A2739)*($B$2:$B$4734=B2739)*($D$2:$D$4734=D2739)*($E$2:$E$4734=0)),0)</f>
        <v>5</v>
      </c>
      <c r="L2739" s="1">
        <f>IF(E2739=0,SUMPRODUCT(MIN($K$2:$K$4734+((($A$2:$A$4734&lt;&gt;A2739)+($E$2:$E$4734&lt;&gt;0))&gt;0)*1000000)),"")</f>
        <v>4</v>
      </c>
      <c r="M2739" s="1">
        <f>IF(AND(E2739=0,COUNTIFS($A$2:A2739,A2739,$E$2:E2739,0)=1),L2739,0)</f>
        <v>0</v>
      </c>
    </row>
    <row r="2740" spans="1:13" ht="15" customHeight="1">
      <c r="A2740" s="1">
        <v>66</v>
      </c>
      <c r="B2740" s="1" t="s">
        <v>9</v>
      </c>
      <c r="C2740" s="2" t="s">
        <v>3217</v>
      </c>
      <c r="D2740" s="2" t="s">
        <v>2142</v>
      </c>
      <c r="E2740" s="1">
        <v>0</v>
      </c>
      <c r="F2740" s="2" t="s">
        <v>3226</v>
      </c>
      <c r="H2740" s="1" t="str">
        <f t="shared" si="43"/>
        <v/>
      </c>
      <c r="K2740" s="1">
        <f>IF(E2740=0,SUMPRODUCT(($A$2:$A$4734=A2740)*($B$2:$B$4734=B2740)*($D$2:$D$4734=D2740)*($E$2:$E$4734=0)),0)</f>
        <v>5</v>
      </c>
      <c r="L2740" s="1">
        <f>IF(E2740=0,SUMPRODUCT(MIN($K$2:$K$4734+((($A$2:$A$4734&lt;&gt;A2740)+($E$2:$E$4734&lt;&gt;0))&gt;0)*1000000)),"")</f>
        <v>4</v>
      </c>
      <c r="M2740" s="1">
        <f>IF(AND(E2740=0,COUNTIFS($A$2:A2740,A2740,$E$2:E2740,0)=1),L2740,0)</f>
        <v>0</v>
      </c>
    </row>
    <row r="2741" spans="1:13" ht="15" customHeight="1">
      <c r="A2741" s="1">
        <v>67</v>
      </c>
      <c r="B2741" s="1" t="s">
        <v>16</v>
      </c>
      <c r="C2741" s="2" t="s">
        <v>3227</v>
      </c>
      <c r="D2741" s="2" t="s">
        <v>3228</v>
      </c>
      <c r="E2741" s="1">
        <v>0</v>
      </c>
      <c r="F2741" s="2" t="s">
        <v>3229</v>
      </c>
      <c r="H2741" s="1" t="str">
        <f t="shared" si="43"/>
        <v/>
      </c>
      <c r="K2741" s="1">
        <f>IF(E2741=0,SUMPRODUCT(($A$2:$A$4734=A2741)*($B$2:$B$4734=B2741)*($D$2:$D$4734=D2741)*($E$2:$E$4734=0)),0)</f>
        <v>2</v>
      </c>
      <c r="L2741" s="1">
        <f>IF(E2741=0,SUMPRODUCT(MIN($K$2:$K$4734+((($A$2:$A$4734&lt;&gt;A2741)+($E$2:$E$4734&lt;&gt;0))&gt;0)*1000000)),"")</f>
        <v>2</v>
      </c>
      <c r="M2741" s="1">
        <f>IF(AND(E2741=0,COUNTIFS($A$2:A2741,A2741,$E$2:E2741,0)=1),L2741,0)</f>
        <v>2</v>
      </c>
    </row>
    <row r="2742" spans="1:13" ht="15" customHeight="1">
      <c r="A2742" s="1">
        <v>67</v>
      </c>
      <c r="B2742" s="1" t="s">
        <v>16</v>
      </c>
      <c r="C2742" s="2" t="s">
        <v>3227</v>
      </c>
      <c r="D2742" s="2" t="s">
        <v>3228</v>
      </c>
      <c r="E2742" s="1">
        <v>0</v>
      </c>
      <c r="F2742" s="2" t="s">
        <v>3230</v>
      </c>
      <c r="H2742" s="1" t="str">
        <f t="shared" si="43"/>
        <v/>
      </c>
      <c r="K2742" s="1">
        <f>IF(E2742=0,SUMPRODUCT(($A$2:$A$4734=A2742)*($B$2:$B$4734=B2742)*($D$2:$D$4734=D2742)*($E$2:$E$4734=0)),0)</f>
        <v>2</v>
      </c>
      <c r="L2742" s="1">
        <f>IF(E2742=0,SUMPRODUCT(MIN($K$2:$K$4734+((($A$2:$A$4734&lt;&gt;A2742)+($E$2:$E$4734&lt;&gt;0))&gt;0)*1000000)),"")</f>
        <v>2</v>
      </c>
      <c r="M2742" s="1">
        <f>IF(AND(E2742=0,COUNTIFS($A$2:A2742,A2742,$E$2:E2742,0)=1),L2742,0)</f>
        <v>0</v>
      </c>
    </row>
    <row r="2743" spans="1:13" ht="15" customHeight="1">
      <c r="A2743" s="1">
        <v>68</v>
      </c>
      <c r="B2743" s="1" t="s">
        <v>16</v>
      </c>
      <c r="C2743" s="2" t="s">
        <v>3231</v>
      </c>
      <c r="D2743" s="2" t="s">
        <v>993</v>
      </c>
      <c r="E2743" s="1">
        <v>0</v>
      </c>
      <c r="F2743" s="2" t="s">
        <v>2431</v>
      </c>
      <c r="H2743" s="1" t="str">
        <f t="shared" si="43"/>
        <v/>
      </c>
      <c r="K2743" s="1">
        <f>IF(E2743=0,SUMPRODUCT(($A$2:$A$4734=A2743)*($B$2:$B$4734=B2743)*($D$2:$D$4734=D2743)*($E$2:$E$4734=0)),0)</f>
        <v>4</v>
      </c>
      <c r="L2743" s="1">
        <f>IF(E2743=0,SUMPRODUCT(MIN($K$2:$K$4734+((($A$2:$A$4734&lt;&gt;A2743)+($E$2:$E$4734&lt;&gt;0))&gt;0)*1000000)),"")</f>
        <v>4</v>
      </c>
      <c r="M2743" s="1">
        <f>IF(AND(E2743=0,COUNTIFS($A$2:A2743,A2743,$E$2:E2743,0)=1),L2743,0)</f>
        <v>4</v>
      </c>
    </row>
    <row r="2744" spans="1:13" ht="15" customHeight="1">
      <c r="A2744" s="1">
        <v>68</v>
      </c>
      <c r="B2744" s="1" t="s">
        <v>16</v>
      </c>
      <c r="C2744" s="2" t="s">
        <v>3231</v>
      </c>
      <c r="D2744" s="2" t="s">
        <v>993</v>
      </c>
      <c r="E2744" s="1">
        <v>0</v>
      </c>
      <c r="F2744" s="2" t="s">
        <v>995</v>
      </c>
      <c r="H2744" s="1" t="str">
        <f t="shared" si="43"/>
        <v/>
      </c>
      <c r="K2744" s="1">
        <f>IF(E2744=0,SUMPRODUCT(($A$2:$A$4734=A2744)*($B$2:$B$4734=B2744)*($D$2:$D$4734=D2744)*($E$2:$E$4734=0)),0)</f>
        <v>4</v>
      </c>
      <c r="L2744" s="1">
        <f>IF(E2744=0,SUMPRODUCT(MIN($K$2:$K$4734+((($A$2:$A$4734&lt;&gt;A2744)+($E$2:$E$4734&lt;&gt;0))&gt;0)*1000000)),"")</f>
        <v>4</v>
      </c>
      <c r="M2744" s="1">
        <f>IF(AND(E2744=0,COUNTIFS($A$2:A2744,A2744,$E$2:E2744,0)=1),L2744,0)</f>
        <v>0</v>
      </c>
    </row>
    <row r="2745" spans="1:13" ht="15" customHeight="1">
      <c r="A2745" s="1">
        <v>68</v>
      </c>
      <c r="B2745" s="1" t="s">
        <v>16</v>
      </c>
      <c r="C2745" s="2" t="s">
        <v>3231</v>
      </c>
      <c r="D2745" s="2" t="s">
        <v>993</v>
      </c>
      <c r="E2745" s="1">
        <v>0</v>
      </c>
      <c r="F2745" s="2" t="s">
        <v>996</v>
      </c>
      <c r="H2745" s="1" t="str">
        <f t="shared" si="43"/>
        <v/>
      </c>
      <c r="K2745" s="1">
        <f>IF(E2745=0,SUMPRODUCT(($A$2:$A$4734=A2745)*($B$2:$B$4734=B2745)*($D$2:$D$4734=D2745)*($E$2:$E$4734=0)),0)</f>
        <v>4</v>
      </c>
      <c r="L2745" s="1">
        <f>IF(E2745=0,SUMPRODUCT(MIN($K$2:$K$4734+((($A$2:$A$4734&lt;&gt;A2745)+($E$2:$E$4734&lt;&gt;0))&gt;0)*1000000)),"")</f>
        <v>4</v>
      </c>
      <c r="M2745" s="1">
        <f>IF(AND(E2745=0,COUNTIFS($A$2:A2745,A2745,$E$2:E2745,0)=1),L2745,0)</f>
        <v>0</v>
      </c>
    </row>
    <row r="2746" spans="1:13" ht="15" customHeight="1">
      <c r="A2746" s="1">
        <v>68</v>
      </c>
      <c r="B2746" s="1" t="s">
        <v>16</v>
      </c>
      <c r="C2746" s="2" t="s">
        <v>3231</v>
      </c>
      <c r="D2746" s="2" t="s">
        <v>993</v>
      </c>
      <c r="E2746" s="1">
        <v>0</v>
      </c>
      <c r="F2746" s="2" t="s">
        <v>3131</v>
      </c>
      <c r="H2746" s="1" t="str">
        <f t="shared" si="43"/>
        <v/>
      </c>
      <c r="K2746" s="1">
        <f>IF(E2746=0,SUMPRODUCT(($A$2:$A$4734=A2746)*($B$2:$B$4734=B2746)*($D$2:$D$4734=D2746)*($E$2:$E$4734=0)),0)</f>
        <v>4</v>
      </c>
      <c r="L2746" s="1">
        <f>IF(E2746=0,SUMPRODUCT(MIN($K$2:$K$4734+((($A$2:$A$4734&lt;&gt;A2746)+($E$2:$E$4734&lt;&gt;0))&gt;0)*1000000)),"")</f>
        <v>4</v>
      </c>
      <c r="M2746" s="1">
        <f>IF(AND(E2746=0,COUNTIFS($A$2:A2746,A2746,$E$2:E2746,0)=1),L2746,0)</f>
        <v>0</v>
      </c>
    </row>
    <row r="2747" spans="1:13" ht="15" customHeight="1">
      <c r="A2747" s="1">
        <v>69</v>
      </c>
      <c r="B2747" s="1" t="s">
        <v>9</v>
      </c>
      <c r="C2747" s="2" t="s">
        <v>3232</v>
      </c>
      <c r="D2747" s="2" t="s">
        <v>3233</v>
      </c>
      <c r="E2747" s="1">
        <v>0</v>
      </c>
      <c r="F2747" s="2" t="s">
        <v>3234</v>
      </c>
      <c r="H2747" s="1" t="str">
        <f t="shared" si="43"/>
        <v/>
      </c>
      <c r="K2747" s="1">
        <f>IF(E2747=0,SUMPRODUCT(($A$2:$A$4734=A2747)*($B$2:$B$4734=B2747)*($D$2:$D$4734=D2747)*($E$2:$E$4734=0)),0)</f>
        <v>6</v>
      </c>
      <c r="L2747" s="1">
        <f>IF(E2747=0,SUMPRODUCT(MIN($K$2:$K$4734+((($A$2:$A$4734&lt;&gt;A2747)+($E$2:$E$4734&lt;&gt;0))&gt;0)*1000000)),"")</f>
        <v>6</v>
      </c>
      <c r="M2747" s="1">
        <f>IF(AND(E2747=0,COUNTIFS($A$2:A2747,A2747,$E$2:E2747,0)=1),L2747,0)</f>
        <v>6</v>
      </c>
    </row>
    <row r="2748" spans="1:13" ht="15" customHeight="1">
      <c r="A2748" s="1">
        <v>69</v>
      </c>
      <c r="B2748" s="1" t="s">
        <v>9</v>
      </c>
      <c r="C2748" s="2" t="s">
        <v>3232</v>
      </c>
      <c r="D2748" s="2" t="s">
        <v>3233</v>
      </c>
      <c r="E2748" s="1">
        <v>0</v>
      </c>
      <c r="F2748" s="2" t="s">
        <v>3235</v>
      </c>
      <c r="H2748" s="1" t="str">
        <f t="shared" ref="H2748:H2808" si="44">IF(OR(E2748&lt;&gt;1,G2748=""),"","k"&amp;A2748&amp;"_"&amp;G2748)</f>
        <v/>
      </c>
      <c r="K2748" s="1">
        <f>IF(E2748=0,SUMPRODUCT(($A$2:$A$4734=A2748)*($B$2:$B$4734=B2748)*($D$2:$D$4734=D2748)*($E$2:$E$4734=0)),0)</f>
        <v>6</v>
      </c>
      <c r="L2748" s="1">
        <f>IF(E2748=0,SUMPRODUCT(MIN($K$2:$K$4734+((($A$2:$A$4734&lt;&gt;A2748)+($E$2:$E$4734&lt;&gt;0))&gt;0)*1000000)),"")</f>
        <v>6</v>
      </c>
      <c r="M2748" s="1">
        <f>IF(AND(E2748=0,COUNTIFS($A$2:A2748,A2748,$E$2:E2748,0)=1),L2748,0)</f>
        <v>0</v>
      </c>
    </row>
    <row r="2749" spans="1:13" ht="15" customHeight="1">
      <c r="A2749" s="1">
        <v>69</v>
      </c>
      <c r="B2749" s="1" t="s">
        <v>9</v>
      </c>
      <c r="C2749" s="2" t="s">
        <v>3232</v>
      </c>
      <c r="D2749" s="2" t="s">
        <v>3233</v>
      </c>
      <c r="E2749" s="1">
        <v>0</v>
      </c>
      <c r="F2749" s="2" t="s">
        <v>3236</v>
      </c>
      <c r="H2749" s="1" t="str">
        <f t="shared" si="44"/>
        <v/>
      </c>
      <c r="K2749" s="1">
        <f>IF(E2749=0,SUMPRODUCT(($A$2:$A$4734=A2749)*($B$2:$B$4734=B2749)*($D$2:$D$4734=D2749)*($E$2:$E$4734=0)),0)</f>
        <v>6</v>
      </c>
      <c r="L2749" s="1">
        <f>IF(E2749=0,SUMPRODUCT(MIN($K$2:$K$4734+((($A$2:$A$4734&lt;&gt;A2749)+($E$2:$E$4734&lt;&gt;0))&gt;0)*1000000)),"")</f>
        <v>6</v>
      </c>
      <c r="M2749" s="1">
        <f>IF(AND(E2749=0,COUNTIFS($A$2:A2749,A2749,$E$2:E2749,0)=1),L2749,0)</f>
        <v>0</v>
      </c>
    </row>
    <row r="2750" spans="1:13" ht="15" customHeight="1">
      <c r="A2750" s="1">
        <v>69</v>
      </c>
      <c r="B2750" s="1" t="s">
        <v>9</v>
      </c>
      <c r="C2750" s="2" t="s">
        <v>3232</v>
      </c>
      <c r="D2750" s="2" t="s">
        <v>3233</v>
      </c>
      <c r="E2750" s="1">
        <v>0</v>
      </c>
      <c r="F2750" s="2" t="s">
        <v>3237</v>
      </c>
      <c r="H2750" s="1" t="str">
        <f t="shared" si="44"/>
        <v/>
      </c>
      <c r="K2750" s="1">
        <f>IF(E2750=0,SUMPRODUCT(($A$2:$A$4734=A2750)*($B$2:$B$4734=B2750)*($D$2:$D$4734=D2750)*($E$2:$E$4734=0)),0)</f>
        <v>6</v>
      </c>
      <c r="L2750" s="1">
        <f>IF(E2750=0,SUMPRODUCT(MIN($K$2:$K$4734+((($A$2:$A$4734&lt;&gt;A2750)+($E$2:$E$4734&lt;&gt;0))&gt;0)*1000000)),"")</f>
        <v>6</v>
      </c>
      <c r="M2750" s="1">
        <f>IF(AND(E2750=0,COUNTIFS($A$2:A2750,A2750,$E$2:E2750,0)=1),L2750,0)</f>
        <v>0</v>
      </c>
    </row>
    <row r="2751" spans="1:13" ht="15" customHeight="1">
      <c r="A2751" s="1">
        <v>69</v>
      </c>
      <c r="B2751" s="1" t="s">
        <v>9</v>
      </c>
      <c r="C2751" s="2" t="s">
        <v>3232</v>
      </c>
      <c r="D2751" s="2" t="s">
        <v>3233</v>
      </c>
      <c r="E2751" s="1">
        <v>0</v>
      </c>
      <c r="F2751" s="2" t="s">
        <v>3238</v>
      </c>
      <c r="H2751" s="1" t="str">
        <f t="shared" si="44"/>
        <v/>
      </c>
      <c r="K2751" s="1">
        <f>IF(E2751=0,SUMPRODUCT(($A$2:$A$4734=A2751)*($B$2:$B$4734=B2751)*($D$2:$D$4734=D2751)*($E$2:$E$4734=0)),0)</f>
        <v>6</v>
      </c>
      <c r="L2751" s="1">
        <f>IF(E2751=0,SUMPRODUCT(MIN($K$2:$K$4734+((($A$2:$A$4734&lt;&gt;A2751)+($E$2:$E$4734&lt;&gt;0))&gt;0)*1000000)),"")</f>
        <v>6</v>
      </c>
      <c r="M2751" s="1">
        <f>IF(AND(E2751=0,COUNTIFS($A$2:A2751,A2751,$E$2:E2751,0)=1),L2751,0)</f>
        <v>0</v>
      </c>
    </row>
    <row r="2752" spans="1:13" ht="15" customHeight="1">
      <c r="A2752" s="1">
        <v>69</v>
      </c>
      <c r="B2752" s="1" t="s">
        <v>9</v>
      </c>
      <c r="C2752" s="2" t="s">
        <v>3232</v>
      </c>
      <c r="D2752" s="2" t="s">
        <v>3233</v>
      </c>
      <c r="E2752" s="1">
        <v>0</v>
      </c>
      <c r="F2752" s="2" t="s">
        <v>3239</v>
      </c>
      <c r="H2752" s="1" t="str">
        <f t="shared" si="44"/>
        <v/>
      </c>
      <c r="K2752" s="1">
        <f>IF(E2752=0,SUMPRODUCT(($A$2:$A$4734=A2752)*($B$2:$B$4734=B2752)*($D$2:$D$4734=D2752)*($E$2:$E$4734=0)),0)</f>
        <v>6</v>
      </c>
      <c r="L2752" s="1">
        <f>IF(E2752=0,SUMPRODUCT(MIN($K$2:$K$4734+((($A$2:$A$4734&lt;&gt;A2752)+($E$2:$E$4734&lt;&gt;0))&gt;0)*1000000)),"")</f>
        <v>6</v>
      </c>
      <c r="M2752" s="1">
        <f>IF(AND(E2752=0,COUNTIFS($A$2:A2752,A2752,$E$2:E2752,0)=1),L2752,0)</f>
        <v>0</v>
      </c>
    </row>
    <row r="2753" spans="1:13" ht="15" customHeight="1">
      <c r="A2753" s="1">
        <v>70</v>
      </c>
      <c r="B2753" s="1" t="s">
        <v>9</v>
      </c>
      <c r="C2753" s="2" t="s">
        <v>3240</v>
      </c>
      <c r="D2753" s="2" t="s">
        <v>3241</v>
      </c>
      <c r="E2753" s="1">
        <v>0</v>
      </c>
      <c r="F2753" s="2" t="s">
        <v>3242</v>
      </c>
      <c r="H2753" s="1" t="str">
        <f t="shared" si="44"/>
        <v/>
      </c>
      <c r="K2753" s="1">
        <f>IF(E2753=0,SUMPRODUCT(($A$2:$A$4734=A2753)*($B$2:$B$4734=B2753)*($D$2:$D$4734=D2753)*($E$2:$E$4734=0)),0)</f>
        <v>2</v>
      </c>
      <c r="L2753" s="1">
        <f>IF(E2753=0,SUMPRODUCT(MIN($K$2:$K$4734+((($A$2:$A$4734&lt;&gt;A2753)+($E$2:$E$4734&lt;&gt;0))&gt;0)*1000000)),"")</f>
        <v>2</v>
      </c>
      <c r="M2753" s="1">
        <f>IF(AND(E2753=0,COUNTIFS($A$2:A2753,A2753,$E$2:E2753,0)=1),L2753,0)</f>
        <v>2</v>
      </c>
    </row>
    <row r="2754" spans="1:13" ht="15" customHeight="1">
      <c r="A2754" s="1">
        <v>70</v>
      </c>
      <c r="B2754" s="1" t="s">
        <v>9</v>
      </c>
      <c r="C2754" s="2" t="s">
        <v>3240</v>
      </c>
      <c r="D2754" s="2" t="s">
        <v>3241</v>
      </c>
      <c r="E2754" s="1">
        <v>0</v>
      </c>
      <c r="F2754" s="2" t="s">
        <v>3243</v>
      </c>
      <c r="H2754" s="1" t="str">
        <f t="shared" si="44"/>
        <v/>
      </c>
      <c r="K2754" s="1">
        <f>IF(E2754=0,SUMPRODUCT(($A$2:$A$4734=A2754)*($B$2:$B$4734=B2754)*($D$2:$D$4734=D2754)*($E$2:$E$4734=0)),0)</f>
        <v>2</v>
      </c>
      <c r="L2754" s="1">
        <f>IF(E2754=0,SUMPRODUCT(MIN($K$2:$K$4734+((($A$2:$A$4734&lt;&gt;A2754)+($E$2:$E$4734&lt;&gt;0))&gt;0)*1000000)),"")</f>
        <v>2</v>
      </c>
      <c r="M2754" s="1">
        <f>IF(AND(E2754=0,COUNTIFS($A$2:A2754,A2754,$E$2:E2754,0)=1),L2754,0)</f>
        <v>0</v>
      </c>
    </row>
    <row r="2755" spans="1:13" ht="15" customHeight="1">
      <c r="A2755" s="1">
        <v>71</v>
      </c>
      <c r="B2755" s="1" t="s">
        <v>9</v>
      </c>
      <c r="C2755" s="2" t="s">
        <v>3244</v>
      </c>
      <c r="D2755" s="2" t="s">
        <v>3245</v>
      </c>
      <c r="E2755" s="1">
        <v>0</v>
      </c>
      <c r="F2755" s="2" t="s">
        <v>3246</v>
      </c>
      <c r="H2755" s="1" t="str">
        <f t="shared" si="44"/>
        <v/>
      </c>
      <c r="K2755" s="1">
        <f>IF(E2755=0,SUMPRODUCT(($A$2:$A$4734=A2755)*($B$2:$B$4734=B2755)*($D$2:$D$4734=D2755)*($E$2:$E$4734=0)),0)</f>
        <v>2</v>
      </c>
      <c r="L2755" s="1">
        <f>IF(E2755=0,SUMPRODUCT(MIN($K$2:$K$4734+((($A$2:$A$4734&lt;&gt;A2755)+($E$2:$E$4734&lt;&gt;0))&gt;0)*1000000)),"")</f>
        <v>2</v>
      </c>
      <c r="M2755" s="1">
        <f>IF(AND(E2755=0,COUNTIFS($A$2:A2755,A2755,$E$2:E2755,0)=1),L2755,0)</f>
        <v>2</v>
      </c>
    </row>
    <row r="2756" spans="1:13" ht="15" customHeight="1">
      <c r="A2756" s="1">
        <v>71</v>
      </c>
      <c r="B2756" s="1" t="s">
        <v>9</v>
      </c>
      <c r="C2756" s="2" t="s">
        <v>3244</v>
      </c>
      <c r="D2756" s="2" t="s">
        <v>3245</v>
      </c>
      <c r="E2756" s="1">
        <v>0</v>
      </c>
      <c r="F2756" s="2" t="s">
        <v>3247</v>
      </c>
      <c r="H2756" s="1" t="str">
        <f t="shared" si="44"/>
        <v/>
      </c>
      <c r="K2756" s="1">
        <f>IF(E2756=0,SUMPRODUCT(($A$2:$A$4734=A2756)*($B$2:$B$4734=B2756)*($D$2:$D$4734=D2756)*($E$2:$E$4734=0)),0)</f>
        <v>2</v>
      </c>
      <c r="L2756" s="1">
        <f>IF(E2756=0,SUMPRODUCT(MIN($K$2:$K$4734+((($A$2:$A$4734&lt;&gt;A2756)+($E$2:$E$4734&lt;&gt;0))&gt;0)*1000000)),"")</f>
        <v>2</v>
      </c>
      <c r="M2756" s="1">
        <f>IF(AND(E2756=0,COUNTIFS($A$2:A2756,A2756,$E$2:E2756,0)=1),L2756,0)</f>
        <v>0</v>
      </c>
    </row>
    <row r="2757" spans="1:13" ht="15" customHeight="1">
      <c r="A2757" s="1">
        <v>71</v>
      </c>
      <c r="B2757" s="1" t="s">
        <v>16</v>
      </c>
      <c r="C2757" s="2" t="s">
        <v>3244</v>
      </c>
      <c r="D2757" s="2" t="s">
        <v>3248</v>
      </c>
      <c r="E2757" s="1">
        <v>0</v>
      </c>
      <c r="F2757" s="2" t="s">
        <v>3249</v>
      </c>
      <c r="H2757" s="1" t="str">
        <f t="shared" si="44"/>
        <v/>
      </c>
      <c r="K2757" s="1">
        <f>IF(E2757=0,SUMPRODUCT(($A$2:$A$4734=A2757)*($B$2:$B$4734=B2757)*($D$2:$D$4734=D2757)*($E$2:$E$4734=0)),0)</f>
        <v>4</v>
      </c>
      <c r="L2757" s="1">
        <f>IF(E2757=0,SUMPRODUCT(MIN($K$2:$K$4734+((($A$2:$A$4734&lt;&gt;A2757)+($E$2:$E$4734&lt;&gt;0))&gt;0)*1000000)),"")</f>
        <v>2</v>
      </c>
      <c r="M2757" s="1">
        <f>IF(AND(E2757=0,COUNTIFS($A$2:A2757,A2757,$E$2:E2757,0)=1),L2757,0)</f>
        <v>0</v>
      </c>
    </row>
    <row r="2758" spans="1:13" ht="15" customHeight="1">
      <c r="A2758" s="1">
        <v>71</v>
      </c>
      <c r="B2758" s="1" t="s">
        <v>16</v>
      </c>
      <c r="C2758" s="2" t="s">
        <v>3244</v>
      </c>
      <c r="D2758" s="2" t="s">
        <v>3248</v>
      </c>
      <c r="E2758" s="1">
        <v>0</v>
      </c>
      <c r="F2758" s="2" t="s">
        <v>3250</v>
      </c>
      <c r="H2758" s="1" t="str">
        <f t="shared" si="44"/>
        <v/>
      </c>
      <c r="K2758" s="1">
        <f>IF(E2758=0,SUMPRODUCT(($A$2:$A$4734=A2758)*($B$2:$B$4734=B2758)*($D$2:$D$4734=D2758)*($E$2:$E$4734=0)),0)</f>
        <v>4</v>
      </c>
      <c r="L2758" s="1">
        <f>IF(E2758=0,SUMPRODUCT(MIN($K$2:$K$4734+((($A$2:$A$4734&lt;&gt;A2758)+($E$2:$E$4734&lt;&gt;0))&gt;0)*1000000)),"")</f>
        <v>2</v>
      </c>
      <c r="M2758" s="1">
        <f>IF(AND(E2758=0,COUNTIFS($A$2:A2758,A2758,$E$2:E2758,0)=1),L2758,0)</f>
        <v>0</v>
      </c>
    </row>
    <row r="2759" spans="1:13" ht="15" customHeight="1">
      <c r="A2759" s="1">
        <v>71</v>
      </c>
      <c r="B2759" s="1" t="s">
        <v>16</v>
      </c>
      <c r="C2759" s="2" t="s">
        <v>3244</v>
      </c>
      <c r="D2759" s="2" t="s">
        <v>3248</v>
      </c>
      <c r="E2759" s="1">
        <v>0</v>
      </c>
      <c r="F2759" s="2" t="s">
        <v>3251</v>
      </c>
      <c r="H2759" s="1" t="str">
        <f t="shared" si="44"/>
        <v/>
      </c>
      <c r="K2759" s="1">
        <f>IF(E2759=0,SUMPRODUCT(($A$2:$A$4734=A2759)*($B$2:$B$4734=B2759)*($D$2:$D$4734=D2759)*($E$2:$E$4734=0)),0)</f>
        <v>4</v>
      </c>
      <c r="L2759" s="1">
        <f>IF(E2759=0,SUMPRODUCT(MIN($K$2:$K$4734+((($A$2:$A$4734&lt;&gt;A2759)+($E$2:$E$4734&lt;&gt;0))&gt;0)*1000000)),"")</f>
        <v>2</v>
      </c>
      <c r="M2759" s="1">
        <f>IF(AND(E2759=0,COUNTIFS($A$2:A2759,A2759,$E$2:E2759,0)=1),L2759,0)</f>
        <v>0</v>
      </c>
    </row>
    <row r="2760" spans="1:13" ht="15" customHeight="1">
      <c r="A2760" s="1">
        <v>71</v>
      </c>
      <c r="B2760" s="1" t="s">
        <v>16</v>
      </c>
      <c r="C2760" s="2" t="s">
        <v>3244</v>
      </c>
      <c r="D2760" s="2" t="s">
        <v>3248</v>
      </c>
      <c r="E2760" s="1">
        <v>0</v>
      </c>
      <c r="F2760" s="2" t="s">
        <v>3252</v>
      </c>
      <c r="H2760" s="1" t="str">
        <f t="shared" si="44"/>
        <v/>
      </c>
      <c r="K2760" s="1">
        <f>IF(E2760=0,SUMPRODUCT(($A$2:$A$4734=A2760)*($B$2:$B$4734=B2760)*($D$2:$D$4734=D2760)*($E$2:$E$4734=0)),0)</f>
        <v>4</v>
      </c>
      <c r="L2760" s="1">
        <f>IF(E2760=0,SUMPRODUCT(MIN($K$2:$K$4734+((($A$2:$A$4734&lt;&gt;A2760)+($E$2:$E$4734&lt;&gt;0))&gt;0)*1000000)),"")</f>
        <v>2</v>
      </c>
      <c r="M2760" s="1">
        <f>IF(AND(E2760=0,COUNTIFS($A$2:A2760,A2760,$E$2:E2760,0)=1),L2760,0)</f>
        <v>0</v>
      </c>
    </row>
    <row r="2761" spans="1:13" ht="15" customHeight="1">
      <c r="A2761" s="1">
        <v>71</v>
      </c>
      <c r="B2761" s="1" t="s">
        <v>9</v>
      </c>
      <c r="C2761" s="2" t="s">
        <v>3244</v>
      </c>
      <c r="D2761" s="2" t="s">
        <v>1904</v>
      </c>
      <c r="E2761" s="1">
        <v>0</v>
      </c>
      <c r="F2761" s="2" t="s">
        <v>1306</v>
      </c>
      <c r="H2761" s="1" t="str">
        <f t="shared" si="44"/>
        <v/>
      </c>
      <c r="K2761" s="1">
        <f>IF(E2761=0,SUMPRODUCT(($A$2:$A$4734=A2761)*($B$2:$B$4734=B2761)*($D$2:$D$4734=D2761)*($E$2:$E$4734=0)),0)</f>
        <v>6</v>
      </c>
      <c r="L2761" s="1">
        <f>IF(E2761=0,SUMPRODUCT(MIN($K$2:$K$4734+((($A$2:$A$4734&lt;&gt;A2761)+($E$2:$E$4734&lt;&gt;0))&gt;0)*1000000)),"")</f>
        <v>2</v>
      </c>
      <c r="M2761" s="1">
        <f>IF(AND(E2761=0,COUNTIFS($A$2:A2761,A2761,$E$2:E2761,0)=1),L2761,0)</f>
        <v>0</v>
      </c>
    </row>
    <row r="2762" spans="1:13" ht="15" customHeight="1">
      <c r="A2762" s="1">
        <v>71</v>
      </c>
      <c r="B2762" s="1" t="s">
        <v>9</v>
      </c>
      <c r="C2762" s="2" t="s">
        <v>3244</v>
      </c>
      <c r="D2762" s="2" t="s">
        <v>1904</v>
      </c>
      <c r="E2762" s="1">
        <v>0</v>
      </c>
      <c r="F2762" s="2" t="s">
        <v>1905</v>
      </c>
      <c r="H2762" s="1" t="str">
        <f t="shared" si="44"/>
        <v/>
      </c>
      <c r="K2762" s="1">
        <f>IF(E2762=0,SUMPRODUCT(($A$2:$A$4734=A2762)*($B$2:$B$4734=B2762)*($D$2:$D$4734=D2762)*($E$2:$E$4734=0)),0)</f>
        <v>6</v>
      </c>
      <c r="L2762" s="1">
        <f>IF(E2762=0,SUMPRODUCT(MIN($K$2:$K$4734+((($A$2:$A$4734&lt;&gt;A2762)+($E$2:$E$4734&lt;&gt;0))&gt;0)*1000000)),"")</f>
        <v>2</v>
      </c>
      <c r="M2762" s="1">
        <f>IF(AND(E2762=0,COUNTIFS($A$2:A2762,A2762,$E$2:E2762,0)=1),L2762,0)</f>
        <v>0</v>
      </c>
    </row>
    <row r="2763" spans="1:13" ht="15" customHeight="1">
      <c r="A2763" s="1">
        <v>71</v>
      </c>
      <c r="B2763" s="1" t="s">
        <v>9</v>
      </c>
      <c r="C2763" s="2" t="s">
        <v>3244</v>
      </c>
      <c r="D2763" s="2" t="s">
        <v>1904</v>
      </c>
      <c r="E2763" s="1">
        <v>0</v>
      </c>
      <c r="F2763" s="2" t="s">
        <v>1909</v>
      </c>
      <c r="H2763" s="1" t="str">
        <f t="shared" si="44"/>
        <v/>
      </c>
      <c r="K2763" s="1">
        <f>IF(E2763=0,SUMPRODUCT(($A$2:$A$4734=A2763)*($B$2:$B$4734=B2763)*($D$2:$D$4734=D2763)*($E$2:$E$4734=0)),0)</f>
        <v>6</v>
      </c>
      <c r="L2763" s="1">
        <f>IF(E2763=0,SUMPRODUCT(MIN($K$2:$K$4734+((($A$2:$A$4734&lt;&gt;A2763)+($E$2:$E$4734&lt;&gt;0))&gt;0)*1000000)),"")</f>
        <v>2</v>
      </c>
      <c r="M2763" s="1">
        <f>IF(AND(E2763=0,COUNTIFS($A$2:A2763,A2763,$E$2:E2763,0)=1),L2763,0)</f>
        <v>0</v>
      </c>
    </row>
    <row r="2764" spans="1:13" ht="15" customHeight="1">
      <c r="A2764" s="1">
        <v>71</v>
      </c>
      <c r="B2764" s="1" t="s">
        <v>9</v>
      </c>
      <c r="C2764" s="2" t="s">
        <v>3244</v>
      </c>
      <c r="D2764" s="2" t="s">
        <v>1904</v>
      </c>
      <c r="E2764" s="1">
        <v>0</v>
      </c>
      <c r="F2764" s="2" t="s">
        <v>997</v>
      </c>
      <c r="H2764" s="1" t="str">
        <f t="shared" si="44"/>
        <v/>
      </c>
      <c r="K2764" s="1">
        <f>IF(E2764=0,SUMPRODUCT(($A$2:$A$4734=A2764)*($B$2:$B$4734=B2764)*($D$2:$D$4734=D2764)*($E$2:$E$4734=0)),0)</f>
        <v>6</v>
      </c>
      <c r="L2764" s="1">
        <f>IF(E2764=0,SUMPRODUCT(MIN($K$2:$K$4734+((($A$2:$A$4734&lt;&gt;A2764)+($E$2:$E$4734&lt;&gt;0))&gt;0)*1000000)),"")</f>
        <v>2</v>
      </c>
      <c r="M2764" s="1">
        <f>IF(AND(E2764=0,COUNTIFS($A$2:A2764,A2764,$E$2:E2764,0)=1),L2764,0)</f>
        <v>0</v>
      </c>
    </row>
    <row r="2765" spans="1:13" ht="15" customHeight="1">
      <c r="A2765" s="1">
        <v>71</v>
      </c>
      <c r="B2765" s="1" t="s">
        <v>9</v>
      </c>
      <c r="C2765" s="2" t="s">
        <v>3244</v>
      </c>
      <c r="D2765" s="2" t="s">
        <v>1904</v>
      </c>
      <c r="E2765" s="1">
        <v>0</v>
      </c>
      <c r="F2765" s="2" t="s">
        <v>3253</v>
      </c>
      <c r="H2765" s="1" t="str">
        <f t="shared" si="44"/>
        <v/>
      </c>
      <c r="K2765" s="1">
        <f>IF(E2765=0,SUMPRODUCT(($A$2:$A$4734=A2765)*($B$2:$B$4734=B2765)*($D$2:$D$4734=D2765)*($E$2:$E$4734=0)),0)</f>
        <v>6</v>
      </c>
      <c r="L2765" s="1">
        <f>IF(E2765=0,SUMPRODUCT(MIN($K$2:$K$4734+((($A$2:$A$4734&lt;&gt;A2765)+($E$2:$E$4734&lt;&gt;0))&gt;0)*1000000)),"")</f>
        <v>2</v>
      </c>
      <c r="M2765" s="1">
        <f>IF(AND(E2765=0,COUNTIFS($A$2:A2765,A2765,$E$2:E2765,0)=1),L2765,0)</f>
        <v>0</v>
      </c>
    </row>
    <row r="2766" spans="1:13" ht="15" customHeight="1">
      <c r="A2766" s="1">
        <v>71</v>
      </c>
      <c r="B2766" s="1" t="s">
        <v>9</v>
      </c>
      <c r="C2766" s="2" t="s">
        <v>3244</v>
      </c>
      <c r="D2766" s="2" t="s">
        <v>1904</v>
      </c>
      <c r="E2766" s="1">
        <v>0</v>
      </c>
      <c r="F2766" s="2" t="s">
        <v>3254</v>
      </c>
      <c r="H2766" s="1" t="str">
        <f t="shared" si="44"/>
        <v/>
      </c>
      <c r="K2766" s="1">
        <f>IF(E2766=0,SUMPRODUCT(($A$2:$A$4734=A2766)*($B$2:$B$4734=B2766)*($D$2:$D$4734=D2766)*($E$2:$E$4734=0)),0)</f>
        <v>6</v>
      </c>
      <c r="L2766" s="1">
        <f>IF(E2766=0,SUMPRODUCT(MIN($K$2:$K$4734+((($A$2:$A$4734&lt;&gt;A2766)+($E$2:$E$4734&lt;&gt;0))&gt;0)*1000000)),"")</f>
        <v>2</v>
      </c>
      <c r="M2766" s="1">
        <f>IF(AND(E2766=0,COUNTIFS($A$2:A2766,A2766,$E$2:E2766,0)=1),L2766,0)</f>
        <v>0</v>
      </c>
    </row>
    <row r="2767" spans="1:13" ht="15" customHeight="1">
      <c r="A2767" s="1">
        <v>72</v>
      </c>
      <c r="B2767" s="1" t="s">
        <v>9</v>
      </c>
      <c r="C2767" s="2" t="s">
        <v>3256</v>
      </c>
      <c r="D2767" s="2" t="s">
        <v>3255</v>
      </c>
      <c r="E2767" s="1">
        <v>0</v>
      </c>
      <c r="F2767" s="2" t="s">
        <v>3257</v>
      </c>
      <c r="H2767" s="1" t="str">
        <f t="shared" si="44"/>
        <v/>
      </c>
      <c r="K2767" s="1">
        <f>IF(E2767=0,SUMPRODUCT(($A$2:$A$4734=A2767)*($B$2:$B$4734=B2767)*($D$2:$D$4734=D2767)*($E$2:$E$4734=0)),0)</f>
        <v>2</v>
      </c>
      <c r="L2767" s="1">
        <f>IF(E2767=0,SUMPRODUCT(MIN($K$2:$K$4734+((($A$2:$A$4734&lt;&gt;A2767)+($E$2:$E$4734&lt;&gt;0))&gt;0)*1000000)),"")</f>
        <v>2</v>
      </c>
      <c r="M2767" s="1">
        <f>IF(AND(E2767=0,COUNTIFS($A$2:A2767,A2767,$E$2:E2767,0)=1),L2767,0)</f>
        <v>2</v>
      </c>
    </row>
    <row r="2768" spans="1:13" ht="15" customHeight="1">
      <c r="A2768" s="1">
        <v>72</v>
      </c>
      <c r="B2768" s="1" t="s">
        <v>9</v>
      </c>
      <c r="C2768" s="2" t="s">
        <v>3258</v>
      </c>
      <c r="D2768" s="2" t="s">
        <v>3255</v>
      </c>
      <c r="E2768" s="1">
        <v>0</v>
      </c>
      <c r="F2768" s="2" t="s">
        <v>3259</v>
      </c>
      <c r="H2768" s="1" t="str">
        <f t="shared" si="44"/>
        <v/>
      </c>
      <c r="K2768" s="1">
        <f>IF(E2768=0,SUMPRODUCT(($A$2:$A$4734=A2768)*($B$2:$B$4734=B2768)*($D$2:$D$4734=D2768)*($E$2:$E$4734=0)),0)</f>
        <v>2</v>
      </c>
      <c r="L2768" s="1">
        <f>IF(E2768=0,SUMPRODUCT(MIN($K$2:$K$4734+((($A$2:$A$4734&lt;&gt;A2768)+($E$2:$E$4734&lt;&gt;0))&gt;0)*1000000)),"")</f>
        <v>2</v>
      </c>
      <c r="M2768" s="1">
        <f>IF(AND(E2768=0,COUNTIFS($A$2:A2768,A2768,$E$2:E2768,0)=1),L2768,0)</f>
        <v>0</v>
      </c>
    </row>
    <row r="2769" spans="1:13" ht="15" customHeight="1">
      <c r="A2769" s="1">
        <v>72</v>
      </c>
      <c r="B2769" s="1" t="s">
        <v>16</v>
      </c>
      <c r="C2769" s="2" t="s">
        <v>3260</v>
      </c>
      <c r="D2769" s="1" t="s">
        <v>3261</v>
      </c>
      <c r="E2769" s="1">
        <v>0</v>
      </c>
      <c r="F2769" s="2" t="s">
        <v>3262</v>
      </c>
      <c r="H2769" s="1" t="str">
        <f t="shared" si="44"/>
        <v/>
      </c>
      <c r="K2769" s="1">
        <f>IF(E2769=0,SUMPRODUCT(($A$2:$A$4734=A2769)*($B$2:$B$4734=B2769)*($D$2:$D$4734=D2769)*($E$2:$E$4734=0)),0)</f>
        <v>6</v>
      </c>
      <c r="L2769" s="1">
        <f>IF(E2769=0,SUMPRODUCT(MIN($K$2:$K$4734+((($A$2:$A$4734&lt;&gt;A2769)+($E$2:$E$4734&lt;&gt;0))&gt;0)*1000000)),"")</f>
        <v>2</v>
      </c>
      <c r="M2769" s="1">
        <f>IF(AND(E2769=0,COUNTIFS($A$2:A2769,A2769,$E$2:E2769,0)=1),L2769,0)</f>
        <v>0</v>
      </c>
    </row>
    <row r="2770" spans="1:13" ht="15" customHeight="1">
      <c r="A2770" s="1">
        <v>72</v>
      </c>
      <c r="B2770" s="1" t="s">
        <v>16</v>
      </c>
      <c r="C2770" s="2" t="s">
        <v>3263</v>
      </c>
      <c r="D2770" s="1" t="s">
        <v>3261</v>
      </c>
      <c r="E2770" s="1">
        <v>0</v>
      </c>
      <c r="F2770" s="2" t="s">
        <v>3264</v>
      </c>
      <c r="H2770" s="1" t="str">
        <f t="shared" si="44"/>
        <v/>
      </c>
      <c r="K2770" s="1">
        <f>IF(E2770=0,SUMPRODUCT(($A$2:$A$4734=A2770)*($B$2:$B$4734=B2770)*($D$2:$D$4734=D2770)*($E$2:$E$4734=0)),0)</f>
        <v>6</v>
      </c>
      <c r="L2770" s="1">
        <f>IF(E2770=0,SUMPRODUCT(MIN($K$2:$K$4734+((($A$2:$A$4734&lt;&gt;A2770)+($E$2:$E$4734&lt;&gt;0))&gt;0)*1000000)),"")</f>
        <v>2</v>
      </c>
      <c r="M2770" s="1">
        <f>IF(AND(E2770=0,COUNTIFS($A$2:A2770,A2770,$E$2:E2770,0)=1),L2770,0)</f>
        <v>0</v>
      </c>
    </row>
    <row r="2771" spans="1:13" ht="15" customHeight="1">
      <c r="A2771" s="1">
        <v>72</v>
      </c>
      <c r="B2771" s="1" t="s">
        <v>16</v>
      </c>
      <c r="C2771" s="2" t="s">
        <v>3265</v>
      </c>
      <c r="D2771" s="1" t="s">
        <v>3261</v>
      </c>
      <c r="E2771" s="1">
        <v>0</v>
      </c>
      <c r="F2771" s="2" t="s">
        <v>3266</v>
      </c>
      <c r="H2771" s="1" t="str">
        <f t="shared" si="44"/>
        <v/>
      </c>
      <c r="K2771" s="1">
        <f>IF(E2771=0,SUMPRODUCT(($A$2:$A$4734=A2771)*($B$2:$B$4734=B2771)*($D$2:$D$4734=D2771)*($E$2:$E$4734=0)),0)</f>
        <v>6</v>
      </c>
      <c r="L2771" s="1">
        <f>IF(E2771=0,SUMPRODUCT(MIN($K$2:$K$4734+((($A$2:$A$4734&lt;&gt;A2771)+($E$2:$E$4734&lt;&gt;0))&gt;0)*1000000)),"")</f>
        <v>2</v>
      </c>
      <c r="M2771" s="1">
        <f>IF(AND(E2771=0,COUNTIFS($A$2:A2771,A2771,$E$2:E2771,0)=1),L2771,0)</f>
        <v>0</v>
      </c>
    </row>
    <row r="2772" spans="1:13" ht="15" customHeight="1">
      <c r="A2772" s="1">
        <v>72</v>
      </c>
      <c r="B2772" s="1" t="s">
        <v>16</v>
      </c>
      <c r="C2772" s="2" t="s">
        <v>3267</v>
      </c>
      <c r="D2772" s="1" t="s">
        <v>3261</v>
      </c>
      <c r="E2772" s="1">
        <v>0</v>
      </c>
      <c r="F2772" s="2" t="s">
        <v>3268</v>
      </c>
      <c r="H2772" s="1" t="str">
        <f t="shared" si="44"/>
        <v/>
      </c>
      <c r="K2772" s="1">
        <f>IF(E2772=0,SUMPRODUCT(($A$2:$A$4734=A2772)*($B$2:$B$4734=B2772)*($D$2:$D$4734=D2772)*($E$2:$E$4734=0)),0)</f>
        <v>6</v>
      </c>
      <c r="L2772" s="1">
        <f>IF(E2772=0,SUMPRODUCT(MIN($K$2:$K$4734+((($A$2:$A$4734&lt;&gt;A2772)+($E$2:$E$4734&lt;&gt;0))&gt;0)*1000000)),"")</f>
        <v>2</v>
      </c>
      <c r="M2772" s="1">
        <f>IF(AND(E2772=0,COUNTIFS($A$2:A2772,A2772,$E$2:E2772,0)=1),L2772,0)</f>
        <v>0</v>
      </c>
    </row>
    <row r="2773" spans="1:13" ht="15" customHeight="1">
      <c r="A2773" s="1">
        <v>72</v>
      </c>
      <c r="B2773" s="1" t="s">
        <v>16</v>
      </c>
      <c r="C2773" s="2" t="s">
        <v>3269</v>
      </c>
      <c r="D2773" s="1" t="s">
        <v>3261</v>
      </c>
      <c r="E2773" s="1">
        <v>0</v>
      </c>
      <c r="F2773" s="2" t="s">
        <v>3270</v>
      </c>
      <c r="H2773" s="1" t="str">
        <f t="shared" si="44"/>
        <v/>
      </c>
      <c r="K2773" s="1">
        <f>IF(E2773=0,SUMPRODUCT(($A$2:$A$4734=A2773)*($B$2:$B$4734=B2773)*($D$2:$D$4734=D2773)*($E$2:$E$4734=0)),0)</f>
        <v>6</v>
      </c>
      <c r="L2773" s="1">
        <f>IF(E2773=0,SUMPRODUCT(MIN($K$2:$K$4734+((($A$2:$A$4734&lt;&gt;A2773)+($E$2:$E$4734&lt;&gt;0))&gt;0)*1000000)),"")</f>
        <v>2</v>
      </c>
      <c r="M2773" s="1">
        <f>IF(AND(E2773=0,COUNTIFS($A$2:A2773,A2773,$E$2:E2773,0)=1),L2773,0)</f>
        <v>0</v>
      </c>
    </row>
    <row r="2774" spans="1:13" ht="15" customHeight="1">
      <c r="A2774" s="1">
        <v>72</v>
      </c>
      <c r="B2774" s="1" t="s">
        <v>16</v>
      </c>
      <c r="C2774" s="2" t="s">
        <v>3271</v>
      </c>
      <c r="D2774" s="1" t="s">
        <v>3261</v>
      </c>
      <c r="E2774" s="1">
        <v>0</v>
      </c>
      <c r="F2774" s="2" t="s">
        <v>3272</v>
      </c>
      <c r="H2774" s="1" t="str">
        <f t="shared" si="44"/>
        <v/>
      </c>
      <c r="K2774" s="1">
        <f>IF(E2774=0,SUMPRODUCT(($A$2:$A$4734=A2774)*($B$2:$B$4734=B2774)*($D$2:$D$4734=D2774)*($E$2:$E$4734=0)),0)</f>
        <v>6</v>
      </c>
      <c r="L2774" s="1">
        <f>IF(E2774=0,SUMPRODUCT(MIN($K$2:$K$4734+((($A$2:$A$4734&lt;&gt;A2774)+($E$2:$E$4734&lt;&gt;0))&gt;0)*1000000)),"")</f>
        <v>2</v>
      </c>
      <c r="M2774" s="1">
        <f>IF(AND(E2774=0,COUNTIFS($A$2:A2774,A2774,$E$2:E2774,0)=1),L2774,0)</f>
        <v>0</v>
      </c>
    </row>
    <row r="2775" spans="1:13" ht="15" customHeight="1">
      <c r="A2775" s="1">
        <v>73</v>
      </c>
      <c r="B2775" s="1" t="s">
        <v>16</v>
      </c>
      <c r="C2775" s="2" t="s">
        <v>3273</v>
      </c>
      <c r="D2775" s="2" t="s">
        <v>3274</v>
      </c>
      <c r="E2775" s="1">
        <v>0</v>
      </c>
      <c r="F2775" s="2" t="s">
        <v>3275</v>
      </c>
      <c r="H2775" s="1" t="str">
        <f t="shared" si="44"/>
        <v/>
      </c>
      <c r="K2775" s="1">
        <f>IF(E2775=0,SUMPRODUCT(($A$2:$A$4734=A2775)*($B$2:$B$4734=B2775)*($D$2:$D$4734=D2775)*($E$2:$E$4734=0)),0)</f>
        <v>4</v>
      </c>
      <c r="L2775" s="1">
        <f>IF(E2775=0,SUMPRODUCT(MIN($K$2:$K$4734+((($A$2:$A$4734&lt;&gt;A2775)+($E$2:$E$4734&lt;&gt;0))&gt;0)*1000000)),"")</f>
        <v>4</v>
      </c>
      <c r="M2775" s="1">
        <f>IF(AND(E2775=0,COUNTIFS($A$2:A2775,A2775,$E$2:E2775,0)=1),L2775,0)</f>
        <v>4</v>
      </c>
    </row>
    <row r="2776" spans="1:13" ht="15" customHeight="1">
      <c r="A2776" s="1">
        <v>73</v>
      </c>
      <c r="B2776" s="1" t="s">
        <v>16</v>
      </c>
      <c r="C2776" s="2" t="s">
        <v>3273</v>
      </c>
      <c r="D2776" s="2" t="s">
        <v>3274</v>
      </c>
      <c r="E2776" s="1">
        <v>0</v>
      </c>
      <c r="F2776" s="2" t="s">
        <v>3276</v>
      </c>
      <c r="H2776" s="1" t="str">
        <f t="shared" si="44"/>
        <v/>
      </c>
      <c r="K2776" s="1">
        <f>IF(E2776=0,SUMPRODUCT(($A$2:$A$4734=A2776)*($B$2:$B$4734=B2776)*($D$2:$D$4734=D2776)*($E$2:$E$4734=0)),0)</f>
        <v>4</v>
      </c>
      <c r="L2776" s="1">
        <f>IF(E2776=0,SUMPRODUCT(MIN($K$2:$K$4734+((($A$2:$A$4734&lt;&gt;A2776)+($E$2:$E$4734&lt;&gt;0))&gt;0)*1000000)),"")</f>
        <v>4</v>
      </c>
      <c r="M2776" s="1">
        <f>IF(AND(E2776=0,COUNTIFS($A$2:A2776,A2776,$E$2:E2776,0)=1),L2776,0)</f>
        <v>0</v>
      </c>
    </row>
    <row r="2777" spans="1:13" ht="15" customHeight="1">
      <c r="A2777" s="1">
        <v>73</v>
      </c>
      <c r="B2777" s="1" t="s">
        <v>16</v>
      </c>
      <c r="C2777" s="2" t="s">
        <v>3273</v>
      </c>
      <c r="D2777" s="2" t="s">
        <v>3274</v>
      </c>
      <c r="E2777" s="1">
        <v>0</v>
      </c>
      <c r="F2777" s="2" t="s">
        <v>3277</v>
      </c>
      <c r="H2777" s="1" t="str">
        <f t="shared" si="44"/>
        <v/>
      </c>
      <c r="K2777" s="1">
        <f>IF(E2777=0,SUMPRODUCT(($A$2:$A$4734=A2777)*($B$2:$B$4734=B2777)*($D$2:$D$4734=D2777)*($E$2:$E$4734=0)),0)</f>
        <v>4</v>
      </c>
      <c r="L2777" s="1">
        <f>IF(E2777=0,SUMPRODUCT(MIN($K$2:$K$4734+((($A$2:$A$4734&lt;&gt;A2777)+($E$2:$E$4734&lt;&gt;0))&gt;0)*1000000)),"")</f>
        <v>4</v>
      </c>
      <c r="M2777" s="1">
        <f>IF(AND(E2777=0,COUNTIFS($A$2:A2777,A2777,$E$2:E2777,0)=1),L2777,0)</f>
        <v>0</v>
      </c>
    </row>
    <row r="2778" spans="1:13" ht="15" customHeight="1">
      <c r="A2778" s="1">
        <v>73</v>
      </c>
      <c r="B2778" s="1" t="s">
        <v>16</v>
      </c>
      <c r="C2778" s="2" t="s">
        <v>3273</v>
      </c>
      <c r="D2778" s="2" t="s">
        <v>3274</v>
      </c>
      <c r="E2778" s="1">
        <v>0</v>
      </c>
      <c r="F2778" s="2" t="s">
        <v>3278</v>
      </c>
      <c r="H2778" s="1" t="str">
        <f t="shared" si="44"/>
        <v/>
      </c>
      <c r="K2778" s="1">
        <f>IF(E2778=0,SUMPRODUCT(($A$2:$A$4734=A2778)*($B$2:$B$4734=B2778)*($D$2:$D$4734=D2778)*($E$2:$E$4734=0)),0)</f>
        <v>4</v>
      </c>
      <c r="L2778" s="1">
        <f>IF(E2778=0,SUMPRODUCT(MIN($K$2:$K$4734+((($A$2:$A$4734&lt;&gt;A2778)+($E$2:$E$4734&lt;&gt;0))&gt;0)*1000000)),"")</f>
        <v>4</v>
      </c>
      <c r="M2778" s="1">
        <f>IF(AND(E2778=0,COUNTIFS($A$2:A2778,A2778,$E$2:E2778,0)=1),L2778,0)</f>
        <v>0</v>
      </c>
    </row>
    <row r="2779" spans="1:13" ht="15" customHeight="1">
      <c r="A2779" s="1">
        <v>73</v>
      </c>
      <c r="B2779" s="1" t="s">
        <v>9</v>
      </c>
      <c r="C2779" s="2" t="s">
        <v>3273</v>
      </c>
      <c r="D2779" s="2" t="s">
        <v>3279</v>
      </c>
      <c r="E2779" s="1">
        <v>0</v>
      </c>
      <c r="F2779" s="2" t="s">
        <v>3280</v>
      </c>
      <c r="H2779" s="1" t="str">
        <f t="shared" si="44"/>
        <v/>
      </c>
      <c r="K2779" s="1">
        <f>IF(E2779=0,SUMPRODUCT(($A$2:$A$4734=A2779)*($B$2:$B$4734=B2779)*($D$2:$D$4734=D2779)*($E$2:$E$4734=0)),0)</f>
        <v>6</v>
      </c>
      <c r="L2779" s="1">
        <f>IF(E2779=0,SUMPRODUCT(MIN($K$2:$K$4734+((($A$2:$A$4734&lt;&gt;A2779)+($E$2:$E$4734&lt;&gt;0))&gt;0)*1000000)),"")</f>
        <v>4</v>
      </c>
      <c r="M2779" s="1">
        <f>IF(AND(E2779=0,COUNTIFS($A$2:A2779,A2779,$E$2:E2779,0)=1),L2779,0)</f>
        <v>0</v>
      </c>
    </row>
    <row r="2780" spans="1:13" ht="15" customHeight="1">
      <c r="A2780" s="1">
        <v>73</v>
      </c>
      <c r="B2780" s="1" t="s">
        <v>9</v>
      </c>
      <c r="C2780" s="2" t="s">
        <v>3273</v>
      </c>
      <c r="D2780" s="2" t="s">
        <v>3279</v>
      </c>
      <c r="E2780" s="1">
        <v>0</v>
      </c>
      <c r="F2780" s="2" t="s">
        <v>3281</v>
      </c>
      <c r="H2780" s="1" t="str">
        <f t="shared" si="44"/>
        <v/>
      </c>
      <c r="K2780" s="1">
        <f>IF(E2780=0,SUMPRODUCT(($A$2:$A$4734=A2780)*($B$2:$B$4734=B2780)*($D$2:$D$4734=D2780)*($E$2:$E$4734=0)),0)</f>
        <v>6</v>
      </c>
      <c r="L2780" s="1">
        <f>IF(E2780=0,SUMPRODUCT(MIN($K$2:$K$4734+((($A$2:$A$4734&lt;&gt;A2780)+($E$2:$E$4734&lt;&gt;0))&gt;0)*1000000)),"")</f>
        <v>4</v>
      </c>
      <c r="M2780" s="1">
        <f>IF(AND(E2780=0,COUNTIFS($A$2:A2780,A2780,$E$2:E2780,0)=1),L2780,0)</f>
        <v>0</v>
      </c>
    </row>
    <row r="2781" spans="1:13" ht="15" customHeight="1">
      <c r="A2781" s="1">
        <v>73</v>
      </c>
      <c r="B2781" s="1" t="s">
        <v>9</v>
      </c>
      <c r="C2781" s="2" t="s">
        <v>3273</v>
      </c>
      <c r="D2781" s="2" t="s">
        <v>3279</v>
      </c>
      <c r="E2781" s="1">
        <v>0</v>
      </c>
      <c r="F2781" s="2" t="s">
        <v>3282</v>
      </c>
      <c r="H2781" s="1" t="str">
        <f t="shared" si="44"/>
        <v/>
      </c>
      <c r="K2781" s="1">
        <f>IF(E2781=0,SUMPRODUCT(($A$2:$A$4734=A2781)*($B$2:$B$4734=B2781)*($D$2:$D$4734=D2781)*($E$2:$E$4734=0)),0)</f>
        <v>6</v>
      </c>
      <c r="L2781" s="1">
        <f>IF(E2781=0,SUMPRODUCT(MIN($K$2:$K$4734+((($A$2:$A$4734&lt;&gt;A2781)+($E$2:$E$4734&lt;&gt;0))&gt;0)*1000000)),"")</f>
        <v>4</v>
      </c>
      <c r="M2781" s="1">
        <f>IF(AND(E2781=0,COUNTIFS($A$2:A2781,A2781,$E$2:E2781,0)=1),L2781,0)</f>
        <v>0</v>
      </c>
    </row>
    <row r="2782" spans="1:13" ht="15" customHeight="1">
      <c r="A2782" s="1">
        <v>73</v>
      </c>
      <c r="B2782" s="1" t="s">
        <v>9</v>
      </c>
      <c r="C2782" s="2" t="s">
        <v>3273</v>
      </c>
      <c r="D2782" s="2" t="s">
        <v>3279</v>
      </c>
      <c r="E2782" s="1">
        <v>0</v>
      </c>
      <c r="F2782" s="2" t="s">
        <v>3283</v>
      </c>
      <c r="H2782" s="1" t="str">
        <f t="shared" si="44"/>
        <v/>
      </c>
      <c r="K2782" s="1">
        <f>IF(E2782=0,SUMPRODUCT(($A$2:$A$4734=A2782)*($B$2:$B$4734=B2782)*($D$2:$D$4734=D2782)*($E$2:$E$4734=0)),0)</f>
        <v>6</v>
      </c>
      <c r="L2782" s="1">
        <f>IF(E2782=0,SUMPRODUCT(MIN($K$2:$K$4734+((($A$2:$A$4734&lt;&gt;A2782)+($E$2:$E$4734&lt;&gt;0))&gt;0)*1000000)),"")</f>
        <v>4</v>
      </c>
      <c r="M2782" s="1">
        <f>IF(AND(E2782=0,COUNTIFS($A$2:A2782,A2782,$E$2:E2782,0)=1),L2782,0)</f>
        <v>0</v>
      </c>
    </row>
    <row r="2783" spans="1:13" ht="15" customHeight="1">
      <c r="A2783" s="1">
        <v>73</v>
      </c>
      <c r="B2783" s="1" t="s">
        <v>9</v>
      </c>
      <c r="C2783" s="2" t="s">
        <v>3273</v>
      </c>
      <c r="D2783" s="2" t="s">
        <v>3279</v>
      </c>
      <c r="E2783" s="1">
        <v>0</v>
      </c>
      <c r="F2783" s="2" t="s">
        <v>3284</v>
      </c>
      <c r="H2783" s="1" t="str">
        <f t="shared" si="44"/>
        <v/>
      </c>
      <c r="K2783" s="1">
        <f>IF(E2783=0,SUMPRODUCT(($A$2:$A$4734=A2783)*($B$2:$B$4734=B2783)*($D$2:$D$4734=D2783)*($E$2:$E$4734=0)),0)</f>
        <v>6</v>
      </c>
      <c r="L2783" s="1">
        <f>IF(E2783=0,SUMPRODUCT(MIN($K$2:$K$4734+((($A$2:$A$4734&lt;&gt;A2783)+($E$2:$E$4734&lt;&gt;0))&gt;0)*1000000)),"")</f>
        <v>4</v>
      </c>
      <c r="M2783" s="1">
        <f>IF(AND(E2783=0,COUNTIFS($A$2:A2783,A2783,$E$2:E2783,0)=1),L2783,0)</f>
        <v>0</v>
      </c>
    </row>
    <row r="2784" spans="1:13" ht="15" customHeight="1">
      <c r="A2784" s="1">
        <v>73</v>
      </c>
      <c r="B2784" s="1" t="s">
        <v>9</v>
      </c>
      <c r="C2784" s="2" t="s">
        <v>3273</v>
      </c>
      <c r="D2784" s="2" t="s">
        <v>3279</v>
      </c>
      <c r="E2784" s="1">
        <v>0</v>
      </c>
      <c r="F2784" s="2" t="s">
        <v>3285</v>
      </c>
      <c r="H2784" s="1" t="str">
        <f t="shared" si="44"/>
        <v/>
      </c>
      <c r="K2784" s="1">
        <f>IF(E2784=0,SUMPRODUCT(($A$2:$A$4734=A2784)*($B$2:$B$4734=B2784)*($D$2:$D$4734=D2784)*($E$2:$E$4734=0)),0)</f>
        <v>6</v>
      </c>
      <c r="L2784" s="1">
        <f>IF(E2784=0,SUMPRODUCT(MIN($K$2:$K$4734+((($A$2:$A$4734&lt;&gt;A2784)+($E$2:$E$4734&lt;&gt;0))&gt;0)*1000000)),"")</f>
        <v>4</v>
      </c>
      <c r="M2784" s="1">
        <f>IF(AND(E2784=0,COUNTIFS($A$2:A2784,A2784,$E$2:E2784,0)=1),L2784,0)</f>
        <v>0</v>
      </c>
    </row>
    <row r="2785" spans="1:13" ht="15" customHeight="1">
      <c r="A2785" s="1">
        <v>74</v>
      </c>
      <c r="B2785" s="1" t="s">
        <v>144</v>
      </c>
      <c r="C2785" s="2" t="s">
        <v>3286</v>
      </c>
      <c r="D2785" s="1" t="s">
        <v>3287</v>
      </c>
      <c r="E2785" s="1">
        <v>1</v>
      </c>
      <c r="F2785" s="2" t="s">
        <v>3288</v>
      </c>
      <c r="G2785" s="1">
        <v>1</v>
      </c>
      <c r="H2785" s="1" t="str">
        <f t="shared" si="44"/>
        <v>k74_1</v>
      </c>
      <c r="K2785" s="1">
        <f>IF(E2785=0,SUMPRODUCT(($A$2:$A$4734=A2785)*($B$2:$B$4734=B2785)*($D$2:$D$4734=D2785)*($E$2:$E$4734=0)),0)</f>
        <v>0</v>
      </c>
      <c r="L2785" s="1" t="str">
        <f>IF(E2785=0,SUMPRODUCT(MIN($K$2:$K$4734+((($A$2:$A$4734&lt;&gt;A2785)+($E$2:$E$4734&lt;&gt;0))&gt;0)*1000000)),"")</f>
        <v/>
      </c>
      <c r="M2785" s="1">
        <f>IF(AND(E2785=0,COUNTIFS($A$2:A2785,A2785,$E$2:E2785,0)=1),L2785,0)</f>
        <v>0</v>
      </c>
    </row>
    <row r="2786" spans="1:13" ht="15" customHeight="1">
      <c r="A2786" s="1">
        <v>74</v>
      </c>
      <c r="B2786" s="1" t="s">
        <v>144</v>
      </c>
      <c r="C2786" s="2" t="s">
        <v>3286</v>
      </c>
      <c r="D2786" s="1" t="s">
        <v>3287</v>
      </c>
      <c r="E2786" s="1">
        <v>1</v>
      </c>
      <c r="F2786" s="2" t="s">
        <v>3289</v>
      </c>
      <c r="G2786" s="1">
        <v>2</v>
      </c>
      <c r="H2786" s="1" t="str">
        <f t="shared" si="44"/>
        <v>k74_2</v>
      </c>
      <c r="K2786" s="1">
        <f>IF(E2786=0,SUMPRODUCT(($A$2:$A$4734=A2786)*($B$2:$B$4734=B2786)*($D$2:$D$4734=D2786)*($E$2:$E$4734=0)),0)</f>
        <v>0</v>
      </c>
      <c r="L2786" s="1" t="str">
        <f>IF(E2786=0,SUMPRODUCT(MIN($K$2:$K$4734+((($A$2:$A$4734&lt;&gt;A2786)+($E$2:$E$4734&lt;&gt;0))&gt;0)*1000000)),"")</f>
        <v/>
      </c>
      <c r="M2786" s="1">
        <f>IF(AND(E2786=0,COUNTIFS($A$2:A2786,A2786,$E$2:E2786,0)=1),L2786,0)</f>
        <v>0</v>
      </c>
    </row>
    <row r="2787" spans="1:13" ht="15" customHeight="1">
      <c r="A2787" s="1">
        <v>74</v>
      </c>
      <c r="B2787" s="1" t="s">
        <v>144</v>
      </c>
      <c r="C2787" s="2" t="s">
        <v>3286</v>
      </c>
      <c r="D2787" s="1" t="s">
        <v>3287</v>
      </c>
      <c r="E2787" s="1">
        <v>1</v>
      </c>
      <c r="F2787" s="2" t="s">
        <v>3290</v>
      </c>
      <c r="G2787" s="1">
        <v>3</v>
      </c>
      <c r="H2787" s="1" t="str">
        <f t="shared" si="44"/>
        <v>k74_3</v>
      </c>
      <c r="K2787" s="1">
        <f>IF(E2787=0,SUMPRODUCT(($A$2:$A$4734=A2787)*($B$2:$B$4734=B2787)*($D$2:$D$4734=D2787)*($E$2:$E$4734=0)),0)</f>
        <v>0</v>
      </c>
      <c r="L2787" s="1" t="str">
        <f>IF(E2787=0,SUMPRODUCT(MIN($K$2:$K$4734+((($A$2:$A$4734&lt;&gt;A2787)+($E$2:$E$4734&lt;&gt;0))&gt;0)*1000000)),"")</f>
        <v/>
      </c>
      <c r="M2787" s="1">
        <f>IF(AND(E2787=0,COUNTIFS($A$2:A2787,A2787,$E$2:E2787,0)=1),L2787,0)</f>
        <v>0</v>
      </c>
    </row>
    <row r="2788" spans="1:13" ht="15" customHeight="1">
      <c r="A2788" s="1">
        <v>74</v>
      </c>
      <c r="B2788" s="1" t="s">
        <v>144</v>
      </c>
      <c r="C2788" s="2" t="s">
        <v>3286</v>
      </c>
      <c r="D2788" s="1" t="s">
        <v>3287</v>
      </c>
      <c r="E2788" s="1">
        <v>1</v>
      </c>
      <c r="F2788" s="2" t="s">
        <v>3291</v>
      </c>
      <c r="G2788" s="1">
        <v>4</v>
      </c>
      <c r="H2788" s="1" t="str">
        <f t="shared" si="44"/>
        <v>k74_4</v>
      </c>
      <c r="K2788" s="1">
        <f>IF(E2788=0,SUMPRODUCT(($A$2:$A$4734=A2788)*($B$2:$B$4734=B2788)*($D$2:$D$4734=D2788)*($E$2:$E$4734=0)),0)</f>
        <v>0</v>
      </c>
      <c r="L2788" s="1" t="str">
        <f>IF(E2788=0,SUMPRODUCT(MIN($K$2:$K$4734+((($A$2:$A$4734&lt;&gt;A2788)+($E$2:$E$4734&lt;&gt;0))&gt;0)*1000000)),"")</f>
        <v/>
      </c>
      <c r="M2788" s="1">
        <f>IF(AND(E2788=0,COUNTIFS($A$2:A2788,A2788,$E$2:E2788,0)=1),L2788,0)</f>
        <v>0</v>
      </c>
    </row>
    <row r="2789" spans="1:13" ht="15" customHeight="1">
      <c r="A2789" s="1">
        <v>74</v>
      </c>
      <c r="B2789" s="1" t="s">
        <v>144</v>
      </c>
      <c r="C2789" s="2" t="s">
        <v>3286</v>
      </c>
      <c r="D2789" s="1" t="s">
        <v>3287</v>
      </c>
      <c r="E2789" s="1">
        <v>1</v>
      </c>
      <c r="F2789" s="2" t="s">
        <v>3291</v>
      </c>
      <c r="G2789" s="1">
        <v>5</v>
      </c>
      <c r="H2789" s="1" t="str">
        <f t="shared" si="44"/>
        <v>k74_5</v>
      </c>
      <c r="K2789" s="1">
        <f>IF(E2789=0,SUMPRODUCT(($A$2:$A$4734=A2789)*($B$2:$B$4734=B2789)*($D$2:$D$4734=D2789)*($E$2:$E$4734=0)),0)</f>
        <v>0</v>
      </c>
      <c r="L2789" s="1" t="str">
        <f>IF(E2789=0,SUMPRODUCT(MIN($K$2:$K$4734+((($A$2:$A$4734&lt;&gt;A2789)+($E$2:$E$4734&lt;&gt;0))&gt;0)*1000000)),"")</f>
        <v/>
      </c>
      <c r="M2789" s="1">
        <f>IF(AND(E2789=0,COUNTIFS($A$2:A2789,A2789,$E$2:E2789,0)=1),L2789,0)</f>
        <v>0</v>
      </c>
    </row>
    <row r="2790" spans="1:13" ht="15" customHeight="1">
      <c r="A2790" s="1">
        <v>74</v>
      </c>
      <c r="B2790" s="1" t="s">
        <v>144</v>
      </c>
      <c r="C2790" s="2" t="s">
        <v>3286</v>
      </c>
      <c r="D2790" s="1" t="s">
        <v>3287</v>
      </c>
      <c r="E2790" s="1">
        <v>1</v>
      </c>
      <c r="F2790" s="2" t="s">
        <v>3289</v>
      </c>
      <c r="G2790" s="1">
        <v>6</v>
      </c>
      <c r="H2790" s="1" t="str">
        <f t="shared" si="44"/>
        <v>k74_6</v>
      </c>
      <c r="K2790" s="1">
        <f>IF(E2790=0,SUMPRODUCT(($A$2:$A$4734=A2790)*($B$2:$B$4734=B2790)*($D$2:$D$4734=D2790)*($E$2:$E$4734=0)),0)</f>
        <v>0</v>
      </c>
      <c r="L2790" s="1" t="str">
        <f>IF(E2790=0,SUMPRODUCT(MIN($K$2:$K$4734+((($A$2:$A$4734&lt;&gt;A2790)+($E$2:$E$4734&lt;&gt;0))&gt;0)*1000000)),"")</f>
        <v/>
      </c>
      <c r="M2790" s="1">
        <f>IF(AND(E2790=0,COUNTIFS($A$2:A2790,A2790,$E$2:E2790,0)=1),L2790,0)</f>
        <v>0</v>
      </c>
    </row>
    <row r="2791" spans="1:13" ht="15" customHeight="1">
      <c r="A2791" s="1">
        <v>74</v>
      </c>
      <c r="B2791" s="1" t="s">
        <v>144</v>
      </c>
      <c r="C2791" s="2" t="s">
        <v>3286</v>
      </c>
      <c r="D2791" s="1" t="s">
        <v>3287</v>
      </c>
      <c r="E2791" s="1">
        <v>1</v>
      </c>
      <c r="F2791" s="2" t="s">
        <v>3290</v>
      </c>
      <c r="G2791" s="1">
        <v>7</v>
      </c>
      <c r="H2791" s="1" t="str">
        <f t="shared" si="44"/>
        <v>k74_7</v>
      </c>
      <c r="K2791" s="1">
        <f>IF(E2791=0,SUMPRODUCT(($A$2:$A$4734=A2791)*($B$2:$B$4734=B2791)*($D$2:$D$4734=D2791)*($E$2:$E$4734=0)),0)</f>
        <v>0</v>
      </c>
      <c r="L2791" s="1" t="str">
        <f>IF(E2791=0,SUMPRODUCT(MIN($K$2:$K$4734+((($A$2:$A$4734&lt;&gt;A2791)+($E$2:$E$4734&lt;&gt;0))&gt;0)*1000000)),"")</f>
        <v/>
      </c>
      <c r="M2791" s="1">
        <f>IF(AND(E2791=0,COUNTIFS($A$2:A2791,A2791,$E$2:E2791,0)=1),L2791,0)</f>
        <v>0</v>
      </c>
    </row>
    <row r="2792" spans="1:13" ht="15" customHeight="1">
      <c r="A2792" s="1">
        <v>74</v>
      </c>
      <c r="B2792" s="1" t="s">
        <v>144</v>
      </c>
      <c r="C2792" s="2" t="s">
        <v>3286</v>
      </c>
      <c r="D2792" s="1" t="s">
        <v>3287</v>
      </c>
      <c r="E2792" s="1">
        <v>1</v>
      </c>
      <c r="F2792" s="2" t="s">
        <v>3291</v>
      </c>
      <c r="G2792" s="1">
        <v>8</v>
      </c>
      <c r="H2792" s="1" t="str">
        <f t="shared" si="44"/>
        <v>k74_8</v>
      </c>
      <c r="K2792" s="1">
        <f>IF(E2792=0,SUMPRODUCT(($A$2:$A$4734=A2792)*($B$2:$B$4734=B2792)*($D$2:$D$4734=D2792)*($E$2:$E$4734=0)),0)</f>
        <v>0</v>
      </c>
      <c r="L2792" s="1" t="str">
        <f>IF(E2792=0,SUMPRODUCT(MIN($K$2:$K$4734+((($A$2:$A$4734&lt;&gt;A2792)+($E$2:$E$4734&lt;&gt;0))&gt;0)*1000000)),"")</f>
        <v/>
      </c>
      <c r="M2792" s="1">
        <f>IF(AND(E2792=0,COUNTIFS($A$2:A2792,A2792,$E$2:E2792,0)=1),L2792,0)</f>
        <v>0</v>
      </c>
    </row>
    <row r="2793" spans="1:13" ht="15" customHeight="1">
      <c r="A2793" s="1">
        <v>74</v>
      </c>
      <c r="B2793" s="1" t="s">
        <v>144</v>
      </c>
      <c r="C2793" s="2" t="s">
        <v>3286</v>
      </c>
      <c r="D2793" s="1" t="s">
        <v>3287</v>
      </c>
      <c r="E2793" s="1">
        <v>1</v>
      </c>
      <c r="F2793" s="2" t="s">
        <v>3291</v>
      </c>
      <c r="G2793" s="1">
        <v>9</v>
      </c>
      <c r="H2793" s="1" t="str">
        <f t="shared" si="44"/>
        <v>k74_9</v>
      </c>
      <c r="K2793" s="1">
        <f>IF(E2793=0,SUMPRODUCT(($A$2:$A$4734=A2793)*($B$2:$B$4734=B2793)*($D$2:$D$4734=D2793)*($E$2:$E$4734=0)),0)</f>
        <v>0</v>
      </c>
      <c r="L2793" s="1" t="str">
        <f>IF(E2793=0,SUMPRODUCT(MIN($K$2:$K$4734+((($A$2:$A$4734&lt;&gt;A2793)+($E$2:$E$4734&lt;&gt;0))&gt;0)*1000000)),"")</f>
        <v/>
      </c>
      <c r="M2793" s="1">
        <f>IF(AND(E2793=0,COUNTIFS($A$2:A2793,A2793,$E$2:E2793,0)=1),L2793,0)</f>
        <v>0</v>
      </c>
    </row>
    <row r="2794" spans="1:13" ht="15" customHeight="1">
      <c r="A2794" s="1">
        <v>74</v>
      </c>
      <c r="B2794" s="1" t="s">
        <v>9</v>
      </c>
      <c r="C2794" s="2" t="s">
        <v>3286</v>
      </c>
      <c r="D2794" s="2" t="s">
        <v>3292</v>
      </c>
      <c r="E2794" s="1">
        <v>1</v>
      </c>
      <c r="F2794" s="2" t="s">
        <v>3293</v>
      </c>
      <c r="G2794" s="1">
        <v>1</v>
      </c>
      <c r="H2794" s="1" t="str">
        <f t="shared" si="44"/>
        <v>k74_1</v>
      </c>
      <c r="K2794" s="1">
        <f>IF(E2794=0,SUMPRODUCT(($A$2:$A$4734=A2794)*($B$2:$B$4734=B2794)*($D$2:$D$4734=D2794)*($E$2:$E$4734=0)),0)</f>
        <v>0</v>
      </c>
      <c r="L2794" s="1" t="str">
        <f>IF(E2794=0,SUMPRODUCT(MIN($K$2:$K$4734+((($A$2:$A$4734&lt;&gt;A2794)+($E$2:$E$4734&lt;&gt;0))&gt;0)*1000000)),"")</f>
        <v/>
      </c>
      <c r="M2794" s="1">
        <f>IF(AND(E2794=0,COUNTIFS($A$2:A2794,A2794,$E$2:E2794,0)=1),L2794,0)</f>
        <v>0</v>
      </c>
    </row>
    <row r="2795" spans="1:13" ht="15" customHeight="1">
      <c r="A2795" s="1">
        <v>74</v>
      </c>
      <c r="B2795" s="1" t="s">
        <v>9</v>
      </c>
      <c r="C2795" s="2" t="s">
        <v>3286</v>
      </c>
      <c r="D2795" s="2" t="s">
        <v>3292</v>
      </c>
      <c r="E2795" s="1">
        <v>1</v>
      </c>
      <c r="F2795" s="2" t="s">
        <v>3294</v>
      </c>
      <c r="G2795" s="1">
        <v>2</v>
      </c>
      <c r="H2795" s="1" t="str">
        <f t="shared" si="44"/>
        <v>k74_2</v>
      </c>
      <c r="K2795" s="1">
        <f>IF(E2795=0,SUMPRODUCT(($A$2:$A$4734=A2795)*($B$2:$B$4734=B2795)*($D$2:$D$4734=D2795)*($E$2:$E$4734=0)),0)</f>
        <v>0</v>
      </c>
      <c r="L2795" s="1" t="str">
        <f>IF(E2795=0,SUMPRODUCT(MIN($K$2:$K$4734+((($A$2:$A$4734&lt;&gt;A2795)+($E$2:$E$4734&lt;&gt;0))&gt;0)*1000000)),"")</f>
        <v/>
      </c>
      <c r="M2795" s="1">
        <f>IF(AND(E2795=0,COUNTIFS($A$2:A2795,A2795,$E$2:E2795,0)=1),L2795,0)</f>
        <v>0</v>
      </c>
    </row>
    <row r="2796" spans="1:13" ht="15" customHeight="1">
      <c r="A2796" s="1">
        <v>74</v>
      </c>
      <c r="B2796" s="1" t="s">
        <v>9</v>
      </c>
      <c r="C2796" s="2" t="s">
        <v>3286</v>
      </c>
      <c r="D2796" s="2" t="s">
        <v>3292</v>
      </c>
      <c r="E2796" s="1">
        <v>1</v>
      </c>
      <c r="F2796" s="2" t="s">
        <v>3295</v>
      </c>
      <c r="G2796" s="1">
        <v>3</v>
      </c>
      <c r="H2796" s="1" t="str">
        <f t="shared" si="44"/>
        <v>k74_3</v>
      </c>
      <c r="K2796" s="1">
        <f>IF(E2796=0,SUMPRODUCT(($A$2:$A$4734=A2796)*($B$2:$B$4734=B2796)*($D$2:$D$4734=D2796)*($E$2:$E$4734=0)),0)</f>
        <v>0</v>
      </c>
      <c r="L2796" s="1" t="str">
        <f>IF(E2796=0,SUMPRODUCT(MIN($K$2:$K$4734+((($A$2:$A$4734&lt;&gt;A2796)+($E$2:$E$4734&lt;&gt;0))&gt;0)*1000000)),"")</f>
        <v/>
      </c>
      <c r="M2796" s="1">
        <f>IF(AND(E2796=0,COUNTIFS($A$2:A2796,A2796,$E$2:E2796,0)=1),L2796,0)</f>
        <v>0</v>
      </c>
    </row>
    <row r="2797" spans="1:13" ht="15" customHeight="1">
      <c r="A2797" s="1">
        <v>74</v>
      </c>
      <c r="B2797" s="1" t="s">
        <v>9</v>
      </c>
      <c r="C2797" s="2" t="s">
        <v>3286</v>
      </c>
      <c r="D2797" s="2" t="s">
        <v>3292</v>
      </c>
      <c r="E2797" s="1">
        <v>1</v>
      </c>
      <c r="F2797" s="2" t="s">
        <v>3296</v>
      </c>
      <c r="G2797" s="1">
        <v>4</v>
      </c>
      <c r="H2797" s="1" t="str">
        <f t="shared" si="44"/>
        <v>k74_4</v>
      </c>
      <c r="K2797" s="1">
        <f>IF(E2797=0,SUMPRODUCT(($A$2:$A$4734=A2797)*($B$2:$B$4734=B2797)*($D$2:$D$4734=D2797)*($E$2:$E$4734=0)),0)</f>
        <v>0</v>
      </c>
      <c r="L2797" s="1" t="str">
        <f>IF(E2797=0,SUMPRODUCT(MIN($K$2:$K$4734+((($A$2:$A$4734&lt;&gt;A2797)+($E$2:$E$4734&lt;&gt;0))&gt;0)*1000000)),"")</f>
        <v/>
      </c>
      <c r="M2797" s="1">
        <f>IF(AND(E2797=0,COUNTIFS($A$2:A2797,A2797,$E$2:E2797,0)=1),L2797,0)</f>
        <v>0</v>
      </c>
    </row>
    <row r="2798" spans="1:13" ht="15" customHeight="1">
      <c r="A2798" s="1">
        <v>74</v>
      </c>
      <c r="B2798" s="1" t="s">
        <v>9</v>
      </c>
      <c r="C2798" s="2" t="s">
        <v>3286</v>
      </c>
      <c r="D2798" s="2" t="s">
        <v>3292</v>
      </c>
      <c r="E2798" s="1">
        <v>1</v>
      </c>
      <c r="F2798" s="2" t="s">
        <v>3297</v>
      </c>
      <c r="G2798" s="1">
        <v>5</v>
      </c>
      <c r="H2798" s="1" t="str">
        <f t="shared" si="44"/>
        <v>k74_5</v>
      </c>
      <c r="K2798" s="1">
        <f>IF(E2798=0,SUMPRODUCT(($A$2:$A$4734=A2798)*($B$2:$B$4734=B2798)*($D$2:$D$4734=D2798)*($E$2:$E$4734=0)),0)</f>
        <v>0</v>
      </c>
      <c r="L2798" s="1" t="str">
        <f>IF(E2798=0,SUMPRODUCT(MIN($K$2:$K$4734+((($A$2:$A$4734&lt;&gt;A2798)+($E$2:$E$4734&lt;&gt;0))&gt;0)*1000000)),"")</f>
        <v/>
      </c>
      <c r="M2798" s="1">
        <f>IF(AND(E2798=0,COUNTIFS($A$2:A2798,A2798,$E$2:E2798,0)=1),L2798,0)</f>
        <v>0</v>
      </c>
    </row>
    <row r="2799" spans="1:13" ht="15" customHeight="1">
      <c r="A2799" s="1">
        <v>74</v>
      </c>
      <c r="B2799" s="1" t="s">
        <v>9</v>
      </c>
      <c r="C2799" s="2" t="s">
        <v>3286</v>
      </c>
      <c r="D2799" s="2" t="s">
        <v>3292</v>
      </c>
      <c r="E2799" s="1">
        <v>1</v>
      </c>
      <c r="F2799" s="2" t="s">
        <v>3294</v>
      </c>
      <c r="G2799" s="1">
        <v>6</v>
      </c>
      <c r="H2799" s="1" t="str">
        <f t="shared" si="44"/>
        <v>k74_6</v>
      </c>
      <c r="K2799" s="1">
        <f>IF(E2799=0,SUMPRODUCT(($A$2:$A$4734=A2799)*($B$2:$B$4734=B2799)*($D$2:$D$4734=D2799)*($E$2:$E$4734=0)),0)</f>
        <v>0</v>
      </c>
      <c r="L2799" s="1" t="str">
        <f>IF(E2799=0,SUMPRODUCT(MIN($K$2:$K$4734+((($A$2:$A$4734&lt;&gt;A2799)+($E$2:$E$4734&lt;&gt;0))&gt;0)*1000000)),"")</f>
        <v/>
      </c>
      <c r="M2799" s="1">
        <f>IF(AND(E2799=0,COUNTIFS($A$2:A2799,A2799,$E$2:E2799,0)=1),L2799,0)</f>
        <v>0</v>
      </c>
    </row>
    <row r="2800" spans="1:13" ht="15" customHeight="1">
      <c r="A2800" s="1">
        <v>74</v>
      </c>
      <c r="B2800" s="1" t="s">
        <v>9</v>
      </c>
      <c r="C2800" s="2" t="s">
        <v>3286</v>
      </c>
      <c r="D2800" s="2" t="s">
        <v>3292</v>
      </c>
      <c r="E2800" s="1">
        <v>1</v>
      </c>
      <c r="F2800" s="2" t="s">
        <v>3295</v>
      </c>
      <c r="G2800" s="1">
        <v>7</v>
      </c>
      <c r="H2800" s="1" t="str">
        <f t="shared" si="44"/>
        <v>k74_7</v>
      </c>
      <c r="K2800" s="1">
        <f>IF(E2800=0,SUMPRODUCT(($A$2:$A$4734=A2800)*($B$2:$B$4734=B2800)*($D$2:$D$4734=D2800)*($E$2:$E$4734=0)),0)</f>
        <v>0</v>
      </c>
      <c r="L2800" s="1" t="str">
        <f>IF(E2800=0,SUMPRODUCT(MIN($K$2:$K$4734+((($A$2:$A$4734&lt;&gt;A2800)+($E$2:$E$4734&lt;&gt;0))&gt;0)*1000000)),"")</f>
        <v/>
      </c>
      <c r="M2800" s="1">
        <f>IF(AND(E2800=0,COUNTIFS($A$2:A2800,A2800,$E$2:E2800,0)=1),L2800,0)</f>
        <v>0</v>
      </c>
    </row>
    <row r="2801" spans="1:13" ht="15" customHeight="1">
      <c r="A2801" s="1">
        <v>74</v>
      </c>
      <c r="B2801" s="1" t="s">
        <v>9</v>
      </c>
      <c r="C2801" s="2" t="s">
        <v>3286</v>
      </c>
      <c r="D2801" s="2" t="s">
        <v>3292</v>
      </c>
      <c r="E2801" s="1">
        <v>1</v>
      </c>
      <c r="F2801" s="2" t="s">
        <v>3296</v>
      </c>
      <c r="G2801" s="1">
        <v>8</v>
      </c>
      <c r="H2801" s="1" t="str">
        <f t="shared" si="44"/>
        <v>k74_8</v>
      </c>
      <c r="K2801" s="1">
        <f>IF(E2801=0,SUMPRODUCT(($A$2:$A$4734=A2801)*($B$2:$B$4734=B2801)*($D$2:$D$4734=D2801)*($E$2:$E$4734=0)),0)</f>
        <v>0</v>
      </c>
      <c r="L2801" s="1" t="str">
        <f>IF(E2801=0,SUMPRODUCT(MIN($K$2:$K$4734+((($A$2:$A$4734&lt;&gt;A2801)+($E$2:$E$4734&lt;&gt;0))&gt;0)*1000000)),"")</f>
        <v/>
      </c>
      <c r="M2801" s="1">
        <f>IF(AND(E2801=0,COUNTIFS($A$2:A2801,A2801,$E$2:E2801,0)=1),L2801,0)</f>
        <v>0</v>
      </c>
    </row>
    <row r="2802" spans="1:13" ht="15" customHeight="1">
      <c r="A2802" s="1">
        <v>74</v>
      </c>
      <c r="B2802" s="1" t="s">
        <v>9</v>
      </c>
      <c r="C2802" s="2" t="s">
        <v>3286</v>
      </c>
      <c r="D2802" s="2" t="s">
        <v>3292</v>
      </c>
      <c r="E2802" s="1">
        <v>1</v>
      </c>
      <c r="F2802" s="2" t="s">
        <v>3297</v>
      </c>
      <c r="G2802" s="1">
        <v>9</v>
      </c>
      <c r="H2802" s="1" t="str">
        <f t="shared" si="44"/>
        <v>k74_9</v>
      </c>
      <c r="K2802" s="1">
        <f>IF(E2802=0,SUMPRODUCT(($A$2:$A$4734=A2802)*($B$2:$B$4734=B2802)*($D$2:$D$4734=D2802)*($E$2:$E$4734=0)),0)</f>
        <v>0</v>
      </c>
      <c r="L2802" s="1" t="str">
        <f>IF(E2802=0,SUMPRODUCT(MIN($K$2:$K$4734+((($A$2:$A$4734&lt;&gt;A2802)+($E$2:$E$4734&lt;&gt;0))&gt;0)*1000000)),"")</f>
        <v/>
      </c>
      <c r="M2802" s="1">
        <f>IF(AND(E2802=0,COUNTIFS($A$2:A2802,A2802,$E$2:E2802,0)=1),L2802,0)</f>
        <v>0</v>
      </c>
    </row>
    <row r="2803" spans="1:13" ht="15" customHeight="1">
      <c r="A2803" s="1">
        <v>74</v>
      </c>
      <c r="B2803" s="1" t="s">
        <v>95</v>
      </c>
      <c r="C2803" s="2" t="s">
        <v>3286</v>
      </c>
      <c r="D2803" s="1" t="s">
        <v>3298</v>
      </c>
      <c r="E2803" s="1">
        <v>1</v>
      </c>
      <c r="F2803" s="2" t="s">
        <v>3299</v>
      </c>
      <c r="G2803" s="1">
        <v>1</v>
      </c>
      <c r="H2803" s="1" t="str">
        <f t="shared" si="44"/>
        <v>k74_1</v>
      </c>
      <c r="K2803" s="1">
        <f>IF(E2803=0,SUMPRODUCT(($A$2:$A$4734=A2803)*($B$2:$B$4734=B2803)*($D$2:$D$4734=D2803)*($E$2:$E$4734=0)),0)</f>
        <v>0</v>
      </c>
      <c r="L2803" s="1" t="str">
        <f>IF(E2803=0,SUMPRODUCT(MIN($K$2:$K$4734+((($A$2:$A$4734&lt;&gt;A2803)+($E$2:$E$4734&lt;&gt;0))&gt;0)*1000000)),"")</f>
        <v/>
      </c>
      <c r="M2803" s="1">
        <f>IF(AND(E2803=0,COUNTIFS($A$2:A2803,A2803,$E$2:E2803,0)=1),L2803,0)</f>
        <v>0</v>
      </c>
    </row>
    <row r="2804" spans="1:13" ht="15" customHeight="1">
      <c r="A2804" s="1">
        <v>74</v>
      </c>
      <c r="B2804" s="1" t="s">
        <v>95</v>
      </c>
      <c r="C2804" s="2" t="s">
        <v>3286</v>
      </c>
      <c r="D2804" s="1" t="s">
        <v>3298</v>
      </c>
      <c r="E2804" s="1">
        <v>1</v>
      </c>
      <c r="F2804" s="2" t="s">
        <v>3300</v>
      </c>
      <c r="G2804" s="1">
        <v>2</v>
      </c>
      <c r="H2804" s="1" t="str">
        <f t="shared" si="44"/>
        <v>k74_2</v>
      </c>
      <c r="K2804" s="1">
        <f>IF(E2804=0,SUMPRODUCT(($A$2:$A$4734=A2804)*($B$2:$B$4734=B2804)*($D$2:$D$4734=D2804)*($E$2:$E$4734=0)),0)</f>
        <v>0</v>
      </c>
      <c r="L2804" s="1" t="str">
        <f>IF(E2804=0,SUMPRODUCT(MIN($K$2:$K$4734+((($A$2:$A$4734&lt;&gt;A2804)+($E$2:$E$4734&lt;&gt;0))&gt;0)*1000000)),"")</f>
        <v/>
      </c>
      <c r="M2804" s="1">
        <f>IF(AND(E2804=0,COUNTIFS($A$2:A2804,A2804,$E$2:E2804,0)=1),L2804,0)</f>
        <v>0</v>
      </c>
    </row>
    <row r="2805" spans="1:13" ht="15" customHeight="1">
      <c r="A2805" s="1">
        <v>74</v>
      </c>
      <c r="B2805" s="1" t="s">
        <v>95</v>
      </c>
      <c r="C2805" s="2" t="s">
        <v>3286</v>
      </c>
      <c r="D2805" s="1" t="s">
        <v>3298</v>
      </c>
      <c r="E2805" s="1">
        <v>1</v>
      </c>
      <c r="F2805" s="2" t="s">
        <v>3301</v>
      </c>
      <c r="G2805" s="1">
        <v>3</v>
      </c>
      <c r="H2805" s="1" t="str">
        <f t="shared" si="44"/>
        <v>k74_3</v>
      </c>
      <c r="K2805" s="1">
        <f>IF(E2805=0,SUMPRODUCT(($A$2:$A$4734=A2805)*($B$2:$B$4734=B2805)*($D$2:$D$4734=D2805)*($E$2:$E$4734=0)),0)</f>
        <v>0</v>
      </c>
      <c r="L2805" s="1" t="str">
        <f>IF(E2805=0,SUMPRODUCT(MIN($K$2:$K$4734+((($A$2:$A$4734&lt;&gt;A2805)+($E$2:$E$4734&lt;&gt;0))&gt;0)*1000000)),"")</f>
        <v/>
      </c>
      <c r="M2805" s="1">
        <f>IF(AND(E2805=0,COUNTIFS($A$2:A2805,A2805,$E$2:E2805,0)=1),L2805,0)</f>
        <v>0</v>
      </c>
    </row>
    <row r="2806" spans="1:13" ht="15" customHeight="1">
      <c r="A2806" s="1">
        <v>74</v>
      </c>
      <c r="B2806" s="1" t="s">
        <v>95</v>
      </c>
      <c r="C2806" s="2" t="s">
        <v>3286</v>
      </c>
      <c r="D2806" s="1" t="s">
        <v>3298</v>
      </c>
      <c r="E2806" s="1">
        <v>1</v>
      </c>
      <c r="F2806" s="2" t="s">
        <v>3302</v>
      </c>
      <c r="G2806" s="1">
        <v>4</v>
      </c>
      <c r="H2806" s="1" t="str">
        <f t="shared" si="44"/>
        <v>k74_4</v>
      </c>
      <c r="K2806" s="1">
        <f>IF(E2806=0,SUMPRODUCT(($A$2:$A$4734=A2806)*($B$2:$B$4734=B2806)*($D$2:$D$4734=D2806)*($E$2:$E$4734=0)),0)</f>
        <v>0</v>
      </c>
      <c r="L2806" s="1" t="str">
        <f>IF(E2806=0,SUMPRODUCT(MIN($K$2:$K$4734+((($A$2:$A$4734&lt;&gt;A2806)+($E$2:$E$4734&lt;&gt;0))&gt;0)*1000000)),"")</f>
        <v/>
      </c>
      <c r="M2806" s="1">
        <f>IF(AND(E2806=0,COUNTIFS($A$2:A2806,A2806,$E$2:E2806,0)=1),L2806,0)</f>
        <v>0</v>
      </c>
    </row>
    <row r="2807" spans="1:13" ht="15" customHeight="1">
      <c r="A2807" s="1">
        <v>74</v>
      </c>
      <c r="B2807" s="1" t="s">
        <v>95</v>
      </c>
      <c r="C2807" s="2" t="s">
        <v>3286</v>
      </c>
      <c r="D2807" s="1" t="s">
        <v>3298</v>
      </c>
      <c r="E2807" s="1">
        <v>1</v>
      </c>
      <c r="F2807" s="2" t="s">
        <v>3303</v>
      </c>
      <c r="G2807" s="1">
        <v>5</v>
      </c>
      <c r="H2807" s="1" t="str">
        <f t="shared" si="44"/>
        <v>k74_5</v>
      </c>
      <c r="K2807" s="1">
        <f>IF(E2807=0,SUMPRODUCT(($A$2:$A$4734=A2807)*($B$2:$B$4734=B2807)*($D$2:$D$4734=D2807)*($E$2:$E$4734=0)),0)</f>
        <v>0</v>
      </c>
      <c r="L2807" s="1" t="str">
        <f>IF(E2807=0,SUMPRODUCT(MIN($K$2:$K$4734+((($A$2:$A$4734&lt;&gt;A2807)+($E$2:$E$4734&lt;&gt;0))&gt;0)*1000000)),"")</f>
        <v/>
      </c>
      <c r="M2807" s="1">
        <f>IF(AND(E2807=0,COUNTIFS($A$2:A2807,A2807,$E$2:E2807,0)=1),L2807,0)</f>
        <v>0</v>
      </c>
    </row>
    <row r="2808" spans="1:13" ht="15" customHeight="1">
      <c r="A2808" s="1">
        <v>74</v>
      </c>
      <c r="B2808" s="1" t="s">
        <v>95</v>
      </c>
      <c r="C2808" s="2" t="s">
        <v>3286</v>
      </c>
      <c r="D2808" s="1" t="s">
        <v>3298</v>
      </c>
      <c r="E2808" s="1">
        <v>1</v>
      </c>
      <c r="F2808" s="2" t="s">
        <v>3300</v>
      </c>
      <c r="G2808" s="1">
        <v>6</v>
      </c>
      <c r="H2808" s="1" t="str">
        <f t="shared" si="44"/>
        <v>k74_6</v>
      </c>
      <c r="K2808" s="1">
        <f>IF(E2808=0,SUMPRODUCT(($A$2:$A$4734=A2808)*($B$2:$B$4734=B2808)*($D$2:$D$4734=D2808)*($E$2:$E$4734=0)),0)</f>
        <v>0</v>
      </c>
      <c r="L2808" s="1" t="str">
        <f>IF(E2808=0,SUMPRODUCT(MIN($K$2:$K$4734+((($A$2:$A$4734&lt;&gt;A2808)+($E$2:$E$4734&lt;&gt;0))&gt;0)*1000000)),"")</f>
        <v/>
      </c>
      <c r="M2808" s="1">
        <f>IF(AND(E2808=0,COUNTIFS($A$2:A2808,A2808,$E$2:E2808,0)=1),L2808,0)</f>
        <v>0</v>
      </c>
    </row>
    <row r="2809" spans="1:13" ht="15" customHeight="1">
      <c r="A2809" s="1">
        <v>74</v>
      </c>
      <c r="B2809" s="1" t="s">
        <v>95</v>
      </c>
      <c r="C2809" s="2" t="s">
        <v>3286</v>
      </c>
      <c r="D2809" s="1" t="s">
        <v>3298</v>
      </c>
      <c r="E2809" s="1">
        <v>1</v>
      </c>
      <c r="F2809" s="2" t="s">
        <v>3301</v>
      </c>
      <c r="G2809" s="1">
        <v>7</v>
      </c>
      <c r="H2809" s="1" t="str">
        <f t="shared" ref="H2809:H2867" si="45">IF(OR(E2809&lt;&gt;1,G2809=""),"","k"&amp;A2809&amp;"_"&amp;G2809)</f>
        <v>k74_7</v>
      </c>
      <c r="K2809" s="1">
        <f>IF(E2809=0,SUMPRODUCT(($A$2:$A$4734=A2809)*($B$2:$B$4734=B2809)*($D$2:$D$4734=D2809)*($E$2:$E$4734=0)),0)</f>
        <v>0</v>
      </c>
      <c r="L2809" s="1" t="str">
        <f>IF(E2809=0,SUMPRODUCT(MIN($K$2:$K$4734+((($A$2:$A$4734&lt;&gt;A2809)+($E$2:$E$4734&lt;&gt;0))&gt;0)*1000000)),"")</f>
        <v/>
      </c>
      <c r="M2809" s="1">
        <f>IF(AND(E2809=0,COUNTIFS($A$2:A2809,A2809,$E$2:E2809,0)=1),L2809,0)</f>
        <v>0</v>
      </c>
    </row>
    <row r="2810" spans="1:13" ht="15" customHeight="1">
      <c r="A2810" s="1">
        <v>74</v>
      </c>
      <c r="B2810" s="1" t="s">
        <v>95</v>
      </c>
      <c r="C2810" s="2" t="s">
        <v>3286</v>
      </c>
      <c r="D2810" s="1" t="s">
        <v>3298</v>
      </c>
      <c r="E2810" s="1">
        <v>1</v>
      </c>
      <c r="F2810" s="2" t="s">
        <v>3302</v>
      </c>
      <c r="G2810" s="1">
        <v>8</v>
      </c>
      <c r="H2810" s="1" t="str">
        <f t="shared" si="45"/>
        <v>k74_8</v>
      </c>
      <c r="K2810" s="1">
        <f>IF(E2810=0,SUMPRODUCT(($A$2:$A$4734=A2810)*($B$2:$B$4734=B2810)*($D$2:$D$4734=D2810)*($E$2:$E$4734=0)),0)</f>
        <v>0</v>
      </c>
      <c r="L2810" s="1" t="str">
        <f>IF(E2810=0,SUMPRODUCT(MIN($K$2:$K$4734+((($A$2:$A$4734&lt;&gt;A2810)+($E$2:$E$4734&lt;&gt;0))&gt;0)*1000000)),"")</f>
        <v/>
      </c>
      <c r="M2810" s="1">
        <f>IF(AND(E2810=0,COUNTIFS($A$2:A2810,A2810,$E$2:E2810,0)=1),L2810,0)</f>
        <v>0</v>
      </c>
    </row>
    <row r="2811" spans="1:13" ht="15" customHeight="1">
      <c r="A2811" s="1">
        <v>74</v>
      </c>
      <c r="B2811" s="1" t="s">
        <v>95</v>
      </c>
      <c r="C2811" s="2" t="s">
        <v>3286</v>
      </c>
      <c r="D2811" s="1" t="s">
        <v>3298</v>
      </c>
      <c r="E2811" s="1">
        <v>1</v>
      </c>
      <c r="F2811" s="2" t="s">
        <v>3303</v>
      </c>
      <c r="G2811" s="1">
        <v>9</v>
      </c>
      <c r="H2811" s="1" t="str">
        <f t="shared" si="45"/>
        <v>k74_9</v>
      </c>
      <c r="K2811" s="1">
        <f>IF(E2811=0,SUMPRODUCT(($A$2:$A$4734=A2811)*($B$2:$B$4734=B2811)*($D$2:$D$4734=D2811)*($E$2:$E$4734=0)),0)</f>
        <v>0</v>
      </c>
      <c r="L2811" s="1" t="str">
        <f>IF(E2811=0,SUMPRODUCT(MIN($K$2:$K$4734+((($A$2:$A$4734&lt;&gt;A2811)+($E$2:$E$4734&lt;&gt;0))&gt;0)*1000000)),"")</f>
        <v/>
      </c>
      <c r="M2811" s="1">
        <f>IF(AND(E2811=0,COUNTIFS($A$2:A2811,A2811,$E$2:E2811,0)=1),L2811,0)</f>
        <v>0</v>
      </c>
    </row>
    <row r="2812" spans="1:13" ht="15" customHeight="1">
      <c r="A2812" s="1">
        <v>74</v>
      </c>
      <c r="B2812" s="1" t="s">
        <v>16</v>
      </c>
      <c r="C2812" s="2" t="s">
        <v>3286</v>
      </c>
      <c r="D2812" s="1" t="s">
        <v>3287</v>
      </c>
      <c r="E2812" s="1">
        <v>1</v>
      </c>
      <c r="F2812" s="2" t="s">
        <v>3304</v>
      </c>
      <c r="G2812" s="1">
        <v>1</v>
      </c>
      <c r="H2812" s="1" t="str">
        <f t="shared" si="45"/>
        <v>k74_1</v>
      </c>
      <c r="K2812" s="1">
        <f>IF(E2812=0,SUMPRODUCT(($A$2:$A$4734=A2812)*($B$2:$B$4734=B2812)*($D$2:$D$4734=D2812)*($E$2:$E$4734=0)),0)</f>
        <v>0</v>
      </c>
      <c r="L2812" s="1" t="str">
        <f>IF(E2812=0,SUMPRODUCT(MIN($K$2:$K$4734+((($A$2:$A$4734&lt;&gt;A2812)+($E$2:$E$4734&lt;&gt;0))&gt;0)*1000000)),"")</f>
        <v/>
      </c>
      <c r="M2812" s="1">
        <f>IF(AND(E2812=0,COUNTIFS($A$2:A2812,A2812,$E$2:E2812,0)=1),L2812,0)</f>
        <v>0</v>
      </c>
    </row>
    <row r="2813" spans="1:13" ht="15" customHeight="1">
      <c r="A2813" s="1">
        <v>74</v>
      </c>
      <c r="B2813" s="1" t="s">
        <v>16</v>
      </c>
      <c r="C2813" s="2" t="s">
        <v>3286</v>
      </c>
      <c r="D2813" s="1" t="s">
        <v>3287</v>
      </c>
      <c r="E2813" s="1">
        <v>1</v>
      </c>
      <c r="F2813" s="2" t="s">
        <v>3305</v>
      </c>
      <c r="G2813" s="1">
        <v>2</v>
      </c>
      <c r="H2813" s="1" t="str">
        <f t="shared" si="45"/>
        <v>k74_2</v>
      </c>
      <c r="K2813" s="1">
        <f>IF(E2813=0,SUMPRODUCT(($A$2:$A$4734=A2813)*($B$2:$B$4734=B2813)*($D$2:$D$4734=D2813)*($E$2:$E$4734=0)),0)</f>
        <v>0</v>
      </c>
      <c r="L2813" s="1" t="str">
        <f>IF(E2813=0,SUMPRODUCT(MIN($K$2:$K$4734+((($A$2:$A$4734&lt;&gt;A2813)+($E$2:$E$4734&lt;&gt;0))&gt;0)*1000000)),"")</f>
        <v/>
      </c>
      <c r="M2813" s="1">
        <f>IF(AND(E2813=0,COUNTIFS($A$2:A2813,A2813,$E$2:E2813,0)=1),L2813,0)</f>
        <v>0</v>
      </c>
    </row>
    <row r="2814" spans="1:13" ht="15" customHeight="1">
      <c r="A2814" s="1">
        <v>74</v>
      </c>
      <c r="B2814" s="1" t="s">
        <v>16</v>
      </c>
      <c r="C2814" s="2" t="s">
        <v>3286</v>
      </c>
      <c r="D2814" s="1" t="s">
        <v>3287</v>
      </c>
      <c r="E2814" s="1">
        <v>1</v>
      </c>
      <c r="F2814" s="2" t="s">
        <v>3306</v>
      </c>
      <c r="G2814" s="1">
        <v>3</v>
      </c>
      <c r="H2814" s="1" t="str">
        <f t="shared" si="45"/>
        <v>k74_3</v>
      </c>
      <c r="K2814" s="1">
        <f>IF(E2814=0,SUMPRODUCT(($A$2:$A$4734=A2814)*($B$2:$B$4734=B2814)*($D$2:$D$4734=D2814)*($E$2:$E$4734=0)),0)</f>
        <v>0</v>
      </c>
      <c r="L2814" s="1" t="str">
        <f>IF(E2814=0,SUMPRODUCT(MIN($K$2:$K$4734+((($A$2:$A$4734&lt;&gt;A2814)+($E$2:$E$4734&lt;&gt;0))&gt;0)*1000000)),"")</f>
        <v/>
      </c>
      <c r="M2814" s="1">
        <f>IF(AND(E2814=0,COUNTIFS($A$2:A2814,A2814,$E$2:E2814,0)=1),L2814,0)</f>
        <v>0</v>
      </c>
    </row>
    <row r="2815" spans="1:13" ht="15" customHeight="1">
      <c r="A2815" s="1">
        <v>74</v>
      </c>
      <c r="B2815" s="1" t="s">
        <v>16</v>
      </c>
      <c r="C2815" s="2" t="s">
        <v>3286</v>
      </c>
      <c r="D2815" s="1" t="s">
        <v>3287</v>
      </c>
      <c r="E2815" s="1">
        <v>1</v>
      </c>
      <c r="F2815" s="2" t="s">
        <v>3307</v>
      </c>
      <c r="G2815" s="1">
        <v>4</v>
      </c>
      <c r="H2815" s="1" t="str">
        <f t="shared" si="45"/>
        <v>k74_4</v>
      </c>
      <c r="K2815" s="1">
        <f>IF(E2815=0,SUMPRODUCT(($A$2:$A$4734=A2815)*($B$2:$B$4734=B2815)*($D$2:$D$4734=D2815)*($E$2:$E$4734=0)),0)</f>
        <v>0</v>
      </c>
      <c r="L2815" s="1" t="str">
        <f>IF(E2815=0,SUMPRODUCT(MIN($K$2:$K$4734+((($A$2:$A$4734&lt;&gt;A2815)+($E$2:$E$4734&lt;&gt;0))&gt;0)*1000000)),"")</f>
        <v/>
      </c>
      <c r="M2815" s="1">
        <f>IF(AND(E2815=0,COUNTIFS($A$2:A2815,A2815,$E$2:E2815,0)=1),L2815,0)</f>
        <v>0</v>
      </c>
    </row>
    <row r="2816" spans="1:13" ht="15" customHeight="1">
      <c r="A2816" s="1">
        <v>74</v>
      </c>
      <c r="B2816" s="1" t="s">
        <v>16</v>
      </c>
      <c r="C2816" s="2" t="s">
        <v>3286</v>
      </c>
      <c r="D2816" s="1" t="s">
        <v>3287</v>
      </c>
      <c r="E2816" s="1">
        <v>1</v>
      </c>
      <c r="F2816" s="2" t="s">
        <v>3304</v>
      </c>
      <c r="G2816" s="1">
        <v>5</v>
      </c>
      <c r="H2816" s="1" t="str">
        <f t="shared" si="45"/>
        <v>k74_5</v>
      </c>
      <c r="K2816" s="1">
        <f>IF(E2816=0,SUMPRODUCT(($A$2:$A$4734=A2816)*($B$2:$B$4734=B2816)*($D$2:$D$4734=D2816)*($E$2:$E$4734=0)),0)</f>
        <v>0</v>
      </c>
      <c r="L2816" s="1" t="str">
        <f>IF(E2816=0,SUMPRODUCT(MIN($K$2:$K$4734+((($A$2:$A$4734&lt;&gt;A2816)+($E$2:$E$4734&lt;&gt;0))&gt;0)*1000000)),"")</f>
        <v/>
      </c>
      <c r="M2816" s="1">
        <f>IF(AND(E2816=0,COUNTIFS($A$2:A2816,A2816,$E$2:E2816,0)=1),L2816,0)</f>
        <v>0</v>
      </c>
    </row>
    <row r="2817" spans="1:13" ht="15" customHeight="1">
      <c r="A2817" s="1">
        <v>74</v>
      </c>
      <c r="B2817" s="1" t="s">
        <v>16</v>
      </c>
      <c r="C2817" s="2" t="s">
        <v>3286</v>
      </c>
      <c r="D2817" s="1" t="s">
        <v>3287</v>
      </c>
      <c r="E2817" s="1">
        <v>1</v>
      </c>
      <c r="F2817" s="2" t="s">
        <v>3305</v>
      </c>
      <c r="G2817" s="1">
        <v>6</v>
      </c>
      <c r="H2817" s="1" t="str">
        <f t="shared" si="45"/>
        <v>k74_6</v>
      </c>
      <c r="K2817" s="1">
        <f>IF(E2817=0,SUMPRODUCT(($A$2:$A$4734=A2817)*($B$2:$B$4734=B2817)*($D$2:$D$4734=D2817)*($E$2:$E$4734=0)),0)</f>
        <v>0</v>
      </c>
      <c r="L2817" s="1" t="str">
        <f>IF(E2817=0,SUMPRODUCT(MIN($K$2:$K$4734+((($A$2:$A$4734&lt;&gt;A2817)+($E$2:$E$4734&lt;&gt;0))&gt;0)*1000000)),"")</f>
        <v/>
      </c>
      <c r="M2817" s="1">
        <f>IF(AND(E2817=0,COUNTIFS($A$2:A2817,A2817,$E$2:E2817,0)=1),L2817,0)</f>
        <v>0</v>
      </c>
    </row>
    <row r="2818" spans="1:13" ht="15" customHeight="1">
      <c r="A2818" s="1">
        <v>74</v>
      </c>
      <c r="B2818" s="1" t="s">
        <v>16</v>
      </c>
      <c r="C2818" s="2" t="s">
        <v>3286</v>
      </c>
      <c r="D2818" s="1" t="s">
        <v>3287</v>
      </c>
      <c r="E2818" s="1">
        <v>1</v>
      </c>
      <c r="F2818" s="2" t="s">
        <v>3306</v>
      </c>
      <c r="G2818" s="1">
        <v>7</v>
      </c>
      <c r="H2818" s="1" t="str">
        <f t="shared" si="45"/>
        <v>k74_7</v>
      </c>
      <c r="K2818" s="1">
        <f>IF(E2818=0,SUMPRODUCT(($A$2:$A$4734=A2818)*($B$2:$B$4734=B2818)*($D$2:$D$4734=D2818)*($E$2:$E$4734=0)),0)</f>
        <v>0</v>
      </c>
      <c r="L2818" s="1" t="str">
        <f>IF(E2818=0,SUMPRODUCT(MIN($K$2:$K$4734+((($A$2:$A$4734&lt;&gt;A2818)+($E$2:$E$4734&lt;&gt;0))&gt;0)*1000000)),"")</f>
        <v/>
      </c>
      <c r="M2818" s="1">
        <f>IF(AND(E2818=0,COUNTIFS($A$2:A2818,A2818,$E$2:E2818,0)=1),L2818,0)</f>
        <v>0</v>
      </c>
    </row>
    <row r="2819" spans="1:13" ht="15" customHeight="1">
      <c r="A2819" s="1">
        <v>74</v>
      </c>
      <c r="B2819" s="1" t="s">
        <v>16</v>
      </c>
      <c r="C2819" s="2" t="s">
        <v>3286</v>
      </c>
      <c r="D2819" s="1" t="s">
        <v>3287</v>
      </c>
      <c r="E2819" s="1">
        <v>1</v>
      </c>
      <c r="F2819" s="2" t="s">
        <v>3307</v>
      </c>
      <c r="G2819" s="1">
        <v>8</v>
      </c>
      <c r="H2819" s="1" t="str">
        <f t="shared" si="45"/>
        <v>k74_8</v>
      </c>
      <c r="K2819" s="1">
        <f>IF(E2819=0,SUMPRODUCT(($A$2:$A$4734=A2819)*($B$2:$B$4734=B2819)*($D$2:$D$4734=D2819)*($E$2:$E$4734=0)),0)</f>
        <v>0</v>
      </c>
      <c r="L2819" s="1" t="str">
        <f>IF(E2819=0,SUMPRODUCT(MIN($K$2:$K$4734+((($A$2:$A$4734&lt;&gt;A2819)+($E$2:$E$4734&lt;&gt;0))&gt;0)*1000000)),"")</f>
        <v/>
      </c>
      <c r="M2819" s="1">
        <f>IF(AND(E2819=0,COUNTIFS($A$2:A2819,A2819,$E$2:E2819,0)=1),L2819,0)</f>
        <v>0</v>
      </c>
    </row>
    <row r="2820" spans="1:13" ht="15" customHeight="1">
      <c r="A2820" s="1">
        <v>74</v>
      </c>
      <c r="B2820" s="1" t="s">
        <v>16</v>
      </c>
      <c r="C2820" s="2" t="s">
        <v>3286</v>
      </c>
      <c r="D2820" s="1" t="s">
        <v>3287</v>
      </c>
      <c r="E2820" s="1">
        <v>1</v>
      </c>
      <c r="F2820" s="2" t="s">
        <v>3308</v>
      </c>
      <c r="G2820" s="1">
        <v>9</v>
      </c>
      <c r="H2820" s="1" t="str">
        <f t="shared" si="45"/>
        <v>k74_9</v>
      </c>
      <c r="K2820" s="1">
        <f>IF(E2820=0,SUMPRODUCT(($A$2:$A$4734=A2820)*($B$2:$B$4734=B2820)*($D$2:$D$4734=D2820)*($E$2:$E$4734=0)),0)</f>
        <v>0</v>
      </c>
      <c r="L2820" s="1" t="str">
        <f>IF(E2820=0,SUMPRODUCT(MIN($K$2:$K$4734+((($A$2:$A$4734&lt;&gt;A2820)+($E$2:$E$4734&lt;&gt;0))&gt;0)*1000000)),"")</f>
        <v/>
      </c>
      <c r="M2820" s="1">
        <f>IF(AND(E2820=0,COUNTIFS($A$2:A2820,A2820,$E$2:E2820,0)=1),L2820,0)</f>
        <v>0</v>
      </c>
    </row>
    <row r="2821" spans="1:13" ht="15" customHeight="1">
      <c r="A2821" s="1">
        <v>75</v>
      </c>
      <c r="B2821" s="1" t="s">
        <v>9</v>
      </c>
      <c r="C2821" s="2" t="s">
        <v>3309</v>
      </c>
      <c r="D2821" s="2" t="s">
        <v>3310</v>
      </c>
      <c r="E2821" s="1">
        <v>0</v>
      </c>
      <c r="F2821" s="2" t="s">
        <v>3311</v>
      </c>
      <c r="H2821" s="1" t="str">
        <f t="shared" si="45"/>
        <v/>
      </c>
      <c r="K2821" s="1">
        <f>IF(E2821=0,SUMPRODUCT(($A$2:$A$4734=A2821)*($B$2:$B$4734=B2821)*($D$2:$D$4734=D2821)*($E$2:$E$4734=0)),0)</f>
        <v>2</v>
      </c>
      <c r="L2821" s="1">
        <f>IF(E2821=0,SUMPRODUCT(MIN($K$2:$K$4734+((($A$2:$A$4734&lt;&gt;A2821)+($E$2:$E$4734&lt;&gt;0))&gt;0)*1000000)),"")</f>
        <v>2</v>
      </c>
      <c r="M2821" s="1">
        <f>IF(AND(E2821=0,COUNTIFS($A$2:A2821,A2821,$E$2:E2821,0)=1),L2821,0)</f>
        <v>2</v>
      </c>
    </row>
    <row r="2822" spans="1:13" ht="15" customHeight="1">
      <c r="A2822" s="1">
        <v>75</v>
      </c>
      <c r="B2822" s="1" t="s">
        <v>9</v>
      </c>
      <c r="C2822" s="2" t="s">
        <v>3309</v>
      </c>
      <c r="D2822" s="2" t="s">
        <v>3310</v>
      </c>
      <c r="E2822" s="1">
        <v>0</v>
      </c>
      <c r="F2822" s="2" t="s">
        <v>3312</v>
      </c>
      <c r="H2822" s="1" t="str">
        <f t="shared" si="45"/>
        <v/>
      </c>
      <c r="K2822" s="1">
        <f>IF(E2822=0,SUMPRODUCT(($A$2:$A$4734=A2822)*($B$2:$B$4734=B2822)*($D$2:$D$4734=D2822)*($E$2:$E$4734=0)),0)</f>
        <v>2</v>
      </c>
      <c r="L2822" s="1">
        <f>IF(E2822=0,SUMPRODUCT(MIN($K$2:$K$4734+((($A$2:$A$4734&lt;&gt;A2822)+($E$2:$E$4734&lt;&gt;0))&gt;0)*1000000)),"")</f>
        <v>2</v>
      </c>
      <c r="M2822" s="1">
        <f>IF(AND(E2822=0,COUNTIFS($A$2:A2822,A2822,$E$2:E2822,0)=1),L2822,0)</f>
        <v>0</v>
      </c>
    </row>
    <row r="2823" spans="1:13" ht="15" customHeight="1">
      <c r="A2823" s="1">
        <v>75</v>
      </c>
      <c r="B2823" s="1" t="s">
        <v>16</v>
      </c>
      <c r="C2823" s="2" t="s">
        <v>3309</v>
      </c>
      <c r="D2823" s="2" t="s">
        <v>3314</v>
      </c>
      <c r="E2823" s="1">
        <v>0</v>
      </c>
      <c r="F2823" s="2" t="s">
        <v>3315</v>
      </c>
      <c r="H2823" s="1" t="str">
        <f t="shared" si="45"/>
        <v/>
      </c>
      <c r="K2823" s="1">
        <f>IF(E2823=0,SUMPRODUCT(($A$2:$A$4734=A2823)*($B$2:$B$4734=B2823)*($D$2:$D$4734=D2823)*($E$2:$E$4734=0)),0)</f>
        <v>6</v>
      </c>
      <c r="L2823" s="1">
        <f>IF(E2823=0,SUMPRODUCT(MIN($K$2:$K$4734+((($A$2:$A$4734&lt;&gt;A2823)+($E$2:$E$4734&lt;&gt;0))&gt;0)*1000000)),"")</f>
        <v>2</v>
      </c>
      <c r="M2823" s="1">
        <f>IF(AND(E2823=0,COUNTIFS($A$2:A2823,A2823,$E$2:E2823,0)=1),L2823,0)</f>
        <v>0</v>
      </c>
    </row>
    <row r="2824" spans="1:13" ht="15" customHeight="1">
      <c r="A2824" s="1">
        <v>75</v>
      </c>
      <c r="B2824" s="1" t="s">
        <v>16</v>
      </c>
      <c r="C2824" s="2" t="s">
        <v>3309</v>
      </c>
      <c r="D2824" s="2" t="s">
        <v>3314</v>
      </c>
      <c r="E2824" s="1">
        <v>0</v>
      </c>
      <c r="F2824" s="2" t="s">
        <v>3316</v>
      </c>
      <c r="H2824" s="1" t="str">
        <f t="shared" si="45"/>
        <v/>
      </c>
      <c r="K2824" s="1">
        <f>IF(E2824=0,SUMPRODUCT(($A$2:$A$4734=A2824)*($B$2:$B$4734=B2824)*($D$2:$D$4734=D2824)*($E$2:$E$4734=0)),0)</f>
        <v>6</v>
      </c>
      <c r="L2824" s="1">
        <f>IF(E2824=0,SUMPRODUCT(MIN($K$2:$K$4734+((($A$2:$A$4734&lt;&gt;A2824)+($E$2:$E$4734&lt;&gt;0))&gt;0)*1000000)),"")</f>
        <v>2</v>
      </c>
      <c r="M2824" s="1">
        <f>IF(AND(E2824=0,COUNTIFS($A$2:A2824,A2824,$E$2:E2824,0)=1),L2824,0)</f>
        <v>0</v>
      </c>
    </row>
    <row r="2825" spans="1:13" ht="15" customHeight="1">
      <c r="A2825" s="1">
        <v>75</v>
      </c>
      <c r="B2825" s="1" t="s">
        <v>16</v>
      </c>
      <c r="C2825" s="2" t="s">
        <v>3309</v>
      </c>
      <c r="D2825" s="2" t="s">
        <v>3314</v>
      </c>
      <c r="E2825" s="1">
        <v>0</v>
      </c>
      <c r="F2825" s="2" t="s">
        <v>3317</v>
      </c>
      <c r="H2825" s="1" t="str">
        <f t="shared" si="45"/>
        <v/>
      </c>
      <c r="K2825" s="1">
        <f>IF(E2825=0,SUMPRODUCT(($A$2:$A$4734=A2825)*($B$2:$B$4734=B2825)*($D$2:$D$4734=D2825)*($E$2:$E$4734=0)),0)</f>
        <v>6</v>
      </c>
      <c r="L2825" s="1">
        <f>IF(E2825=0,SUMPRODUCT(MIN($K$2:$K$4734+((($A$2:$A$4734&lt;&gt;A2825)+($E$2:$E$4734&lt;&gt;0))&gt;0)*1000000)),"")</f>
        <v>2</v>
      </c>
      <c r="M2825" s="1">
        <f>IF(AND(E2825=0,COUNTIFS($A$2:A2825,A2825,$E$2:E2825,0)=1),L2825,0)</f>
        <v>0</v>
      </c>
    </row>
    <row r="2826" spans="1:13" ht="15" customHeight="1">
      <c r="A2826" s="1">
        <v>75</v>
      </c>
      <c r="B2826" s="1" t="s">
        <v>16</v>
      </c>
      <c r="C2826" s="2" t="s">
        <v>3309</v>
      </c>
      <c r="D2826" s="2" t="s">
        <v>3314</v>
      </c>
      <c r="E2826" s="1">
        <v>0</v>
      </c>
      <c r="F2826" s="2" t="s">
        <v>3318</v>
      </c>
      <c r="H2826" s="1" t="str">
        <f t="shared" si="45"/>
        <v/>
      </c>
      <c r="K2826" s="1">
        <f>IF(E2826=0,SUMPRODUCT(($A$2:$A$4734=A2826)*($B$2:$B$4734=B2826)*($D$2:$D$4734=D2826)*($E$2:$E$4734=0)),0)</f>
        <v>6</v>
      </c>
      <c r="L2826" s="1">
        <f>IF(E2826=0,SUMPRODUCT(MIN($K$2:$K$4734+((($A$2:$A$4734&lt;&gt;A2826)+($E$2:$E$4734&lt;&gt;0))&gt;0)*1000000)),"")</f>
        <v>2</v>
      </c>
      <c r="M2826" s="1">
        <f>IF(AND(E2826=0,COUNTIFS($A$2:A2826,A2826,$E$2:E2826,0)=1),L2826,0)</f>
        <v>0</v>
      </c>
    </row>
    <row r="2827" spans="1:13" ht="15" customHeight="1">
      <c r="A2827" s="1">
        <v>75</v>
      </c>
      <c r="B2827" s="1" t="s">
        <v>16</v>
      </c>
      <c r="C2827" s="2" t="s">
        <v>3309</v>
      </c>
      <c r="D2827" s="2" t="s">
        <v>3314</v>
      </c>
      <c r="E2827" s="1">
        <v>0</v>
      </c>
      <c r="F2827" s="2" t="s">
        <v>3319</v>
      </c>
      <c r="H2827" s="1" t="str">
        <f t="shared" si="45"/>
        <v/>
      </c>
      <c r="K2827" s="1">
        <f>IF(E2827=0,SUMPRODUCT(($A$2:$A$4734=A2827)*($B$2:$B$4734=B2827)*($D$2:$D$4734=D2827)*($E$2:$E$4734=0)),0)</f>
        <v>6</v>
      </c>
      <c r="L2827" s="1">
        <f>IF(E2827=0,SUMPRODUCT(MIN($K$2:$K$4734+((($A$2:$A$4734&lt;&gt;A2827)+($E$2:$E$4734&lt;&gt;0))&gt;0)*1000000)),"")</f>
        <v>2</v>
      </c>
      <c r="M2827" s="1">
        <f>IF(AND(E2827=0,COUNTIFS($A$2:A2827,A2827,$E$2:E2827,0)=1),L2827,0)</f>
        <v>0</v>
      </c>
    </row>
    <row r="2828" spans="1:13" ht="15" customHeight="1">
      <c r="A2828" s="1">
        <v>75</v>
      </c>
      <c r="B2828" s="1" t="s">
        <v>16</v>
      </c>
      <c r="C2828" s="2" t="s">
        <v>3309</v>
      </c>
      <c r="D2828" s="2" t="s">
        <v>3314</v>
      </c>
      <c r="E2828" s="1">
        <v>0</v>
      </c>
      <c r="F2828" s="2" t="s">
        <v>3320</v>
      </c>
      <c r="H2828" s="1" t="str">
        <f t="shared" si="45"/>
        <v/>
      </c>
      <c r="K2828" s="1">
        <f>IF(E2828=0,SUMPRODUCT(($A$2:$A$4734=A2828)*($B$2:$B$4734=B2828)*($D$2:$D$4734=D2828)*($E$2:$E$4734=0)),0)</f>
        <v>6</v>
      </c>
      <c r="L2828" s="1">
        <f>IF(E2828=0,SUMPRODUCT(MIN($K$2:$K$4734+((($A$2:$A$4734&lt;&gt;A2828)+($E$2:$E$4734&lt;&gt;0))&gt;0)*1000000)),"")</f>
        <v>2</v>
      </c>
      <c r="M2828" s="1">
        <f>IF(AND(E2828=0,COUNTIFS($A$2:A2828,A2828,$E$2:E2828,0)=1),L2828,0)</f>
        <v>0</v>
      </c>
    </row>
    <row r="2829" spans="1:13" ht="15" customHeight="1">
      <c r="A2829" s="1">
        <v>76</v>
      </c>
      <c r="B2829" s="1" t="s">
        <v>16</v>
      </c>
      <c r="C2829" s="2" t="s">
        <v>3321</v>
      </c>
      <c r="D2829" s="2" t="s">
        <v>3322</v>
      </c>
      <c r="E2829" s="1">
        <v>0</v>
      </c>
      <c r="F2829" s="2" t="s">
        <v>3323</v>
      </c>
      <c r="H2829" s="1" t="str">
        <f t="shared" si="45"/>
        <v/>
      </c>
      <c r="K2829" s="1">
        <f>IF(E2829=0,SUMPRODUCT(($A$2:$A$4734=A2829)*($B$2:$B$4734=B2829)*($D$2:$D$4734=D2829)*($E$2:$E$4734=0)),0)</f>
        <v>2</v>
      </c>
      <c r="L2829" s="1">
        <f>IF(E2829=0,SUMPRODUCT(MIN($K$2:$K$4734+((($A$2:$A$4734&lt;&gt;A2829)+($E$2:$E$4734&lt;&gt;0))&gt;0)*1000000)),"")</f>
        <v>2</v>
      </c>
      <c r="M2829" s="1">
        <f>IF(AND(E2829=0,COUNTIFS($A$2:A2829,A2829,$E$2:E2829,0)=1),L2829,0)</f>
        <v>2</v>
      </c>
    </row>
    <row r="2830" spans="1:13" ht="15" customHeight="1">
      <c r="A2830" s="1">
        <v>76</v>
      </c>
      <c r="B2830" s="1" t="s">
        <v>16</v>
      </c>
      <c r="C2830" s="2" t="s">
        <v>3321</v>
      </c>
      <c r="D2830" s="2" t="s">
        <v>3322</v>
      </c>
      <c r="E2830" s="1">
        <v>0</v>
      </c>
      <c r="F2830" s="2" t="s">
        <v>3324</v>
      </c>
      <c r="H2830" s="1" t="str">
        <f t="shared" si="45"/>
        <v/>
      </c>
      <c r="K2830" s="1">
        <f>IF(E2830=0,SUMPRODUCT(($A$2:$A$4734=A2830)*($B$2:$B$4734=B2830)*($D$2:$D$4734=D2830)*($E$2:$E$4734=0)),0)</f>
        <v>2</v>
      </c>
      <c r="L2830" s="1">
        <f>IF(E2830=0,SUMPRODUCT(MIN($K$2:$K$4734+((($A$2:$A$4734&lt;&gt;A2830)+($E$2:$E$4734&lt;&gt;0))&gt;0)*1000000)),"")</f>
        <v>2</v>
      </c>
      <c r="M2830" s="1">
        <f>IF(AND(E2830=0,COUNTIFS($A$2:A2830,A2830,$E$2:E2830,0)=1),L2830,0)</f>
        <v>0</v>
      </c>
    </row>
    <row r="2831" spans="1:13" ht="15" customHeight="1">
      <c r="A2831" s="1">
        <v>76</v>
      </c>
      <c r="B2831" s="1" t="s">
        <v>9</v>
      </c>
      <c r="C2831" s="2" t="s">
        <v>3321</v>
      </c>
      <c r="D2831" s="2" t="s">
        <v>3325</v>
      </c>
      <c r="E2831" s="1">
        <v>0</v>
      </c>
      <c r="F2831" s="2" t="s">
        <v>3326</v>
      </c>
      <c r="H2831" s="1" t="str">
        <f t="shared" si="45"/>
        <v/>
      </c>
      <c r="K2831" s="1">
        <f>IF(E2831=0,SUMPRODUCT(($A$2:$A$4734=A2831)*($B$2:$B$4734=B2831)*($D$2:$D$4734=D2831)*($E$2:$E$4734=0)),0)</f>
        <v>6</v>
      </c>
      <c r="L2831" s="1">
        <f>IF(E2831=0,SUMPRODUCT(MIN($K$2:$K$4734+((($A$2:$A$4734&lt;&gt;A2831)+($E$2:$E$4734&lt;&gt;0))&gt;0)*1000000)),"")</f>
        <v>2</v>
      </c>
      <c r="M2831" s="1">
        <f>IF(AND(E2831=0,COUNTIFS($A$2:A2831,A2831,$E$2:E2831,0)=1),L2831,0)</f>
        <v>0</v>
      </c>
    </row>
    <row r="2832" spans="1:13" ht="15" customHeight="1">
      <c r="A2832" s="1">
        <v>76</v>
      </c>
      <c r="B2832" s="1" t="s">
        <v>9</v>
      </c>
      <c r="C2832" s="2" t="s">
        <v>3321</v>
      </c>
      <c r="D2832" s="2" t="s">
        <v>3325</v>
      </c>
      <c r="E2832" s="1">
        <v>0</v>
      </c>
      <c r="F2832" s="2" t="s">
        <v>3327</v>
      </c>
      <c r="H2832" s="1" t="str">
        <f t="shared" si="45"/>
        <v/>
      </c>
      <c r="K2832" s="1">
        <f>IF(E2832=0,SUMPRODUCT(($A$2:$A$4734=A2832)*($B$2:$B$4734=B2832)*($D$2:$D$4734=D2832)*($E$2:$E$4734=0)),0)</f>
        <v>6</v>
      </c>
      <c r="L2832" s="1">
        <f>IF(E2832=0,SUMPRODUCT(MIN($K$2:$K$4734+((($A$2:$A$4734&lt;&gt;A2832)+($E$2:$E$4734&lt;&gt;0))&gt;0)*1000000)),"")</f>
        <v>2</v>
      </c>
      <c r="M2832" s="1">
        <f>IF(AND(E2832=0,COUNTIFS($A$2:A2832,A2832,$E$2:E2832,0)=1),L2832,0)</f>
        <v>0</v>
      </c>
    </row>
    <row r="2833" spans="1:13" ht="15" customHeight="1">
      <c r="A2833" s="1">
        <v>76</v>
      </c>
      <c r="B2833" s="1" t="s">
        <v>9</v>
      </c>
      <c r="C2833" s="2" t="s">
        <v>3321</v>
      </c>
      <c r="D2833" s="2" t="s">
        <v>3325</v>
      </c>
      <c r="E2833" s="1">
        <v>0</v>
      </c>
      <c r="F2833" s="2" t="s">
        <v>3328</v>
      </c>
      <c r="H2833" s="1" t="str">
        <f t="shared" si="45"/>
        <v/>
      </c>
      <c r="K2833" s="1">
        <f>IF(E2833=0,SUMPRODUCT(($A$2:$A$4734=A2833)*($B$2:$B$4734=B2833)*($D$2:$D$4734=D2833)*($E$2:$E$4734=0)),0)</f>
        <v>6</v>
      </c>
      <c r="L2833" s="1">
        <f>IF(E2833=0,SUMPRODUCT(MIN($K$2:$K$4734+((($A$2:$A$4734&lt;&gt;A2833)+($E$2:$E$4734&lt;&gt;0))&gt;0)*1000000)),"")</f>
        <v>2</v>
      </c>
      <c r="M2833" s="1">
        <f>IF(AND(E2833=0,COUNTIFS($A$2:A2833,A2833,$E$2:E2833,0)=1),L2833,0)</f>
        <v>0</v>
      </c>
    </row>
    <row r="2834" spans="1:13" ht="15" customHeight="1">
      <c r="A2834" s="1">
        <v>76</v>
      </c>
      <c r="B2834" s="1" t="s">
        <v>9</v>
      </c>
      <c r="C2834" s="2" t="s">
        <v>3321</v>
      </c>
      <c r="D2834" s="2" t="s">
        <v>3325</v>
      </c>
      <c r="E2834" s="1">
        <v>0</v>
      </c>
      <c r="F2834" s="2" t="s">
        <v>3329</v>
      </c>
      <c r="H2834" s="1" t="str">
        <f t="shared" si="45"/>
        <v/>
      </c>
      <c r="K2834" s="1">
        <f>IF(E2834=0,SUMPRODUCT(($A$2:$A$4734=A2834)*($B$2:$B$4734=B2834)*($D$2:$D$4734=D2834)*($E$2:$E$4734=0)),0)</f>
        <v>6</v>
      </c>
      <c r="L2834" s="1">
        <f>IF(E2834=0,SUMPRODUCT(MIN($K$2:$K$4734+((($A$2:$A$4734&lt;&gt;A2834)+($E$2:$E$4734&lt;&gt;0))&gt;0)*1000000)),"")</f>
        <v>2</v>
      </c>
      <c r="M2834" s="1">
        <f>IF(AND(E2834=0,COUNTIFS($A$2:A2834,A2834,$E$2:E2834,0)=1),L2834,0)</f>
        <v>0</v>
      </c>
    </row>
    <row r="2835" spans="1:13" ht="15" customHeight="1">
      <c r="A2835" s="1">
        <v>76</v>
      </c>
      <c r="B2835" s="1" t="s">
        <v>9</v>
      </c>
      <c r="C2835" s="2" t="s">
        <v>3321</v>
      </c>
      <c r="D2835" s="2" t="s">
        <v>3325</v>
      </c>
      <c r="E2835" s="1">
        <v>0</v>
      </c>
      <c r="F2835" s="2" t="s">
        <v>3330</v>
      </c>
      <c r="H2835" s="1" t="str">
        <f t="shared" si="45"/>
        <v/>
      </c>
      <c r="K2835" s="1">
        <f>IF(E2835=0,SUMPRODUCT(($A$2:$A$4734=A2835)*($B$2:$B$4734=B2835)*($D$2:$D$4734=D2835)*($E$2:$E$4734=0)),0)</f>
        <v>6</v>
      </c>
      <c r="L2835" s="1">
        <f>IF(E2835=0,SUMPRODUCT(MIN($K$2:$K$4734+((($A$2:$A$4734&lt;&gt;A2835)+($E$2:$E$4734&lt;&gt;0))&gt;0)*1000000)),"")</f>
        <v>2</v>
      </c>
      <c r="M2835" s="1">
        <f>IF(AND(E2835=0,COUNTIFS($A$2:A2835,A2835,$E$2:E2835,0)=1),L2835,0)</f>
        <v>0</v>
      </c>
    </row>
    <row r="2836" spans="1:13" ht="15" customHeight="1">
      <c r="A2836" s="1">
        <v>76</v>
      </c>
      <c r="B2836" s="1" t="s">
        <v>9</v>
      </c>
      <c r="C2836" s="2" t="s">
        <v>3321</v>
      </c>
      <c r="D2836" s="2" t="s">
        <v>3325</v>
      </c>
      <c r="E2836" s="1">
        <v>0</v>
      </c>
      <c r="F2836" s="2" t="s">
        <v>3331</v>
      </c>
      <c r="H2836" s="1" t="str">
        <f t="shared" si="45"/>
        <v/>
      </c>
      <c r="K2836" s="1">
        <f>IF(E2836=0,SUMPRODUCT(($A$2:$A$4734=A2836)*($B$2:$B$4734=B2836)*($D$2:$D$4734=D2836)*($E$2:$E$4734=0)),0)</f>
        <v>6</v>
      </c>
      <c r="L2836" s="1">
        <f>IF(E2836=0,SUMPRODUCT(MIN($K$2:$K$4734+((($A$2:$A$4734&lt;&gt;A2836)+($E$2:$E$4734&lt;&gt;0))&gt;0)*1000000)),"")</f>
        <v>2</v>
      </c>
      <c r="M2836" s="1">
        <f>IF(AND(E2836=0,COUNTIFS($A$2:A2836,A2836,$E$2:E2836,0)=1),L2836,0)</f>
        <v>0</v>
      </c>
    </row>
    <row r="2837" spans="1:13" ht="15" customHeight="1">
      <c r="A2837" s="1">
        <v>76</v>
      </c>
      <c r="B2837" s="1" t="s">
        <v>16</v>
      </c>
      <c r="C2837" s="2" t="s">
        <v>3321</v>
      </c>
      <c r="D2837" s="2" t="s">
        <v>3332</v>
      </c>
      <c r="E2837" s="1">
        <v>0</v>
      </c>
      <c r="F2837" s="2" t="s">
        <v>3333</v>
      </c>
      <c r="H2837" s="1" t="str">
        <f t="shared" si="45"/>
        <v/>
      </c>
      <c r="K2837" s="1">
        <f>IF(E2837=0,SUMPRODUCT(($A$2:$A$4734=A2837)*($B$2:$B$4734=B2837)*($D$2:$D$4734=D2837)*($E$2:$E$4734=0)),0)</f>
        <v>6</v>
      </c>
      <c r="L2837" s="1">
        <f>IF(E2837=0,SUMPRODUCT(MIN($K$2:$K$4734+((($A$2:$A$4734&lt;&gt;A2837)+($E$2:$E$4734&lt;&gt;0))&gt;0)*1000000)),"")</f>
        <v>2</v>
      </c>
      <c r="M2837" s="1">
        <f>IF(AND(E2837=0,COUNTIFS($A$2:A2837,A2837,$E$2:E2837,0)=1),L2837,0)</f>
        <v>0</v>
      </c>
    </row>
    <row r="2838" spans="1:13" ht="15" customHeight="1">
      <c r="A2838" s="1">
        <v>76</v>
      </c>
      <c r="B2838" s="1" t="s">
        <v>16</v>
      </c>
      <c r="C2838" s="2" t="s">
        <v>3321</v>
      </c>
      <c r="D2838" s="2" t="s">
        <v>3332</v>
      </c>
      <c r="E2838" s="1">
        <v>0</v>
      </c>
      <c r="F2838" s="2" t="s">
        <v>3334</v>
      </c>
      <c r="H2838" s="1" t="str">
        <f t="shared" si="45"/>
        <v/>
      </c>
      <c r="K2838" s="1">
        <f>IF(E2838=0,SUMPRODUCT(($A$2:$A$4734=A2838)*($B$2:$B$4734=B2838)*($D$2:$D$4734=D2838)*($E$2:$E$4734=0)),0)</f>
        <v>6</v>
      </c>
      <c r="L2838" s="1">
        <f>IF(E2838=0,SUMPRODUCT(MIN($K$2:$K$4734+((($A$2:$A$4734&lt;&gt;A2838)+($E$2:$E$4734&lt;&gt;0))&gt;0)*1000000)),"")</f>
        <v>2</v>
      </c>
      <c r="M2838" s="1">
        <f>IF(AND(E2838=0,COUNTIFS($A$2:A2838,A2838,$E$2:E2838,0)=1),L2838,0)</f>
        <v>0</v>
      </c>
    </row>
    <row r="2839" spans="1:13" ht="15" customHeight="1">
      <c r="A2839" s="1">
        <v>76</v>
      </c>
      <c r="B2839" s="1" t="s">
        <v>16</v>
      </c>
      <c r="C2839" s="2" t="s">
        <v>3321</v>
      </c>
      <c r="D2839" s="2" t="s">
        <v>3332</v>
      </c>
      <c r="E2839" s="1">
        <v>0</v>
      </c>
      <c r="F2839" s="2" t="s">
        <v>3335</v>
      </c>
      <c r="H2839" s="1" t="str">
        <f t="shared" si="45"/>
        <v/>
      </c>
      <c r="K2839" s="1">
        <f>IF(E2839=0,SUMPRODUCT(($A$2:$A$4734=A2839)*($B$2:$B$4734=B2839)*($D$2:$D$4734=D2839)*($E$2:$E$4734=0)),0)</f>
        <v>6</v>
      </c>
      <c r="L2839" s="1">
        <f>IF(E2839=0,SUMPRODUCT(MIN($K$2:$K$4734+((($A$2:$A$4734&lt;&gt;A2839)+($E$2:$E$4734&lt;&gt;0))&gt;0)*1000000)),"")</f>
        <v>2</v>
      </c>
      <c r="M2839" s="1">
        <f>IF(AND(E2839=0,COUNTIFS($A$2:A2839,A2839,$E$2:E2839,0)=1),L2839,0)</f>
        <v>0</v>
      </c>
    </row>
    <row r="2840" spans="1:13" ht="15" customHeight="1">
      <c r="A2840" s="1">
        <v>76</v>
      </c>
      <c r="B2840" s="1" t="s">
        <v>16</v>
      </c>
      <c r="C2840" s="2" t="s">
        <v>3321</v>
      </c>
      <c r="D2840" s="2" t="s">
        <v>3332</v>
      </c>
      <c r="E2840" s="1">
        <v>0</v>
      </c>
      <c r="F2840" s="2" t="s">
        <v>3336</v>
      </c>
      <c r="H2840" s="1" t="str">
        <f t="shared" si="45"/>
        <v/>
      </c>
      <c r="K2840" s="1">
        <f>IF(E2840=0,SUMPRODUCT(($A$2:$A$4734=A2840)*($B$2:$B$4734=B2840)*($D$2:$D$4734=D2840)*($E$2:$E$4734=0)),0)</f>
        <v>6</v>
      </c>
      <c r="L2840" s="1">
        <f>IF(E2840=0,SUMPRODUCT(MIN($K$2:$K$4734+((($A$2:$A$4734&lt;&gt;A2840)+($E$2:$E$4734&lt;&gt;0))&gt;0)*1000000)),"")</f>
        <v>2</v>
      </c>
      <c r="M2840" s="1">
        <f>IF(AND(E2840=0,COUNTIFS($A$2:A2840,A2840,$E$2:E2840,0)=1),L2840,0)</f>
        <v>0</v>
      </c>
    </row>
    <row r="2841" spans="1:13" ht="15" customHeight="1">
      <c r="A2841" s="1">
        <v>76</v>
      </c>
      <c r="B2841" s="1" t="s">
        <v>16</v>
      </c>
      <c r="C2841" s="2" t="s">
        <v>3321</v>
      </c>
      <c r="D2841" s="2" t="s">
        <v>3332</v>
      </c>
      <c r="E2841" s="1">
        <v>0</v>
      </c>
      <c r="F2841" s="2" t="s">
        <v>3337</v>
      </c>
      <c r="H2841" s="1" t="str">
        <f t="shared" si="45"/>
        <v/>
      </c>
      <c r="K2841" s="1">
        <f>IF(E2841=0,SUMPRODUCT(($A$2:$A$4734=A2841)*($B$2:$B$4734=B2841)*($D$2:$D$4734=D2841)*($E$2:$E$4734=0)),0)</f>
        <v>6</v>
      </c>
      <c r="L2841" s="1">
        <f>IF(E2841=0,SUMPRODUCT(MIN($K$2:$K$4734+((($A$2:$A$4734&lt;&gt;A2841)+($E$2:$E$4734&lt;&gt;0))&gt;0)*1000000)),"")</f>
        <v>2</v>
      </c>
      <c r="M2841" s="1">
        <f>IF(AND(E2841=0,COUNTIFS($A$2:A2841,A2841,$E$2:E2841,0)=1),L2841,0)</f>
        <v>0</v>
      </c>
    </row>
    <row r="2842" spans="1:13" ht="15" customHeight="1">
      <c r="A2842" s="1">
        <v>76</v>
      </c>
      <c r="B2842" s="1" t="s">
        <v>16</v>
      </c>
      <c r="C2842" s="2" t="s">
        <v>3321</v>
      </c>
      <c r="D2842" s="2" t="s">
        <v>3332</v>
      </c>
      <c r="E2842" s="1">
        <v>0</v>
      </c>
      <c r="F2842" s="2" t="s">
        <v>3338</v>
      </c>
      <c r="H2842" s="1" t="str">
        <f t="shared" si="45"/>
        <v/>
      </c>
      <c r="K2842" s="1">
        <f>IF(E2842=0,SUMPRODUCT(($A$2:$A$4734=A2842)*($B$2:$B$4734=B2842)*($D$2:$D$4734=D2842)*($E$2:$E$4734=0)),0)</f>
        <v>6</v>
      </c>
      <c r="L2842" s="1">
        <f>IF(E2842=0,SUMPRODUCT(MIN($K$2:$K$4734+((($A$2:$A$4734&lt;&gt;A2842)+($E$2:$E$4734&lt;&gt;0))&gt;0)*1000000)),"")</f>
        <v>2</v>
      </c>
      <c r="M2842" s="1">
        <f>IF(AND(E2842=0,COUNTIFS($A$2:A2842,A2842,$E$2:E2842,0)=1),L2842,0)</f>
        <v>0</v>
      </c>
    </row>
    <row r="2843" spans="1:13" ht="15" customHeight="1">
      <c r="A2843" s="1">
        <v>77</v>
      </c>
      <c r="B2843" s="1" t="s">
        <v>9</v>
      </c>
      <c r="C2843" s="2" t="s">
        <v>3339</v>
      </c>
      <c r="D2843" s="2" t="s">
        <v>3340</v>
      </c>
      <c r="E2843" s="1">
        <v>0</v>
      </c>
      <c r="F2843" s="2" t="s">
        <v>3341</v>
      </c>
      <c r="H2843" s="1" t="str">
        <f t="shared" si="45"/>
        <v/>
      </c>
      <c r="K2843" s="1">
        <f>IF(E2843=0,SUMPRODUCT(($A$2:$A$4734=A2843)*($B$2:$B$4734=B2843)*($D$2:$D$4734=D2843)*($E$2:$E$4734=0)),0)</f>
        <v>4</v>
      </c>
      <c r="L2843" s="1">
        <f>IF(E2843=0,SUMPRODUCT(MIN($K$2:$K$4734+((($A$2:$A$4734&lt;&gt;A2843)+($E$2:$E$4734&lt;&gt;0))&gt;0)*1000000)),"")</f>
        <v>4</v>
      </c>
      <c r="M2843" s="1">
        <f>IF(AND(E2843=0,COUNTIFS($A$2:A2843,A2843,$E$2:E2843,0)=1),L2843,0)</f>
        <v>4</v>
      </c>
    </row>
    <row r="2844" spans="1:13" ht="15" customHeight="1">
      <c r="A2844" s="1">
        <v>77</v>
      </c>
      <c r="B2844" s="1" t="s">
        <v>9</v>
      </c>
      <c r="C2844" s="2" t="s">
        <v>3339</v>
      </c>
      <c r="D2844" s="2" t="s">
        <v>3340</v>
      </c>
      <c r="E2844" s="1">
        <v>0</v>
      </c>
      <c r="F2844" s="2" t="s">
        <v>3342</v>
      </c>
      <c r="H2844" s="1" t="str">
        <f t="shared" si="45"/>
        <v/>
      </c>
      <c r="K2844" s="1">
        <f>IF(E2844=0,SUMPRODUCT(($A$2:$A$4734=A2844)*($B$2:$B$4734=B2844)*($D$2:$D$4734=D2844)*($E$2:$E$4734=0)),0)</f>
        <v>4</v>
      </c>
      <c r="L2844" s="1">
        <f>IF(E2844=0,SUMPRODUCT(MIN($K$2:$K$4734+((($A$2:$A$4734&lt;&gt;A2844)+($E$2:$E$4734&lt;&gt;0))&gt;0)*1000000)),"")</f>
        <v>4</v>
      </c>
      <c r="M2844" s="1">
        <f>IF(AND(E2844=0,COUNTIFS($A$2:A2844,A2844,$E$2:E2844,0)=1),L2844,0)</f>
        <v>0</v>
      </c>
    </row>
    <row r="2845" spans="1:13" ht="15" customHeight="1">
      <c r="A2845" s="1">
        <v>77</v>
      </c>
      <c r="B2845" s="1" t="s">
        <v>9</v>
      </c>
      <c r="C2845" s="2" t="s">
        <v>3339</v>
      </c>
      <c r="D2845" s="2" t="s">
        <v>3340</v>
      </c>
      <c r="E2845" s="1">
        <v>0</v>
      </c>
      <c r="F2845" s="2" t="s">
        <v>3343</v>
      </c>
      <c r="H2845" s="1" t="str">
        <f t="shared" si="45"/>
        <v/>
      </c>
      <c r="K2845" s="1">
        <f>IF(E2845=0,SUMPRODUCT(($A$2:$A$4734=A2845)*($B$2:$B$4734=B2845)*($D$2:$D$4734=D2845)*($E$2:$E$4734=0)),0)</f>
        <v>4</v>
      </c>
      <c r="L2845" s="1">
        <f>IF(E2845=0,SUMPRODUCT(MIN($K$2:$K$4734+((($A$2:$A$4734&lt;&gt;A2845)+($E$2:$E$4734&lt;&gt;0))&gt;0)*1000000)),"")</f>
        <v>4</v>
      </c>
      <c r="M2845" s="1">
        <f>IF(AND(E2845=0,COUNTIFS($A$2:A2845,A2845,$E$2:E2845,0)=1),L2845,0)</f>
        <v>0</v>
      </c>
    </row>
    <row r="2846" spans="1:13" ht="15" customHeight="1">
      <c r="A2846" s="1">
        <v>77</v>
      </c>
      <c r="B2846" s="1" t="s">
        <v>9</v>
      </c>
      <c r="C2846" s="2" t="s">
        <v>3339</v>
      </c>
      <c r="D2846" s="2" t="s">
        <v>3340</v>
      </c>
      <c r="E2846" s="1">
        <v>0</v>
      </c>
      <c r="F2846" s="2" t="s">
        <v>3344</v>
      </c>
      <c r="H2846" s="1" t="str">
        <f t="shared" si="45"/>
        <v/>
      </c>
      <c r="K2846" s="1">
        <f>IF(E2846=0,SUMPRODUCT(($A$2:$A$4734=A2846)*($B$2:$B$4734=B2846)*($D$2:$D$4734=D2846)*($E$2:$E$4734=0)),0)</f>
        <v>4</v>
      </c>
      <c r="L2846" s="1">
        <f>IF(E2846=0,SUMPRODUCT(MIN($K$2:$K$4734+((($A$2:$A$4734&lt;&gt;A2846)+($E$2:$E$4734&lt;&gt;0))&gt;0)*1000000)),"")</f>
        <v>4</v>
      </c>
      <c r="M2846" s="1">
        <f>IF(AND(E2846=0,COUNTIFS($A$2:A2846,A2846,$E$2:E2846,0)=1),L2846,0)</f>
        <v>0</v>
      </c>
    </row>
    <row r="2847" spans="1:13" ht="15" customHeight="1">
      <c r="A2847" s="1">
        <v>78</v>
      </c>
      <c r="B2847" s="1" t="s">
        <v>358</v>
      </c>
      <c r="C2847" s="2" t="s">
        <v>3345</v>
      </c>
      <c r="D2847" s="2" t="s">
        <v>3346</v>
      </c>
      <c r="E2847" s="1">
        <v>1</v>
      </c>
      <c r="F2847" s="2" t="s">
        <v>3347</v>
      </c>
      <c r="G2847" s="1">
        <v>1</v>
      </c>
      <c r="H2847" s="1" t="str">
        <f t="shared" si="45"/>
        <v>k78_1</v>
      </c>
      <c r="K2847" s="1">
        <f>IF(E2847=0,SUMPRODUCT(($A$2:$A$4734=A2847)*($B$2:$B$4734=B2847)*($D$2:$D$4734=D2847)*($E$2:$E$4734=0)),0)</f>
        <v>0</v>
      </c>
      <c r="L2847" s="1" t="str">
        <f>IF(E2847=0,SUMPRODUCT(MIN($K$2:$K$4734+((($A$2:$A$4734&lt;&gt;A2847)+($E$2:$E$4734&lt;&gt;0))&gt;0)*1000000)),"")</f>
        <v/>
      </c>
      <c r="M2847" s="1">
        <f>IF(AND(E2847=0,COUNTIFS($A$2:A2847,A2847,$E$2:E2847,0)=1),L2847,0)</f>
        <v>0</v>
      </c>
    </row>
    <row r="2848" spans="1:13" ht="15" customHeight="1">
      <c r="A2848" s="1">
        <v>78</v>
      </c>
      <c r="B2848" s="1" t="s">
        <v>358</v>
      </c>
      <c r="C2848" s="2" t="s">
        <v>3345</v>
      </c>
      <c r="D2848" s="2" t="s">
        <v>3346</v>
      </c>
      <c r="E2848" s="1">
        <v>1</v>
      </c>
      <c r="F2848" s="2" t="s">
        <v>3348</v>
      </c>
      <c r="G2848" s="1">
        <v>2</v>
      </c>
      <c r="H2848" s="1" t="str">
        <f t="shared" si="45"/>
        <v>k78_2</v>
      </c>
      <c r="K2848" s="1">
        <f>IF(E2848=0,SUMPRODUCT(($A$2:$A$4734=A2848)*($B$2:$B$4734=B2848)*($D$2:$D$4734=D2848)*($E$2:$E$4734=0)),0)</f>
        <v>0</v>
      </c>
      <c r="L2848" s="1" t="str">
        <f>IF(E2848=0,SUMPRODUCT(MIN($K$2:$K$4734+((($A$2:$A$4734&lt;&gt;A2848)+($E$2:$E$4734&lt;&gt;0))&gt;0)*1000000)),"")</f>
        <v/>
      </c>
      <c r="M2848" s="1">
        <f>IF(AND(E2848=0,COUNTIFS($A$2:A2848,A2848,$E$2:E2848,0)=1),L2848,0)</f>
        <v>0</v>
      </c>
    </row>
    <row r="2849" spans="1:13" ht="15" customHeight="1">
      <c r="A2849" s="1">
        <v>78</v>
      </c>
      <c r="B2849" s="1" t="s">
        <v>358</v>
      </c>
      <c r="C2849" s="2" t="s">
        <v>3345</v>
      </c>
      <c r="D2849" s="2" t="s">
        <v>3346</v>
      </c>
      <c r="E2849" s="1">
        <v>1</v>
      </c>
      <c r="F2849" s="2" t="s">
        <v>3349</v>
      </c>
      <c r="G2849" s="1">
        <v>3</v>
      </c>
      <c r="H2849" s="1" t="str">
        <f t="shared" si="45"/>
        <v>k78_3</v>
      </c>
      <c r="K2849" s="1">
        <f>IF(E2849=0,SUMPRODUCT(($A$2:$A$4734=A2849)*($B$2:$B$4734=B2849)*($D$2:$D$4734=D2849)*($E$2:$E$4734=0)),0)</f>
        <v>0</v>
      </c>
      <c r="L2849" s="1" t="str">
        <f>IF(E2849=0,SUMPRODUCT(MIN($K$2:$K$4734+((($A$2:$A$4734&lt;&gt;A2849)+($E$2:$E$4734&lt;&gt;0))&gt;0)*1000000)),"")</f>
        <v/>
      </c>
      <c r="M2849" s="1">
        <f>IF(AND(E2849=0,COUNTIFS($A$2:A2849,A2849,$E$2:E2849,0)=1),L2849,0)</f>
        <v>0</v>
      </c>
    </row>
    <row r="2850" spans="1:13" ht="15" customHeight="1">
      <c r="A2850" s="1">
        <v>78</v>
      </c>
      <c r="B2850" s="1" t="s">
        <v>358</v>
      </c>
      <c r="C2850" s="2" t="s">
        <v>3345</v>
      </c>
      <c r="D2850" s="2" t="s">
        <v>3346</v>
      </c>
      <c r="E2850" s="1">
        <v>1</v>
      </c>
      <c r="F2850" s="2" t="s">
        <v>3350</v>
      </c>
      <c r="G2850" s="1">
        <v>4</v>
      </c>
      <c r="H2850" s="1" t="str">
        <f t="shared" si="45"/>
        <v>k78_4</v>
      </c>
      <c r="K2850" s="1">
        <f>IF(E2850=0,SUMPRODUCT(($A$2:$A$4734=A2850)*($B$2:$B$4734=B2850)*($D$2:$D$4734=D2850)*($E$2:$E$4734=0)),0)</f>
        <v>0</v>
      </c>
      <c r="L2850" s="1" t="str">
        <f>IF(E2850=0,SUMPRODUCT(MIN($K$2:$K$4734+((($A$2:$A$4734&lt;&gt;A2850)+($E$2:$E$4734&lt;&gt;0))&gt;0)*1000000)),"")</f>
        <v/>
      </c>
      <c r="M2850" s="1">
        <f>IF(AND(E2850=0,COUNTIFS($A$2:A2850,A2850,$E$2:E2850,0)=1),L2850,0)</f>
        <v>0</v>
      </c>
    </row>
    <row r="2851" spans="1:13" ht="15" customHeight="1">
      <c r="A2851" s="1">
        <v>78</v>
      </c>
      <c r="B2851" s="1" t="s">
        <v>358</v>
      </c>
      <c r="C2851" s="2" t="s">
        <v>3345</v>
      </c>
      <c r="D2851" s="2" t="s">
        <v>3346</v>
      </c>
      <c r="E2851" s="1">
        <v>1</v>
      </c>
      <c r="F2851" s="2" t="s">
        <v>3351</v>
      </c>
      <c r="G2851" s="1">
        <v>5</v>
      </c>
      <c r="H2851" s="1" t="str">
        <f t="shared" si="45"/>
        <v>k78_5</v>
      </c>
      <c r="K2851" s="1">
        <f>IF(E2851=0,SUMPRODUCT(($A$2:$A$4734=A2851)*($B$2:$B$4734=B2851)*($D$2:$D$4734=D2851)*($E$2:$E$4734=0)),0)</f>
        <v>0</v>
      </c>
      <c r="L2851" s="1" t="str">
        <f>IF(E2851=0,SUMPRODUCT(MIN($K$2:$K$4734+((($A$2:$A$4734&lt;&gt;A2851)+($E$2:$E$4734&lt;&gt;0))&gt;0)*1000000)),"")</f>
        <v/>
      </c>
      <c r="M2851" s="1">
        <f>IF(AND(E2851=0,COUNTIFS($A$2:A2851,A2851,$E$2:E2851,0)=1),L2851,0)</f>
        <v>0</v>
      </c>
    </row>
    <row r="2852" spans="1:13" ht="15" customHeight="1">
      <c r="A2852" s="1">
        <v>78</v>
      </c>
      <c r="B2852" s="1" t="s">
        <v>358</v>
      </c>
      <c r="C2852" s="2" t="s">
        <v>3345</v>
      </c>
      <c r="D2852" s="2" t="s">
        <v>3346</v>
      </c>
      <c r="E2852" s="1">
        <v>1</v>
      </c>
      <c r="F2852" s="2" t="s">
        <v>3352</v>
      </c>
      <c r="G2852" s="1">
        <v>6</v>
      </c>
      <c r="H2852" s="1" t="str">
        <f t="shared" si="45"/>
        <v>k78_6</v>
      </c>
      <c r="K2852" s="1">
        <f>IF(E2852=0,SUMPRODUCT(($A$2:$A$4734=A2852)*($B$2:$B$4734=B2852)*($D$2:$D$4734=D2852)*($E$2:$E$4734=0)),0)</f>
        <v>0</v>
      </c>
      <c r="L2852" s="1" t="str">
        <f>IF(E2852=0,SUMPRODUCT(MIN($K$2:$K$4734+((($A$2:$A$4734&lt;&gt;A2852)+($E$2:$E$4734&lt;&gt;0))&gt;0)*1000000)),"")</f>
        <v/>
      </c>
      <c r="M2852" s="1">
        <f>IF(AND(E2852=0,COUNTIFS($A$2:A2852,A2852,$E$2:E2852,0)=1),L2852,0)</f>
        <v>0</v>
      </c>
    </row>
    <row r="2853" spans="1:13" ht="15" customHeight="1">
      <c r="A2853" s="1">
        <v>78</v>
      </c>
      <c r="B2853" s="1" t="s">
        <v>16</v>
      </c>
      <c r="C2853" s="2" t="s">
        <v>3345</v>
      </c>
      <c r="D2853" s="2" t="s">
        <v>3353</v>
      </c>
      <c r="E2853" s="1">
        <v>1</v>
      </c>
      <c r="F2853" s="2" t="s">
        <v>3354</v>
      </c>
      <c r="G2853" s="1">
        <v>1</v>
      </c>
      <c r="H2853" s="1" t="str">
        <f t="shared" si="45"/>
        <v>k78_1</v>
      </c>
      <c r="K2853" s="1">
        <f>IF(E2853=0,SUMPRODUCT(($A$2:$A$4734=A2853)*($B$2:$B$4734=B2853)*($D$2:$D$4734=D2853)*($E$2:$E$4734=0)),0)</f>
        <v>0</v>
      </c>
      <c r="L2853" s="1" t="str">
        <f>IF(E2853=0,SUMPRODUCT(MIN($K$2:$K$4734+((($A$2:$A$4734&lt;&gt;A2853)+($E$2:$E$4734&lt;&gt;0))&gt;0)*1000000)),"")</f>
        <v/>
      </c>
      <c r="M2853" s="1">
        <f>IF(AND(E2853=0,COUNTIFS($A$2:A2853,A2853,$E$2:E2853,0)=1),L2853,0)</f>
        <v>0</v>
      </c>
    </row>
    <row r="2854" spans="1:13" ht="15" customHeight="1">
      <c r="A2854" s="1">
        <v>78</v>
      </c>
      <c r="B2854" s="1" t="s">
        <v>16</v>
      </c>
      <c r="C2854" s="2" t="s">
        <v>3345</v>
      </c>
      <c r="D2854" s="2" t="s">
        <v>3353</v>
      </c>
      <c r="E2854" s="1">
        <v>1</v>
      </c>
      <c r="F2854" s="2" t="s">
        <v>3355</v>
      </c>
      <c r="G2854" s="1">
        <v>2</v>
      </c>
      <c r="H2854" s="1" t="str">
        <f t="shared" si="45"/>
        <v>k78_2</v>
      </c>
      <c r="K2854" s="1">
        <f>IF(E2854=0,SUMPRODUCT(($A$2:$A$4734=A2854)*($B$2:$B$4734=B2854)*($D$2:$D$4734=D2854)*($E$2:$E$4734=0)),0)</f>
        <v>0</v>
      </c>
      <c r="L2854" s="1" t="str">
        <f>IF(E2854=0,SUMPRODUCT(MIN($K$2:$K$4734+((($A$2:$A$4734&lt;&gt;A2854)+($E$2:$E$4734&lt;&gt;0))&gt;0)*1000000)),"")</f>
        <v/>
      </c>
      <c r="M2854" s="1">
        <f>IF(AND(E2854=0,COUNTIFS($A$2:A2854,A2854,$E$2:E2854,0)=1),L2854,0)</f>
        <v>0</v>
      </c>
    </row>
    <row r="2855" spans="1:13" ht="15" customHeight="1">
      <c r="A2855" s="1">
        <v>78</v>
      </c>
      <c r="B2855" s="1" t="s">
        <v>16</v>
      </c>
      <c r="C2855" s="2" t="s">
        <v>3345</v>
      </c>
      <c r="D2855" s="2" t="s">
        <v>3353</v>
      </c>
      <c r="E2855" s="1">
        <v>1</v>
      </c>
      <c r="F2855" s="2" t="s">
        <v>3356</v>
      </c>
      <c r="G2855" s="1">
        <v>3</v>
      </c>
      <c r="H2855" s="1" t="str">
        <f t="shared" si="45"/>
        <v>k78_3</v>
      </c>
      <c r="K2855" s="1">
        <f>IF(E2855=0,SUMPRODUCT(($A$2:$A$4734=A2855)*($B$2:$B$4734=B2855)*($D$2:$D$4734=D2855)*($E$2:$E$4734=0)),0)</f>
        <v>0</v>
      </c>
      <c r="L2855" s="1" t="str">
        <f>IF(E2855=0,SUMPRODUCT(MIN($K$2:$K$4734+((($A$2:$A$4734&lt;&gt;A2855)+($E$2:$E$4734&lt;&gt;0))&gt;0)*1000000)),"")</f>
        <v/>
      </c>
      <c r="M2855" s="1">
        <f>IF(AND(E2855=0,COUNTIFS($A$2:A2855,A2855,$E$2:E2855,0)=1),L2855,0)</f>
        <v>0</v>
      </c>
    </row>
    <row r="2856" spans="1:13" ht="15" customHeight="1">
      <c r="A2856" s="1">
        <v>78</v>
      </c>
      <c r="B2856" s="1" t="s">
        <v>16</v>
      </c>
      <c r="C2856" s="2" t="s">
        <v>3345</v>
      </c>
      <c r="D2856" s="2" t="s">
        <v>3353</v>
      </c>
      <c r="E2856" s="1">
        <v>1</v>
      </c>
      <c r="F2856" s="2" t="s">
        <v>3357</v>
      </c>
      <c r="G2856" s="1">
        <v>4</v>
      </c>
      <c r="H2856" s="1" t="str">
        <f t="shared" si="45"/>
        <v>k78_4</v>
      </c>
      <c r="K2856" s="1">
        <f>IF(E2856=0,SUMPRODUCT(($A$2:$A$4734=A2856)*($B$2:$B$4734=B2856)*($D$2:$D$4734=D2856)*($E$2:$E$4734=0)),0)</f>
        <v>0</v>
      </c>
      <c r="L2856" s="1" t="str">
        <f>IF(E2856=0,SUMPRODUCT(MIN($K$2:$K$4734+((($A$2:$A$4734&lt;&gt;A2856)+($E$2:$E$4734&lt;&gt;0))&gt;0)*1000000)),"")</f>
        <v/>
      </c>
      <c r="M2856" s="1">
        <f>IF(AND(E2856=0,COUNTIFS($A$2:A2856,A2856,$E$2:E2856,0)=1),L2856,0)</f>
        <v>0</v>
      </c>
    </row>
    <row r="2857" spans="1:13" ht="15" customHeight="1">
      <c r="A2857" s="1">
        <v>78</v>
      </c>
      <c r="B2857" s="1" t="s">
        <v>16</v>
      </c>
      <c r="C2857" s="2" t="s">
        <v>3345</v>
      </c>
      <c r="D2857" s="2" t="s">
        <v>3353</v>
      </c>
      <c r="E2857" s="1">
        <v>1</v>
      </c>
      <c r="F2857" s="2" t="s">
        <v>3358</v>
      </c>
      <c r="G2857" s="1">
        <v>5</v>
      </c>
      <c r="H2857" s="1" t="str">
        <f t="shared" si="45"/>
        <v>k78_5</v>
      </c>
      <c r="K2857" s="1">
        <f>IF(E2857=0,SUMPRODUCT(($A$2:$A$4734=A2857)*($B$2:$B$4734=B2857)*($D$2:$D$4734=D2857)*($E$2:$E$4734=0)),0)</f>
        <v>0</v>
      </c>
      <c r="L2857" s="1" t="str">
        <f>IF(E2857=0,SUMPRODUCT(MIN($K$2:$K$4734+((($A$2:$A$4734&lt;&gt;A2857)+($E$2:$E$4734&lt;&gt;0))&gt;0)*1000000)),"")</f>
        <v/>
      </c>
      <c r="M2857" s="1">
        <f>IF(AND(E2857=0,COUNTIFS($A$2:A2857,A2857,$E$2:E2857,0)=1),L2857,0)</f>
        <v>0</v>
      </c>
    </row>
    <row r="2858" spans="1:13" ht="15" customHeight="1">
      <c r="A2858" s="1">
        <v>78</v>
      </c>
      <c r="B2858" s="1" t="s">
        <v>16</v>
      </c>
      <c r="C2858" s="2" t="s">
        <v>3345</v>
      </c>
      <c r="D2858" s="2" t="s">
        <v>3353</v>
      </c>
      <c r="E2858" s="1">
        <v>1</v>
      </c>
      <c r="F2858" s="2" t="s">
        <v>3358</v>
      </c>
      <c r="G2858" s="1">
        <v>6</v>
      </c>
      <c r="H2858" s="1" t="str">
        <f t="shared" si="45"/>
        <v>k78_6</v>
      </c>
      <c r="K2858" s="1">
        <f>IF(E2858=0,SUMPRODUCT(($A$2:$A$4734=A2858)*($B$2:$B$4734=B2858)*($D$2:$D$4734=D2858)*($E$2:$E$4734=0)),0)</f>
        <v>0</v>
      </c>
      <c r="L2858" s="1" t="str">
        <f>IF(E2858=0,SUMPRODUCT(MIN($K$2:$K$4734+((($A$2:$A$4734&lt;&gt;A2858)+($E$2:$E$4734&lt;&gt;0))&gt;0)*1000000)),"")</f>
        <v/>
      </c>
      <c r="M2858" s="1">
        <f>IF(AND(E2858=0,COUNTIFS($A$2:A2858,A2858,$E$2:E2858,0)=1),L2858,0)</f>
        <v>0</v>
      </c>
    </row>
    <row r="2859" spans="1:13" ht="15" customHeight="1">
      <c r="A2859" s="1">
        <v>79</v>
      </c>
      <c r="B2859" s="1" t="s">
        <v>358</v>
      </c>
      <c r="C2859" s="2" t="s">
        <v>3359</v>
      </c>
      <c r="D2859" s="2" t="s">
        <v>3360</v>
      </c>
      <c r="E2859" s="1">
        <v>1</v>
      </c>
      <c r="F2859" s="2" t="s">
        <v>3361</v>
      </c>
      <c r="G2859" s="1">
        <v>1</v>
      </c>
      <c r="H2859" s="1" t="str">
        <f t="shared" si="45"/>
        <v>k79_1</v>
      </c>
      <c r="K2859" s="1">
        <f>IF(E2859=0,SUMPRODUCT(($A$2:$A$4734=A2859)*($B$2:$B$4734=B2859)*($D$2:$D$4734=D2859)*($E$2:$E$4734=0)),0)</f>
        <v>0</v>
      </c>
      <c r="L2859" s="1" t="str">
        <f>IF(E2859=0,SUMPRODUCT(MIN($K$2:$K$4734+((($A$2:$A$4734&lt;&gt;A2859)+($E$2:$E$4734&lt;&gt;0))&gt;0)*1000000)),"")</f>
        <v/>
      </c>
      <c r="M2859" s="1">
        <f>IF(AND(E2859=0,COUNTIFS($A$2:A2859,A2859,$E$2:E2859,0)=1),L2859,0)</f>
        <v>0</v>
      </c>
    </row>
    <row r="2860" spans="1:13" ht="15" customHeight="1">
      <c r="A2860" s="1">
        <v>79</v>
      </c>
      <c r="B2860" s="1" t="s">
        <v>358</v>
      </c>
      <c r="C2860" s="2" t="s">
        <v>3359</v>
      </c>
      <c r="D2860" s="2" t="s">
        <v>3360</v>
      </c>
      <c r="E2860" s="1">
        <v>1</v>
      </c>
      <c r="F2860" s="2" t="s">
        <v>3362</v>
      </c>
      <c r="G2860" s="1">
        <v>2</v>
      </c>
      <c r="H2860" s="1" t="str">
        <f t="shared" si="45"/>
        <v>k79_2</v>
      </c>
      <c r="K2860" s="1">
        <f>IF(E2860=0,SUMPRODUCT(($A$2:$A$4734=A2860)*($B$2:$B$4734=B2860)*($D$2:$D$4734=D2860)*($E$2:$E$4734=0)),0)</f>
        <v>0</v>
      </c>
      <c r="L2860" s="1" t="str">
        <f>IF(E2860=0,SUMPRODUCT(MIN($K$2:$K$4734+((($A$2:$A$4734&lt;&gt;A2860)+($E$2:$E$4734&lt;&gt;0))&gt;0)*1000000)),"")</f>
        <v/>
      </c>
      <c r="M2860" s="1">
        <f>IF(AND(E2860=0,COUNTIFS($A$2:A2860,A2860,$E$2:E2860,0)=1),L2860,0)</f>
        <v>0</v>
      </c>
    </row>
    <row r="2861" spans="1:13" ht="15" customHeight="1">
      <c r="A2861" s="1">
        <v>79</v>
      </c>
      <c r="B2861" s="1" t="s">
        <v>358</v>
      </c>
      <c r="C2861" s="2" t="s">
        <v>3359</v>
      </c>
      <c r="D2861" s="2" t="s">
        <v>3360</v>
      </c>
      <c r="E2861" s="1">
        <v>1</v>
      </c>
      <c r="F2861" s="2" t="s">
        <v>3363</v>
      </c>
      <c r="G2861" s="1">
        <v>3</v>
      </c>
      <c r="H2861" s="1" t="str">
        <f t="shared" si="45"/>
        <v>k79_3</v>
      </c>
      <c r="K2861" s="1">
        <f>IF(E2861=0,SUMPRODUCT(($A$2:$A$4734=A2861)*($B$2:$B$4734=B2861)*($D$2:$D$4734=D2861)*($E$2:$E$4734=0)),0)</f>
        <v>0</v>
      </c>
      <c r="L2861" s="1" t="str">
        <f>IF(E2861=0,SUMPRODUCT(MIN($K$2:$K$4734+((($A$2:$A$4734&lt;&gt;A2861)+($E$2:$E$4734&lt;&gt;0))&gt;0)*1000000)),"")</f>
        <v/>
      </c>
      <c r="M2861" s="1">
        <f>IF(AND(E2861=0,COUNTIFS($A$2:A2861,A2861,$E$2:E2861,0)=1),L2861,0)</f>
        <v>0</v>
      </c>
    </row>
    <row r="2862" spans="1:13" ht="15" customHeight="1">
      <c r="A2862" s="1">
        <v>79</v>
      </c>
      <c r="B2862" s="1" t="s">
        <v>358</v>
      </c>
      <c r="C2862" s="2" t="s">
        <v>3359</v>
      </c>
      <c r="D2862" s="2" t="s">
        <v>3360</v>
      </c>
      <c r="E2862" s="1">
        <v>1</v>
      </c>
      <c r="F2862" s="2" t="s">
        <v>3364</v>
      </c>
      <c r="G2862" s="1">
        <v>4</v>
      </c>
      <c r="H2862" s="1" t="str">
        <f t="shared" si="45"/>
        <v>k79_4</v>
      </c>
      <c r="K2862" s="1">
        <f>IF(E2862=0,SUMPRODUCT(($A$2:$A$4734=A2862)*($B$2:$B$4734=B2862)*($D$2:$D$4734=D2862)*($E$2:$E$4734=0)),0)</f>
        <v>0</v>
      </c>
      <c r="L2862" s="1" t="str">
        <f>IF(E2862=0,SUMPRODUCT(MIN($K$2:$K$4734+((($A$2:$A$4734&lt;&gt;A2862)+($E$2:$E$4734&lt;&gt;0))&gt;0)*1000000)),"")</f>
        <v/>
      </c>
      <c r="M2862" s="1">
        <f>IF(AND(E2862=0,COUNTIFS($A$2:A2862,A2862,$E$2:E2862,0)=1),L2862,0)</f>
        <v>0</v>
      </c>
    </row>
    <row r="2863" spans="1:13" ht="15" customHeight="1">
      <c r="A2863" s="1">
        <v>79</v>
      </c>
      <c r="B2863" s="1" t="s">
        <v>358</v>
      </c>
      <c r="C2863" s="2" t="s">
        <v>3359</v>
      </c>
      <c r="D2863" s="2" t="s">
        <v>3360</v>
      </c>
      <c r="E2863" s="1">
        <v>1</v>
      </c>
      <c r="F2863" s="2" t="s">
        <v>3365</v>
      </c>
      <c r="G2863" s="1">
        <v>5</v>
      </c>
      <c r="H2863" s="1" t="str">
        <f t="shared" si="45"/>
        <v>k79_5</v>
      </c>
      <c r="K2863" s="1">
        <f>IF(E2863=0,SUMPRODUCT(($A$2:$A$4734=A2863)*($B$2:$B$4734=B2863)*($D$2:$D$4734=D2863)*($E$2:$E$4734=0)),0)</f>
        <v>0</v>
      </c>
      <c r="L2863" s="1" t="str">
        <f>IF(E2863=0,SUMPRODUCT(MIN($K$2:$K$4734+((($A$2:$A$4734&lt;&gt;A2863)+($E$2:$E$4734&lt;&gt;0))&gt;0)*1000000)),"")</f>
        <v/>
      </c>
      <c r="M2863" s="1">
        <f>IF(AND(E2863=0,COUNTIFS($A$2:A2863,A2863,$E$2:E2863,0)=1),L2863,0)</f>
        <v>0</v>
      </c>
    </row>
    <row r="2864" spans="1:13" ht="15" customHeight="1">
      <c r="A2864" s="1">
        <v>79</v>
      </c>
      <c r="B2864" s="1" t="s">
        <v>9</v>
      </c>
      <c r="C2864" s="2" t="s">
        <v>3359</v>
      </c>
      <c r="D2864" s="2" t="s">
        <v>3366</v>
      </c>
      <c r="E2864" s="1">
        <v>1</v>
      </c>
      <c r="F2864" s="2" t="s">
        <v>3367</v>
      </c>
      <c r="G2864" s="1">
        <v>1</v>
      </c>
      <c r="H2864" s="1" t="str">
        <f t="shared" si="45"/>
        <v>k79_1</v>
      </c>
      <c r="K2864" s="1">
        <f>IF(E2864=0,SUMPRODUCT(($A$2:$A$4734=A2864)*($B$2:$B$4734=B2864)*($D$2:$D$4734=D2864)*($E$2:$E$4734=0)),0)</f>
        <v>0</v>
      </c>
      <c r="L2864" s="1" t="str">
        <f>IF(E2864=0,SUMPRODUCT(MIN($K$2:$K$4734+((($A$2:$A$4734&lt;&gt;A2864)+($E$2:$E$4734&lt;&gt;0))&gt;0)*1000000)),"")</f>
        <v/>
      </c>
      <c r="M2864" s="1">
        <f>IF(AND(E2864=0,COUNTIFS($A$2:A2864,A2864,$E$2:E2864,0)=1),L2864,0)</f>
        <v>0</v>
      </c>
    </row>
    <row r="2865" spans="1:13" ht="15" customHeight="1">
      <c r="A2865" s="1">
        <v>79</v>
      </c>
      <c r="B2865" s="1" t="s">
        <v>9</v>
      </c>
      <c r="C2865" s="2" t="s">
        <v>3359</v>
      </c>
      <c r="D2865" s="2" t="s">
        <v>3366</v>
      </c>
      <c r="E2865" s="1">
        <v>1</v>
      </c>
      <c r="F2865" s="2" t="s">
        <v>3368</v>
      </c>
      <c r="G2865" s="1">
        <v>2</v>
      </c>
      <c r="H2865" s="1" t="str">
        <f t="shared" si="45"/>
        <v>k79_2</v>
      </c>
      <c r="K2865" s="1">
        <f>IF(E2865=0,SUMPRODUCT(($A$2:$A$4734=A2865)*($B$2:$B$4734=B2865)*($D$2:$D$4734=D2865)*($E$2:$E$4734=0)),0)</f>
        <v>0</v>
      </c>
      <c r="L2865" s="1" t="str">
        <f>IF(E2865=0,SUMPRODUCT(MIN($K$2:$K$4734+((($A$2:$A$4734&lt;&gt;A2865)+($E$2:$E$4734&lt;&gt;0))&gt;0)*1000000)),"")</f>
        <v/>
      </c>
      <c r="M2865" s="1">
        <f>IF(AND(E2865=0,COUNTIFS($A$2:A2865,A2865,$E$2:E2865,0)=1),L2865,0)</f>
        <v>0</v>
      </c>
    </row>
    <row r="2866" spans="1:13" ht="15" customHeight="1">
      <c r="A2866" s="1">
        <v>79</v>
      </c>
      <c r="B2866" s="1" t="s">
        <v>9</v>
      </c>
      <c r="C2866" s="2" t="s">
        <v>3359</v>
      </c>
      <c r="D2866" s="2" t="s">
        <v>3366</v>
      </c>
      <c r="E2866" s="1">
        <v>1</v>
      </c>
      <c r="F2866" s="2" t="s">
        <v>3369</v>
      </c>
      <c r="G2866" s="1">
        <v>3</v>
      </c>
      <c r="H2866" s="1" t="str">
        <f t="shared" si="45"/>
        <v>k79_3</v>
      </c>
      <c r="K2866" s="1">
        <f>IF(E2866=0,SUMPRODUCT(($A$2:$A$4734=A2866)*($B$2:$B$4734=B2866)*($D$2:$D$4734=D2866)*($E$2:$E$4734=0)),0)</f>
        <v>0</v>
      </c>
      <c r="L2866" s="1" t="str">
        <f>IF(E2866=0,SUMPRODUCT(MIN($K$2:$K$4734+((($A$2:$A$4734&lt;&gt;A2866)+($E$2:$E$4734&lt;&gt;0))&gt;0)*1000000)),"")</f>
        <v/>
      </c>
      <c r="M2866" s="1">
        <f>IF(AND(E2866=0,COUNTIFS($A$2:A2866,A2866,$E$2:E2866,0)=1),L2866,0)</f>
        <v>0</v>
      </c>
    </row>
    <row r="2867" spans="1:13" ht="15" customHeight="1">
      <c r="A2867" s="1">
        <v>79</v>
      </c>
      <c r="B2867" s="1" t="s">
        <v>9</v>
      </c>
      <c r="C2867" s="2" t="s">
        <v>3359</v>
      </c>
      <c r="D2867" s="2" t="s">
        <v>3366</v>
      </c>
      <c r="E2867" s="1">
        <v>1</v>
      </c>
      <c r="F2867" s="2" t="s">
        <v>3370</v>
      </c>
      <c r="G2867" s="1">
        <v>4</v>
      </c>
      <c r="H2867" s="1" t="str">
        <f t="shared" si="45"/>
        <v>k79_4</v>
      </c>
      <c r="K2867" s="1">
        <f>IF(E2867=0,SUMPRODUCT(($A$2:$A$4734=A2867)*($B$2:$B$4734=B2867)*($D$2:$D$4734=D2867)*($E$2:$E$4734=0)),0)</f>
        <v>0</v>
      </c>
      <c r="L2867" s="1" t="str">
        <f>IF(E2867=0,SUMPRODUCT(MIN($K$2:$K$4734+((($A$2:$A$4734&lt;&gt;A2867)+($E$2:$E$4734&lt;&gt;0))&gt;0)*1000000)),"")</f>
        <v/>
      </c>
      <c r="M2867" s="1">
        <f>IF(AND(E2867=0,COUNTIFS($A$2:A2867,A2867,$E$2:E2867,0)=1),L2867,0)</f>
        <v>0</v>
      </c>
    </row>
    <row r="2868" spans="1:13" ht="15" customHeight="1">
      <c r="A2868" s="1">
        <v>79</v>
      </c>
      <c r="B2868" s="1" t="s">
        <v>9</v>
      </c>
      <c r="C2868" s="2" t="s">
        <v>3359</v>
      </c>
      <c r="D2868" s="2" t="s">
        <v>3366</v>
      </c>
      <c r="E2868" s="1">
        <v>1</v>
      </c>
      <c r="F2868" s="2" t="s">
        <v>3371</v>
      </c>
      <c r="G2868" s="1">
        <v>5</v>
      </c>
      <c r="H2868" s="1" t="str">
        <f t="shared" ref="H2868:H2927" si="46">IF(OR(E2868&lt;&gt;1,G2868=""),"","k"&amp;A2868&amp;"_"&amp;G2868)</f>
        <v>k79_5</v>
      </c>
      <c r="K2868" s="1">
        <f>IF(E2868=0,SUMPRODUCT(($A$2:$A$4734=A2868)*($B$2:$B$4734=B2868)*($D$2:$D$4734=D2868)*($E$2:$E$4734=0)),0)</f>
        <v>0</v>
      </c>
      <c r="L2868" s="1" t="str">
        <f>IF(E2868=0,SUMPRODUCT(MIN($K$2:$K$4734+((($A$2:$A$4734&lt;&gt;A2868)+($E$2:$E$4734&lt;&gt;0))&gt;0)*1000000)),"")</f>
        <v/>
      </c>
      <c r="M2868" s="1">
        <f>IF(AND(E2868=0,COUNTIFS($A$2:A2868,A2868,$E$2:E2868,0)=1),L2868,0)</f>
        <v>0</v>
      </c>
    </row>
    <row r="2869" spans="1:13" ht="15" customHeight="1">
      <c r="A2869" s="1">
        <v>79</v>
      </c>
      <c r="B2869" s="1" t="s">
        <v>144</v>
      </c>
      <c r="C2869" s="2" t="s">
        <v>3359</v>
      </c>
      <c r="D2869" s="2" t="s">
        <v>3372</v>
      </c>
      <c r="E2869" s="1">
        <v>1</v>
      </c>
      <c r="F2869" s="2" t="s">
        <v>3373</v>
      </c>
      <c r="G2869" s="1">
        <v>1</v>
      </c>
      <c r="H2869" s="1" t="str">
        <f t="shared" si="46"/>
        <v>k79_1</v>
      </c>
      <c r="K2869" s="1">
        <f>IF(E2869=0,SUMPRODUCT(($A$2:$A$4734=A2869)*($B$2:$B$4734=B2869)*($D$2:$D$4734=D2869)*($E$2:$E$4734=0)),0)</f>
        <v>0</v>
      </c>
      <c r="L2869" s="1" t="str">
        <f>IF(E2869=0,SUMPRODUCT(MIN($K$2:$K$4734+((($A$2:$A$4734&lt;&gt;A2869)+($E$2:$E$4734&lt;&gt;0))&gt;0)*1000000)),"")</f>
        <v/>
      </c>
      <c r="M2869" s="1">
        <f>IF(AND(E2869=0,COUNTIFS($A$2:A2869,A2869,$E$2:E2869,0)=1),L2869,0)</f>
        <v>0</v>
      </c>
    </row>
    <row r="2870" spans="1:13" ht="15" customHeight="1">
      <c r="A2870" s="1">
        <v>79</v>
      </c>
      <c r="B2870" s="1" t="s">
        <v>144</v>
      </c>
      <c r="C2870" s="2" t="s">
        <v>3359</v>
      </c>
      <c r="D2870" s="2" t="s">
        <v>3372</v>
      </c>
      <c r="E2870" s="1">
        <v>1</v>
      </c>
      <c r="F2870" s="2" t="s">
        <v>3374</v>
      </c>
      <c r="G2870" s="1">
        <v>2</v>
      </c>
      <c r="H2870" s="1" t="str">
        <f t="shared" si="46"/>
        <v>k79_2</v>
      </c>
      <c r="K2870" s="1">
        <f>IF(E2870=0,SUMPRODUCT(($A$2:$A$4734=A2870)*($B$2:$B$4734=B2870)*($D$2:$D$4734=D2870)*($E$2:$E$4734=0)),0)</f>
        <v>0</v>
      </c>
      <c r="L2870" s="1" t="str">
        <f>IF(E2870=0,SUMPRODUCT(MIN($K$2:$K$4734+((($A$2:$A$4734&lt;&gt;A2870)+($E$2:$E$4734&lt;&gt;0))&gt;0)*1000000)),"")</f>
        <v/>
      </c>
      <c r="M2870" s="1">
        <f>IF(AND(E2870=0,COUNTIFS($A$2:A2870,A2870,$E$2:E2870,0)=1),L2870,0)</f>
        <v>0</v>
      </c>
    </row>
    <row r="2871" spans="1:13" ht="15" customHeight="1">
      <c r="A2871" s="1">
        <v>79</v>
      </c>
      <c r="B2871" s="1" t="s">
        <v>144</v>
      </c>
      <c r="C2871" s="2" t="s">
        <v>3359</v>
      </c>
      <c r="D2871" s="2" t="s">
        <v>3372</v>
      </c>
      <c r="E2871" s="1">
        <v>1</v>
      </c>
      <c r="F2871" s="2" t="s">
        <v>3375</v>
      </c>
      <c r="G2871" s="1">
        <v>3</v>
      </c>
      <c r="H2871" s="1" t="str">
        <f t="shared" si="46"/>
        <v>k79_3</v>
      </c>
      <c r="K2871" s="1">
        <f>IF(E2871=0,SUMPRODUCT(($A$2:$A$4734=A2871)*($B$2:$B$4734=B2871)*($D$2:$D$4734=D2871)*($E$2:$E$4734=0)),0)</f>
        <v>0</v>
      </c>
      <c r="L2871" s="1" t="str">
        <f>IF(E2871=0,SUMPRODUCT(MIN($K$2:$K$4734+((($A$2:$A$4734&lt;&gt;A2871)+($E$2:$E$4734&lt;&gt;0))&gt;0)*1000000)),"")</f>
        <v/>
      </c>
      <c r="M2871" s="1">
        <f>IF(AND(E2871=0,COUNTIFS($A$2:A2871,A2871,$E$2:E2871,0)=1),L2871,0)</f>
        <v>0</v>
      </c>
    </row>
    <row r="2872" spans="1:13" ht="15" customHeight="1">
      <c r="A2872" s="1">
        <v>79</v>
      </c>
      <c r="B2872" s="1" t="s">
        <v>144</v>
      </c>
      <c r="C2872" s="2" t="s">
        <v>3359</v>
      </c>
      <c r="D2872" s="2" t="s">
        <v>3372</v>
      </c>
      <c r="E2872" s="1">
        <v>1</v>
      </c>
      <c r="F2872" s="2" t="s">
        <v>3376</v>
      </c>
      <c r="G2872" s="1">
        <v>4</v>
      </c>
      <c r="H2872" s="1" t="str">
        <f t="shared" si="46"/>
        <v>k79_4</v>
      </c>
      <c r="K2872" s="1">
        <f>IF(E2872=0,SUMPRODUCT(($A$2:$A$4734=A2872)*($B$2:$B$4734=B2872)*($D$2:$D$4734=D2872)*($E$2:$E$4734=0)),0)</f>
        <v>0</v>
      </c>
      <c r="L2872" s="1" t="str">
        <f>IF(E2872=0,SUMPRODUCT(MIN($K$2:$K$4734+((($A$2:$A$4734&lt;&gt;A2872)+($E$2:$E$4734&lt;&gt;0))&gt;0)*1000000)),"")</f>
        <v/>
      </c>
      <c r="M2872" s="1">
        <f>IF(AND(E2872=0,COUNTIFS($A$2:A2872,A2872,$E$2:E2872,0)=1),L2872,0)</f>
        <v>0</v>
      </c>
    </row>
    <row r="2873" spans="1:13" ht="15" customHeight="1">
      <c r="A2873" s="1">
        <v>79</v>
      </c>
      <c r="B2873" s="1" t="s">
        <v>144</v>
      </c>
      <c r="C2873" s="2" t="s">
        <v>3359</v>
      </c>
      <c r="D2873" s="2" t="s">
        <v>3372</v>
      </c>
      <c r="E2873" s="1">
        <v>1</v>
      </c>
      <c r="F2873" s="2" t="s">
        <v>3376</v>
      </c>
      <c r="G2873" s="1">
        <v>5</v>
      </c>
      <c r="H2873" s="1" t="str">
        <f t="shared" si="46"/>
        <v>k79_5</v>
      </c>
      <c r="K2873" s="1">
        <f>IF(E2873=0,SUMPRODUCT(($A$2:$A$4734=A2873)*($B$2:$B$4734=B2873)*($D$2:$D$4734=D2873)*($E$2:$E$4734=0)),0)</f>
        <v>0</v>
      </c>
      <c r="L2873" s="1" t="str">
        <f>IF(E2873=0,SUMPRODUCT(MIN($K$2:$K$4734+((($A$2:$A$4734&lt;&gt;A2873)+($E$2:$E$4734&lt;&gt;0))&gt;0)*1000000)),"")</f>
        <v/>
      </c>
      <c r="M2873" s="1">
        <f>IF(AND(E2873=0,COUNTIFS($A$2:A2873,A2873,$E$2:E2873,0)=1),L2873,0)</f>
        <v>0</v>
      </c>
    </row>
    <row r="2874" spans="1:13" ht="15" customHeight="1">
      <c r="A2874" s="1">
        <v>80</v>
      </c>
      <c r="B2874" s="1" t="s">
        <v>9</v>
      </c>
      <c r="C2874" s="2" t="s">
        <v>3377</v>
      </c>
      <c r="D2874" s="2" t="s">
        <v>3378</v>
      </c>
      <c r="E2874" s="1">
        <v>0</v>
      </c>
      <c r="F2874" s="2" t="s">
        <v>3379</v>
      </c>
      <c r="H2874" s="1" t="str">
        <f t="shared" si="46"/>
        <v/>
      </c>
      <c r="K2874" s="1">
        <f>IF(E2874=0,SUMPRODUCT(($A$2:$A$4734=A2874)*($B$2:$B$4734=B2874)*($D$2:$D$4734=D2874)*($E$2:$E$4734=0)),0)</f>
        <v>3</v>
      </c>
      <c r="L2874" s="1">
        <f>IF(E2874=0,SUMPRODUCT(MIN($K$2:$K$4734+((($A$2:$A$4734&lt;&gt;A2874)+($E$2:$E$4734&lt;&gt;0))&gt;0)*1000000)),"")</f>
        <v>3</v>
      </c>
      <c r="M2874" s="1">
        <f>IF(AND(E2874=0,COUNTIFS($A$2:A2874,A2874,$E$2:E2874,0)=1),L2874,0)</f>
        <v>3</v>
      </c>
    </row>
    <row r="2875" spans="1:13" ht="15" customHeight="1">
      <c r="A2875" s="1">
        <v>80</v>
      </c>
      <c r="B2875" s="1" t="s">
        <v>9</v>
      </c>
      <c r="C2875" s="2" t="s">
        <v>3377</v>
      </c>
      <c r="D2875" s="2" t="s">
        <v>3378</v>
      </c>
      <c r="E2875" s="1">
        <v>0</v>
      </c>
      <c r="F2875" s="2" t="s">
        <v>3380</v>
      </c>
      <c r="H2875" s="1" t="str">
        <f t="shared" si="46"/>
        <v/>
      </c>
      <c r="K2875" s="1">
        <f>IF(E2875=0,SUMPRODUCT(($A$2:$A$4734=A2875)*($B$2:$B$4734=B2875)*($D$2:$D$4734=D2875)*($E$2:$E$4734=0)),0)</f>
        <v>3</v>
      </c>
      <c r="L2875" s="1">
        <f>IF(E2875=0,SUMPRODUCT(MIN($K$2:$K$4734+((($A$2:$A$4734&lt;&gt;A2875)+($E$2:$E$4734&lt;&gt;0))&gt;0)*1000000)),"")</f>
        <v>3</v>
      </c>
      <c r="M2875" s="1">
        <f>IF(AND(E2875=0,COUNTIFS($A$2:A2875,A2875,$E$2:E2875,0)=1),L2875,0)</f>
        <v>0</v>
      </c>
    </row>
    <row r="2876" spans="1:13" ht="15" customHeight="1">
      <c r="A2876" s="1">
        <v>80</v>
      </c>
      <c r="B2876" s="1" t="s">
        <v>9</v>
      </c>
      <c r="C2876" s="2" t="s">
        <v>3377</v>
      </c>
      <c r="D2876" s="2" t="s">
        <v>3378</v>
      </c>
      <c r="E2876" s="1">
        <v>0</v>
      </c>
      <c r="F2876" s="2" t="s">
        <v>3381</v>
      </c>
      <c r="H2876" s="1" t="str">
        <f t="shared" si="46"/>
        <v/>
      </c>
      <c r="K2876" s="1">
        <f>IF(E2876=0,SUMPRODUCT(($A$2:$A$4734=A2876)*($B$2:$B$4734=B2876)*($D$2:$D$4734=D2876)*($E$2:$E$4734=0)),0)</f>
        <v>3</v>
      </c>
      <c r="L2876" s="1">
        <f>IF(E2876=0,SUMPRODUCT(MIN($K$2:$K$4734+((($A$2:$A$4734&lt;&gt;A2876)+($E$2:$E$4734&lt;&gt;0))&gt;0)*1000000)),"")</f>
        <v>3</v>
      </c>
      <c r="M2876" s="1">
        <f>IF(AND(E2876=0,COUNTIFS($A$2:A2876,A2876,$E$2:E2876,0)=1),L2876,0)</f>
        <v>0</v>
      </c>
    </row>
    <row r="2877" spans="1:13" ht="15" customHeight="1">
      <c r="A2877" s="1">
        <v>80</v>
      </c>
      <c r="B2877" s="1" t="s">
        <v>9</v>
      </c>
      <c r="C2877" s="2" t="s">
        <v>3377</v>
      </c>
      <c r="D2877" s="2" t="s">
        <v>3382</v>
      </c>
      <c r="E2877" s="1">
        <v>0</v>
      </c>
      <c r="F2877" s="2" t="s">
        <v>3383</v>
      </c>
      <c r="H2877" s="1" t="str">
        <f t="shared" si="46"/>
        <v/>
      </c>
      <c r="K2877" s="1">
        <f>IF(E2877=0,SUMPRODUCT(($A$2:$A$4734=A2877)*($B$2:$B$4734=B2877)*($D$2:$D$4734=D2877)*($E$2:$E$4734=0)),0)</f>
        <v>5</v>
      </c>
      <c r="L2877" s="1">
        <f>IF(E2877=0,SUMPRODUCT(MIN($K$2:$K$4734+((($A$2:$A$4734&lt;&gt;A2877)+($E$2:$E$4734&lt;&gt;0))&gt;0)*1000000)),"")</f>
        <v>3</v>
      </c>
      <c r="M2877" s="1">
        <f>IF(AND(E2877=0,COUNTIFS($A$2:A2877,A2877,$E$2:E2877,0)=1),L2877,0)</f>
        <v>0</v>
      </c>
    </row>
    <row r="2878" spans="1:13" ht="15" customHeight="1">
      <c r="A2878" s="1">
        <v>80</v>
      </c>
      <c r="B2878" s="1" t="s">
        <v>9</v>
      </c>
      <c r="C2878" s="2" t="s">
        <v>3377</v>
      </c>
      <c r="D2878" s="2" t="s">
        <v>3382</v>
      </c>
      <c r="E2878" s="1">
        <v>0</v>
      </c>
      <c r="F2878" s="2" t="s">
        <v>3384</v>
      </c>
      <c r="H2878" s="1" t="str">
        <f t="shared" si="46"/>
        <v/>
      </c>
      <c r="K2878" s="1">
        <f>IF(E2878=0,SUMPRODUCT(($A$2:$A$4734=A2878)*($B$2:$B$4734=B2878)*($D$2:$D$4734=D2878)*($E$2:$E$4734=0)),0)</f>
        <v>5</v>
      </c>
      <c r="L2878" s="1">
        <f>IF(E2878=0,SUMPRODUCT(MIN($K$2:$K$4734+((($A$2:$A$4734&lt;&gt;A2878)+($E$2:$E$4734&lt;&gt;0))&gt;0)*1000000)),"")</f>
        <v>3</v>
      </c>
      <c r="M2878" s="1">
        <f>IF(AND(E2878=0,COUNTIFS($A$2:A2878,A2878,$E$2:E2878,0)=1),L2878,0)</f>
        <v>0</v>
      </c>
    </row>
    <row r="2879" spans="1:13" ht="15" customHeight="1">
      <c r="A2879" s="1">
        <v>80</v>
      </c>
      <c r="B2879" s="1" t="s">
        <v>9</v>
      </c>
      <c r="C2879" s="2" t="s">
        <v>3377</v>
      </c>
      <c r="D2879" s="2" t="s">
        <v>3382</v>
      </c>
      <c r="E2879" s="1">
        <v>0</v>
      </c>
      <c r="F2879" s="2" t="s">
        <v>3385</v>
      </c>
      <c r="H2879" s="1" t="str">
        <f t="shared" si="46"/>
        <v/>
      </c>
      <c r="K2879" s="1">
        <f>IF(E2879=0,SUMPRODUCT(($A$2:$A$4734=A2879)*($B$2:$B$4734=B2879)*($D$2:$D$4734=D2879)*($E$2:$E$4734=0)),0)</f>
        <v>5</v>
      </c>
      <c r="L2879" s="1">
        <f>IF(E2879=0,SUMPRODUCT(MIN($K$2:$K$4734+((($A$2:$A$4734&lt;&gt;A2879)+($E$2:$E$4734&lt;&gt;0))&gt;0)*1000000)),"")</f>
        <v>3</v>
      </c>
      <c r="M2879" s="1">
        <f>IF(AND(E2879=0,COUNTIFS($A$2:A2879,A2879,$E$2:E2879,0)=1),L2879,0)</f>
        <v>0</v>
      </c>
    </row>
    <row r="2880" spans="1:13" ht="15" customHeight="1">
      <c r="A2880" s="1">
        <v>80</v>
      </c>
      <c r="B2880" s="1" t="s">
        <v>9</v>
      </c>
      <c r="C2880" s="2" t="s">
        <v>3377</v>
      </c>
      <c r="D2880" s="2" t="s">
        <v>3382</v>
      </c>
      <c r="E2880" s="1">
        <v>0</v>
      </c>
      <c r="F2880" s="2" t="s">
        <v>3386</v>
      </c>
      <c r="H2880" s="1" t="str">
        <f t="shared" si="46"/>
        <v/>
      </c>
      <c r="K2880" s="1">
        <f>IF(E2880=0,SUMPRODUCT(($A$2:$A$4734=A2880)*($B$2:$B$4734=B2880)*($D$2:$D$4734=D2880)*($E$2:$E$4734=0)),0)</f>
        <v>5</v>
      </c>
      <c r="L2880" s="1">
        <f>IF(E2880=0,SUMPRODUCT(MIN($K$2:$K$4734+((($A$2:$A$4734&lt;&gt;A2880)+($E$2:$E$4734&lt;&gt;0))&gt;0)*1000000)),"")</f>
        <v>3</v>
      </c>
      <c r="M2880" s="1">
        <f>IF(AND(E2880=0,COUNTIFS($A$2:A2880,A2880,$E$2:E2880,0)=1),L2880,0)</f>
        <v>0</v>
      </c>
    </row>
    <row r="2881" spans="1:13" ht="15" customHeight="1">
      <c r="A2881" s="1">
        <v>80</v>
      </c>
      <c r="B2881" s="1" t="s">
        <v>9</v>
      </c>
      <c r="C2881" s="2" t="s">
        <v>3377</v>
      </c>
      <c r="D2881" s="2" t="s">
        <v>3382</v>
      </c>
      <c r="E2881" s="1">
        <v>0</v>
      </c>
      <c r="F2881" s="2" t="s">
        <v>3387</v>
      </c>
      <c r="H2881" s="1" t="str">
        <f t="shared" si="46"/>
        <v/>
      </c>
      <c r="K2881" s="1">
        <f>IF(E2881=0,SUMPRODUCT(($A$2:$A$4734=A2881)*($B$2:$B$4734=B2881)*($D$2:$D$4734=D2881)*($E$2:$E$4734=0)),0)</f>
        <v>5</v>
      </c>
      <c r="L2881" s="1">
        <f>IF(E2881=0,SUMPRODUCT(MIN($K$2:$K$4734+((($A$2:$A$4734&lt;&gt;A2881)+($E$2:$E$4734&lt;&gt;0))&gt;0)*1000000)),"")</f>
        <v>3</v>
      </c>
      <c r="M2881" s="1">
        <f>IF(AND(E2881=0,COUNTIFS($A$2:A2881,A2881,$E$2:E2881,0)=1),L2881,0)</f>
        <v>0</v>
      </c>
    </row>
    <row r="2882" spans="1:13" ht="15" customHeight="1">
      <c r="A2882" s="1">
        <v>81</v>
      </c>
      <c r="B2882" s="1" t="s">
        <v>9</v>
      </c>
      <c r="C2882" s="2" t="s">
        <v>3388</v>
      </c>
      <c r="D2882" s="2" t="s">
        <v>3389</v>
      </c>
      <c r="E2882" s="1">
        <v>0</v>
      </c>
      <c r="F2882" s="2" t="s">
        <v>3390</v>
      </c>
      <c r="H2882" s="1" t="str">
        <f t="shared" si="46"/>
        <v/>
      </c>
      <c r="K2882" s="1">
        <f>IF(E2882=0,SUMPRODUCT(($A$2:$A$4734=A2882)*($B$2:$B$4734=B2882)*($D$2:$D$4734=D2882)*($E$2:$E$4734=0)),0)</f>
        <v>6</v>
      </c>
      <c r="L2882" s="1">
        <f>IF(E2882=0,SUMPRODUCT(MIN($K$2:$K$4734+((($A$2:$A$4734&lt;&gt;A2882)+($E$2:$E$4734&lt;&gt;0))&gt;0)*1000000)),"")</f>
        <v>3</v>
      </c>
      <c r="M2882" s="1">
        <f>IF(AND(E2882=0,COUNTIFS($A$2:A2882,A2882,$E$2:E2882,0)=1),L2882,0)</f>
        <v>3</v>
      </c>
    </row>
    <row r="2883" spans="1:13" ht="15" customHeight="1">
      <c r="A2883" s="1">
        <v>81</v>
      </c>
      <c r="B2883" s="1" t="s">
        <v>9</v>
      </c>
      <c r="C2883" s="2" t="s">
        <v>3391</v>
      </c>
      <c r="D2883" s="2" t="s">
        <v>3389</v>
      </c>
      <c r="E2883" s="1">
        <v>0</v>
      </c>
      <c r="F2883" s="2" t="s">
        <v>3392</v>
      </c>
      <c r="H2883" s="1" t="str">
        <f t="shared" si="46"/>
        <v/>
      </c>
      <c r="K2883" s="1">
        <f>IF(E2883=0,SUMPRODUCT(($A$2:$A$4734=A2883)*($B$2:$B$4734=B2883)*($D$2:$D$4734=D2883)*($E$2:$E$4734=0)),0)</f>
        <v>6</v>
      </c>
      <c r="L2883" s="1">
        <f>IF(E2883=0,SUMPRODUCT(MIN($K$2:$K$4734+((($A$2:$A$4734&lt;&gt;A2883)+($E$2:$E$4734&lt;&gt;0))&gt;0)*1000000)),"")</f>
        <v>3</v>
      </c>
      <c r="M2883" s="1">
        <f>IF(AND(E2883=0,COUNTIFS($A$2:A2883,A2883,$E$2:E2883,0)=1),L2883,0)</f>
        <v>0</v>
      </c>
    </row>
    <row r="2884" spans="1:13" ht="15" customHeight="1">
      <c r="A2884" s="1">
        <v>81</v>
      </c>
      <c r="B2884" s="1" t="s">
        <v>9</v>
      </c>
      <c r="C2884" s="2" t="s">
        <v>3393</v>
      </c>
      <c r="D2884" s="2" t="s">
        <v>3389</v>
      </c>
      <c r="E2884" s="1">
        <v>0</v>
      </c>
      <c r="F2884" s="2" t="s">
        <v>3394</v>
      </c>
      <c r="H2884" s="1" t="str">
        <f t="shared" si="46"/>
        <v/>
      </c>
      <c r="K2884" s="1">
        <f>IF(E2884=0,SUMPRODUCT(($A$2:$A$4734=A2884)*($B$2:$B$4734=B2884)*($D$2:$D$4734=D2884)*($E$2:$E$4734=0)),0)</f>
        <v>6</v>
      </c>
      <c r="L2884" s="1">
        <f>IF(E2884=0,SUMPRODUCT(MIN($K$2:$K$4734+((($A$2:$A$4734&lt;&gt;A2884)+($E$2:$E$4734&lt;&gt;0))&gt;0)*1000000)),"")</f>
        <v>3</v>
      </c>
      <c r="M2884" s="1">
        <f>IF(AND(E2884=0,COUNTIFS($A$2:A2884,A2884,$E$2:E2884,0)=1),L2884,0)</f>
        <v>0</v>
      </c>
    </row>
    <row r="2885" spans="1:13" ht="15" customHeight="1">
      <c r="A2885" s="1">
        <v>81</v>
      </c>
      <c r="B2885" s="1" t="s">
        <v>9</v>
      </c>
      <c r="C2885" s="2" t="s">
        <v>3395</v>
      </c>
      <c r="D2885" s="2" t="s">
        <v>3389</v>
      </c>
      <c r="E2885" s="1">
        <v>0</v>
      </c>
      <c r="F2885" s="2" t="s">
        <v>3396</v>
      </c>
      <c r="H2885" s="1" t="str">
        <f t="shared" si="46"/>
        <v/>
      </c>
      <c r="K2885" s="1">
        <f>IF(E2885=0,SUMPRODUCT(($A$2:$A$4734=A2885)*($B$2:$B$4734=B2885)*($D$2:$D$4734=D2885)*($E$2:$E$4734=0)),0)</f>
        <v>6</v>
      </c>
      <c r="L2885" s="1">
        <f>IF(E2885=0,SUMPRODUCT(MIN($K$2:$K$4734+((($A$2:$A$4734&lt;&gt;A2885)+($E$2:$E$4734&lt;&gt;0))&gt;0)*1000000)),"")</f>
        <v>3</v>
      </c>
      <c r="M2885" s="1">
        <f>IF(AND(E2885=0,COUNTIFS($A$2:A2885,A2885,$E$2:E2885,0)=1),L2885,0)</f>
        <v>0</v>
      </c>
    </row>
    <row r="2886" spans="1:13" ht="15" customHeight="1">
      <c r="A2886" s="1">
        <v>81</v>
      </c>
      <c r="B2886" s="1" t="s">
        <v>9</v>
      </c>
      <c r="C2886" s="2" t="s">
        <v>3397</v>
      </c>
      <c r="D2886" s="2" t="s">
        <v>3389</v>
      </c>
      <c r="E2886" s="1">
        <v>0</v>
      </c>
      <c r="F2886" s="2" t="s">
        <v>3398</v>
      </c>
      <c r="H2886" s="1" t="str">
        <f t="shared" si="46"/>
        <v/>
      </c>
      <c r="K2886" s="1">
        <f>IF(E2886=0,SUMPRODUCT(($A$2:$A$4734=A2886)*($B$2:$B$4734=B2886)*($D$2:$D$4734=D2886)*($E$2:$E$4734=0)),0)</f>
        <v>6</v>
      </c>
      <c r="L2886" s="1">
        <f>IF(E2886=0,SUMPRODUCT(MIN($K$2:$K$4734+((($A$2:$A$4734&lt;&gt;A2886)+($E$2:$E$4734&lt;&gt;0))&gt;0)*1000000)),"")</f>
        <v>3</v>
      </c>
      <c r="M2886" s="1">
        <f>IF(AND(E2886=0,COUNTIFS($A$2:A2886,A2886,$E$2:E2886,0)=1),L2886,0)</f>
        <v>0</v>
      </c>
    </row>
    <row r="2887" spans="1:13" ht="15" customHeight="1">
      <c r="A2887" s="1">
        <v>81</v>
      </c>
      <c r="B2887" s="1" t="s">
        <v>9</v>
      </c>
      <c r="C2887" s="2" t="s">
        <v>3399</v>
      </c>
      <c r="D2887" s="2" t="s">
        <v>3389</v>
      </c>
      <c r="E2887" s="1">
        <v>0</v>
      </c>
      <c r="F2887" s="2" t="s">
        <v>3400</v>
      </c>
      <c r="H2887" s="1" t="str">
        <f t="shared" si="46"/>
        <v/>
      </c>
      <c r="K2887" s="1">
        <f>IF(E2887=0,SUMPRODUCT(($A$2:$A$4734=A2887)*($B$2:$B$4734=B2887)*($D$2:$D$4734=D2887)*($E$2:$E$4734=0)),0)</f>
        <v>6</v>
      </c>
      <c r="L2887" s="1">
        <f>IF(E2887=0,SUMPRODUCT(MIN($K$2:$K$4734+((($A$2:$A$4734&lt;&gt;A2887)+($E$2:$E$4734&lt;&gt;0))&gt;0)*1000000)),"")</f>
        <v>3</v>
      </c>
      <c r="M2887" s="1">
        <f>IF(AND(E2887=0,COUNTIFS($A$2:A2887,A2887,$E$2:E2887,0)=1),L2887,0)</f>
        <v>0</v>
      </c>
    </row>
    <row r="2888" spans="1:13" ht="15" customHeight="1">
      <c r="A2888" s="1">
        <v>81</v>
      </c>
      <c r="B2888" s="1" t="s">
        <v>9</v>
      </c>
      <c r="C2888" s="2" t="s">
        <v>3401</v>
      </c>
      <c r="D2888" s="2" t="s">
        <v>335</v>
      </c>
      <c r="E2888" s="1">
        <v>0</v>
      </c>
      <c r="F2888" s="2" t="s">
        <v>3402</v>
      </c>
      <c r="H2888" s="1" t="str">
        <f t="shared" si="46"/>
        <v/>
      </c>
      <c r="K2888" s="1">
        <f>IF(E2888=0,SUMPRODUCT(($A$2:$A$4734=A2888)*($B$2:$B$4734=B2888)*($D$2:$D$4734=D2888)*($E$2:$E$4734=0)),0)</f>
        <v>5</v>
      </c>
      <c r="L2888" s="1">
        <f>IF(E2888=0,SUMPRODUCT(MIN($K$2:$K$4734+((($A$2:$A$4734&lt;&gt;A2888)+($E$2:$E$4734&lt;&gt;0))&gt;0)*1000000)),"")</f>
        <v>3</v>
      </c>
      <c r="M2888" s="1">
        <f>IF(AND(E2888=0,COUNTIFS($A$2:A2888,A2888,$E$2:E2888,0)=1),L2888,0)</f>
        <v>0</v>
      </c>
    </row>
    <row r="2889" spans="1:13" ht="15" customHeight="1">
      <c r="A2889" s="1">
        <v>81</v>
      </c>
      <c r="B2889" s="1" t="s">
        <v>9</v>
      </c>
      <c r="C2889" s="2" t="s">
        <v>3403</v>
      </c>
      <c r="D2889" s="2" t="s">
        <v>335</v>
      </c>
      <c r="E2889" s="1">
        <v>0</v>
      </c>
      <c r="F2889" s="2" t="s">
        <v>339</v>
      </c>
      <c r="H2889" s="1" t="str">
        <f t="shared" si="46"/>
        <v/>
      </c>
      <c r="K2889" s="1">
        <f>IF(E2889=0,SUMPRODUCT(($A$2:$A$4734=A2889)*($B$2:$B$4734=B2889)*($D$2:$D$4734=D2889)*($E$2:$E$4734=0)),0)</f>
        <v>5</v>
      </c>
      <c r="L2889" s="1">
        <f>IF(E2889=0,SUMPRODUCT(MIN($K$2:$K$4734+((($A$2:$A$4734&lt;&gt;A2889)+($E$2:$E$4734&lt;&gt;0))&gt;0)*1000000)),"")</f>
        <v>3</v>
      </c>
      <c r="M2889" s="1">
        <f>IF(AND(E2889=0,COUNTIFS($A$2:A2889,A2889,$E$2:E2889,0)=1),L2889,0)</f>
        <v>0</v>
      </c>
    </row>
    <row r="2890" spans="1:13" ht="15" customHeight="1">
      <c r="A2890" s="1">
        <v>81</v>
      </c>
      <c r="B2890" s="1" t="s">
        <v>9</v>
      </c>
      <c r="C2890" s="2" t="s">
        <v>3404</v>
      </c>
      <c r="D2890" s="2" t="s">
        <v>335</v>
      </c>
      <c r="E2890" s="1">
        <v>0</v>
      </c>
      <c r="F2890" s="2" t="s">
        <v>3405</v>
      </c>
      <c r="H2890" s="1" t="str">
        <f t="shared" si="46"/>
        <v/>
      </c>
      <c r="K2890" s="1">
        <f>IF(E2890=0,SUMPRODUCT(($A$2:$A$4734=A2890)*($B$2:$B$4734=B2890)*($D$2:$D$4734=D2890)*($E$2:$E$4734=0)),0)</f>
        <v>5</v>
      </c>
      <c r="L2890" s="1">
        <f>IF(E2890=0,SUMPRODUCT(MIN($K$2:$K$4734+((($A$2:$A$4734&lt;&gt;A2890)+($E$2:$E$4734&lt;&gt;0))&gt;0)*1000000)),"")</f>
        <v>3</v>
      </c>
      <c r="M2890" s="1">
        <f>IF(AND(E2890=0,COUNTIFS($A$2:A2890,A2890,$E$2:E2890,0)=1),L2890,0)</f>
        <v>0</v>
      </c>
    </row>
    <row r="2891" spans="1:13" ht="15" customHeight="1">
      <c r="A2891" s="1">
        <v>81</v>
      </c>
      <c r="B2891" s="1" t="s">
        <v>9</v>
      </c>
      <c r="C2891" s="2" t="s">
        <v>3406</v>
      </c>
      <c r="D2891" s="2" t="s">
        <v>335</v>
      </c>
      <c r="E2891" s="1">
        <v>0</v>
      </c>
      <c r="F2891" s="2" t="s">
        <v>3407</v>
      </c>
      <c r="H2891" s="1" t="str">
        <f t="shared" si="46"/>
        <v/>
      </c>
      <c r="K2891" s="1">
        <f>IF(E2891=0,SUMPRODUCT(($A$2:$A$4734=A2891)*($B$2:$B$4734=B2891)*($D$2:$D$4734=D2891)*($E$2:$E$4734=0)),0)</f>
        <v>5</v>
      </c>
      <c r="L2891" s="1">
        <f>IF(E2891=0,SUMPRODUCT(MIN($K$2:$K$4734+((($A$2:$A$4734&lt;&gt;A2891)+($E$2:$E$4734&lt;&gt;0))&gt;0)*1000000)),"")</f>
        <v>3</v>
      </c>
      <c r="M2891" s="1">
        <f>IF(AND(E2891=0,COUNTIFS($A$2:A2891,A2891,$E$2:E2891,0)=1),L2891,0)</f>
        <v>0</v>
      </c>
    </row>
    <row r="2892" spans="1:13" ht="15" customHeight="1">
      <c r="A2892" s="1">
        <v>81</v>
      </c>
      <c r="B2892" s="1" t="s">
        <v>9</v>
      </c>
      <c r="C2892" s="2" t="s">
        <v>3408</v>
      </c>
      <c r="D2892" s="2" t="s">
        <v>335</v>
      </c>
      <c r="E2892" s="1">
        <v>0</v>
      </c>
      <c r="F2892" s="2" t="s">
        <v>3313</v>
      </c>
      <c r="H2892" s="1" t="str">
        <f t="shared" si="46"/>
        <v/>
      </c>
      <c r="K2892" s="1">
        <f>IF(E2892=0,SUMPRODUCT(($A$2:$A$4734=A2892)*($B$2:$B$4734=B2892)*($D$2:$D$4734=D2892)*($E$2:$E$4734=0)),0)</f>
        <v>5</v>
      </c>
      <c r="L2892" s="1">
        <f>IF(E2892=0,SUMPRODUCT(MIN($K$2:$K$4734+((($A$2:$A$4734&lt;&gt;A2892)+($E$2:$E$4734&lt;&gt;0))&gt;0)*1000000)),"")</f>
        <v>3</v>
      </c>
      <c r="M2892" s="1">
        <f>IF(AND(E2892=0,COUNTIFS($A$2:A2892,A2892,$E$2:E2892,0)=1),L2892,0)</f>
        <v>0</v>
      </c>
    </row>
    <row r="2893" spans="1:13" ht="15" customHeight="1">
      <c r="A2893" s="1">
        <v>81</v>
      </c>
      <c r="B2893" s="1" t="s">
        <v>16</v>
      </c>
      <c r="C2893" s="2" t="s">
        <v>3409</v>
      </c>
      <c r="D2893" s="2" t="s">
        <v>993</v>
      </c>
      <c r="E2893" s="1">
        <v>0</v>
      </c>
      <c r="F2893" s="2" t="s">
        <v>996</v>
      </c>
      <c r="H2893" s="1" t="str">
        <f t="shared" si="46"/>
        <v/>
      </c>
      <c r="K2893" s="1">
        <f>IF(E2893=0,SUMPRODUCT(($A$2:$A$4734=A2893)*($B$2:$B$4734=B2893)*($D$2:$D$4734=D2893)*($E$2:$E$4734=0)),0)</f>
        <v>3</v>
      </c>
      <c r="L2893" s="1">
        <f>IF(E2893=0,SUMPRODUCT(MIN($K$2:$K$4734+((($A$2:$A$4734&lt;&gt;A2893)+($E$2:$E$4734&lt;&gt;0))&gt;0)*1000000)),"")</f>
        <v>3</v>
      </c>
      <c r="M2893" s="1">
        <f>IF(AND(E2893=0,COUNTIFS($A$2:A2893,A2893,$E$2:E2893,0)=1),L2893,0)</f>
        <v>0</v>
      </c>
    </row>
    <row r="2894" spans="1:13" ht="15" customHeight="1">
      <c r="A2894" s="1">
        <v>81</v>
      </c>
      <c r="B2894" s="1" t="s">
        <v>16</v>
      </c>
      <c r="C2894" s="2" t="s">
        <v>3410</v>
      </c>
      <c r="D2894" s="2" t="s">
        <v>993</v>
      </c>
      <c r="E2894" s="1">
        <v>0</v>
      </c>
      <c r="F2894" s="2" t="s">
        <v>3411</v>
      </c>
      <c r="H2894" s="1" t="str">
        <f t="shared" si="46"/>
        <v/>
      </c>
      <c r="K2894" s="1">
        <f>IF(E2894=0,SUMPRODUCT(($A$2:$A$4734=A2894)*($B$2:$B$4734=B2894)*($D$2:$D$4734=D2894)*($E$2:$E$4734=0)),0)</f>
        <v>3</v>
      </c>
      <c r="L2894" s="1">
        <f>IF(E2894=0,SUMPRODUCT(MIN($K$2:$K$4734+((($A$2:$A$4734&lt;&gt;A2894)+($E$2:$E$4734&lt;&gt;0))&gt;0)*1000000)),"")</f>
        <v>3</v>
      </c>
      <c r="M2894" s="1">
        <f>IF(AND(E2894=0,COUNTIFS($A$2:A2894,A2894,$E$2:E2894,0)=1),L2894,0)</f>
        <v>0</v>
      </c>
    </row>
    <row r="2895" spans="1:13" ht="15" customHeight="1">
      <c r="A2895" s="1">
        <v>81</v>
      </c>
      <c r="B2895" s="1" t="s">
        <v>16</v>
      </c>
      <c r="C2895" s="2" t="s">
        <v>3412</v>
      </c>
      <c r="D2895" s="2" t="s">
        <v>993</v>
      </c>
      <c r="E2895" s="1">
        <v>0</v>
      </c>
      <c r="F2895" s="2" t="s">
        <v>3413</v>
      </c>
      <c r="H2895" s="1" t="str">
        <f t="shared" si="46"/>
        <v/>
      </c>
      <c r="K2895" s="1">
        <f>IF(E2895=0,SUMPRODUCT(($A$2:$A$4734=A2895)*($B$2:$B$4734=B2895)*($D$2:$D$4734=D2895)*($E$2:$E$4734=0)),0)</f>
        <v>3</v>
      </c>
      <c r="L2895" s="1">
        <f>IF(E2895=0,SUMPRODUCT(MIN($K$2:$K$4734+((($A$2:$A$4734&lt;&gt;A2895)+($E$2:$E$4734&lt;&gt;0))&gt;0)*1000000)),"")</f>
        <v>3</v>
      </c>
      <c r="M2895" s="1">
        <f>IF(AND(E2895=0,COUNTIFS($A$2:A2895,A2895,$E$2:E2895,0)=1),L2895,0)</f>
        <v>0</v>
      </c>
    </row>
    <row r="2896" spans="1:13" ht="15" customHeight="1">
      <c r="A2896" s="1">
        <v>81</v>
      </c>
      <c r="B2896" s="1" t="s">
        <v>16</v>
      </c>
      <c r="C2896" s="2" t="s">
        <v>3414</v>
      </c>
      <c r="D2896" s="2" t="s">
        <v>2142</v>
      </c>
      <c r="E2896" s="1">
        <v>0</v>
      </c>
      <c r="F2896" s="2" t="s">
        <v>3415</v>
      </c>
      <c r="H2896" s="1" t="str">
        <f t="shared" si="46"/>
        <v/>
      </c>
      <c r="K2896" s="1">
        <f>IF(E2896=0,SUMPRODUCT(($A$2:$A$4734=A2896)*($B$2:$B$4734=B2896)*($D$2:$D$4734=D2896)*($E$2:$E$4734=0)),0)</f>
        <v>6</v>
      </c>
      <c r="L2896" s="1">
        <f>IF(E2896=0,SUMPRODUCT(MIN($K$2:$K$4734+((($A$2:$A$4734&lt;&gt;A2896)+($E$2:$E$4734&lt;&gt;0))&gt;0)*1000000)),"")</f>
        <v>3</v>
      </c>
      <c r="M2896" s="1">
        <f>IF(AND(E2896=0,COUNTIFS($A$2:A2896,A2896,$E$2:E2896,0)=1),L2896,0)</f>
        <v>0</v>
      </c>
    </row>
    <row r="2897" spans="1:13" ht="15" customHeight="1">
      <c r="A2897" s="1">
        <v>81</v>
      </c>
      <c r="B2897" s="1" t="s">
        <v>16</v>
      </c>
      <c r="C2897" s="2" t="s">
        <v>3416</v>
      </c>
      <c r="D2897" s="2" t="s">
        <v>2142</v>
      </c>
      <c r="E2897" s="1">
        <v>0</v>
      </c>
      <c r="F2897" s="2" t="s">
        <v>2146</v>
      </c>
      <c r="H2897" s="1" t="str">
        <f t="shared" si="46"/>
        <v/>
      </c>
      <c r="K2897" s="1">
        <f>IF(E2897=0,SUMPRODUCT(($A$2:$A$4734=A2897)*($B$2:$B$4734=B2897)*($D$2:$D$4734=D2897)*($E$2:$E$4734=0)),0)</f>
        <v>6</v>
      </c>
      <c r="L2897" s="1">
        <f>IF(E2897=0,SUMPRODUCT(MIN($K$2:$K$4734+((($A$2:$A$4734&lt;&gt;A2897)+($E$2:$E$4734&lt;&gt;0))&gt;0)*1000000)),"")</f>
        <v>3</v>
      </c>
      <c r="M2897" s="1">
        <f>IF(AND(E2897=0,COUNTIFS($A$2:A2897,A2897,$E$2:E2897,0)=1),L2897,0)</f>
        <v>0</v>
      </c>
    </row>
    <row r="2898" spans="1:13" ht="15" customHeight="1">
      <c r="A2898" s="1">
        <v>81</v>
      </c>
      <c r="B2898" s="1" t="s">
        <v>16</v>
      </c>
      <c r="C2898" s="2" t="s">
        <v>3417</v>
      </c>
      <c r="D2898" s="2" t="s">
        <v>2142</v>
      </c>
      <c r="E2898" s="1">
        <v>0</v>
      </c>
      <c r="F2898" s="2" t="s">
        <v>3418</v>
      </c>
      <c r="H2898" s="1" t="str">
        <f t="shared" si="46"/>
        <v/>
      </c>
      <c r="K2898" s="1">
        <f>IF(E2898=0,SUMPRODUCT(($A$2:$A$4734=A2898)*($B$2:$B$4734=B2898)*($D$2:$D$4734=D2898)*($E$2:$E$4734=0)),0)</f>
        <v>6</v>
      </c>
      <c r="L2898" s="1">
        <f>IF(E2898=0,SUMPRODUCT(MIN($K$2:$K$4734+((($A$2:$A$4734&lt;&gt;A2898)+($E$2:$E$4734&lt;&gt;0))&gt;0)*1000000)),"")</f>
        <v>3</v>
      </c>
      <c r="M2898" s="1">
        <f>IF(AND(E2898=0,COUNTIFS($A$2:A2898,A2898,$E$2:E2898,0)=1),L2898,0)</f>
        <v>0</v>
      </c>
    </row>
    <row r="2899" spans="1:13" ht="15" customHeight="1">
      <c r="A2899" s="1">
        <v>81</v>
      </c>
      <c r="B2899" s="1" t="s">
        <v>16</v>
      </c>
      <c r="C2899" s="2" t="s">
        <v>3419</v>
      </c>
      <c r="D2899" s="2" t="s">
        <v>2142</v>
      </c>
      <c r="E2899" s="1">
        <v>0</v>
      </c>
      <c r="F2899" s="2" t="s">
        <v>2144</v>
      </c>
      <c r="H2899" s="1" t="str">
        <f t="shared" si="46"/>
        <v/>
      </c>
      <c r="K2899" s="1">
        <f>IF(E2899=0,SUMPRODUCT(($A$2:$A$4734=A2899)*($B$2:$B$4734=B2899)*($D$2:$D$4734=D2899)*($E$2:$E$4734=0)),0)</f>
        <v>6</v>
      </c>
      <c r="L2899" s="1">
        <f>IF(E2899=0,SUMPRODUCT(MIN($K$2:$K$4734+((($A$2:$A$4734&lt;&gt;A2899)+($E$2:$E$4734&lt;&gt;0))&gt;0)*1000000)),"")</f>
        <v>3</v>
      </c>
      <c r="M2899" s="1">
        <f>IF(AND(E2899=0,COUNTIFS($A$2:A2899,A2899,$E$2:E2899,0)=1),L2899,0)</f>
        <v>0</v>
      </c>
    </row>
    <row r="2900" spans="1:13" ht="15" customHeight="1">
      <c r="A2900" s="1">
        <v>81</v>
      </c>
      <c r="B2900" s="1" t="s">
        <v>16</v>
      </c>
      <c r="C2900" s="2" t="s">
        <v>3420</v>
      </c>
      <c r="D2900" s="2" t="s">
        <v>2142</v>
      </c>
      <c r="E2900" s="1">
        <v>0</v>
      </c>
      <c r="F2900" s="2" t="s">
        <v>3421</v>
      </c>
      <c r="H2900" s="1" t="str">
        <f t="shared" si="46"/>
        <v/>
      </c>
      <c r="K2900" s="1">
        <f>IF(E2900=0,SUMPRODUCT(($A$2:$A$4734=A2900)*($B$2:$B$4734=B2900)*($D$2:$D$4734=D2900)*($E$2:$E$4734=0)),0)</f>
        <v>6</v>
      </c>
      <c r="L2900" s="1">
        <f>IF(E2900=0,SUMPRODUCT(MIN($K$2:$K$4734+((($A$2:$A$4734&lt;&gt;A2900)+($E$2:$E$4734&lt;&gt;0))&gt;0)*1000000)),"")</f>
        <v>3</v>
      </c>
      <c r="M2900" s="1">
        <f>IF(AND(E2900=0,COUNTIFS($A$2:A2900,A2900,$E$2:E2900,0)=1),L2900,0)</f>
        <v>0</v>
      </c>
    </row>
    <row r="2901" spans="1:13" ht="15" customHeight="1">
      <c r="A2901" s="1">
        <v>81</v>
      </c>
      <c r="B2901" s="1" t="s">
        <v>16</v>
      </c>
      <c r="C2901" s="2" t="s">
        <v>3422</v>
      </c>
      <c r="D2901" s="2" t="s">
        <v>2142</v>
      </c>
      <c r="E2901" s="1">
        <v>0</v>
      </c>
      <c r="F2901" s="2" t="s">
        <v>3225</v>
      </c>
      <c r="H2901" s="1" t="str">
        <f t="shared" si="46"/>
        <v/>
      </c>
      <c r="K2901" s="1">
        <f>IF(E2901=0,SUMPRODUCT(($A$2:$A$4734=A2901)*($B$2:$B$4734=B2901)*($D$2:$D$4734=D2901)*($E$2:$E$4734=0)),0)</f>
        <v>6</v>
      </c>
      <c r="L2901" s="1">
        <f>IF(E2901=0,SUMPRODUCT(MIN($K$2:$K$4734+((($A$2:$A$4734&lt;&gt;A2901)+($E$2:$E$4734&lt;&gt;0))&gt;0)*1000000)),"")</f>
        <v>3</v>
      </c>
      <c r="M2901" s="1">
        <f>IF(AND(E2901=0,COUNTIFS($A$2:A2901,A2901,$E$2:E2901,0)=1),L2901,0)</f>
        <v>0</v>
      </c>
    </row>
    <row r="2902" spans="1:13" ht="15" customHeight="1">
      <c r="A2902" s="1">
        <v>82</v>
      </c>
      <c r="B2902" s="1" t="s">
        <v>173</v>
      </c>
      <c r="C2902" s="2" t="s">
        <v>3423</v>
      </c>
      <c r="D2902" s="2" t="s">
        <v>3424</v>
      </c>
      <c r="E2902" s="1">
        <v>1</v>
      </c>
      <c r="F2902" s="2" t="s">
        <v>3425</v>
      </c>
      <c r="G2902" s="1">
        <v>1</v>
      </c>
      <c r="H2902" s="1" t="str">
        <f t="shared" si="46"/>
        <v>k82_1</v>
      </c>
      <c r="K2902" s="1">
        <f>IF(E2902=0,SUMPRODUCT(($A$2:$A$4734=A2902)*($B$2:$B$4734=B2902)*($D$2:$D$4734=D2902)*($E$2:$E$4734=0)),0)</f>
        <v>0</v>
      </c>
      <c r="L2902" s="1" t="str">
        <f>IF(E2902=0,SUMPRODUCT(MIN($K$2:$K$4734+((($A$2:$A$4734&lt;&gt;A2902)+($E$2:$E$4734&lt;&gt;0))&gt;0)*1000000)),"")</f>
        <v/>
      </c>
      <c r="M2902" s="1">
        <f>IF(AND(E2902=0,COUNTIFS($A$2:A2902,A2902,$E$2:E2902,0)=1),L2902,0)</f>
        <v>0</v>
      </c>
    </row>
    <row r="2903" spans="1:13" ht="15" customHeight="1">
      <c r="A2903" s="1">
        <v>82</v>
      </c>
      <c r="B2903" s="1" t="s">
        <v>173</v>
      </c>
      <c r="C2903" s="2" t="s">
        <v>3423</v>
      </c>
      <c r="D2903" s="2" t="s">
        <v>3424</v>
      </c>
      <c r="E2903" s="1">
        <v>1</v>
      </c>
      <c r="F2903" s="2" t="s">
        <v>3426</v>
      </c>
      <c r="G2903" s="1">
        <v>2</v>
      </c>
      <c r="H2903" s="1" t="str">
        <f t="shared" si="46"/>
        <v>k82_2</v>
      </c>
      <c r="K2903" s="1">
        <f>IF(E2903=0,SUMPRODUCT(($A$2:$A$4734=A2903)*($B$2:$B$4734=B2903)*($D$2:$D$4734=D2903)*($E$2:$E$4734=0)),0)</f>
        <v>0</v>
      </c>
      <c r="L2903" s="1" t="str">
        <f>IF(E2903=0,SUMPRODUCT(MIN($K$2:$K$4734+((($A$2:$A$4734&lt;&gt;A2903)+($E$2:$E$4734&lt;&gt;0))&gt;0)*1000000)),"")</f>
        <v/>
      </c>
      <c r="M2903" s="1">
        <f>IF(AND(E2903=0,COUNTIFS($A$2:A2903,A2903,$E$2:E2903,0)=1),L2903,0)</f>
        <v>0</v>
      </c>
    </row>
    <row r="2904" spans="1:13" ht="15" customHeight="1">
      <c r="A2904" s="1">
        <v>82</v>
      </c>
      <c r="B2904" s="1" t="s">
        <v>173</v>
      </c>
      <c r="C2904" s="2" t="s">
        <v>3423</v>
      </c>
      <c r="D2904" s="2" t="s">
        <v>3424</v>
      </c>
      <c r="E2904" s="1">
        <v>1</v>
      </c>
      <c r="F2904" s="2" t="s">
        <v>3427</v>
      </c>
      <c r="G2904" s="1">
        <v>3</v>
      </c>
      <c r="H2904" s="1" t="str">
        <f t="shared" si="46"/>
        <v>k82_3</v>
      </c>
      <c r="K2904" s="1">
        <f>IF(E2904=0,SUMPRODUCT(($A$2:$A$4734=A2904)*($B$2:$B$4734=B2904)*($D$2:$D$4734=D2904)*($E$2:$E$4734=0)),0)</f>
        <v>0</v>
      </c>
      <c r="L2904" s="1" t="str">
        <f>IF(E2904=0,SUMPRODUCT(MIN($K$2:$K$4734+((($A$2:$A$4734&lt;&gt;A2904)+($E$2:$E$4734&lt;&gt;0))&gt;0)*1000000)),"")</f>
        <v/>
      </c>
      <c r="M2904" s="1">
        <f>IF(AND(E2904=0,COUNTIFS($A$2:A2904,A2904,$E$2:E2904,0)=1),L2904,0)</f>
        <v>0</v>
      </c>
    </row>
    <row r="2905" spans="1:13" ht="15" customHeight="1">
      <c r="A2905" s="1">
        <v>82</v>
      </c>
      <c r="B2905" s="1" t="s">
        <v>173</v>
      </c>
      <c r="C2905" s="2" t="s">
        <v>3423</v>
      </c>
      <c r="D2905" s="2" t="s">
        <v>3424</v>
      </c>
      <c r="E2905" s="1">
        <v>1</v>
      </c>
      <c r="F2905" s="2" t="s">
        <v>3428</v>
      </c>
      <c r="G2905" s="1">
        <v>4</v>
      </c>
      <c r="H2905" s="1" t="str">
        <f t="shared" si="46"/>
        <v>k82_4</v>
      </c>
      <c r="K2905" s="1">
        <f>IF(E2905=0,SUMPRODUCT(($A$2:$A$4734=A2905)*($B$2:$B$4734=B2905)*($D$2:$D$4734=D2905)*($E$2:$E$4734=0)),0)</f>
        <v>0</v>
      </c>
      <c r="L2905" s="1" t="str">
        <f>IF(E2905=0,SUMPRODUCT(MIN($K$2:$K$4734+((($A$2:$A$4734&lt;&gt;A2905)+($E$2:$E$4734&lt;&gt;0))&gt;0)*1000000)),"")</f>
        <v/>
      </c>
      <c r="M2905" s="1">
        <f>IF(AND(E2905=0,COUNTIFS($A$2:A2905,A2905,$E$2:E2905,0)=1),L2905,0)</f>
        <v>0</v>
      </c>
    </row>
    <row r="2906" spans="1:13" ht="15" customHeight="1">
      <c r="A2906" s="1">
        <v>82</v>
      </c>
      <c r="B2906" s="1" t="s">
        <v>173</v>
      </c>
      <c r="C2906" s="2" t="s">
        <v>3423</v>
      </c>
      <c r="D2906" s="2" t="s">
        <v>3424</v>
      </c>
      <c r="E2906" s="1">
        <v>1</v>
      </c>
      <c r="F2906" s="2" t="s">
        <v>3427</v>
      </c>
      <c r="G2906" s="1">
        <v>5</v>
      </c>
      <c r="H2906" s="1" t="str">
        <f t="shared" si="46"/>
        <v>k82_5</v>
      </c>
      <c r="K2906" s="1">
        <f>IF(E2906=0,SUMPRODUCT(($A$2:$A$4734=A2906)*($B$2:$B$4734=B2906)*($D$2:$D$4734=D2906)*($E$2:$E$4734=0)),0)</f>
        <v>0</v>
      </c>
      <c r="L2906" s="1" t="str">
        <f>IF(E2906=0,SUMPRODUCT(MIN($K$2:$K$4734+((($A$2:$A$4734&lt;&gt;A2906)+($E$2:$E$4734&lt;&gt;0))&gt;0)*1000000)),"")</f>
        <v/>
      </c>
      <c r="M2906" s="1">
        <f>IF(AND(E2906=0,COUNTIFS($A$2:A2906,A2906,$E$2:E2906,0)=1),L2906,0)</f>
        <v>0</v>
      </c>
    </row>
    <row r="2907" spans="1:13" ht="15" customHeight="1">
      <c r="A2907" s="1">
        <v>82</v>
      </c>
      <c r="B2907" s="1" t="s">
        <v>173</v>
      </c>
      <c r="C2907" s="2" t="s">
        <v>3423</v>
      </c>
      <c r="D2907" s="2" t="s">
        <v>3424</v>
      </c>
      <c r="E2907" s="1">
        <v>1</v>
      </c>
      <c r="F2907" s="2" t="s">
        <v>3428</v>
      </c>
      <c r="G2907" s="1">
        <v>6</v>
      </c>
      <c r="H2907" s="1" t="str">
        <f t="shared" si="46"/>
        <v>k82_6</v>
      </c>
      <c r="K2907" s="1">
        <f>IF(E2907=0,SUMPRODUCT(($A$2:$A$4734=A2907)*($B$2:$B$4734=B2907)*($D$2:$D$4734=D2907)*($E$2:$E$4734=0)),0)</f>
        <v>0</v>
      </c>
      <c r="L2907" s="1" t="str">
        <f>IF(E2907=0,SUMPRODUCT(MIN($K$2:$K$4734+((($A$2:$A$4734&lt;&gt;A2907)+($E$2:$E$4734&lt;&gt;0))&gt;0)*1000000)),"")</f>
        <v/>
      </c>
      <c r="M2907" s="1">
        <f>IF(AND(E2907=0,COUNTIFS($A$2:A2907,A2907,$E$2:E2907,0)=1),L2907,0)</f>
        <v>0</v>
      </c>
    </row>
    <row r="2908" spans="1:13" ht="15" customHeight="1">
      <c r="A2908" s="1">
        <v>82</v>
      </c>
      <c r="B2908" s="1" t="s">
        <v>635</v>
      </c>
      <c r="C2908" s="2" t="s">
        <v>3423</v>
      </c>
      <c r="D2908" s="2" t="s">
        <v>3429</v>
      </c>
      <c r="E2908" s="1">
        <v>1</v>
      </c>
      <c r="F2908" s="2" t="s">
        <v>3430</v>
      </c>
      <c r="G2908" s="1">
        <v>4</v>
      </c>
      <c r="H2908" s="1" t="str">
        <f t="shared" si="46"/>
        <v>k82_4</v>
      </c>
      <c r="K2908" s="1">
        <f>IF(E2908=0,SUMPRODUCT(($A$2:$A$4734=A2908)*($B$2:$B$4734=B2908)*($D$2:$D$4734=D2908)*($E$2:$E$4734=0)),0)</f>
        <v>0</v>
      </c>
      <c r="L2908" s="1" t="str">
        <f>IF(E2908=0,SUMPRODUCT(MIN($K$2:$K$4734+((($A$2:$A$4734&lt;&gt;A2908)+($E$2:$E$4734&lt;&gt;0))&gt;0)*1000000)),"")</f>
        <v/>
      </c>
      <c r="M2908" s="1">
        <f>IF(AND(E2908=0,COUNTIFS($A$2:A2908,A2908,$E$2:E2908,0)=1),L2908,0)</f>
        <v>0</v>
      </c>
    </row>
    <row r="2909" spans="1:13" ht="15" customHeight="1">
      <c r="A2909" s="1">
        <v>82</v>
      </c>
      <c r="B2909" s="1" t="s">
        <v>635</v>
      </c>
      <c r="C2909" s="2" t="s">
        <v>3423</v>
      </c>
      <c r="D2909" s="2" t="s">
        <v>3429</v>
      </c>
      <c r="E2909" s="1">
        <v>1</v>
      </c>
      <c r="F2909" s="2" t="s">
        <v>3431</v>
      </c>
      <c r="G2909" s="1">
        <v>1</v>
      </c>
      <c r="H2909" s="1" t="str">
        <f t="shared" si="46"/>
        <v>k82_1</v>
      </c>
      <c r="K2909" s="1">
        <f>IF(E2909=0,SUMPRODUCT(($A$2:$A$4734=A2909)*($B$2:$B$4734=B2909)*($D$2:$D$4734=D2909)*($E$2:$E$4734=0)),0)</f>
        <v>0</v>
      </c>
      <c r="L2909" s="1" t="str">
        <f>IF(E2909=0,SUMPRODUCT(MIN($K$2:$K$4734+((($A$2:$A$4734&lt;&gt;A2909)+($E$2:$E$4734&lt;&gt;0))&gt;0)*1000000)),"")</f>
        <v/>
      </c>
      <c r="M2909" s="1">
        <f>IF(AND(E2909=0,COUNTIFS($A$2:A2909,A2909,$E$2:E2909,0)=1),L2909,0)</f>
        <v>0</v>
      </c>
    </row>
    <row r="2910" spans="1:13" ht="15" customHeight="1">
      <c r="A2910" s="1">
        <v>82</v>
      </c>
      <c r="B2910" s="1" t="s">
        <v>635</v>
      </c>
      <c r="C2910" s="2" t="s">
        <v>3423</v>
      </c>
      <c r="D2910" s="2" t="s">
        <v>3429</v>
      </c>
      <c r="E2910" s="1">
        <v>1</v>
      </c>
      <c r="F2910" s="2" t="s">
        <v>3432</v>
      </c>
      <c r="G2910" s="1">
        <v>3</v>
      </c>
      <c r="H2910" s="1" t="str">
        <f t="shared" si="46"/>
        <v>k82_3</v>
      </c>
      <c r="K2910" s="1">
        <f>IF(E2910=0,SUMPRODUCT(($A$2:$A$4734=A2910)*($B$2:$B$4734=B2910)*($D$2:$D$4734=D2910)*($E$2:$E$4734=0)),0)</f>
        <v>0</v>
      </c>
      <c r="L2910" s="1" t="str">
        <f>IF(E2910=0,SUMPRODUCT(MIN($K$2:$K$4734+((($A$2:$A$4734&lt;&gt;A2910)+($E$2:$E$4734&lt;&gt;0))&gt;0)*1000000)),"")</f>
        <v/>
      </c>
      <c r="M2910" s="1">
        <f>IF(AND(E2910=0,COUNTIFS($A$2:A2910,A2910,$E$2:E2910,0)=1),L2910,0)</f>
        <v>0</v>
      </c>
    </row>
    <row r="2911" spans="1:13" ht="15" customHeight="1">
      <c r="A2911" s="1">
        <v>82</v>
      </c>
      <c r="B2911" s="1" t="s">
        <v>635</v>
      </c>
      <c r="C2911" s="2" t="s">
        <v>3423</v>
      </c>
      <c r="D2911" s="2" t="s">
        <v>3429</v>
      </c>
      <c r="E2911" s="1">
        <v>1</v>
      </c>
      <c r="F2911" s="2" t="s">
        <v>3433</v>
      </c>
      <c r="G2911" s="1">
        <v>2</v>
      </c>
      <c r="H2911" s="1" t="str">
        <f t="shared" si="46"/>
        <v>k82_2</v>
      </c>
      <c r="K2911" s="1">
        <f>IF(E2911=0,SUMPRODUCT(($A$2:$A$4734=A2911)*($B$2:$B$4734=B2911)*($D$2:$D$4734=D2911)*($E$2:$E$4734=0)),0)</f>
        <v>0</v>
      </c>
      <c r="L2911" s="1" t="str">
        <f>IF(E2911=0,SUMPRODUCT(MIN($K$2:$K$4734+((($A$2:$A$4734&lt;&gt;A2911)+($E$2:$E$4734&lt;&gt;0))&gt;0)*1000000)),"")</f>
        <v/>
      </c>
      <c r="M2911" s="1">
        <f>IF(AND(E2911=0,COUNTIFS($A$2:A2911,A2911,$E$2:E2911,0)=1),L2911,0)</f>
        <v>0</v>
      </c>
    </row>
    <row r="2912" spans="1:13" ht="15" customHeight="1">
      <c r="A2912" s="1">
        <v>82</v>
      </c>
      <c r="B2912" s="1" t="s">
        <v>635</v>
      </c>
      <c r="C2912" s="2" t="s">
        <v>3423</v>
      </c>
      <c r="D2912" s="2" t="s">
        <v>3429</v>
      </c>
      <c r="E2912" s="1">
        <v>1</v>
      </c>
      <c r="F2912" s="2" t="s">
        <v>3434</v>
      </c>
      <c r="G2912" s="1">
        <v>6</v>
      </c>
      <c r="H2912" s="1" t="str">
        <f t="shared" si="46"/>
        <v>k82_6</v>
      </c>
      <c r="K2912" s="1">
        <f>IF(E2912=0,SUMPRODUCT(($A$2:$A$4734=A2912)*($B$2:$B$4734=B2912)*($D$2:$D$4734=D2912)*($E$2:$E$4734=0)),0)</f>
        <v>0</v>
      </c>
      <c r="L2912" s="1" t="str">
        <f>IF(E2912=0,SUMPRODUCT(MIN($K$2:$K$4734+((($A$2:$A$4734&lt;&gt;A2912)+($E$2:$E$4734&lt;&gt;0))&gt;0)*1000000)),"")</f>
        <v/>
      </c>
      <c r="M2912" s="1">
        <f>IF(AND(E2912=0,COUNTIFS($A$2:A2912,A2912,$E$2:E2912,0)=1),L2912,0)</f>
        <v>0</v>
      </c>
    </row>
    <row r="2913" spans="1:13" ht="15" customHeight="1">
      <c r="A2913" s="1">
        <v>82</v>
      </c>
      <c r="B2913" s="1" t="s">
        <v>635</v>
      </c>
      <c r="C2913" s="2" t="s">
        <v>3423</v>
      </c>
      <c r="D2913" s="2" t="s">
        <v>3429</v>
      </c>
      <c r="E2913" s="1">
        <v>1</v>
      </c>
      <c r="F2913" s="2" t="s">
        <v>3434</v>
      </c>
      <c r="G2913" s="1">
        <v>5</v>
      </c>
      <c r="H2913" s="1" t="str">
        <f t="shared" si="46"/>
        <v>k82_5</v>
      </c>
      <c r="K2913" s="1">
        <f>IF(E2913=0,SUMPRODUCT(($A$2:$A$4734=A2913)*($B$2:$B$4734=B2913)*($D$2:$D$4734=D2913)*($E$2:$E$4734=0)),0)</f>
        <v>0</v>
      </c>
      <c r="L2913" s="1" t="str">
        <f>IF(E2913=0,SUMPRODUCT(MIN($K$2:$K$4734+((($A$2:$A$4734&lt;&gt;A2913)+($E$2:$E$4734&lt;&gt;0))&gt;0)*1000000)),"")</f>
        <v/>
      </c>
      <c r="M2913" s="1">
        <f>IF(AND(E2913=0,COUNTIFS($A$2:A2913,A2913,$E$2:E2913,0)=1),L2913,0)</f>
        <v>0</v>
      </c>
    </row>
    <row r="2914" spans="1:13" ht="15" customHeight="1">
      <c r="A2914" s="1">
        <v>82</v>
      </c>
      <c r="B2914" s="1" t="s">
        <v>167</v>
      </c>
      <c r="C2914" s="2" t="s">
        <v>3423</v>
      </c>
      <c r="D2914" s="1" t="s">
        <v>3435</v>
      </c>
      <c r="E2914" s="1">
        <v>1</v>
      </c>
      <c r="F2914" s="2" t="s">
        <v>3436</v>
      </c>
      <c r="G2914" s="1">
        <v>1</v>
      </c>
      <c r="H2914" s="1" t="str">
        <f t="shared" si="46"/>
        <v>k82_1</v>
      </c>
      <c r="K2914" s="1">
        <f>IF(E2914=0,SUMPRODUCT(($A$2:$A$4734=A2914)*($B$2:$B$4734=B2914)*($D$2:$D$4734=D2914)*($E$2:$E$4734=0)),0)</f>
        <v>0</v>
      </c>
      <c r="L2914" s="1" t="str">
        <f>IF(E2914=0,SUMPRODUCT(MIN($K$2:$K$4734+((($A$2:$A$4734&lt;&gt;A2914)+($E$2:$E$4734&lt;&gt;0))&gt;0)*1000000)),"")</f>
        <v/>
      </c>
      <c r="M2914" s="1">
        <f>IF(AND(E2914=0,COUNTIFS($A$2:A2914,A2914,$E$2:E2914,0)=1),L2914,0)</f>
        <v>0</v>
      </c>
    </row>
    <row r="2915" spans="1:13" ht="15" customHeight="1">
      <c r="A2915" s="1">
        <v>82</v>
      </c>
      <c r="B2915" s="1" t="s">
        <v>167</v>
      </c>
      <c r="C2915" s="2" t="s">
        <v>3423</v>
      </c>
      <c r="D2915" s="1" t="s">
        <v>3435</v>
      </c>
      <c r="E2915" s="1">
        <v>1</v>
      </c>
      <c r="F2915" s="2" t="s">
        <v>3437</v>
      </c>
      <c r="G2915" s="1">
        <v>2</v>
      </c>
      <c r="H2915" s="1" t="str">
        <f t="shared" si="46"/>
        <v>k82_2</v>
      </c>
      <c r="K2915" s="1">
        <f>IF(E2915=0,SUMPRODUCT(($A$2:$A$4734=A2915)*($B$2:$B$4734=B2915)*($D$2:$D$4734=D2915)*($E$2:$E$4734=0)),0)</f>
        <v>0</v>
      </c>
      <c r="L2915" s="1" t="str">
        <f>IF(E2915=0,SUMPRODUCT(MIN($K$2:$K$4734+((($A$2:$A$4734&lt;&gt;A2915)+($E$2:$E$4734&lt;&gt;0))&gt;0)*1000000)),"")</f>
        <v/>
      </c>
      <c r="M2915" s="1">
        <f>IF(AND(E2915=0,COUNTIFS($A$2:A2915,A2915,$E$2:E2915,0)=1),L2915,0)</f>
        <v>0</v>
      </c>
    </row>
    <row r="2916" spans="1:13" ht="15" customHeight="1">
      <c r="A2916" s="1">
        <v>82</v>
      </c>
      <c r="B2916" s="1" t="s">
        <v>167</v>
      </c>
      <c r="C2916" s="2" t="s">
        <v>3423</v>
      </c>
      <c r="D2916" s="1" t="s">
        <v>3435</v>
      </c>
      <c r="E2916" s="1">
        <v>1</v>
      </c>
      <c r="F2916" s="2" t="s">
        <v>3438</v>
      </c>
      <c r="G2916" s="1">
        <v>3</v>
      </c>
      <c r="H2916" s="1" t="str">
        <f t="shared" si="46"/>
        <v>k82_3</v>
      </c>
      <c r="K2916" s="1">
        <f>IF(E2916=0,SUMPRODUCT(($A$2:$A$4734=A2916)*($B$2:$B$4734=B2916)*($D$2:$D$4734=D2916)*($E$2:$E$4734=0)),0)</f>
        <v>0</v>
      </c>
      <c r="L2916" s="1" t="str">
        <f>IF(E2916=0,SUMPRODUCT(MIN($K$2:$K$4734+((($A$2:$A$4734&lt;&gt;A2916)+($E$2:$E$4734&lt;&gt;0))&gt;0)*1000000)),"")</f>
        <v/>
      </c>
      <c r="M2916" s="1">
        <f>IF(AND(E2916=0,COUNTIFS($A$2:A2916,A2916,$E$2:E2916,0)=1),L2916,0)</f>
        <v>0</v>
      </c>
    </row>
    <row r="2917" spans="1:13" ht="15" customHeight="1">
      <c r="A2917" s="1">
        <v>82</v>
      </c>
      <c r="B2917" s="1" t="s">
        <v>167</v>
      </c>
      <c r="C2917" s="2" t="s">
        <v>3423</v>
      </c>
      <c r="D2917" s="1" t="s">
        <v>3435</v>
      </c>
      <c r="E2917" s="1">
        <v>1</v>
      </c>
      <c r="F2917" s="2" t="s">
        <v>3439</v>
      </c>
      <c r="G2917" s="1">
        <v>4</v>
      </c>
      <c r="H2917" s="1" t="str">
        <f t="shared" si="46"/>
        <v>k82_4</v>
      </c>
      <c r="K2917" s="1">
        <f>IF(E2917=0,SUMPRODUCT(($A$2:$A$4734=A2917)*($B$2:$B$4734=B2917)*($D$2:$D$4734=D2917)*($E$2:$E$4734=0)),0)</f>
        <v>0</v>
      </c>
      <c r="L2917" s="1" t="str">
        <f>IF(E2917=0,SUMPRODUCT(MIN($K$2:$K$4734+((($A$2:$A$4734&lt;&gt;A2917)+($E$2:$E$4734&lt;&gt;0))&gt;0)*1000000)),"")</f>
        <v/>
      </c>
      <c r="M2917" s="1">
        <f>IF(AND(E2917=0,COUNTIFS($A$2:A2917,A2917,$E$2:E2917,0)=1),L2917,0)</f>
        <v>0</v>
      </c>
    </row>
    <row r="2918" spans="1:13" ht="15" customHeight="1">
      <c r="A2918" s="1">
        <v>82</v>
      </c>
      <c r="B2918" s="1" t="s">
        <v>167</v>
      </c>
      <c r="C2918" s="2" t="s">
        <v>3423</v>
      </c>
      <c r="D2918" s="1" t="s">
        <v>3435</v>
      </c>
      <c r="E2918" s="1">
        <v>1</v>
      </c>
      <c r="F2918" s="2" t="s">
        <v>3438</v>
      </c>
      <c r="G2918" s="1">
        <v>5</v>
      </c>
      <c r="H2918" s="1" t="str">
        <f t="shared" si="46"/>
        <v>k82_5</v>
      </c>
      <c r="K2918" s="1">
        <f>IF(E2918=0,SUMPRODUCT(($A$2:$A$4734=A2918)*($B$2:$B$4734=B2918)*($D$2:$D$4734=D2918)*($E$2:$E$4734=0)),0)</f>
        <v>0</v>
      </c>
      <c r="L2918" s="1" t="str">
        <f>IF(E2918=0,SUMPRODUCT(MIN($K$2:$K$4734+((($A$2:$A$4734&lt;&gt;A2918)+($E$2:$E$4734&lt;&gt;0))&gt;0)*1000000)),"")</f>
        <v/>
      </c>
      <c r="M2918" s="1">
        <f>IF(AND(E2918=0,COUNTIFS($A$2:A2918,A2918,$E$2:E2918,0)=1),L2918,0)</f>
        <v>0</v>
      </c>
    </row>
    <row r="2919" spans="1:13" ht="15" customHeight="1">
      <c r="A2919" s="1">
        <v>82</v>
      </c>
      <c r="B2919" s="1" t="s">
        <v>167</v>
      </c>
      <c r="C2919" s="2" t="s">
        <v>3423</v>
      </c>
      <c r="D2919" s="1" t="s">
        <v>3435</v>
      </c>
      <c r="E2919" s="1">
        <v>1</v>
      </c>
      <c r="F2919" s="2" t="s">
        <v>3439</v>
      </c>
      <c r="G2919" s="1">
        <v>6</v>
      </c>
      <c r="H2919" s="1" t="str">
        <f t="shared" si="46"/>
        <v>k82_6</v>
      </c>
      <c r="K2919" s="1">
        <f>IF(E2919=0,SUMPRODUCT(($A$2:$A$4734=A2919)*($B$2:$B$4734=B2919)*($D$2:$D$4734=D2919)*($E$2:$E$4734=0)),0)</f>
        <v>0</v>
      </c>
      <c r="L2919" s="1" t="str">
        <f>IF(E2919=0,SUMPRODUCT(MIN($K$2:$K$4734+((($A$2:$A$4734&lt;&gt;A2919)+($E$2:$E$4734&lt;&gt;0))&gt;0)*1000000)),"")</f>
        <v/>
      </c>
      <c r="M2919" s="1">
        <f>IF(AND(E2919=0,COUNTIFS($A$2:A2919,A2919,$E$2:E2919,0)=1),L2919,0)</f>
        <v>0</v>
      </c>
    </row>
    <row r="2920" spans="1:13" ht="15" customHeight="1">
      <c r="A2920" s="1">
        <v>82</v>
      </c>
      <c r="B2920" s="1" t="s">
        <v>1236</v>
      </c>
      <c r="C2920" s="2" t="s">
        <v>3423</v>
      </c>
      <c r="D2920" s="2" t="s">
        <v>3440</v>
      </c>
      <c r="E2920" s="1">
        <v>1</v>
      </c>
      <c r="F2920" s="2" t="s">
        <v>3441</v>
      </c>
      <c r="G2920" s="1">
        <v>1</v>
      </c>
      <c r="H2920" s="1" t="str">
        <f t="shared" si="46"/>
        <v>k82_1</v>
      </c>
      <c r="K2920" s="1">
        <f>IF(E2920=0,SUMPRODUCT(($A$2:$A$4734=A2920)*($B$2:$B$4734=B2920)*($D$2:$D$4734=D2920)*($E$2:$E$4734=0)),0)</f>
        <v>0</v>
      </c>
      <c r="L2920" s="1" t="str">
        <f>IF(E2920=0,SUMPRODUCT(MIN($K$2:$K$4734+((($A$2:$A$4734&lt;&gt;A2920)+($E$2:$E$4734&lt;&gt;0))&gt;0)*1000000)),"")</f>
        <v/>
      </c>
      <c r="M2920" s="1">
        <f>IF(AND(E2920=0,COUNTIFS($A$2:A2920,A2920,$E$2:E2920,0)=1),L2920,0)</f>
        <v>0</v>
      </c>
    </row>
    <row r="2921" spans="1:13" ht="15" customHeight="1">
      <c r="A2921" s="1">
        <v>82</v>
      </c>
      <c r="B2921" s="1" t="s">
        <v>1236</v>
      </c>
      <c r="C2921" s="2" t="s">
        <v>3423</v>
      </c>
      <c r="D2921" s="2" t="s">
        <v>3440</v>
      </c>
      <c r="E2921" s="1">
        <v>1</v>
      </c>
      <c r="F2921" s="2" t="s">
        <v>3442</v>
      </c>
      <c r="G2921" s="1">
        <v>2</v>
      </c>
      <c r="H2921" s="1" t="str">
        <f t="shared" si="46"/>
        <v>k82_2</v>
      </c>
      <c r="K2921" s="1">
        <f>IF(E2921=0,SUMPRODUCT(($A$2:$A$4734=A2921)*($B$2:$B$4734=B2921)*($D$2:$D$4734=D2921)*($E$2:$E$4734=0)),0)</f>
        <v>0</v>
      </c>
      <c r="L2921" s="1" t="str">
        <f>IF(E2921=0,SUMPRODUCT(MIN($K$2:$K$4734+((($A$2:$A$4734&lt;&gt;A2921)+($E$2:$E$4734&lt;&gt;0))&gt;0)*1000000)),"")</f>
        <v/>
      </c>
      <c r="M2921" s="1">
        <f>IF(AND(E2921=0,COUNTIFS($A$2:A2921,A2921,$E$2:E2921,0)=1),L2921,0)</f>
        <v>0</v>
      </c>
    </row>
    <row r="2922" spans="1:13" ht="15" customHeight="1">
      <c r="A2922" s="1">
        <v>82</v>
      </c>
      <c r="B2922" s="1" t="s">
        <v>1236</v>
      </c>
      <c r="C2922" s="2" t="s">
        <v>3423</v>
      </c>
      <c r="D2922" s="2" t="s">
        <v>3440</v>
      </c>
      <c r="E2922" s="1">
        <v>1</v>
      </c>
      <c r="F2922" s="2" t="s">
        <v>3443</v>
      </c>
      <c r="G2922" s="1">
        <v>3</v>
      </c>
      <c r="H2922" s="1" t="str">
        <f t="shared" si="46"/>
        <v>k82_3</v>
      </c>
      <c r="K2922" s="1">
        <f>IF(E2922=0,SUMPRODUCT(($A$2:$A$4734=A2922)*($B$2:$B$4734=B2922)*($D$2:$D$4734=D2922)*($E$2:$E$4734=0)),0)</f>
        <v>0</v>
      </c>
      <c r="L2922" s="1" t="str">
        <f>IF(E2922=0,SUMPRODUCT(MIN($K$2:$K$4734+((($A$2:$A$4734&lt;&gt;A2922)+($E$2:$E$4734&lt;&gt;0))&gt;0)*1000000)),"")</f>
        <v/>
      </c>
      <c r="M2922" s="1">
        <f>IF(AND(E2922=0,COUNTIFS($A$2:A2922,A2922,$E$2:E2922,0)=1),L2922,0)</f>
        <v>0</v>
      </c>
    </row>
    <row r="2923" spans="1:13" ht="15" customHeight="1">
      <c r="A2923" s="1">
        <v>82</v>
      </c>
      <c r="B2923" s="1" t="s">
        <v>1236</v>
      </c>
      <c r="C2923" s="2" t="s">
        <v>3423</v>
      </c>
      <c r="D2923" s="2" t="s">
        <v>3440</v>
      </c>
      <c r="E2923" s="1">
        <v>1</v>
      </c>
      <c r="F2923" s="2" t="s">
        <v>3444</v>
      </c>
      <c r="G2923" s="1">
        <v>4</v>
      </c>
      <c r="H2923" s="1" t="str">
        <f t="shared" si="46"/>
        <v>k82_4</v>
      </c>
      <c r="K2923" s="1">
        <f>IF(E2923=0,SUMPRODUCT(($A$2:$A$4734=A2923)*($B$2:$B$4734=B2923)*($D$2:$D$4734=D2923)*($E$2:$E$4734=0)),0)</f>
        <v>0</v>
      </c>
      <c r="L2923" s="1" t="str">
        <f>IF(E2923=0,SUMPRODUCT(MIN($K$2:$K$4734+((($A$2:$A$4734&lt;&gt;A2923)+($E$2:$E$4734&lt;&gt;0))&gt;0)*1000000)),"")</f>
        <v/>
      </c>
      <c r="M2923" s="1">
        <f>IF(AND(E2923=0,COUNTIFS($A$2:A2923,A2923,$E$2:E2923,0)=1),L2923,0)</f>
        <v>0</v>
      </c>
    </row>
    <row r="2924" spans="1:13" ht="15" customHeight="1">
      <c r="A2924" s="1">
        <v>82</v>
      </c>
      <c r="B2924" s="1" t="s">
        <v>1236</v>
      </c>
      <c r="C2924" s="2" t="s">
        <v>3423</v>
      </c>
      <c r="D2924" s="2" t="s">
        <v>3440</v>
      </c>
      <c r="E2924" s="1">
        <v>1</v>
      </c>
      <c r="F2924" s="2" t="s">
        <v>3445</v>
      </c>
      <c r="G2924" s="1">
        <v>5</v>
      </c>
      <c r="H2924" s="1" t="str">
        <f t="shared" si="46"/>
        <v>k82_5</v>
      </c>
      <c r="K2924" s="1">
        <f>IF(E2924=0,SUMPRODUCT(($A$2:$A$4734=A2924)*($B$2:$B$4734=B2924)*($D$2:$D$4734=D2924)*($E$2:$E$4734=0)),0)</f>
        <v>0</v>
      </c>
      <c r="L2924" s="1" t="str">
        <f>IF(E2924=0,SUMPRODUCT(MIN($K$2:$K$4734+((($A$2:$A$4734&lt;&gt;A2924)+($E$2:$E$4734&lt;&gt;0))&gt;0)*1000000)),"")</f>
        <v/>
      </c>
      <c r="M2924" s="1">
        <f>IF(AND(E2924=0,COUNTIFS($A$2:A2924,A2924,$E$2:E2924,0)=1),L2924,0)</f>
        <v>0</v>
      </c>
    </row>
    <row r="2925" spans="1:13" ht="15" customHeight="1">
      <c r="A2925" s="1">
        <v>82</v>
      </c>
      <c r="B2925" s="1" t="s">
        <v>1236</v>
      </c>
      <c r="C2925" s="2" t="s">
        <v>3423</v>
      </c>
      <c r="D2925" s="2" t="s">
        <v>3440</v>
      </c>
      <c r="E2925" s="1">
        <v>1</v>
      </c>
      <c r="F2925" s="2" t="s">
        <v>3446</v>
      </c>
      <c r="G2925" s="1">
        <v>6</v>
      </c>
      <c r="H2925" s="1" t="str">
        <f t="shared" si="46"/>
        <v>k82_6</v>
      </c>
      <c r="K2925" s="1">
        <f>IF(E2925=0,SUMPRODUCT(($A$2:$A$4734=A2925)*($B$2:$B$4734=B2925)*($D$2:$D$4734=D2925)*($E$2:$E$4734=0)),0)</f>
        <v>0</v>
      </c>
      <c r="L2925" s="1" t="str">
        <f>IF(E2925=0,SUMPRODUCT(MIN($K$2:$K$4734+((($A$2:$A$4734&lt;&gt;A2925)+($E$2:$E$4734&lt;&gt;0))&gt;0)*1000000)),"")</f>
        <v/>
      </c>
      <c r="M2925" s="1">
        <f>IF(AND(E2925=0,COUNTIFS($A$2:A2925,A2925,$E$2:E2925,0)=1),L2925,0)</f>
        <v>0</v>
      </c>
    </row>
    <row r="2926" spans="1:13" ht="15" customHeight="1">
      <c r="A2926" s="1">
        <v>83</v>
      </c>
      <c r="B2926" s="1" t="s">
        <v>9</v>
      </c>
      <c r="C2926" s="2" t="s">
        <v>3447</v>
      </c>
      <c r="D2926" s="2" t="s">
        <v>3448</v>
      </c>
      <c r="E2926" s="1">
        <v>0</v>
      </c>
      <c r="F2926" s="2" t="s">
        <v>3449</v>
      </c>
      <c r="H2926" s="1" t="str">
        <f t="shared" si="46"/>
        <v/>
      </c>
      <c r="K2926" s="1">
        <f>IF(E2926=0,SUMPRODUCT(($A$2:$A$4734=A2926)*($B$2:$B$4734=B2926)*($D$2:$D$4734=D2926)*($E$2:$E$4734=0)),0)</f>
        <v>5</v>
      </c>
      <c r="L2926" s="1">
        <f>IF(E2926=0,SUMPRODUCT(MIN($K$2:$K$4734+((($A$2:$A$4734&lt;&gt;A2926)+($E$2:$E$4734&lt;&gt;0))&gt;0)*1000000)),"")</f>
        <v>5</v>
      </c>
      <c r="M2926" s="1">
        <f>IF(AND(E2926=0,COUNTIFS($A$2:A2926,A2926,$E$2:E2926,0)=1),L2926,0)</f>
        <v>5</v>
      </c>
    </row>
    <row r="2927" spans="1:13" ht="15" customHeight="1">
      <c r="A2927" s="1">
        <v>83</v>
      </c>
      <c r="B2927" s="1" t="s">
        <v>9</v>
      </c>
      <c r="C2927" s="2" t="s">
        <v>3450</v>
      </c>
      <c r="D2927" s="2" t="s">
        <v>3448</v>
      </c>
      <c r="E2927" s="1">
        <v>0</v>
      </c>
      <c r="F2927" s="2" t="s">
        <v>3451</v>
      </c>
      <c r="H2927" s="1" t="str">
        <f t="shared" si="46"/>
        <v/>
      </c>
      <c r="K2927" s="1">
        <f>IF(E2927=0,SUMPRODUCT(($A$2:$A$4734=A2927)*($B$2:$B$4734=B2927)*($D$2:$D$4734=D2927)*($E$2:$E$4734=0)),0)</f>
        <v>5</v>
      </c>
      <c r="L2927" s="1">
        <f>IF(E2927=0,SUMPRODUCT(MIN($K$2:$K$4734+((($A$2:$A$4734&lt;&gt;A2927)+($E$2:$E$4734&lt;&gt;0))&gt;0)*1000000)),"")</f>
        <v>5</v>
      </c>
      <c r="M2927" s="1">
        <f>IF(AND(E2927=0,COUNTIFS($A$2:A2927,A2927,$E$2:E2927,0)=1),L2927,0)</f>
        <v>0</v>
      </c>
    </row>
    <row r="2928" spans="1:13" ht="15" customHeight="1">
      <c r="A2928" s="1">
        <v>83</v>
      </c>
      <c r="B2928" s="1" t="s">
        <v>9</v>
      </c>
      <c r="C2928" s="2" t="s">
        <v>3452</v>
      </c>
      <c r="D2928" s="2" t="s">
        <v>3448</v>
      </c>
      <c r="E2928" s="1">
        <v>0</v>
      </c>
      <c r="F2928" s="2" t="s">
        <v>3453</v>
      </c>
      <c r="H2928" s="1" t="str">
        <f t="shared" ref="H2928:H2985" si="47">IF(OR(E2928&lt;&gt;1,G2928=""),"","k"&amp;A2928&amp;"_"&amp;G2928)</f>
        <v/>
      </c>
      <c r="K2928" s="1">
        <f>IF(E2928=0,SUMPRODUCT(($A$2:$A$4734=A2928)*($B$2:$B$4734=B2928)*($D$2:$D$4734=D2928)*($E$2:$E$4734=0)),0)</f>
        <v>5</v>
      </c>
      <c r="L2928" s="1">
        <f>IF(E2928=0,SUMPRODUCT(MIN($K$2:$K$4734+((($A$2:$A$4734&lt;&gt;A2928)+($E$2:$E$4734&lt;&gt;0))&gt;0)*1000000)),"")</f>
        <v>5</v>
      </c>
      <c r="M2928" s="1">
        <f>IF(AND(E2928=0,COUNTIFS($A$2:A2928,A2928,$E$2:E2928,0)=1),L2928,0)</f>
        <v>0</v>
      </c>
    </row>
    <row r="2929" spans="1:13" ht="15" customHeight="1">
      <c r="A2929" s="1">
        <v>83</v>
      </c>
      <c r="B2929" s="1" t="s">
        <v>9</v>
      </c>
      <c r="C2929" s="2" t="s">
        <v>3454</v>
      </c>
      <c r="D2929" s="2" t="s">
        <v>3448</v>
      </c>
      <c r="E2929" s="1">
        <v>0</v>
      </c>
      <c r="F2929" s="2" t="s">
        <v>3455</v>
      </c>
      <c r="H2929" s="1" t="str">
        <f t="shared" si="47"/>
        <v/>
      </c>
      <c r="K2929" s="1">
        <f>IF(E2929=0,SUMPRODUCT(($A$2:$A$4734=A2929)*($B$2:$B$4734=B2929)*($D$2:$D$4734=D2929)*($E$2:$E$4734=0)),0)</f>
        <v>5</v>
      </c>
      <c r="L2929" s="1">
        <f>IF(E2929=0,SUMPRODUCT(MIN($K$2:$K$4734+((($A$2:$A$4734&lt;&gt;A2929)+($E$2:$E$4734&lt;&gt;0))&gt;0)*1000000)),"")</f>
        <v>5</v>
      </c>
      <c r="M2929" s="1">
        <f>IF(AND(E2929=0,COUNTIFS($A$2:A2929,A2929,$E$2:E2929,0)=1),L2929,0)</f>
        <v>0</v>
      </c>
    </row>
    <row r="2930" spans="1:13" ht="15" customHeight="1">
      <c r="A2930" s="1">
        <v>83</v>
      </c>
      <c r="B2930" s="1" t="s">
        <v>9</v>
      </c>
      <c r="C2930" s="2" t="s">
        <v>3456</v>
      </c>
      <c r="D2930" s="2" t="s">
        <v>3448</v>
      </c>
      <c r="E2930" s="1">
        <v>0</v>
      </c>
      <c r="F2930" s="2" t="s">
        <v>3457</v>
      </c>
      <c r="H2930" s="1" t="str">
        <f t="shared" si="47"/>
        <v/>
      </c>
      <c r="K2930" s="1">
        <f>IF(E2930=0,SUMPRODUCT(($A$2:$A$4734=A2930)*($B$2:$B$4734=B2930)*($D$2:$D$4734=D2930)*($E$2:$E$4734=0)),0)</f>
        <v>5</v>
      </c>
      <c r="L2930" s="1">
        <f>IF(E2930=0,SUMPRODUCT(MIN($K$2:$K$4734+((($A$2:$A$4734&lt;&gt;A2930)+($E$2:$E$4734&lt;&gt;0))&gt;0)*1000000)),"")</f>
        <v>5</v>
      </c>
      <c r="M2930" s="1">
        <f>IF(AND(E2930=0,COUNTIFS($A$2:A2930,A2930,$E$2:E2930,0)=1),L2930,0)</f>
        <v>0</v>
      </c>
    </row>
    <row r="2931" spans="1:13" ht="15" customHeight="1">
      <c r="A2931" s="1">
        <v>84</v>
      </c>
      <c r="B2931" s="1" t="s">
        <v>9</v>
      </c>
      <c r="C2931" s="2" t="s">
        <v>3458</v>
      </c>
      <c r="D2931" s="2" t="s">
        <v>3154</v>
      </c>
      <c r="E2931" s="1">
        <v>0</v>
      </c>
      <c r="F2931" s="2" t="s">
        <v>3459</v>
      </c>
      <c r="H2931" s="1" t="str">
        <f t="shared" si="47"/>
        <v/>
      </c>
      <c r="K2931" s="1">
        <f>IF(E2931=0,SUMPRODUCT(($A$2:$A$4734=A2931)*($B$2:$B$4734=B2931)*($D$2:$D$4734=D2931)*($E$2:$E$4734=0)),0)</f>
        <v>3</v>
      </c>
      <c r="L2931" s="1">
        <f>IF(E2931=0,SUMPRODUCT(MIN($K$2:$K$4734+((($A$2:$A$4734&lt;&gt;A2931)+($E$2:$E$4734&lt;&gt;0))&gt;0)*1000000)),"")</f>
        <v>3</v>
      </c>
      <c r="M2931" s="1">
        <f>IF(AND(E2931=0,COUNTIFS($A$2:A2931,A2931,$E$2:E2931,0)=1),L2931,0)</f>
        <v>3</v>
      </c>
    </row>
    <row r="2932" spans="1:13" ht="15" customHeight="1">
      <c r="A2932" s="1">
        <v>84</v>
      </c>
      <c r="B2932" s="1" t="s">
        <v>9</v>
      </c>
      <c r="C2932" s="2" t="s">
        <v>3458</v>
      </c>
      <c r="D2932" s="2" t="s">
        <v>3154</v>
      </c>
      <c r="E2932" s="1">
        <v>0</v>
      </c>
      <c r="F2932" s="2" t="s">
        <v>3460</v>
      </c>
      <c r="H2932" s="1" t="str">
        <f t="shared" si="47"/>
        <v/>
      </c>
      <c r="K2932" s="1">
        <f>IF(E2932=0,SUMPRODUCT(($A$2:$A$4734=A2932)*($B$2:$B$4734=B2932)*($D$2:$D$4734=D2932)*($E$2:$E$4734=0)),0)</f>
        <v>3</v>
      </c>
      <c r="L2932" s="1">
        <f>IF(E2932=0,SUMPRODUCT(MIN($K$2:$K$4734+((($A$2:$A$4734&lt;&gt;A2932)+($E$2:$E$4734&lt;&gt;0))&gt;0)*1000000)),"")</f>
        <v>3</v>
      </c>
      <c r="M2932" s="1">
        <f>IF(AND(E2932=0,COUNTIFS($A$2:A2932,A2932,$E$2:E2932,0)=1),L2932,0)</f>
        <v>0</v>
      </c>
    </row>
    <row r="2933" spans="1:13" ht="15" customHeight="1">
      <c r="A2933" s="1">
        <v>84</v>
      </c>
      <c r="B2933" s="1" t="s">
        <v>9</v>
      </c>
      <c r="C2933" s="2" t="s">
        <v>3458</v>
      </c>
      <c r="D2933" s="2" t="s">
        <v>3154</v>
      </c>
      <c r="E2933" s="1">
        <v>0</v>
      </c>
      <c r="F2933" s="2" t="s">
        <v>3461</v>
      </c>
      <c r="H2933" s="1" t="str">
        <f t="shared" si="47"/>
        <v/>
      </c>
      <c r="K2933" s="1">
        <f>IF(E2933=0,SUMPRODUCT(($A$2:$A$4734=A2933)*($B$2:$B$4734=B2933)*($D$2:$D$4734=D2933)*($E$2:$E$4734=0)),0)</f>
        <v>3</v>
      </c>
      <c r="L2933" s="1">
        <f>IF(E2933=0,SUMPRODUCT(MIN($K$2:$K$4734+((($A$2:$A$4734&lt;&gt;A2933)+($E$2:$E$4734&lt;&gt;0))&gt;0)*1000000)),"")</f>
        <v>3</v>
      </c>
      <c r="M2933" s="1">
        <f>IF(AND(E2933=0,COUNTIFS($A$2:A2933,A2933,$E$2:E2933,0)=1),L2933,0)</f>
        <v>0</v>
      </c>
    </row>
    <row r="2934" spans="1:13" ht="15" customHeight="1">
      <c r="A2934" s="1">
        <v>85</v>
      </c>
      <c r="B2934" s="1" t="s">
        <v>16</v>
      </c>
      <c r="C2934" s="2" t="s">
        <v>3462</v>
      </c>
      <c r="D2934" s="2" t="s">
        <v>3463</v>
      </c>
      <c r="E2934" s="1">
        <v>0</v>
      </c>
      <c r="F2934" s="2" t="s">
        <v>3464</v>
      </c>
      <c r="H2934" s="1" t="str">
        <f t="shared" si="47"/>
        <v/>
      </c>
      <c r="K2934" s="1">
        <f>IF(E2934=0,SUMPRODUCT(($A$2:$A$4734=A2934)*($B$2:$B$4734=B2934)*($D$2:$D$4734=D2934)*($E$2:$E$4734=0)),0)</f>
        <v>3</v>
      </c>
      <c r="L2934" s="1">
        <f>IF(E2934=0,SUMPRODUCT(MIN($K$2:$K$4734+((($A$2:$A$4734&lt;&gt;A2934)+($E$2:$E$4734&lt;&gt;0))&gt;0)*1000000)),"")</f>
        <v>3</v>
      </c>
      <c r="M2934" s="1">
        <f>IF(AND(E2934=0,COUNTIFS($A$2:A2934,A2934,$E$2:E2934,0)=1),L2934,0)</f>
        <v>3</v>
      </c>
    </row>
    <row r="2935" spans="1:13" ht="15" customHeight="1">
      <c r="A2935" s="1">
        <v>85</v>
      </c>
      <c r="B2935" s="1" t="s">
        <v>16</v>
      </c>
      <c r="C2935" s="2" t="s">
        <v>3462</v>
      </c>
      <c r="D2935" s="2" t="s">
        <v>3463</v>
      </c>
      <c r="E2935" s="1">
        <v>0</v>
      </c>
      <c r="F2935" s="2" t="s">
        <v>3465</v>
      </c>
      <c r="H2935" s="1" t="str">
        <f t="shared" si="47"/>
        <v/>
      </c>
      <c r="K2935" s="1">
        <f>IF(E2935=0,SUMPRODUCT(($A$2:$A$4734=A2935)*($B$2:$B$4734=B2935)*($D$2:$D$4734=D2935)*($E$2:$E$4734=0)),0)</f>
        <v>3</v>
      </c>
      <c r="L2935" s="1">
        <f>IF(E2935=0,SUMPRODUCT(MIN($K$2:$K$4734+((($A$2:$A$4734&lt;&gt;A2935)+($E$2:$E$4734&lt;&gt;0))&gt;0)*1000000)),"")</f>
        <v>3</v>
      </c>
      <c r="M2935" s="1">
        <f>IF(AND(E2935=0,COUNTIFS($A$2:A2935,A2935,$E$2:E2935,0)=1),L2935,0)</f>
        <v>0</v>
      </c>
    </row>
    <row r="2936" spans="1:13" ht="15" customHeight="1">
      <c r="A2936" s="1">
        <v>85</v>
      </c>
      <c r="B2936" s="1" t="s">
        <v>16</v>
      </c>
      <c r="C2936" s="2" t="s">
        <v>3462</v>
      </c>
      <c r="D2936" s="2" t="s">
        <v>3463</v>
      </c>
      <c r="E2936" s="1">
        <v>0</v>
      </c>
      <c r="F2936" s="2" t="s">
        <v>3466</v>
      </c>
      <c r="H2936" s="1" t="str">
        <f t="shared" si="47"/>
        <v/>
      </c>
      <c r="K2936" s="1">
        <f>IF(E2936=0,SUMPRODUCT(($A$2:$A$4734=A2936)*($B$2:$B$4734=B2936)*($D$2:$D$4734=D2936)*($E$2:$E$4734=0)),0)</f>
        <v>3</v>
      </c>
      <c r="L2936" s="1">
        <f>IF(E2936=0,SUMPRODUCT(MIN($K$2:$K$4734+((($A$2:$A$4734&lt;&gt;A2936)+($E$2:$E$4734&lt;&gt;0))&gt;0)*1000000)),"")</f>
        <v>3</v>
      </c>
      <c r="M2936" s="1">
        <f>IF(AND(E2936=0,COUNTIFS($A$2:A2936,A2936,$E$2:E2936,0)=1),L2936,0)</f>
        <v>0</v>
      </c>
    </row>
    <row r="2937" spans="1:13" ht="15" customHeight="1">
      <c r="A2937" s="1">
        <v>86</v>
      </c>
      <c r="B2937" s="1" t="s">
        <v>9</v>
      </c>
      <c r="C2937" s="2" t="s">
        <v>3467</v>
      </c>
      <c r="D2937" s="2" t="s">
        <v>3468</v>
      </c>
      <c r="E2937" s="1">
        <v>0</v>
      </c>
      <c r="F2937" s="2" t="s">
        <v>3469</v>
      </c>
      <c r="H2937" s="1" t="str">
        <f t="shared" si="47"/>
        <v/>
      </c>
      <c r="K2937" s="1">
        <f>IF(E2937=0,SUMPRODUCT(($A$2:$A$4734=A2937)*($B$2:$B$4734=B2937)*($D$2:$D$4734=D2937)*($E$2:$E$4734=0)),0)</f>
        <v>2</v>
      </c>
      <c r="L2937" s="1">
        <f>IF(E2937=0,SUMPRODUCT(MIN($K$2:$K$4734+((($A$2:$A$4734&lt;&gt;A2937)+($E$2:$E$4734&lt;&gt;0))&gt;0)*1000000)),"")</f>
        <v>2</v>
      </c>
      <c r="M2937" s="1">
        <f>IF(AND(E2937=0,COUNTIFS($A$2:A2937,A2937,$E$2:E2937,0)=1),L2937,0)</f>
        <v>2</v>
      </c>
    </row>
    <row r="2938" spans="1:13" ht="15" customHeight="1">
      <c r="A2938" s="1">
        <v>86</v>
      </c>
      <c r="B2938" s="1" t="s">
        <v>9</v>
      </c>
      <c r="C2938" s="2" t="s">
        <v>3467</v>
      </c>
      <c r="D2938" s="2" t="s">
        <v>3468</v>
      </c>
      <c r="E2938" s="1">
        <v>0</v>
      </c>
      <c r="F2938" s="2" t="s">
        <v>3470</v>
      </c>
      <c r="H2938" s="1" t="str">
        <f t="shared" si="47"/>
        <v/>
      </c>
      <c r="K2938" s="1">
        <f>IF(E2938=0,SUMPRODUCT(($A$2:$A$4734=A2938)*($B$2:$B$4734=B2938)*($D$2:$D$4734=D2938)*($E$2:$E$4734=0)),0)</f>
        <v>2</v>
      </c>
      <c r="L2938" s="1">
        <f>IF(E2938=0,SUMPRODUCT(MIN($K$2:$K$4734+((($A$2:$A$4734&lt;&gt;A2938)+($E$2:$E$4734&lt;&gt;0))&gt;0)*1000000)),"")</f>
        <v>2</v>
      </c>
      <c r="M2938" s="1">
        <f>IF(AND(E2938=0,COUNTIFS($A$2:A2938,A2938,$E$2:E2938,0)=1),L2938,0)</f>
        <v>0</v>
      </c>
    </row>
    <row r="2939" spans="1:13" ht="15" customHeight="1">
      <c r="A2939" s="1">
        <v>86</v>
      </c>
      <c r="B2939" s="1" t="s">
        <v>16</v>
      </c>
      <c r="C2939" s="2" t="s">
        <v>3467</v>
      </c>
      <c r="D2939" s="2" t="s">
        <v>3471</v>
      </c>
      <c r="E2939" s="1">
        <v>0</v>
      </c>
      <c r="F2939" s="2" t="s">
        <v>3472</v>
      </c>
      <c r="H2939" s="1" t="str">
        <f t="shared" si="47"/>
        <v/>
      </c>
      <c r="K2939" s="1">
        <f>IF(E2939=0,SUMPRODUCT(($A$2:$A$4734=A2939)*($B$2:$B$4734=B2939)*($D$2:$D$4734=D2939)*($E$2:$E$4734=0)),0)</f>
        <v>6</v>
      </c>
      <c r="L2939" s="1">
        <f>IF(E2939=0,SUMPRODUCT(MIN($K$2:$K$4734+((($A$2:$A$4734&lt;&gt;A2939)+($E$2:$E$4734&lt;&gt;0))&gt;0)*1000000)),"")</f>
        <v>2</v>
      </c>
      <c r="M2939" s="1">
        <f>IF(AND(E2939=0,COUNTIFS($A$2:A2939,A2939,$E$2:E2939,0)=1),L2939,0)</f>
        <v>0</v>
      </c>
    </row>
    <row r="2940" spans="1:13" ht="15" customHeight="1">
      <c r="A2940" s="1">
        <v>86</v>
      </c>
      <c r="B2940" s="1" t="s">
        <v>16</v>
      </c>
      <c r="C2940" s="2" t="s">
        <v>3467</v>
      </c>
      <c r="D2940" s="2" t="s">
        <v>3471</v>
      </c>
      <c r="E2940" s="1">
        <v>0</v>
      </c>
      <c r="F2940" s="2" t="s">
        <v>3473</v>
      </c>
      <c r="H2940" s="1" t="str">
        <f t="shared" si="47"/>
        <v/>
      </c>
      <c r="K2940" s="1">
        <f>IF(E2940=0,SUMPRODUCT(($A$2:$A$4734=A2940)*($B$2:$B$4734=B2940)*($D$2:$D$4734=D2940)*($E$2:$E$4734=0)),0)</f>
        <v>6</v>
      </c>
      <c r="L2940" s="1">
        <f>IF(E2940=0,SUMPRODUCT(MIN($K$2:$K$4734+((($A$2:$A$4734&lt;&gt;A2940)+($E$2:$E$4734&lt;&gt;0))&gt;0)*1000000)),"")</f>
        <v>2</v>
      </c>
      <c r="M2940" s="1">
        <f>IF(AND(E2940=0,COUNTIFS($A$2:A2940,A2940,$E$2:E2940,0)=1),L2940,0)</f>
        <v>0</v>
      </c>
    </row>
    <row r="2941" spans="1:13" ht="15" customHeight="1">
      <c r="A2941" s="1">
        <v>86</v>
      </c>
      <c r="B2941" s="1" t="s">
        <v>16</v>
      </c>
      <c r="C2941" s="2" t="s">
        <v>3467</v>
      </c>
      <c r="D2941" s="2" t="s">
        <v>3471</v>
      </c>
      <c r="E2941" s="1">
        <v>0</v>
      </c>
      <c r="F2941" s="2" t="s">
        <v>3474</v>
      </c>
      <c r="H2941" s="1" t="str">
        <f t="shared" si="47"/>
        <v/>
      </c>
      <c r="K2941" s="1">
        <f>IF(E2941=0,SUMPRODUCT(($A$2:$A$4734=A2941)*($B$2:$B$4734=B2941)*($D$2:$D$4734=D2941)*($E$2:$E$4734=0)),0)</f>
        <v>6</v>
      </c>
      <c r="L2941" s="1">
        <f>IF(E2941=0,SUMPRODUCT(MIN($K$2:$K$4734+((($A$2:$A$4734&lt;&gt;A2941)+($E$2:$E$4734&lt;&gt;0))&gt;0)*1000000)),"")</f>
        <v>2</v>
      </c>
      <c r="M2941" s="1">
        <f>IF(AND(E2941=0,COUNTIFS($A$2:A2941,A2941,$E$2:E2941,0)=1),L2941,0)</f>
        <v>0</v>
      </c>
    </row>
    <row r="2942" spans="1:13" ht="15" customHeight="1">
      <c r="A2942" s="1">
        <v>86</v>
      </c>
      <c r="B2942" s="1" t="s">
        <v>16</v>
      </c>
      <c r="C2942" s="2" t="s">
        <v>3467</v>
      </c>
      <c r="D2942" s="2" t="s">
        <v>3471</v>
      </c>
      <c r="E2942" s="1">
        <v>0</v>
      </c>
      <c r="F2942" s="2" t="s">
        <v>3475</v>
      </c>
      <c r="H2942" s="1" t="str">
        <f t="shared" si="47"/>
        <v/>
      </c>
      <c r="K2942" s="1">
        <f>IF(E2942=0,SUMPRODUCT(($A$2:$A$4734=A2942)*($B$2:$B$4734=B2942)*($D$2:$D$4734=D2942)*($E$2:$E$4734=0)),0)</f>
        <v>6</v>
      </c>
      <c r="L2942" s="1">
        <f>IF(E2942=0,SUMPRODUCT(MIN($K$2:$K$4734+((($A$2:$A$4734&lt;&gt;A2942)+($E$2:$E$4734&lt;&gt;0))&gt;0)*1000000)),"")</f>
        <v>2</v>
      </c>
      <c r="M2942" s="1">
        <f>IF(AND(E2942=0,COUNTIFS($A$2:A2942,A2942,$E$2:E2942,0)=1),L2942,0)</f>
        <v>0</v>
      </c>
    </row>
    <row r="2943" spans="1:13" ht="15" customHeight="1">
      <c r="A2943" s="1">
        <v>86</v>
      </c>
      <c r="B2943" s="1" t="s">
        <v>16</v>
      </c>
      <c r="C2943" s="2" t="s">
        <v>3467</v>
      </c>
      <c r="D2943" s="2" t="s">
        <v>3471</v>
      </c>
      <c r="E2943" s="1">
        <v>0</v>
      </c>
      <c r="F2943" s="2" t="s">
        <v>3476</v>
      </c>
      <c r="H2943" s="1" t="str">
        <f t="shared" si="47"/>
        <v/>
      </c>
      <c r="K2943" s="1">
        <f>IF(E2943=0,SUMPRODUCT(($A$2:$A$4734=A2943)*($B$2:$B$4734=B2943)*($D$2:$D$4734=D2943)*($E$2:$E$4734=0)),0)</f>
        <v>6</v>
      </c>
      <c r="L2943" s="1">
        <f>IF(E2943=0,SUMPRODUCT(MIN($K$2:$K$4734+((($A$2:$A$4734&lt;&gt;A2943)+($E$2:$E$4734&lt;&gt;0))&gt;0)*1000000)),"")</f>
        <v>2</v>
      </c>
      <c r="M2943" s="1">
        <f>IF(AND(E2943=0,COUNTIFS($A$2:A2943,A2943,$E$2:E2943,0)=1),L2943,0)</f>
        <v>0</v>
      </c>
    </row>
    <row r="2944" spans="1:13" ht="15" customHeight="1">
      <c r="A2944" s="1">
        <v>86</v>
      </c>
      <c r="B2944" s="1" t="s">
        <v>16</v>
      </c>
      <c r="C2944" s="2" t="s">
        <v>3467</v>
      </c>
      <c r="D2944" s="2" t="s">
        <v>3471</v>
      </c>
      <c r="E2944" s="1">
        <v>0</v>
      </c>
      <c r="F2944" s="2" t="s">
        <v>3477</v>
      </c>
      <c r="H2944" s="1" t="str">
        <f t="shared" si="47"/>
        <v/>
      </c>
      <c r="K2944" s="1">
        <f>IF(E2944=0,SUMPRODUCT(($A$2:$A$4734=A2944)*($B$2:$B$4734=B2944)*($D$2:$D$4734=D2944)*($E$2:$E$4734=0)),0)</f>
        <v>6</v>
      </c>
      <c r="L2944" s="1">
        <f>IF(E2944=0,SUMPRODUCT(MIN($K$2:$K$4734+((($A$2:$A$4734&lt;&gt;A2944)+($E$2:$E$4734&lt;&gt;0))&gt;0)*1000000)),"")</f>
        <v>2</v>
      </c>
      <c r="M2944" s="1">
        <f>IF(AND(E2944=0,COUNTIFS($A$2:A2944,A2944,$E$2:E2944,0)=1),L2944,0)</f>
        <v>0</v>
      </c>
    </row>
    <row r="2945" spans="1:13" ht="15" customHeight="1">
      <c r="A2945" s="1">
        <v>86</v>
      </c>
      <c r="B2945" s="1" t="s">
        <v>9</v>
      </c>
      <c r="C2945" s="2" t="s">
        <v>3467</v>
      </c>
      <c r="D2945" s="2" t="s">
        <v>3478</v>
      </c>
      <c r="E2945" s="1">
        <v>0</v>
      </c>
      <c r="F2945" s="2" t="s">
        <v>3479</v>
      </c>
      <c r="H2945" s="1" t="str">
        <f t="shared" si="47"/>
        <v/>
      </c>
      <c r="K2945" s="1">
        <f>IF(E2945=0,SUMPRODUCT(($A$2:$A$4734=A2945)*($B$2:$B$4734=B2945)*($D$2:$D$4734=D2945)*($E$2:$E$4734=0)),0)</f>
        <v>6</v>
      </c>
      <c r="L2945" s="1">
        <f>IF(E2945=0,SUMPRODUCT(MIN($K$2:$K$4734+((($A$2:$A$4734&lt;&gt;A2945)+($E$2:$E$4734&lt;&gt;0))&gt;0)*1000000)),"")</f>
        <v>2</v>
      </c>
      <c r="M2945" s="1">
        <f>IF(AND(E2945=0,COUNTIFS($A$2:A2945,A2945,$E$2:E2945,0)=1),L2945,0)</f>
        <v>0</v>
      </c>
    </row>
    <row r="2946" spans="1:13" ht="15" customHeight="1">
      <c r="A2946" s="1">
        <v>86</v>
      </c>
      <c r="B2946" s="1" t="s">
        <v>9</v>
      </c>
      <c r="C2946" s="2" t="s">
        <v>3467</v>
      </c>
      <c r="D2946" s="2" t="s">
        <v>3478</v>
      </c>
      <c r="E2946" s="1">
        <v>0</v>
      </c>
      <c r="F2946" s="2" t="s">
        <v>3480</v>
      </c>
      <c r="H2946" s="1" t="str">
        <f t="shared" si="47"/>
        <v/>
      </c>
      <c r="K2946" s="1">
        <f>IF(E2946=0,SUMPRODUCT(($A$2:$A$4734=A2946)*($B$2:$B$4734=B2946)*($D$2:$D$4734=D2946)*($E$2:$E$4734=0)),0)</f>
        <v>6</v>
      </c>
      <c r="L2946" s="1">
        <f>IF(E2946=0,SUMPRODUCT(MIN($K$2:$K$4734+((($A$2:$A$4734&lt;&gt;A2946)+($E$2:$E$4734&lt;&gt;0))&gt;0)*1000000)),"")</f>
        <v>2</v>
      </c>
      <c r="M2946" s="1">
        <f>IF(AND(E2946=0,COUNTIFS($A$2:A2946,A2946,$E$2:E2946,0)=1),L2946,0)</f>
        <v>0</v>
      </c>
    </row>
    <row r="2947" spans="1:13" ht="15" customHeight="1">
      <c r="A2947" s="1">
        <v>86</v>
      </c>
      <c r="B2947" s="1" t="s">
        <v>9</v>
      </c>
      <c r="C2947" s="2" t="s">
        <v>3467</v>
      </c>
      <c r="D2947" s="2" t="s">
        <v>3478</v>
      </c>
      <c r="E2947" s="1">
        <v>0</v>
      </c>
      <c r="F2947" s="2" t="s">
        <v>3481</v>
      </c>
      <c r="H2947" s="1" t="str">
        <f t="shared" si="47"/>
        <v/>
      </c>
      <c r="K2947" s="1">
        <f>IF(E2947=0,SUMPRODUCT(($A$2:$A$4734=A2947)*($B$2:$B$4734=B2947)*($D$2:$D$4734=D2947)*($E$2:$E$4734=0)),0)</f>
        <v>6</v>
      </c>
      <c r="L2947" s="1">
        <f>IF(E2947=0,SUMPRODUCT(MIN($K$2:$K$4734+((($A$2:$A$4734&lt;&gt;A2947)+($E$2:$E$4734&lt;&gt;0))&gt;0)*1000000)),"")</f>
        <v>2</v>
      </c>
      <c r="M2947" s="1">
        <f>IF(AND(E2947=0,COUNTIFS($A$2:A2947,A2947,$E$2:E2947,0)=1),L2947,0)</f>
        <v>0</v>
      </c>
    </row>
    <row r="2948" spans="1:13" ht="15" customHeight="1">
      <c r="A2948" s="1">
        <v>86</v>
      </c>
      <c r="B2948" s="1" t="s">
        <v>9</v>
      </c>
      <c r="C2948" s="2" t="s">
        <v>3467</v>
      </c>
      <c r="D2948" s="2" t="s">
        <v>3478</v>
      </c>
      <c r="E2948" s="1">
        <v>0</v>
      </c>
      <c r="F2948" s="2" t="s">
        <v>3482</v>
      </c>
      <c r="H2948" s="1" t="str">
        <f t="shared" si="47"/>
        <v/>
      </c>
      <c r="K2948" s="1">
        <f>IF(E2948=0,SUMPRODUCT(($A$2:$A$4734=A2948)*($B$2:$B$4734=B2948)*($D$2:$D$4734=D2948)*($E$2:$E$4734=0)),0)</f>
        <v>6</v>
      </c>
      <c r="L2948" s="1">
        <f>IF(E2948=0,SUMPRODUCT(MIN($K$2:$K$4734+((($A$2:$A$4734&lt;&gt;A2948)+($E$2:$E$4734&lt;&gt;0))&gt;0)*1000000)),"")</f>
        <v>2</v>
      </c>
      <c r="M2948" s="1">
        <f>IF(AND(E2948=0,COUNTIFS($A$2:A2948,A2948,$E$2:E2948,0)=1),L2948,0)</f>
        <v>0</v>
      </c>
    </row>
    <row r="2949" spans="1:13" ht="15" customHeight="1">
      <c r="A2949" s="1">
        <v>86</v>
      </c>
      <c r="B2949" s="1" t="s">
        <v>9</v>
      </c>
      <c r="C2949" s="2" t="s">
        <v>3467</v>
      </c>
      <c r="D2949" s="2" t="s">
        <v>3478</v>
      </c>
      <c r="E2949" s="1">
        <v>0</v>
      </c>
      <c r="F2949" s="2" t="s">
        <v>3483</v>
      </c>
      <c r="H2949" s="1" t="str">
        <f t="shared" si="47"/>
        <v/>
      </c>
      <c r="K2949" s="1">
        <f>IF(E2949=0,SUMPRODUCT(($A$2:$A$4734=A2949)*($B$2:$B$4734=B2949)*($D$2:$D$4734=D2949)*($E$2:$E$4734=0)),0)</f>
        <v>6</v>
      </c>
      <c r="L2949" s="1">
        <f>IF(E2949=0,SUMPRODUCT(MIN($K$2:$K$4734+((($A$2:$A$4734&lt;&gt;A2949)+($E$2:$E$4734&lt;&gt;0))&gt;0)*1000000)),"")</f>
        <v>2</v>
      </c>
      <c r="M2949" s="1">
        <f>IF(AND(E2949=0,COUNTIFS($A$2:A2949,A2949,$E$2:E2949,0)=1),L2949,0)</f>
        <v>0</v>
      </c>
    </row>
    <row r="2950" spans="1:13" ht="15" customHeight="1">
      <c r="A2950" s="1">
        <v>86</v>
      </c>
      <c r="B2950" s="1" t="s">
        <v>9</v>
      </c>
      <c r="C2950" s="2" t="s">
        <v>3467</v>
      </c>
      <c r="D2950" s="2" t="s">
        <v>3478</v>
      </c>
      <c r="E2950" s="1">
        <v>0</v>
      </c>
      <c r="F2950" s="2" t="s">
        <v>3484</v>
      </c>
      <c r="H2950" s="1" t="str">
        <f t="shared" si="47"/>
        <v/>
      </c>
      <c r="K2950" s="1">
        <f>IF(E2950=0,SUMPRODUCT(($A$2:$A$4734=A2950)*($B$2:$B$4734=B2950)*($D$2:$D$4734=D2950)*($E$2:$E$4734=0)),0)</f>
        <v>6</v>
      </c>
      <c r="L2950" s="1">
        <f>IF(E2950=0,SUMPRODUCT(MIN($K$2:$K$4734+((($A$2:$A$4734&lt;&gt;A2950)+($E$2:$E$4734&lt;&gt;0))&gt;0)*1000000)),"")</f>
        <v>2</v>
      </c>
      <c r="M2950" s="1">
        <f>IF(AND(E2950=0,COUNTIFS($A$2:A2950,A2950,$E$2:E2950,0)=1),L2950,0)</f>
        <v>0</v>
      </c>
    </row>
    <row r="2951" spans="1:13" ht="15" customHeight="1">
      <c r="A2951" s="1">
        <v>87</v>
      </c>
      <c r="B2951" s="1" t="s">
        <v>9</v>
      </c>
      <c r="C2951" s="2" t="s">
        <v>3485</v>
      </c>
      <c r="D2951" s="2" t="s">
        <v>3486</v>
      </c>
      <c r="E2951" s="1">
        <v>0</v>
      </c>
      <c r="F2951" s="2" t="s">
        <v>3487</v>
      </c>
      <c r="H2951" s="1" t="str">
        <f t="shared" si="47"/>
        <v/>
      </c>
      <c r="K2951" s="1">
        <f>IF(E2951=0,SUMPRODUCT(($A$2:$A$4734=A2951)*($B$2:$B$4734=B2951)*($D$2:$D$4734=D2951)*($E$2:$E$4734=0)),0)</f>
        <v>6</v>
      </c>
      <c r="L2951" s="1">
        <f>IF(E2951=0,SUMPRODUCT(MIN($K$2:$K$4734+((($A$2:$A$4734&lt;&gt;A2951)+($E$2:$E$4734&lt;&gt;0))&gt;0)*1000000)),"")</f>
        <v>3</v>
      </c>
      <c r="M2951" s="1">
        <f>IF(AND(E2951=0,COUNTIFS($A$2:A2951,A2951,$E$2:E2951,0)=1),L2951,0)</f>
        <v>3</v>
      </c>
    </row>
    <row r="2952" spans="1:13" ht="15" customHeight="1">
      <c r="A2952" s="1">
        <v>87</v>
      </c>
      <c r="B2952" s="1" t="s">
        <v>9</v>
      </c>
      <c r="C2952" s="2" t="s">
        <v>3485</v>
      </c>
      <c r="D2952" s="2" t="s">
        <v>3486</v>
      </c>
      <c r="E2952" s="1">
        <v>0</v>
      </c>
      <c r="F2952" s="2" t="s">
        <v>3488</v>
      </c>
      <c r="H2952" s="1" t="str">
        <f t="shared" si="47"/>
        <v/>
      </c>
      <c r="K2952" s="1">
        <f>IF(E2952=0,SUMPRODUCT(($A$2:$A$4734=A2952)*($B$2:$B$4734=B2952)*($D$2:$D$4734=D2952)*($E$2:$E$4734=0)),0)</f>
        <v>6</v>
      </c>
      <c r="L2952" s="1">
        <f>IF(E2952=0,SUMPRODUCT(MIN($K$2:$K$4734+((($A$2:$A$4734&lt;&gt;A2952)+($E$2:$E$4734&lt;&gt;0))&gt;0)*1000000)),"")</f>
        <v>3</v>
      </c>
      <c r="M2952" s="1">
        <f>IF(AND(E2952=0,COUNTIFS($A$2:A2952,A2952,$E$2:E2952,0)=1),L2952,0)</f>
        <v>0</v>
      </c>
    </row>
    <row r="2953" spans="1:13" ht="15" customHeight="1">
      <c r="A2953" s="1">
        <v>87</v>
      </c>
      <c r="B2953" s="1" t="s">
        <v>9</v>
      </c>
      <c r="C2953" s="2" t="s">
        <v>3485</v>
      </c>
      <c r="D2953" s="2" t="s">
        <v>3486</v>
      </c>
      <c r="E2953" s="1">
        <v>0</v>
      </c>
      <c r="F2953" s="2" t="s">
        <v>3489</v>
      </c>
      <c r="H2953" s="1" t="str">
        <f t="shared" si="47"/>
        <v/>
      </c>
      <c r="K2953" s="1">
        <f>IF(E2953=0,SUMPRODUCT(($A$2:$A$4734=A2953)*($B$2:$B$4734=B2953)*($D$2:$D$4734=D2953)*($E$2:$E$4734=0)),0)</f>
        <v>6</v>
      </c>
      <c r="L2953" s="1">
        <f>IF(E2953=0,SUMPRODUCT(MIN($K$2:$K$4734+((($A$2:$A$4734&lt;&gt;A2953)+($E$2:$E$4734&lt;&gt;0))&gt;0)*1000000)),"")</f>
        <v>3</v>
      </c>
      <c r="M2953" s="1">
        <f>IF(AND(E2953=0,COUNTIFS($A$2:A2953,A2953,$E$2:E2953,0)=1),L2953,0)</f>
        <v>0</v>
      </c>
    </row>
    <row r="2954" spans="1:13" ht="15" customHeight="1">
      <c r="A2954" s="1">
        <v>87</v>
      </c>
      <c r="B2954" s="1" t="s">
        <v>9</v>
      </c>
      <c r="C2954" s="2" t="s">
        <v>3485</v>
      </c>
      <c r="D2954" s="2" t="s">
        <v>3486</v>
      </c>
      <c r="E2954" s="1">
        <v>0</v>
      </c>
      <c r="F2954" s="2" t="s">
        <v>3490</v>
      </c>
      <c r="H2954" s="1" t="str">
        <f t="shared" si="47"/>
        <v/>
      </c>
      <c r="K2954" s="1">
        <f>IF(E2954=0,SUMPRODUCT(($A$2:$A$4734=A2954)*($B$2:$B$4734=B2954)*($D$2:$D$4734=D2954)*($E$2:$E$4734=0)),0)</f>
        <v>6</v>
      </c>
      <c r="L2954" s="1">
        <f>IF(E2954=0,SUMPRODUCT(MIN($K$2:$K$4734+((($A$2:$A$4734&lt;&gt;A2954)+($E$2:$E$4734&lt;&gt;0))&gt;0)*1000000)),"")</f>
        <v>3</v>
      </c>
      <c r="M2954" s="1">
        <f>IF(AND(E2954=0,COUNTIFS($A$2:A2954,A2954,$E$2:E2954,0)=1),L2954,0)</f>
        <v>0</v>
      </c>
    </row>
    <row r="2955" spans="1:13" ht="15" customHeight="1">
      <c r="A2955" s="1">
        <v>87</v>
      </c>
      <c r="B2955" s="1" t="s">
        <v>9</v>
      </c>
      <c r="C2955" s="2" t="s">
        <v>3485</v>
      </c>
      <c r="D2955" s="2" t="s">
        <v>3486</v>
      </c>
      <c r="E2955" s="1">
        <v>0</v>
      </c>
      <c r="F2955" s="2" t="s">
        <v>3491</v>
      </c>
      <c r="H2955" s="1" t="str">
        <f t="shared" si="47"/>
        <v/>
      </c>
      <c r="K2955" s="1">
        <f>IF(E2955=0,SUMPRODUCT(($A$2:$A$4734=A2955)*($B$2:$B$4734=B2955)*($D$2:$D$4734=D2955)*($E$2:$E$4734=0)),0)</f>
        <v>6</v>
      </c>
      <c r="L2955" s="1">
        <f>IF(E2955=0,SUMPRODUCT(MIN($K$2:$K$4734+((($A$2:$A$4734&lt;&gt;A2955)+($E$2:$E$4734&lt;&gt;0))&gt;0)*1000000)),"")</f>
        <v>3</v>
      </c>
      <c r="M2955" s="1">
        <f>IF(AND(E2955=0,COUNTIFS($A$2:A2955,A2955,$E$2:E2955,0)=1),L2955,0)</f>
        <v>0</v>
      </c>
    </row>
    <row r="2956" spans="1:13" ht="15" customHeight="1">
      <c r="A2956" s="1">
        <v>87</v>
      </c>
      <c r="B2956" s="1" t="s">
        <v>9</v>
      </c>
      <c r="C2956" s="2" t="s">
        <v>3485</v>
      </c>
      <c r="D2956" s="2" t="s">
        <v>3486</v>
      </c>
      <c r="E2956" s="1">
        <v>0</v>
      </c>
      <c r="F2956" s="2" t="s">
        <v>3492</v>
      </c>
      <c r="H2956" s="1" t="str">
        <f t="shared" si="47"/>
        <v/>
      </c>
      <c r="K2956" s="1">
        <f>IF(E2956=0,SUMPRODUCT(($A$2:$A$4734=A2956)*($B$2:$B$4734=B2956)*($D$2:$D$4734=D2956)*($E$2:$E$4734=0)),0)</f>
        <v>6</v>
      </c>
      <c r="L2956" s="1">
        <f>IF(E2956=0,SUMPRODUCT(MIN($K$2:$K$4734+((($A$2:$A$4734&lt;&gt;A2956)+($E$2:$E$4734&lt;&gt;0))&gt;0)*1000000)),"")</f>
        <v>3</v>
      </c>
      <c r="M2956" s="1">
        <f>IF(AND(E2956=0,COUNTIFS($A$2:A2956,A2956,$E$2:E2956,0)=1),L2956,0)</f>
        <v>0</v>
      </c>
    </row>
    <row r="2957" spans="1:13" ht="15" customHeight="1">
      <c r="A2957" s="1">
        <v>87</v>
      </c>
      <c r="B2957" s="1" t="s">
        <v>9</v>
      </c>
      <c r="C2957" s="2" t="s">
        <v>3485</v>
      </c>
      <c r="D2957" s="2" t="s">
        <v>3493</v>
      </c>
      <c r="E2957" s="1">
        <v>0</v>
      </c>
      <c r="F2957" s="2" t="s">
        <v>3494</v>
      </c>
      <c r="H2957" s="1" t="str">
        <f t="shared" si="47"/>
        <v/>
      </c>
      <c r="K2957" s="1">
        <f>IF(E2957=0,SUMPRODUCT(($A$2:$A$4734=A2957)*($B$2:$B$4734=B2957)*($D$2:$D$4734=D2957)*($E$2:$E$4734=0)),0)</f>
        <v>3</v>
      </c>
      <c r="L2957" s="1">
        <f>IF(E2957=0,SUMPRODUCT(MIN($K$2:$K$4734+((($A$2:$A$4734&lt;&gt;A2957)+($E$2:$E$4734&lt;&gt;0))&gt;0)*1000000)),"")</f>
        <v>3</v>
      </c>
      <c r="M2957" s="1">
        <f>IF(AND(E2957=0,COUNTIFS($A$2:A2957,A2957,$E$2:E2957,0)=1),L2957,0)</f>
        <v>0</v>
      </c>
    </row>
    <row r="2958" spans="1:13" ht="15" customHeight="1">
      <c r="A2958" s="1">
        <v>87</v>
      </c>
      <c r="B2958" s="1" t="s">
        <v>9</v>
      </c>
      <c r="C2958" s="2" t="s">
        <v>3485</v>
      </c>
      <c r="D2958" s="2" t="s">
        <v>3493</v>
      </c>
      <c r="E2958" s="1">
        <v>0</v>
      </c>
      <c r="F2958" s="2" t="s">
        <v>3495</v>
      </c>
      <c r="H2958" s="1" t="str">
        <f t="shared" si="47"/>
        <v/>
      </c>
      <c r="K2958" s="1">
        <f>IF(E2958=0,SUMPRODUCT(($A$2:$A$4734=A2958)*($B$2:$B$4734=B2958)*($D$2:$D$4734=D2958)*($E$2:$E$4734=0)),0)</f>
        <v>3</v>
      </c>
      <c r="L2958" s="1">
        <f>IF(E2958=0,SUMPRODUCT(MIN($K$2:$K$4734+((($A$2:$A$4734&lt;&gt;A2958)+($E$2:$E$4734&lt;&gt;0))&gt;0)*1000000)),"")</f>
        <v>3</v>
      </c>
      <c r="M2958" s="1">
        <f>IF(AND(E2958=0,COUNTIFS($A$2:A2958,A2958,$E$2:E2958,0)=1),L2958,0)</f>
        <v>0</v>
      </c>
    </row>
    <row r="2959" spans="1:13" ht="15" customHeight="1">
      <c r="A2959" s="1">
        <v>87</v>
      </c>
      <c r="B2959" s="1" t="s">
        <v>9</v>
      </c>
      <c r="C2959" s="2" t="s">
        <v>3485</v>
      </c>
      <c r="D2959" s="2" t="s">
        <v>3493</v>
      </c>
      <c r="E2959" s="1">
        <v>0</v>
      </c>
      <c r="F2959" s="2" t="s">
        <v>3496</v>
      </c>
      <c r="H2959" s="1" t="str">
        <f t="shared" si="47"/>
        <v/>
      </c>
      <c r="K2959" s="1">
        <f>IF(E2959=0,SUMPRODUCT(($A$2:$A$4734=A2959)*($B$2:$B$4734=B2959)*($D$2:$D$4734=D2959)*($E$2:$E$4734=0)),0)</f>
        <v>3</v>
      </c>
      <c r="L2959" s="1">
        <f>IF(E2959=0,SUMPRODUCT(MIN($K$2:$K$4734+((($A$2:$A$4734&lt;&gt;A2959)+($E$2:$E$4734&lt;&gt;0))&gt;0)*1000000)),"")</f>
        <v>3</v>
      </c>
      <c r="M2959" s="1">
        <f>IF(AND(E2959=0,COUNTIFS($A$2:A2959,A2959,$E$2:E2959,0)=1),L2959,0)</f>
        <v>0</v>
      </c>
    </row>
    <row r="2960" spans="1:13" ht="15" customHeight="1">
      <c r="A2960" s="1">
        <v>87</v>
      </c>
      <c r="B2960" s="1" t="s">
        <v>16</v>
      </c>
      <c r="C2960" s="2" t="s">
        <v>3485</v>
      </c>
      <c r="D2960" s="2" t="s">
        <v>999</v>
      </c>
      <c r="E2960" s="1">
        <v>0</v>
      </c>
      <c r="F2960" s="2" t="s">
        <v>3497</v>
      </c>
      <c r="H2960" s="1" t="str">
        <f t="shared" si="47"/>
        <v/>
      </c>
      <c r="K2960" s="1">
        <f>IF(E2960=0,SUMPRODUCT(($A$2:$A$4734=A2960)*($B$2:$B$4734=B2960)*($D$2:$D$4734=D2960)*($E$2:$E$4734=0)),0)</f>
        <v>6</v>
      </c>
      <c r="L2960" s="1">
        <f>IF(E2960=0,SUMPRODUCT(MIN($K$2:$K$4734+((($A$2:$A$4734&lt;&gt;A2960)+($E$2:$E$4734&lt;&gt;0))&gt;0)*1000000)),"")</f>
        <v>3</v>
      </c>
      <c r="M2960" s="1">
        <f>IF(AND(E2960=0,COUNTIFS($A$2:A2960,A2960,$E$2:E2960,0)=1),L2960,0)</f>
        <v>0</v>
      </c>
    </row>
    <row r="2961" spans="1:13" ht="15" customHeight="1">
      <c r="A2961" s="1">
        <v>87</v>
      </c>
      <c r="B2961" s="1" t="s">
        <v>16</v>
      </c>
      <c r="C2961" s="2" t="s">
        <v>3485</v>
      </c>
      <c r="D2961" s="2" t="s">
        <v>999</v>
      </c>
      <c r="E2961" s="1">
        <v>0</v>
      </c>
      <c r="F2961" s="2" t="s">
        <v>1004</v>
      </c>
      <c r="H2961" s="1" t="str">
        <f t="shared" si="47"/>
        <v/>
      </c>
      <c r="K2961" s="1">
        <f>IF(E2961=0,SUMPRODUCT(($A$2:$A$4734=A2961)*($B$2:$B$4734=B2961)*($D$2:$D$4734=D2961)*($E$2:$E$4734=0)),0)</f>
        <v>6</v>
      </c>
      <c r="L2961" s="1">
        <f>IF(E2961=0,SUMPRODUCT(MIN($K$2:$K$4734+((($A$2:$A$4734&lt;&gt;A2961)+($E$2:$E$4734&lt;&gt;0))&gt;0)*1000000)),"")</f>
        <v>3</v>
      </c>
      <c r="M2961" s="1">
        <f>IF(AND(E2961=0,COUNTIFS($A$2:A2961,A2961,$E$2:E2961,0)=1),L2961,0)</f>
        <v>0</v>
      </c>
    </row>
    <row r="2962" spans="1:13" ht="15" customHeight="1">
      <c r="A2962" s="1">
        <v>87</v>
      </c>
      <c r="B2962" s="1" t="s">
        <v>16</v>
      </c>
      <c r="C2962" s="2" t="s">
        <v>3485</v>
      </c>
      <c r="D2962" s="2" t="s">
        <v>999</v>
      </c>
      <c r="E2962" s="1">
        <v>0</v>
      </c>
      <c r="F2962" s="2" t="s">
        <v>3498</v>
      </c>
      <c r="H2962" s="1" t="str">
        <f t="shared" si="47"/>
        <v/>
      </c>
      <c r="K2962" s="1">
        <f>IF(E2962=0,SUMPRODUCT(($A$2:$A$4734=A2962)*($B$2:$B$4734=B2962)*($D$2:$D$4734=D2962)*($E$2:$E$4734=0)),0)</f>
        <v>6</v>
      </c>
      <c r="L2962" s="1">
        <f>IF(E2962=0,SUMPRODUCT(MIN($K$2:$K$4734+((($A$2:$A$4734&lt;&gt;A2962)+($E$2:$E$4734&lt;&gt;0))&gt;0)*1000000)),"")</f>
        <v>3</v>
      </c>
      <c r="M2962" s="1">
        <f>IF(AND(E2962=0,COUNTIFS($A$2:A2962,A2962,$E$2:E2962,0)=1),L2962,0)</f>
        <v>0</v>
      </c>
    </row>
    <row r="2963" spans="1:13" ht="15" customHeight="1">
      <c r="A2963" s="1">
        <v>87</v>
      </c>
      <c r="B2963" s="1" t="s">
        <v>16</v>
      </c>
      <c r="C2963" s="2" t="s">
        <v>3485</v>
      </c>
      <c r="D2963" s="2" t="s">
        <v>999</v>
      </c>
      <c r="E2963" s="1">
        <v>0</v>
      </c>
      <c r="F2963" s="2" t="s">
        <v>3499</v>
      </c>
      <c r="H2963" s="1" t="str">
        <f t="shared" si="47"/>
        <v/>
      </c>
      <c r="K2963" s="1">
        <f>IF(E2963=0,SUMPRODUCT(($A$2:$A$4734=A2963)*($B$2:$B$4734=B2963)*($D$2:$D$4734=D2963)*($E$2:$E$4734=0)),0)</f>
        <v>6</v>
      </c>
      <c r="L2963" s="1">
        <f>IF(E2963=0,SUMPRODUCT(MIN($K$2:$K$4734+((($A$2:$A$4734&lt;&gt;A2963)+($E$2:$E$4734&lt;&gt;0))&gt;0)*1000000)),"")</f>
        <v>3</v>
      </c>
      <c r="M2963" s="1">
        <f>IF(AND(E2963=0,COUNTIFS($A$2:A2963,A2963,$E$2:E2963,0)=1),L2963,0)</f>
        <v>0</v>
      </c>
    </row>
    <row r="2964" spans="1:13" ht="15" customHeight="1">
      <c r="A2964" s="1">
        <v>87</v>
      </c>
      <c r="B2964" s="1" t="s">
        <v>16</v>
      </c>
      <c r="C2964" s="2" t="s">
        <v>3485</v>
      </c>
      <c r="D2964" s="2" t="s">
        <v>999</v>
      </c>
      <c r="E2964" s="1">
        <v>0</v>
      </c>
      <c r="F2964" s="2" t="s">
        <v>3500</v>
      </c>
      <c r="H2964" s="1" t="str">
        <f t="shared" si="47"/>
        <v/>
      </c>
      <c r="K2964" s="1">
        <f>IF(E2964=0,SUMPRODUCT(($A$2:$A$4734=A2964)*($B$2:$B$4734=B2964)*($D$2:$D$4734=D2964)*($E$2:$E$4734=0)),0)</f>
        <v>6</v>
      </c>
      <c r="L2964" s="1">
        <f>IF(E2964=0,SUMPRODUCT(MIN($K$2:$K$4734+((($A$2:$A$4734&lt;&gt;A2964)+($E$2:$E$4734&lt;&gt;0))&gt;0)*1000000)),"")</f>
        <v>3</v>
      </c>
      <c r="M2964" s="1">
        <f>IF(AND(E2964=0,COUNTIFS($A$2:A2964,A2964,$E$2:E2964,0)=1),L2964,0)</f>
        <v>0</v>
      </c>
    </row>
    <row r="2965" spans="1:13" ht="15" customHeight="1">
      <c r="A2965" s="1">
        <v>87</v>
      </c>
      <c r="B2965" s="1" t="s">
        <v>16</v>
      </c>
      <c r="C2965" s="2" t="s">
        <v>3485</v>
      </c>
      <c r="D2965" s="2" t="s">
        <v>999</v>
      </c>
      <c r="E2965" s="1">
        <v>0</v>
      </c>
      <c r="F2965" s="2" t="s">
        <v>3501</v>
      </c>
      <c r="H2965" s="1" t="str">
        <f t="shared" si="47"/>
        <v/>
      </c>
      <c r="K2965" s="1">
        <f>IF(E2965=0,SUMPRODUCT(($A$2:$A$4734=A2965)*($B$2:$B$4734=B2965)*($D$2:$D$4734=D2965)*($E$2:$E$4734=0)),0)</f>
        <v>6</v>
      </c>
      <c r="L2965" s="1">
        <f>IF(E2965=0,SUMPRODUCT(MIN($K$2:$K$4734+((($A$2:$A$4734&lt;&gt;A2965)+($E$2:$E$4734&lt;&gt;0))&gt;0)*1000000)),"")</f>
        <v>3</v>
      </c>
      <c r="M2965" s="1">
        <f>IF(AND(E2965=0,COUNTIFS($A$2:A2965,A2965,$E$2:E2965,0)=1),L2965,0)</f>
        <v>0</v>
      </c>
    </row>
    <row r="2966" spans="1:13" ht="15" customHeight="1">
      <c r="A2966" s="1">
        <v>87</v>
      </c>
      <c r="B2966" s="1" t="s">
        <v>9</v>
      </c>
      <c r="C2966" s="2" t="s">
        <v>3485</v>
      </c>
      <c r="D2966" s="2" t="s">
        <v>3502</v>
      </c>
      <c r="E2966" s="1">
        <v>0</v>
      </c>
      <c r="F2966" s="2" t="s">
        <v>3503</v>
      </c>
      <c r="H2966" s="1" t="str">
        <f t="shared" si="47"/>
        <v/>
      </c>
      <c r="K2966" s="1">
        <f>IF(E2966=0,SUMPRODUCT(($A$2:$A$4734=A2966)*($B$2:$B$4734=B2966)*($D$2:$D$4734=D2966)*($E$2:$E$4734=0)),0)</f>
        <v>6</v>
      </c>
      <c r="L2966" s="1">
        <f>IF(E2966=0,SUMPRODUCT(MIN($K$2:$K$4734+((($A$2:$A$4734&lt;&gt;A2966)+($E$2:$E$4734&lt;&gt;0))&gt;0)*1000000)),"")</f>
        <v>3</v>
      </c>
      <c r="M2966" s="1">
        <f>IF(AND(E2966=0,COUNTIFS($A$2:A2966,A2966,$E$2:E2966,0)=1),L2966,0)</f>
        <v>0</v>
      </c>
    </row>
    <row r="2967" spans="1:13" ht="15" customHeight="1">
      <c r="A2967" s="1">
        <v>87</v>
      </c>
      <c r="B2967" s="1" t="s">
        <v>9</v>
      </c>
      <c r="C2967" s="2" t="s">
        <v>3485</v>
      </c>
      <c r="D2967" s="2" t="s">
        <v>3502</v>
      </c>
      <c r="E2967" s="1">
        <v>0</v>
      </c>
      <c r="F2967" s="2" t="s">
        <v>3504</v>
      </c>
      <c r="H2967" s="1" t="str">
        <f t="shared" si="47"/>
        <v/>
      </c>
      <c r="K2967" s="1">
        <f>IF(E2967=0,SUMPRODUCT(($A$2:$A$4734=A2967)*($B$2:$B$4734=B2967)*($D$2:$D$4734=D2967)*($E$2:$E$4734=0)),0)</f>
        <v>6</v>
      </c>
      <c r="L2967" s="1">
        <f>IF(E2967=0,SUMPRODUCT(MIN($K$2:$K$4734+((($A$2:$A$4734&lt;&gt;A2967)+($E$2:$E$4734&lt;&gt;0))&gt;0)*1000000)),"")</f>
        <v>3</v>
      </c>
      <c r="M2967" s="1">
        <f>IF(AND(E2967=0,COUNTIFS($A$2:A2967,A2967,$E$2:E2967,0)=1),L2967,0)</f>
        <v>0</v>
      </c>
    </row>
    <row r="2968" spans="1:13" ht="15" customHeight="1">
      <c r="A2968" s="1">
        <v>87</v>
      </c>
      <c r="B2968" s="1" t="s">
        <v>9</v>
      </c>
      <c r="C2968" s="2" t="s">
        <v>3485</v>
      </c>
      <c r="D2968" s="2" t="s">
        <v>3502</v>
      </c>
      <c r="E2968" s="1">
        <v>0</v>
      </c>
      <c r="F2968" s="2" t="s">
        <v>837</v>
      </c>
      <c r="H2968" s="1" t="str">
        <f t="shared" si="47"/>
        <v/>
      </c>
      <c r="K2968" s="1">
        <f>IF(E2968=0,SUMPRODUCT(($A$2:$A$4734=A2968)*($B$2:$B$4734=B2968)*($D$2:$D$4734=D2968)*($E$2:$E$4734=0)),0)</f>
        <v>6</v>
      </c>
      <c r="L2968" s="1">
        <f>IF(E2968=0,SUMPRODUCT(MIN($K$2:$K$4734+((($A$2:$A$4734&lt;&gt;A2968)+($E$2:$E$4734&lt;&gt;0))&gt;0)*1000000)),"")</f>
        <v>3</v>
      </c>
      <c r="M2968" s="1">
        <f>IF(AND(E2968=0,COUNTIFS($A$2:A2968,A2968,$E$2:E2968,0)=1),L2968,0)</f>
        <v>0</v>
      </c>
    </row>
    <row r="2969" spans="1:13" ht="15" customHeight="1">
      <c r="A2969" s="1">
        <v>87</v>
      </c>
      <c r="B2969" s="1" t="s">
        <v>9</v>
      </c>
      <c r="C2969" s="2" t="s">
        <v>3485</v>
      </c>
      <c r="D2969" s="2" t="s">
        <v>3502</v>
      </c>
      <c r="E2969" s="1">
        <v>0</v>
      </c>
      <c r="F2969" s="2" t="s">
        <v>3505</v>
      </c>
      <c r="H2969" s="1" t="str">
        <f t="shared" si="47"/>
        <v/>
      </c>
      <c r="K2969" s="1">
        <f>IF(E2969=0,SUMPRODUCT(($A$2:$A$4734=A2969)*($B$2:$B$4734=B2969)*($D$2:$D$4734=D2969)*($E$2:$E$4734=0)),0)</f>
        <v>6</v>
      </c>
      <c r="L2969" s="1">
        <f>IF(E2969=0,SUMPRODUCT(MIN($K$2:$K$4734+((($A$2:$A$4734&lt;&gt;A2969)+($E$2:$E$4734&lt;&gt;0))&gt;0)*1000000)),"")</f>
        <v>3</v>
      </c>
      <c r="M2969" s="1">
        <f>IF(AND(E2969=0,COUNTIFS($A$2:A2969,A2969,$E$2:E2969,0)=1),L2969,0)</f>
        <v>0</v>
      </c>
    </row>
    <row r="2970" spans="1:13" ht="15" customHeight="1">
      <c r="A2970" s="1">
        <v>87</v>
      </c>
      <c r="B2970" s="1" t="s">
        <v>9</v>
      </c>
      <c r="C2970" s="2" t="s">
        <v>3485</v>
      </c>
      <c r="D2970" s="2" t="s">
        <v>3502</v>
      </c>
      <c r="E2970" s="1">
        <v>0</v>
      </c>
      <c r="F2970" s="2" t="s">
        <v>3506</v>
      </c>
      <c r="H2970" s="1" t="str">
        <f t="shared" si="47"/>
        <v/>
      </c>
      <c r="K2970" s="1">
        <f>IF(E2970=0,SUMPRODUCT(($A$2:$A$4734=A2970)*($B$2:$B$4734=B2970)*($D$2:$D$4734=D2970)*($E$2:$E$4734=0)),0)</f>
        <v>6</v>
      </c>
      <c r="L2970" s="1">
        <f>IF(E2970=0,SUMPRODUCT(MIN($K$2:$K$4734+((($A$2:$A$4734&lt;&gt;A2970)+($E$2:$E$4734&lt;&gt;0))&gt;0)*1000000)),"")</f>
        <v>3</v>
      </c>
      <c r="M2970" s="1">
        <f>IF(AND(E2970=0,COUNTIFS($A$2:A2970,A2970,$E$2:E2970,0)=1),L2970,0)</f>
        <v>0</v>
      </c>
    </row>
    <row r="2971" spans="1:13" ht="15" customHeight="1">
      <c r="A2971" s="1">
        <v>87</v>
      </c>
      <c r="B2971" s="1" t="s">
        <v>9</v>
      </c>
      <c r="C2971" s="2" t="s">
        <v>3485</v>
      </c>
      <c r="D2971" s="2" t="s">
        <v>3502</v>
      </c>
      <c r="E2971" s="1">
        <v>0</v>
      </c>
      <c r="F2971" s="2" t="s">
        <v>3507</v>
      </c>
      <c r="H2971" s="1" t="str">
        <f t="shared" si="47"/>
        <v/>
      </c>
      <c r="K2971" s="1">
        <f>IF(E2971=0,SUMPRODUCT(($A$2:$A$4734=A2971)*($B$2:$B$4734=B2971)*($D$2:$D$4734=D2971)*($E$2:$E$4734=0)),0)</f>
        <v>6</v>
      </c>
      <c r="L2971" s="1">
        <f>IF(E2971=0,SUMPRODUCT(MIN($K$2:$K$4734+((($A$2:$A$4734&lt;&gt;A2971)+($E$2:$E$4734&lt;&gt;0))&gt;0)*1000000)),"")</f>
        <v>3</v>
      </c>
      <c r="M2971" s="1">
        <f>IF(AND(E2971=0,COUNTIFS($A$2:A2971,A2971,$E$2:E2971,0)=1),L2971,0)</f>
        <v>0</v>
      </c>
    </row>
    <row r="2972" spans="1:13" ht="15" customHeight="1">
      <c r="A2972" s="1">
        <v>87</v>
      </c>
      <c r="B2972" s="1" t="s">
        <v>9</v>
      </c>
      <c r="C2972" s="2" t="s">
        <v>3485</v>
      </c>
      <c r="D2972" s="2" t="s">
        <v>993</v>
      </c>
      <c r="E2972" s="1">
        <v>0</v>
      </c>
      <c r="F2972" s="2" t="s">
        <v>698</v>
      </c>
      <c r="H2972" s="1" t="str">
        <f t="shared" si="47"/>
        <v/>
      </c>
      <c r="K2972" s="1">
        <f>IF(E2972=0,SUMPRODUCT(($A$2:$A$4734=A2972)*($B$2:$B$4734=B2972)*($D$2:$D$4734=D2972)*($E$2:$E$4734=0)),0)</f>
        <v>4</v>
      </c>
      <c r="L2972" s="1">
        <f>IF(E2972=0,SUMPRODUCT(MIN($K$2:$K$4734+((($A$2:$A$4734&lt;&gt;A2972)+($E$2:$E$4734&lt;&gt;0))&gt;0)*1000000)),"")</f>
        <v>3</v>
      </c>
      <c r="M2972" s="1">
        <f>IF(AND(E2972=0,COUNTIFS($A$2:A2972,A2972,$E$2:E2972,0)=1),L2972,0)</f>
        <v>0</v>
      </c>
    </row>
    <row r="2973" spans="1:13" ht="15" customHeight="1">
      <c r="A2973" s="1">
        <v>87</v>
      </c>
      <c r="B2973" s="1" t="s">
        <v>9</v>
      </c>
      <c r="C2973" s="2" t="s">
        <v>3485</v>
      </c>
      <c r="D2973" s="2" t="s">
        <v>993</v>
      </c>
      <c r="E2973" s="1">
        <v>0</v>
      </c>
      <c r="F2973" s="2" t="s">
        <v>994</v>
      </c>
      <c r="H2973" s="1" t="str">
        <f t="shared" si="47"/>
        <v/>
      </c>
      <c r="K2973" s="1">
        <f>IF(E2973=0,SUMPRODUCT(($A$2:$A$4734=A2973)*($B$2:$B$4734=B2973)*($D$2:$D$4734=D2973)*($E$2:$E$4734=0)),0)</f>
        <v>4</v>
      </c>
      <c r="L2973" s="1">
        <f>IF(E2973=0,SUMPRODUCT(MIN($K$2:$K$4734+((($A$2:$A$4734&lt;&gt;A2973)+($E$2:$E$4734&lt;&gt;0))&gt;0)*1000000)),"")</f>
        <v>3</v>
      </c>
      <c r="M2973" s="1">
        <f>IF(AND(E2973=0,COUNTIFS($A$2:A2973,A2973,$E$2:E2973,0)=1),L2973,0)</f>
        <v>0</v>
      </c>
    </row>
    <row r="2974" spans="1:13" ht="15" customHeight="1">
      <c r="A2974" s="1">
        <v>87</v>
      </c>
      <c r="B2974" s="1" t="s">
        <v>9</v>
      </c>
      <c r="C2974" s="2" t="s">
        <v>3485</v>
      </c>
      <c r="D2974" s="2" t="s">
        <v>993</v>
      </c>
      <c r="E2974" s="1">
        <v>0</v>
      </c>
      <c r="F2974" s="2" t="s">
        <v>3508</v>
      </c>
      <c r="H2974" s="1" t="str">
        <f t="shared" si="47"/>
        <v/>
      </c>
      <c r="K2974" s="1">
        <f>IF(E2974=0,SUMPRODUCT(($A$2:$A$4734=A2974)*($B$2:$B$4734=B2974)*($D$2:$D$4734=D2974)*($E$2:$E$4734=0)),0)</f>
        <v>4</v>
      </c>
      <c r="L2974" s="1">
        <f>IF(E2974=0,SUMPRODUCT(MIN($K$2:$K$4734+((($A$2:$A$4734&lt;&gt;A2974)+($E$2:$E$4734&lt;&gt;0))&gt;0)*1000000)),"")</f>
        <v>3</v>
      </c>
      <c r="M2974" s="1">
        <f>IF(AND(E2974=0,COUNTIFS($A$2:A2974,A2974,$E$2:E2974,0)=1),L2974,0)</f>
        <v>0</v>
      </c>
    </row>
    <row r="2975" spans="1:13" ht="15" customHeight="1">
      <c r="A2975" s="1">
        <v>87</v>
      </c>
      <c r="B2975" s="1" t="s">
        <v>9</v>
      </c>
      <c r="C2975" s="2" t="s">
        <v>3485</v>
      </c>
      <c r="D2975" s="2" t="s">
        <v>993</v>
      </c>
      <c r="E2975" s="1">
        <v>0</v>
      </c>
      <c r="F2975" s="2" t="s">
        <v>2432</v>
      </c>
      <c r="H2975" s="1" t="str">
        <f t="shared" si="47"/>
        <v/>
      </c>
      <c r="K2975" s="1">
        <f>IF(E2975=0,SUMPRODUCT(($A$2:$A$4734=A2975)*($B$2:$B$4734=B2975)*($D$2:$D$4734=D2975)*($E$2:$E$4734=0)),0)</f>
        <v>4</v>
      </c>
      <c r="L2975" s="1">
        <f>IF(E2975=0,SUMPRODUCT(MIN($K$2:$K$4734+((($A$2:$A$4734&lt;&gt;A2975)+($E$2:$E$4734&lt;&gt;0))&gt;0)*1000000)),"")</f>
        <v>3</v>
      </c>
      <c r="M2975" s="1">
        <f>IF(AND(E2975=0,COUNTIFS($A$2:A2975,A2975,$E$2:E2975,0)=1),L2975,0)</f>
        <v>0</v>
      </c>
    </row>
    <row r="2976" spans="1:13" ht="15" customHeight="1">
      <c r="A2976" s="1">
        <v>88</v>
      </c>
      <c r="B2976" s="1" t="s">
        <v>9</v>
      </c>
      <c r="C2976" s="2" t="s">
        <v>3509</v>
      </c>
      <c r="D2976" s="2" t="s">
        <v>3510</v>
      </c>
      <c r="E2976" s="1">
        <v>1</v>
      </c>
      <c r="F2976" s="2" t="s">
        <v>3511</v>
      </c>
      <c r="G2976" s="1">
        <v>1</v>
      </c>
      <c r="H2976" s="1" t="str">
        <f t="shared" si="47"/>
        <v>k88_1</v>
      </c>
      <c r="K2976" s="1">
        <f>IF(E2976=0,SUMPRODUCT(($A$2:$A$4734=A2976)*($B$2:$B$4734=B2976)*($D$2:$D$4734=D2976)*($E$2:$E$4734=0)),0)</f>
        <v>0</v>
      </c>
      <c r="L2976" s="1" t="str">
        <f>IF(E2976=0,SUMPRODUCT(MIN($K$2:$K$4734+((($A$2:$A$4734&lt;&gt;A2976)+($E$2:$E$4734&lt;&gt;0))&gt;0)*1000000)),"")</f>
        <v/>
      </c>
      <c r="M2976" s="1">
        <f>IF(AND(E2976=0,COUNTIFS($A$2:A2976,A2976,$E$2:E2976,0)=1),L2976,0)</f>
        <v>0</v>
      </c>
    </row>
    <row r="2977" spans="1:13" ht="15" customHeight="1">
      <c r="A2977" s="1">
        <v>88</v>
      </c>
      <c r="B2977" s="1" t="s">
        <v>9</v>
      </c>
      <c r="C2977" s="2" t="s">
        <v>3509</v>
      </c>
      <c r="D2977" s="2" t="s">
        <v>3510</v>
      </c>
      <c r="E2977" s="1">
        <v>1</v>
      </c>
      <c r="F2977" s="2" t="s">
        <v>1458</v>
      </c>
      <c r="G2977" s="1">
        <v>3</v>
      </c>
      <c r="H2977" s="1" t="str">
        <f t="shared" si="47"/>
        <v>k88_3</v>
      </c>
      <c r="K2977" s="1">
        <f>IF(E2977=0,SUMPRODUCT(($A$2:$A$4734=A2977)*($B$2:$B$4734=B2977)*($D$2:$D$4734=D2977)*($E$2:$E$4734=0)),0)</f>
        <v>0</v>
      </c>
      <c r="L2977" s="1" t="str">
        <f>IF(E2977=0,SUMPRODUCT(MIN($K$2:$K$4734+((($A$2:$A$4734&lt;&gt;A2977)+($E$2:$E$4734&lt;&gt;0))&gt;0)*1000000)),"")</f>
        <v/>
      </c>
      <c r="M2977" s="1">
        <f>IF(AND(E2977=0,COUNTIFS($A$2:A2977,A2977,$E$2:E2977,0)=1),L2977,0)</f>
        <v>0</v>
      </c>
    </row>
    <row r="2978" spans="1:13" ht="15" customHeight="1">
      <c r="A2978" s="1">
        <v>88</v>
      </c>
      <c r="B2978" s="1" t="s">
        <v>9</v>
      </c>
      <c r="C2978" s="2" t="s">
        <v>3509</v>
      </c>
      <c r="D2978" s="2" t="s">
        <v>3510</v>
      </c>
      <c r="E2978" s="1">
        <v>1</v>
      </c>
      <c r="F2978" s="2" t="s">
        <v>3512</v>
      </c>
      <c r="G2978" s="1">
        <v>2</v>
      </c>
      <c r="H2978" s="1" t="str">
        <f t="shared" si="47"/>
        <v>k88_2</v>
      </c>
      <c r="K2978" s="1">
        <f>IF(E2978=0,SUMPRODUCT(($A$2:$A$4734=A2978)*($B$2:$B$4734=B2978)*($D$2:$D$4734=D2978)*($E$2:$E$4734=0)),0)</f>
        <v>0</v>
      </c>
      <c r="L2978" s="1" t="str">
        <f>IF(E2978=0,SUMPRODUCT(MIN($K$2:$K$4734+((($A$2:$A$4734&lt;&gt;A2978)+($E$2:$E$4734&lt;&gt;0))&gt;0)*1000000)),"")</f>
        <v/>
      </c>
      <c r="M2978" s="1">
        <f>IF(AND(E2978=0,COUNTIFS($A$2:A2978,A2978,$E$2:E2978,0)=1),L2978,0)</f>
        <v>0</v>
      </c>
    </row>
    <row r="2979" spans="1:13" ht="15" customHeight="1">
      <c r="A2979" s="1">
        <v>88</v>
      </c>
      <c r="B2979" s="1" t="s">
        <v>9</v>
      </c>
      <c r="C2979" s="2" t="s">
        <v>3509</v>
      </c>
      <c r="D2979" s="2" t="s">
        <v>3510</v>
      </c>
      <c r="E2979" s="1">
        <v>1</v>
      </c>
      <c r="F2979" s="2" t="s">
        <v>3513</v>
      </c>
      <c r="G2979" s="1">
        <v>4</v>
      </c>
      <c r="H2979" s="1" t="str">
        <f t="shared" si="47"/>
        <v>k88_4</v>
      </c>
      <c r="K2979" s="1">
        <f>IF(E2979=0,SUMPRODUCT(($A$2:$A$4734=A2979)*($B$2:$B$4734=B2979)*($D$2:$D$4734=D2979)*($E$2:$E$4734=0)),0)</f>
        <v>0</v>
      </c>
      <c r="L2979" s="1" t="str">
        <f>IF(E2979=0,SUMPRODUCT(MIN($K$2:$K$4734+((($A$2:$A$4734&lt;&gt;A2979)+($E$2:$E$4734&lt;&gt;0))&gt;0)*1000000)),"")</f>
        <v/>
      </c>
      <c r="M2979" s="1">
        <f>IF(AND(E2979=0,COUNTIFS($A$2:A2979,A2979,$E$2:E2979,0)=1),L2979,0)</f>
        <v>0</v>
      </c>
    </row>
    <row r="2980" spans="1:13" ht="15" customHeight="1">
      <c r="A2980" s="1">
        <v>88</v>
      </c>
      <c r="B2980" s="1" t="s">
        <v>144</v>
      </c>
      <c r="C2980" s="2" t="s">
        <v>3509</v>
      </c>
      <c r="D2980" s="2" t="s">
        <v>3514</v>
      </c>
      <c r="E2980" s="1">
        <v>1</v>
      </c>
      <c r="F2980" s="2" t="s">
        <v>3515</v>
      </c>
      <c r="G2980" s="1">
        <v>1</v>
      </c>
      <c r="H2980" s="1" t="str">
        <f t="shared" si="47"/>
        <v>k88_1</v>
      </c>
      <c r="K2980" s="1">
        <f>IF(E2980=0,SUMPRODUCT(($A$2:$A$4734=A2980)*($B$2:$B$4734=B2980)*($D$2:$D$4734=D2980)*($E$2:$E$4734=0)),0)</f>
        <v>0</v>
      </c>
      <c r="L2980" s="1" t="str">
        <f>IF(E2980=0,SUMPRODUCT(MIN($K$2:$K$4734+((($A$2:$A$4734&lt;&gt;A2980)+($E$2:$E$4734&lt;&gt;0))&gt;0)*1000000)),"")</f>
        <v/>
      </c>
      <c r="M2980" s="1">
        <f>IF(AND(E2980=0,COUNTIFS($A$2:A2980,A2980,$E$2:E2980,0)=1),L2980,0)</f>
        <v>0</v>
      </c>
    </row>
    <row r="2981" spans="1:13" ht="15" customHeight="1">
      <c r="A2981" s="1">
        <v>88</v>
      </c>
      <c r="B2981" s="1" t="s">
        <v>144</v>
      </c>
      <c r="C2981" s="2" t="s">
        <v>3509</v>
      </c>
      <c r="D2981" s="2" t="s">
        <v>3514</v>
      </c>
      <c r="E2981" s="1">
        <v>1</v>
      </c>
      <c r="F2981" s="2" t="s">
        <v>3516</v>
      </c>
      <c r="G2981" s="1">
        <v>2</v>
      </c>
      <c r="H2981" s="1" t="str">
        <f t="shared" si="47"/>
        <v>k88_2</v>
      </c>
      <c r="K2981" s="1">
        <f>IF(E2981=0,SUMPRODUCT(($A$2:$A$4734=A2981)*($B$2:$B$4734=B2981)*($D$2:$D$4734=D2981)*($E$2:$E$4734=0)),0)</f>
        <v>0</v>
      </c>
      <c r="L2981" s="1" t="str">
        <f>IF(E2981=0,SUMPRODUCT(MIN($K$2:$K$4734+((($A$2:$A$4734&lt;&gt;A2981)+($E$2:$E$4734&lt;&gt;0))&gt;0)*1000000)),"")</f>
        <v/>
      </c>
      <c r="M2981" s="1">
        <f>IF(AND(E2981=0,COUNTIFS($A$2:A2981,A2981,$E$2:E2981,0)=1),L2981,0)</f>
        <v>0</v>
      </c>
    </row>
    <row r="2982" spans="1:13" ht="15" customHeight="1">
      <c r="A2982" s="1">
        <v>88</v>
      </c>
      <c r="B2982" s="1" t="s">
        <v>144</v>
      </c>
      <c r="C2982" s="2" t="s">
        <v>3509</v>
      </c>
      <c r="D2982" s="2" t="s">
        <v>3514</v>
      </c>
      <c r="E2982" s="1">
        <v>1</v>
      </c>
      <c r="F2982" s="2" t="s">
        <v>3517</v>
      </c>
      <c r="G2982" s="1">
        <v>3</v>
      </c>
      <c r="H2982" s="1" t="str">
        <f t="shared" si="47"/>
        <v>k88_3</v>
      </c>
      <c r="K2982" s="1">
        <f>IF(E2982=0,SUMPRODUCT(($A$2:$A$4734=A2982)*($B$2:$B$4734=B2982)*($D$2:$D$4734=D2982)*($E$2:$E$4734=0)),0)</f>
        <v>0</v>
      </c>
      <c r="L2982" s="1" t="str">
        <f>IF(E2982=0,SUMPRODUCT(MIN($K$2:$K$4734+((($A$2:$A$4734&lt;&gt;A2982)+($E$2:$E$4734&lt;&gt;0))&gt;0)*1000000)),"")</f>
        <v/>
      </c>
      <c r="M2982" s="1">
        <f>IF(AND(E2982=0,COUNTIFS($A$2:A2982,A2982,$E$2:E2982,0)=1),L2982,0)</f>
        <v>0</v>
      </c>
    </row>
    <row r="2983" spans="1:13" ht="15" customHeight="1">
      <c r="A2983" s="1">
        <v>88</v>
      </c>
      <c r="B2983" s="1" t="s">
        <v>144</v>
      </c>
      <c r="C2983" s="2" t="s">
        <v>3509</v>
      </c>
      <c r="D2983" s="2" t="s">
        <v>3514</v>
      </c>
      <c r="E2983" s="1">
        <v>1</v>
      </c>
      <c r="F2983" s="2" t="s">
        <v>3518</v>
      </c>
      <c r="G2983" s="1">
        <v>4</v>
      </c>
      <c r="H2983" s="1" t="str">
        <f t="shared" si="47"/>
        <v>k88_4</v>
      </c>
      <c r="K2983" s="1">
        <f>IF(E2983=0,SUMPRODUCT(($A$2:$A$4734=A2983)*($B$2:$B$4734=B2983)*($D$2:$D$4734=D2983)*($E$2:$E$4734=0)),0)</f>
        <v>0</v>
      </c>
      <c r="L2983" s="1" t="str">
        <f>IF(E2983=0,SUMPRODUCT(MIN($K$2:$K$4734+((($A$2:$A$4734&lt;&gt;A2983)+($E$2:$E$4734&lt;&gt;0))&gt;0)*1000000)),"")</f>
        <v/>
      </c>
      <c r="M2983" s="1">
        <f>IF(AND(E2983=0,COUNTIFS($A$2:A2983,A2983,$E$2:E2983,0)=1),L2983,0)</f>
        <v>0</v>
      </c>
    </row>
    <row r="2984" spans="1:13" ht="15" customHeight="1">
      <c r="A2984" s="1">
        <v>89</v>
      </c>
      <c r="B2984" s="1" t="s">
        <v>16</v>
      </c>
      <c r="C2984" s="2" t="s">
        <v>3519</v>
      </c>
      <c r="D2984" s="2" t="s">
        <v>3520</v>
      </c>
      <c r="E2984" s="1">
        <v>0</v>
      </c>
      <c r="F2984" s="2" t="s">
        <v>3521</v>
      </c>
      <c r="H2984" s="1" t="str">
        <f t="shared" si="47"/>
        <v/>
      </c>
      <c r="K2984" s="1">
        <f>IF(E2984=0,SUMPRODUCT(($A$2:$A$4734=A2984)*($B$2:$B$4734=B2984)*($D$2:$D$4734=D2984)*($E$2:$E$4734=0)),0)</f>
        <v>4</v>
      </c>
      <c r="L2984" s="1">
        <f>IF(E2984=0,SUMPRODUCT(MIN($K$2:$K$4734+((($A$2:$A$4734&lt;&gt;A2984)+($E$2:$E$4734&lt;&gt;0))&gt;0)*1000000)),"")</f>
        <v>4</v>
      </c>
      <c r="M2984" s="1">
        <f>IF(AND(E2984=0,COUNTIFS($A$2:A2984,A2984,$E$2:E2984,0)=1),L2984,0)</f>
        <v>4</v>
      </c>
    </row>
    <row r="2985" spans="1:13" ht="15" customHeight="1">
      <c r="A2985" s="1">
        <v>89</v>
      </c>
      <c r="B2985" s="1" t="s">
        <v>16</v>
      </c>
      <c r="C2985" s="2" t="s">
        <v>3522</v>
      </c>
      <c r="D2985" s="2" t="s">
        <v>3520</v>
      </c>
      <c r="E2985" s="1">
        <v>0</v>
      </c>
      <c r="F2985" s="2" t="s">
        <v>3523</v>
      </c>
      <c r="H2985" s="1" t="str">
        <f t="shared" si="47"/>
        <v/>
      </c>
      <c r="K2985" s="1">
        <f>IF(E2985=0,SUMPRODUCT(($A$2:$A$4734=A2985)*($B$2:$B$4734=B2985)*($D$2:$D$4734=D2985)*($E$2:$E$4734=0)),0)</f>
        <v>4</v>
      </c>
      <c r="L2985" s="1">
        <f>IF(E2985=0,SUMPRODUCT(MIN($K$2:$K$4734+((($A$2:$A$4734&lt;&gt;A2985)+($E$2:$E$4734&lt;&gt;0))&gt;0)*1000000)),"")</f>
        <v>4</v>
      </c>
      <c r="M2985" s="1">
        <f>IF(AND(E2985=0,COUNTIFS($A$2:A2985,A2985,$E$2:E2985,0)=1),L2985,0)</f>
        <v>0</v>
      </c>
    </row>
    <row r="2986" spans="1:13" ht="15" customHeight="1">
      <c r="A2986" s="1">
        <v>89</v>
      </c>
      <c r="B2986" s="1" t="s">
        <v>16</v>
      </c>
      <c r="C2986" s="2" t="s">
        <v>3524</v>
      </c>
      <c r="D2986" s="2" t="s">
        <v>3520</v>
      </c>
      <c r="E2986" s="1">
        <v>0</v>
      </c>
      <c r="F2986" s="2" t="s">
        <v>3525</v>
      </c>
      <c r="H2986" s="1" t="str">
        <f t="shared" ref="H2986:H3048" si="48">IF(OR(E2986&lt;&gt;1,G2986=""),"","k"&amp;A2986&amp;"_"&amp;G2986)</f>
        <v/>
      </c>
      <c r="K2986" s="1">
        <f>IF(E2986=0,SUMPRODUCT(($A$2:$A$4734=A2986)*($B$2:$B$4734=B2986)*($D$2:$D$4734=D2986)*($E$2:$E$4734=0)),0)</f>
        <v>4</v>
      </c>
      <c r="L2986" s="1">
        <f>IF(E2986=0,SUMPRODUCT(MIN($K$2:$K$4734+((($A$2:$A$4734&lt;&gt;A2986)+($E$2:$E$4734&lt;&gt;0))&gt;0)*1000000)),"")</f>
        <v>4</v>
      </c>
      <c r="M2986" s="1">
        <f>IF(AND(E2986=0,COUNTIFS($A$2:A2986,A2986,$E$2:E2986,0)=1),L2986,0)</f>
        <v>0</v>
      </c>
    </row>
    <row r="2987" spans="1:13" ht="15" customHeight="1">
      <c r="A2987" s="1">
        <v>89</v>
      </c>
      <c r="B2987" s="1" t="s">
        <v>16</v>
      </c>
      <c r="C2987" s="2" t="s">
        <v>3526</v>
      </c>
      <c r="D2987" s="2" t="s">
        <v>3520</v>
      </c>
      <c r="E2987" s="1">
        <v>0</v>
      </c>
      <c r="F2987" s="2" t="s">
        <v>3527</v>
      </c>
      <c r="H2987" s="1" t="str">
        <f t="shared" si="48"/>
        <v/>
      </c>
      <c r="K2987" s="1">
        <f>IF(E2987=0,SUMPRODUCT(($A$2:$A$4734=A2987)*($B$2:$B$4734=B2987)*($D$2:$D$4734=D2987)*($E$2:$E$4734=0)),0)</f>
        <v>4</v>
      </c>
      <c r="L2987" s="1">
        <f>IF(E2987=0,SUMPRODUCT(MIN($K$2:$K$4734+((($A$2:$A$4734&lt;&gt;A2987)+($E$2:$E$4734&lt;&gt;0))&gt;0)*1000000)),"")</f>
        <v>4</v>
      </c>
      <c r="M2987" s="1">
        <f>IF(AND(E2987=0,COUNTIFS($A$2:A2987,A2987,$E$2:E2987,0)=1),L2987,0)</f>
        <v>0</v>
      </c>
    </row>
    <row r="2988" spans="1:13" ht="15" customHeight="1">
      <c r="A2988" s="1">
        <v>90</v>
      </c>
      <c r="B2988" s="1" t="s">
        <v>144</v>
      </c>
      <c r="C2988" s="2" t="s">
        <v>3528</v>
      </c>
      <c r="D2988" s="2" t="s">
        <v>3529</v>
      </c>
      <c r="E2988" s="1">
        <v>1</v>
      </c>
      <c r="F2988" s="2" t="s">
        <v>3530</v>
      </c>
      <c r="G2988" s="1">
        <v>1</v>
      </c>
      <c r="H2988" s="1" t="str">
        <f t="shared" si="48"/>
        <v>k90_1</v>
      </c>
      <c r="K2988" s="1">
        <f>IF(E2988=0,SUMPRODUCT(($A$2:$A$4734=A2988)*($B$2:$B$4734=B2988)*($D$2:$D$4734=D2988)*($E$2:$E$4734=0)),0)</f>
        <v>0</v>
      </c>
      <c r="L2988" s="1" t="str">
        <f>IF(E2988=0,SUMPRODUCT(MIN($K$2:$K$4734+((($A$2:$A$4734&lt;&gt;A2988)+($E$2:$E$4734&lt;&gt;0))&gt;0)*1000000)),"")</f>
        <v/>
      </c>
      <c r="M2988" s="1">
        <f>IF(AND(E2988=0,COUNTIFS($A$2:A2988,A2988,$E$2:E2988,0)=1),L2988,0)</f>
        <v>0</v>
      </c>
    </row>
    <row r="2989" spans="1:13" ht="15" customHeight="1">
      <c r="A2989" s="1">
        <v>90</v>
      </c>
      <c r="B2989" s="1" t="s">
        <v>144</v>
      </c>
      <c r="C2989" s="2" t="s">
        <v>3528</v>
      </c>
      <c r="D2989" s="2" t="s">
        <v>3529</v>
      </c>
      <c r="E2989" s="1">
        <v>1</v>
      </c>
      <c r="F2989" s="2" t="s">
        <v>3531</v>
      </c>
      <c r="G2989" s="1">
        <v>2</v>
      </c>
      <c r="H2989" s="1" t="str">
        <f t="shared" si="48"/>
        <v>k90_2</v>
      </c>
      <c r="K2989" s="1">
        <f>IF(E2989=0,SUMPRODUCT(($A$2:$A$4734=A2989)*($B$2:$B$4734=B2989)*($D$2:$D$4734=D2989)*($E$2:$E$4734=0)),0)</f>
        <v>0</v>
      </c>
      <c r="L2989" s="1" t="str">
        <f>IF(E2989=0,SUMPRODUCT(MIN($K$2:$K$4734+((($A$2:$A$4734&lt;&gt;A2989)+($E$2:$E$4734&lt;&gt;0))&gt;0)*1000000)),"")</f>
        <v/>
      </c>
      <c r="M2989" s="1">
        <f>IF(AND(E2989=0,COUNTIFS($A$2:A2989,A2989,$E$2:E2989,0)=1),L2989,0)</f>
        <v>0</v>
      </c>
    </row>
    <row r="2990" spans="1:13" ht="15" customHeight="1">
      <c r="A2990" s="1">
        <v>90</v>
      </c>
      <c r="B2990" s="1" t="s">
        <v>144</v>
      </c>
      <c r="C2990" s="2" t="s">
        <v>3528</v>
      </c>
      <c r="D2990" s="2" t="s">
        <v>3529</v>
      </c>
      <c r="E2990" s="1">
        <v>1</v>
      </c>
      <c r="F2990" s="2" t="s">
        <v>3532</v>
      </c>
      <c r="G2990" s="1">
        <v>3</v>
      </c>
      <c r="H2990" s="1" t="str">
        <f t="shared" si="48"/>
        <v>k90_3</v>
      </c>
      <c r="K2990" s="1">
        <f>IF(E2990=0,SUMPRODUCT(($A$2:$A$4734=A2990)*($B$2:$B$4734=B2990)*($D$2:$D$4734=D2990)*($E$2:$E$4734=0)),0)</f>
        <v>0</v>
      </c>
      <c r="L2990" s="1" t="str">
        <f>IF(E2990=0,SUMPRODUCT(MIN($K$2:$K$4734+((($A$2:$A$4734&lt;&gt;A2990)+($E$2:$E$4734&lt;&gt;0))&gt;0)*1000000)),"")</f>
        <v/>
      </c>
      <c r="M2990" s="1">
        <f>IF(AND(E2990=0,COUNTIFS($A$2:A2990,A2990,$E$2:E2990,0)=1),L2990,0)</f>
        <v>0</v>
      </c>
    </row>
    <row r="2991" spans="1:13" ht="15" customHeight="1">
      <c r="A2991" s="1">
        <v>90</v>
      </c>
      <c r="B2991" s="1" t="s">
        <v>144</v>
      </c>
      <c r="C2991" s="2" t="s">
        <v>3528</v>
      </c>
      <c r="D2991" s="2" t="s">
        <v>3529</v>
      </c>
      <c r="E2991" s="1">
        <v>1</v>
      </c>
      <c r="F2991" s="2" t="s">
        <v>3533</v>
      </c>
      <c r="G2991" s="1">
        <v>4</v>
      </c>
      <c r="H2991" s="1" t="str">
        <f t="shared" si="48"/>
        <v>k90_4</v>
      </c>
      <c r="K2991" s="1">
        <f>IF(E2991=0,SUMPRODUCT(($A$2:$A$4734=A2991)*($B$2:$B$4734=B2991)*($D$2:$D$4734=D2991)*($E$2:$E$4734=0)),0)</f>
        <v>0</v>
      </c>
      <c r="L2991" s="1" t="str">
        <f>IF(E2991=0,SUMPRODUCT(MIN($K$2:$K$4734+((($A$2:$A$4734&lt;&gt;A2991)+($E$2:$E$4734&lt;&gt;0))&gt;0)*1000000)),"")</f>
        <v/>
      </c>
      <c r="M2991" s="1">
        <f>IF(AND(E2991=0,COUNTIFS($A$2:A2991,A2991,$E$2:E2991,0)=1),L2991,0)</f>
        <v>0</v>
      </c>
    </row>
    <row r="2992" spans="1:13" ht="15" customHeight="1">
      <c r="A2992" s="1">
        <v>90</v>
      </c>
      <c r="B2992" s="1" t="s">
        <v>144</v>
      </c>
      <c r="C2992" s="2" t="s">
        <v>3528</v>
      </c>
      <c r="D2992" s="2" t="s">
        <v>3529</v>
      </c>
      <c r="E2992" s="1">
        <v>1</v>
      </c>
      <c r="F2992" s="2" t="s">
        <v>3530</v>
      </c>
      <c r="G2992" s="1">
        <v>5</v>
      </c>
      <c r="H2992" s="1" t="str">
        <f t="shared" si="48"/>
        <v>k90_5</v>
      </c>
      <c r="K2992" s="1">
        <f>IF(E2992=0,SUMPRODUCT(($A$2:$A$4734=A2992)*($B$2:$B$4734=B2992)*($D$2:$D$4734=D2992)*($E$2:$E$4734=0)),0)</f>
        <v>0</v>
      </c>
      <c r="L2992" s="1" t="str">
        <f>IF(E2992=0,SUMPRODUCT(MIN($K$2:$K$4734+((($A$2:$A$4734&lt;&gt;A2992)+($E$2:$E$4734&lt;&gt;0))&gt;0)*1000000)),"")</f>
        <v/>
      </c>
      <c r="M2992" s="1">
        <f>IF(AND(E2992=0,COUNTIFS($A$2:A2992,A2992,$E$2:E2992,0)=1),L2992,0)</f>
        <v>0</v>
      </c>
    </row>
    <row r="2993" spans="1:13" ht="15" customHeight="1">
      <c r="A2993" s="1">
        <v>90</v>
      </c>
      <c r="B2993" s="1" t="s">
        <v>144</v>
      </c>
      <c r="C2993" s="2" t="s">
        <v>3528</v>
      </c>
      <c r="D2993" s="2" t="s">
        <v>3529</v>
      </c>
      <c r="E2993" s="1">
        <v>1</v>
      </c>
      <c r="F2993" s="2" t="s">
        <v>3531</v>
      </c>
      <c r="G2993" s="1">
        <v>6</v>
      </c>
      <c r="H2993" s="1" t="str">
        <f t="shared" si="48"/>
        <v>k90_6</v>
      </c>
      <c r="K2993" s="1">
        <f>IF(E2993=0,SUMPRODUCT(($A$2:$A$4734=A2993)*($B$2:$B$4734=B2993)*($D$2:$D$4734=D2993)*($E$2:$E$4734=0)),0)</f>
        <v>0</v>
      </c>
      <c r="L2993" s="1" t="str">
        <f>IF(E2993=0,SUMPRODUCT(MIN($K$2:$K$4734+((($A$2:$A$4734&lt;&gt;A2993)+($E$2:$E$4734&lt;&gt;0))&gt;0)*1000000)),"")</f>
        <v/>
      </c>
      <c r="M2993" s="1">
        <f>IF(AND(E2993=0,COUNTIFS($A$2:A2993,A2993,$E$2:E2993,0)=1),L2993,0)</f>
        <v>0</v>
      </c>
    </row>
    <row r="2994" spans="1:13" ht="15" customHeight="1">
      <c r="A2994" s="1">
        <v>90</v>
      </c>
      <c r="B2994" s="1" t="s">
        <v>144</v>
      </c>
      <c r="C2994" s="2" t="s">
        <v>3528</v>
      </c>
      <c r="D2994" s="2" t="s">
        <v>3529</v>
      </c>
      <c r="E2994" s="1">
        <v>1</v>
      </c>
      <c r="F2994" s="2" t="s">
        <v>3532</v>
      </c>
      <c r="G2994" s="1">
        <v>7</v>
      </c>
      <c r="H2994" s="1" t="str">
        <f t="shared" si="48"/>
        <v>k90_7</v>
      </c>
      <c r="K2994" s="1">
        <f>IF(E2994=0,SUMPRODUCT(($A$2:$A$4734=A2994)*($B$2:$B$4734=B2994)*($D$2:$D$4734=D2994)*($E$2:$E$4734=0)),0)</f>
        <v>0</v>
      </c>
      <c r="L2994" s="1" t="str">
        <f>IF(E2994=0,SUMPRODUCT(MIN($K$2:$K$4734+((($A$2:$A$4734&lt;&gt;A2994)+($E$2:$E$4734&lt;&gt;0))&gt;0)*1000000)),"")</f>
        <v/>
      </c>
      <c r="M2994" s="1">
        <f>IF(AND(E2994=0,COUNTIFS($A$2:A2994,A2994,$E$2:E2994,0)=1),L2994,0)</f>
        <v>0</v>
      </c>
    </row>
    <row r="2995" spans="1:13" ht="15" customHeight="1">
      <c r="A2995" s="1">
        <v>90</v>
      </c>
      <c r="B2995" s="1" t="s">
        <v>144</v>
      </c>
      <c r="C2995" s="2" t="s">
        <v>3528</v>
      </c>
      <c r="D2995" s="2" t="s">
        <v>3529</v>
      </c>
      <c r="E2995" s="1">
        <v>1</v>
      </c>
      <c r="F2995" s="2" t="s">
        <v>3533</v>
      </c>
      <c r="G2995" s="1">
        <v>8</v>
      </c>
      <c r="H2995" s="1" t="str">
        <f t="shared" si="48"/>
        <v>k90_8</v>
      </c>
      <c r="K2995" s="1">
        <f>IF(E2995=0,SUMPRODUCT(($A$2:$A$4734=A2995)*($B$2:$B$4734=B2995)*($D$2:$D$4734=D2995)*($E$2:$E$4734=0)),0)</f>
        <v>0</v>
      </c>
      <c r="L2995" s="1" t="str">
        <f>IF(E2995=0,SUMPRODUCT(MIN($K$2:$K$4734+((($A$2:$A$4734&lt;&gt;A2995)+($E$2:$E$4734&lt;&gt;0))&gt;0)*1000000)),"")</f>
        <v/>
      </c>
      <c r="M2995" s="1">
        <f>IF(AND(E2995=0,COUNTIFS($A$2:A2995,A2995,$E$2:E2995,0)=1),L2995,0)</f>
        <v>0</v>
      </c>
    </row>
    <row r="2996" spans="1:13" ht="15" customHeight="1">
      <c r="A2996" s="1">
        <v>90</v>
      </c>
      <c r="B2996" s="1" t="s">
        <v>144</v>
      </c>
      <c r="C2996" s="2" t="s">
        <v>3528</v>
      </c>
      <c r="D2996" s="2" t="s">
        <v>3529</v>
      </c>
      <c r="E2996" s="1">
        <v>1</v>
      </c>
      <c r="F2996" s="2" t="s">
        <v>3533</v>
      </c>
      <c r="G2996" s="1">
        <v>9</v>
      </c>
      <c r="H2996" s="1" t="str">
        <f t="shared" si="48"/>
        <v>k90_9</v>
      </c>
      <c r="K2996" s="1">
        <f>IF(E2996=0,SUMPRODUCT(($A$2:$A$4734=A2996)*($B$2:$B$4734=B2996)*($D$2:$D$4734=D2996)*($E$2:$E$4734=0)),0)</f>
        <v>0</v>
      </c>
      <c r="L2996" s="1" t="str">
        <f>IF(E2996=0,SUMPRODUCT(MIN($K$2:$K$4734+((($A$2:$A$4734&lt;&gt;A2996)+($E$2:$E$4734&lt;&gt;0))&gt;0)*1000000)),"")</f>
        <v/>
      </c>
      <c r="M2996" s="1">
        <f>IF(AND(E2996=0,COUNTIFS($A$2:A2996,A2996,$E$2:E2996,0)=1),L2996,0)</f>
        <v>0</v>
      </c>
    </row>
    <row r="2997" spans="1:13" ht="15" customHeight="1">
      <c r="A2997" s="1">
        <v>90</v>
      </c>
      <c r="B2997" s="1" t="s">
        <v>9</v>
      </c>
      <c r="C2997" s="2" t="s">
        <v>3528</v>
      </c>
      <c r="D2997" s="2" t="s">
        <v>3534</v>
      </c>
      <c r="E2997" s="1">
        <v>1</v>
      </c>
      <c r="F2997" s="2" t="s">
        <v>3535</v>
      </c>
      <c r="G2997" s="1">
        <v>1</v>
      </c>
      <c r="H2997" s="1" t="str">
        <f t="shared" si="48"/>
        <v>k90_1</v>
      </c>
      <c r="K2997" s="1">
        <f>IF(E2997=0,SUMPRODUCT(($A$2:$A$4734=A2997)*($B$2:$B$4734=B2997)*($D$2:$D$4734=D2997)*($E$2:$E$4734=0)),0)</f>
        <v>0</v>
      </c>
      <c r="L2997" s="1" t="str">
        <f>IF(E2997=0,SUMPRODUCT(MIN($K$2:$K$4734+((($A$2:$A$4734&lt;&gt;A2997)+($E$2:$E$4734&lt;&gt;0))&gt;0)*1000000)),"")</f>
        <v/>
      </c>
      <c r="M2997" s="1">
        <f>IF(AND(E2997=0,COUNTIFS($A$2:A2997,A2997,$E$2:E2997,0)=1),L2997,0)</f>
        <v>0</v>
      </c>
    </row>
    <row r="2998" spans="1:13" ht="15" customHeight="1">
      <c r="A2998" s="1">
        <v>90</v>
      </c>
      <c r="B2998" s="1" t="s">
        <v>9</v>
      </c>
      <c r="C2998" s="2" t="s">
        <v>3528</v>
      </c>
      <c r="D2998" s="2" t="s">
        <v>3534</v>
      </c>
      <c r="E2998" s="1">
        <v>1</v>
      </c>
      <c r="F2998" s="2" t="s">
        <v>3536</v>
      </c>
      <c r="G2998" s="1">
        <v>2</v>
      </c>
      <c r="H2998" s="1" t="str">
        <f t="shared" si="48"/>
        <v>k90_2</v>
      </c>
      <c r="K2998" s="1">
        <f>IF(E2998=0,SUMPRODUCT(($A$2:$A$4734=A2998)*($B$2:$B$4734=B2998)*($D$2:$D$4734=D2998)*($E$2:$E$4734=0)),0)</f>
        <v>0</v>
      </c>
      <c r="L2998" s="1" t="str">
        <f>IF(E2998=0,SUMPRODUCT(MIN($K$2:$K$4734+((($A$2:$A$4734&lt;&gt;A2998)+($E$2:$E$4734&lt;&gt;0))&gt;0)*1000000)),"")</f>
        <v/>
      </c>
      <c r="M2998" s="1">
        <f>IF(AND(E2998=0,COUNTIFS($A$2:A2998,A2998,$E$2:E2998,0)=1),L2998,0)</f>
        <v>0</v>
      </c>
    </row>
    <row r="2999" spans="1:13" ht="15" customHeight="1">
      <c r="A2999" s="1">
        <v>90</v>
      </c>
      <c r="B2999" s="1" t="s">
        <v>9</v>
      </c>
      <c r="C2999" s="2" t="s">
        <v>3528</v>
      </c>
      <c r="D2999" s="2" t="s">
        <v>3534</v>
      </c>
      <c r="E2999" s="1">
        <v>1</v>
      </c>
      <c r="F2999" s="2" t="s">
        <v>3537</v>
      </c>
      <c r="G2999" s="1">
        <v>3</v>
      </c>
      <c r="H2999" s="1" t="str">
        <f t="shared" si="48"/>
        <v>k90_3</v>
      </c>
      <c r="K2999" s="1">
        <f>IF(E2999=0,SUMPRODUCT(($A$2:$A$4734=A2999)*($B$2:$B$4734=B2999)*($D$2:$D$4734=D2999)*($E$2:$E$4734=0)),0)</f>
        <v>0</v>
      </c>
      <c r="L2999" s="1" t="str">
        <f>IF(E2999=0,SUMPRODUCT(MIN($K$2:$K$4734+((($A$2:$A$4734&lt;&gt;A2999)+($E$2:$E$4734&lt;&gt;0))&gt;0)*1000000)),"")</f>
        <v/>
      </c>
      <c r="M2999" s="1">
        <f>IF(AND(E2999=0,COUNTIFS($A$2:A2999,A2999,$E$2:E2999,0)=1),L2999,0)</f>
        <v>0</v>
      </c>
    </row>
    <row r="3000" spans="1:13" ht="15" customHeight="1">
      <c r="A3000" s="1">
        <v>90</v>
      </c>
      <c r="B3000" s="1" t="s">
        <v>9</v>
      </c>
      <c r="C3000" s="2" t="s">
        <v>3528</v>
      </c>
      <c r="D3000" s="2" t="s">
        <v>3534</v>
      </c>
      <c r="E3000" s="1">
        <v>1</v>
      </c>
      <c r="F3000" s="2" t="s">
        <v>3538</v>
      </c>
      <c r="G3000" s="1">
        <v>4</v>
      </c>
      <c r="H3000" s="1" t="str">
        <f t="shared" si="48"/>
        <v>k90_4</v>
      </c>
      <c r="K3000" s="1">
        <f>IF(E3000=0,SUMPRODUCT(($A$2:$A$4734=A3000)*($B$2:$B$4734=B3000)*($D$2:$D$4734=D3000)*($E$2:$E$4734=0)),0)</f>
        <v>0</v>
      </c>
      <c r="L3000" s="1" t="str">
        <f>IF(E3000=0,SUMPRODUCT(MIN($K$2:$K$4734+((($A$2:$A$4734&lt;&gt;A3000)+($E$2:$E$4734&lt;&gt;0))&gt;0)*1000000)),"")</f>
        <v/>
      </c>
      <c r="M3000" s="1">
        <f>IF(AND(E3000=0,COUNTIFS($A$2:A3000,A3000,$E$2:E3000,0)=1),L3000,0)</f>
        <v>0</v>
      </c>
    </row>
    <row r="3001" spans="1:13" ht="15" customHeight="1">
      <c r="A3001" s="1">
        <v>90</v>
      </c>
      <c r="B3001" s="1" t="s">
        <v>9</v>
      </c>
      <c r="C3001" s="2" t="s">
        <v>3528</v>
      </c>
      <c r="D3001" s="2" t="s">
        <v>3534</v>
      </c>
      <c r="E3001" s="1">
        <v>1</v>
      </c>
      <c r="F3001" s="2" t="s">
        <v>3535</v>
      </c>
      <c r="G3001" s="1">
        <v>5</v>
      </c>
      <c r="H3001" s="1" t="str">
        <f t="shared" si="48"/>
        <v>k90_5</v>
      </c>
      <c r="K3001" s="1">
        <f>IF(E3001=0,SUMPRODUCT(($A$2:$A$4734=A3001)*($B$2:$B$4734=B3001)*($D$2:$D$4734=D3001)*($E$2:$E$4734=0)),0)</f>
        <v>0</v>
      </c>
      <c r="L3001" s="1" t="str">
        <f>IF(E3001=0,SUMPRODUCT(MIN($K$2:$K$4734+((($A$2:$A$4734&lt;&gt;A3001)+($E$2:$E$4734&lt;&gt;0))&gt;0)*1000000)),"")</f>
        <v/>
      </c>
      <c r="M3001" s="1">
        <f>IF(AND(E3001=0,COUNTIFS($A$2:A3001,A3001,$E$2:E3001,0)=1),L3001,0)</f>
        <v>0</v>
      </c>
    </row>
    <row r="3002" spans="1:13" ht="15" customHeight="1">
      <c r="A3002" s="1">
        <v>90</v>
      </c>
      <c r="B3002" s="1" t="s">
        <v>9</v>
      </c>
      <c r="C3002" s="2" t="s">
        <v>3528</v>
      </c>
      <c r="D3002" s="2" t="s">
        <v>3534</v>
      </c>
      <c r="E3002" s="1">
        <v>1</v>
      </c>
      <c r="F3002" s="2" t="s">
        <v>3536</v>
      </c>
      <c r="G3002" s="1">
        <v>6</v>
      </c>
      <c r="H3002" s="1" t="str">
        <f t="shared" si="48"/>
        <v>k90_6</v>
      </c>
      <c r="K3002" s="1">
        <f>IF(E3002=0,SUMPRODUCT(($A$2:$A$4734=A3002)*($B$2:$B$4734=B3002)*($D$2:$D$4734=D3002)*($E$2:$E$4734=0)),0)</f>
        <v>0</v>
      </c>
      <c r="L3002" s="1" t="str">
        <f>IF(E3002=0,SUMPRODUCT(MIN($K$2:$K$4734+((($A$2:$A$4734&lt;&gt;A3002)+($E$2:$E$4734&lt;&gt;0))&gt;0)*1000000)),"")</f>
        <v/>
      </c>
      <c r="M3002" s="1">
        <f>IF(AND(E3002=0,COUNTIFS($A$2:A3002,A3002,$E$2:E3002,0)=1),L3002,0)</f>
        <v>0</v>
      </c>
    </row>
    <row r="3003" spans="1:13" ht="15" customHeight="1">
      <c r="A3003" s="1">
        <v>90</v>
      </c>
      <c r="B3003" s="1" t="s">
        <v>9</v>
      </c>
      <c r="C3003" s="2" t="s">
        <v>3528</v>
      </c>
      <c r="D3003" s="2" t="s">
        <v>3534</v>
      </c>
      <c r="E3003" s="1">
        <v>1</v>
      </c>
      <c r="F3003" s="2" t="s">
        <v>3537</v>
      </c>
      <c r="G3003" s="1">
        <v>7</v>
      </c>
      <c r="H3003" s="1" t="str">
        <f t="shared" si="48"/>
        <v>k90_7</v>
      </c>
      <c r="K3003" s="1">
        <f>IF(E3003=0,SUMPRODUCT(($A$2:$A$4734=A3003)*($B$2:$B$4734=B3003)*($D$2:$D$4734=D3003)*($E$2:$E$4734=0)),0)</f>
        <v>0</v>
      </c>
      <c r="L3003" s="1" t="str">
        <f>IF(E3003=0,SUMPRODUCT(MIN($K$2:$K$4734+((($A$2:$A$4734&lt;&gt;A3003)+($E$2:$E$4734&lt;&gt;0))&gt;0)*1000000)),"")</f>
        <v/>
      </c>
      <c r="M3003" s="1">
        <f>IF(AND(E3003=0,COUNTIFS($A$2:A3003,A3003,$E$2:E3003,0)=1),L3003,0)</f>
        <v>0</v>
      </c>
    </row>
    <row r="3004" spans="1:13" ht="15" customHeight="1">
      <c r="A3004" s="1">
        <v>90</v>
      </c>
      <c r="B3004" s="1" t="s">
        <v>9</v>
      </c>
      <c r="C3004" s="2" t="s">
        <v>3528</v>
      </c>
      <c r="D3004" s="2" t="s">
        <v>3534</v>
      </c>
      <c r="E3004" s="1">
        <v>1</v>
      </c>
      <c r="F3004" s="2" t="s">
        <v>3538</v>
      </c>
      <c r="G3004" s="1">
        <v>8</v>
      </c>
      <c r="H3004" s="1" t="str">
        <f t="shared" si="48"/>
        <v>k90_8</v>
      </c>
      <c r="K3004" s="1">
        <f>IF(E3004=0,SUMPRODUCT(($A$2:$A$4734=A3004)*($B$2:$B$4734=B3004)*($D$2:$D$4734=D3004)*($E$2:$E$4734=0)),0)</f>
        <v>0</v>
      </c>
      <c r="L3004" s="1" t="str">
        <f>IF(E3004=0,SUMPRODUCT(MIN($K$2:$K$4734+((($A$2:$A$4734&lt;&gt;A3004)+($E$2:$E$4734&lt;&gt;0))&gt;0)*1000000)),"")</f>
        <v/>
      </c>
      <c r="M3004" s="1">
        <f>IF(AND(E3004=0,COUNTIFS($A$2:A3004,A3004,$E$2:E3004,0)=1),L3004,0)</f>
        <v>0</v>
      </c>
    </row>
    <row r="3005" spans="1:13" ht="15" customHeight="1">
      <c r="A3005" s="1">
        <v>90</v>
      </c>
      <c r="B3005" s="1" t="s">
        <v>9</v>
      </c>
      <c r="C3005" s="2" t="s">
        <v>3528</v>
      </c>
      <c r="D3005" s="2" t="s">
        <v>3534</v>
      </c>
      <c r="E3005" s="1">
        <v>1</v>
      </c>
      <c r="F3005" s="2" t="s">
        <v>3539</v>
      </c>
      <c r="G3005" s="1">
        <v>9</v>
      </c>
      <c r="H3005" s="1" t="str">
        <f t="shared" si="48"/>
        <v>k90_9</v>
      </c>
      <c r="K3005" s="1">
        <f>IF(E3005=0,SUMPRODUCT(($A$2:$A$4734=A3005)*($B$2:$B$4734=B3005)*($D$2:$D$4734=D3005)*($E$2:$E$4734=0)),0)</f>
        <v>0</v>
      </c>
      <c r="L3005" s="1" t="str">
        <f>IF(E3005=0,SUMPRODUCT(MIN($K$2:$K$4734+((($A$2:$A$4734&lt;&gt;A3005)+($E$2:$E$4734&lt;&gt;0))&gt;0)*1000000)),"")</f>
        <v/>
      </c>
      <c r="M3005" s="1">
        <f>IF(AND(E3005=0,COUNTIFS($A$2:A3005,A3005,$E$2:E3005,0)=1),L3005,0)</f>
        <v>0</v>
      </c>
    </row>
    <row r="3006" spans="1:13" ht="15" customHeight="1">
      <c r="A3006" s="1">
        <v>91</v>
      </c>
      <c r="B3006" s="1" t="s">
        <v>16</v>
      </c>
      <c r="C3006" s="2" t="s">
        <v>3540</v>
      </c>
      <c r="D3006" s="2" t="s">
        <v>3541</v>
      </c>
      <c r="E3006" s="1">
        <v>0</v>
      </c>
      <c r="F3006" s="2" t="s">
        <v>3542</v>
      </c>
      <c r="H3006" s="1" t="str">
        <f t="shared" si="48"/>
        <v/>
      </c>
      <c r="K3006" s="1">
        <f>IF(E3006=0,SUMPRODUCT(($A$2:$A$4734=A3006)*($B$2:$B$4734=B3006)*($D$2:$D$4734=D3006)*($E$2:$E$4734=0)),0)</f>
        <v>4</v>
      </c>
      <c r="L3006" s="1">
        <f>IF(E3006=0,SUMPRODUCT(MIN($K$2:$K$4734+((($A$2:$A$4734&lt;&gt;A3006)+($E$2:$E$4734&lt;&gt;0))&gt;0)*1000000)),"")</f>
        <v>3</v>
      </c>
      <c r="M3006" s="1">
        <f>IF(AND(E3006=0,COUNTIFS($A$2:A3006,A3006,$E$2:E3006,0)=1),L3006,0)</f>
        <v>3</v>
      </c>
    </row>
    <row r="3007" spans="1:13" ht="15" customHeight="1">
      <c r="A3007" s="1">
        <v>91</v>
      </c>
      <c r="B3007" s="1" t="s">
        <v>16</v>
      </c>
      <c r="C3007" s="2" t="s">
        <v>3543</v>
      </c>
      <c r="D3007" s="2" t="s">
        <v>3541</v>
      </c>
      <c r="E3007" s="1">
        <v>0</v>
      </c>
      <c r="F3007" s="2" t="s">
        <v>3544</v>
      </c>
      <c r="H3007" s="1" t="str">
        <f t="shared" si="48"/>
        <v/>
      </c>
      <c r="K3007" s="1">
        <f>IF(E3007=0,SUMPRODUCT(($A$2:$A$4734=A3007)*($B$2:$B$4734=B3007)*($D$2:$D$4734=D3007)*($E$2:$E$4734=0)),0)</f>
        <v>4</v>
      </c>
      <c r="L3007" s="1">
        <f>IF(E3007=0,SUMPRODUCT(MIN($K$2:$K$4734+((($A$2:$A$4734&lt;&gt;A3007)+($E$2:$E$4734&lt;&gt;0))&gt;0)*1000000)),"")</f>
        <v>3</v>
      </c>
      <c r="M3007" s="1">
        <f>IF(AND(E3007=0,COUNTIFS($A$2:A3007,A3007,$E$2:E3007,0)=1),L3007,0)</f>
        <v>0</v>
      </c>
    </row>
    <row r="3008" spans="1:13" ht="15" customHeight="1">
      <c r="A3008" s="1">
        <v>91</v>
      </c>
      <c r="B3008" s="1" t="s">
        <v>16</v>
      </c>
      <c r="C3008" s="2" t="s">
        <v>3545</v>
      </c>
      <c r="D3008" s="2" t="s">
        <v>3541</v>
      </c>
      <c r="E3008" s="1">
        <v>0</v>
      </c>
      <c r="F3008" s="2" t="s">
        <v>3546</v>
      </c>
      <c r="H3008" s="1" t="str">
        <f t="shared" si="48"/>
        <v/>
      </c>
      <c r="K3008" s="1">
        <f>IF(E3008=0,SUMPRODUCT(($A$2:$A$4734=A3008)*($B$2:$B$4734=B3008)*($D$2:$D$4734=D3008)*($E$2:$E$4734=0)),0)</f>
        <v>4</v>
      </c>
      <c r="L3008" s="1">
        <f>IF(E3008=0,SUMPRODUCT(MIN($K$2:$K$4734+((($A$2:$A$4734&lt;&gt;A3008)+($E$2:$E$4734&lt;&gt;0))&gt;0)*1000000)),"")</f>
        <v>3</v>
      </c>
      <c r="M3008" s="1">
        <f>IF(AND(E3008=0,COUNTIFS($A$2:A3008,A3008,$E$2:E3008,0)=1),L3008,0)</f>
        <v>0</v>
      </c>
    </row>
    <row r="3009" spans="1:13" ht="15" customHeight="1">
      <c r="A3009" s="1">
        <v>91</v>
      </c>
      <c r="B3009" s="1" t="s">
        <v>16</v>
      </c>
      <c r="C3009" s="2" t="s">
        <v>3547</v>
      </c>
      <c r="D3009" s="2" t="s">
        <v>3541</v>
      </c>
      <c r="E3009" s="1">
        <v>0</v>
      </c>
      <c r="F3009" s="2" t="s">
        <v>3548</v>
      </c>
      <c r="H3009" s="1" t="str">
        <f t="shared" si="48"/>
        <v/>
      </c>
      <c r="K3009" s="1">
        <f>IF(E3009=0,SUMPRODUCT(($A$2:$A$4734=A3009)*($B$2:$B$4734=B3009)*($D$2:$D$4734=D3009)*($E$2:$E$4734=0)),0)</f>
        <v>4</v>
      </c>
      <c r="L3009" s="1">
        <f>IF(E3009=0,SUMPRODUCT(MIN($K$2:$K$4734+((($A$2:$A$4734&lt;&gt;A3009)+($E$2:$E$4734&lt;&gt;0))&gt;0)*1000000)),"")</f>
        <v>3</v>
      </c>
      <c r="M3009" s="1">
        <f>IF(AND(E3009=0,COUNTIFS($A$2:A3009,A3009,$E$2:E3009,0)=1),L3009,0)</f>
        <v>0</v>
      </c>
    </row>
    <row r="3010" spans="1:13" ht="15" customHeight="1">
      <c r="A3010" s="1">
        <v>91</v>
      </c>
      <c r="B3010" s="1" t="s">
        <v>9</v>
      </c>
      <c r="C3010" s="2" t="s">
        <v>3549</v>
      </c>
      <c r="D3010" s="2" t="s">
        <v>3550</v>
      </c>
      <c r="E3010" s="1">
        <v>0</v>
      </c>
      <c r="F3010" s="2" t="s">
        <v>3551</v>
      </c>
      <c r="H3010" s="1" t="str">
        <f t="shared" si="48"/>
        <v/>
      </c>
      <c r="K3010" s="1">
        <f>IF(E3010=0,SUMPRODUCT(($A$2:$A$4734=A3010)*($B$2:$B$4734=B3010)*($D$2:$D$4734=D3010)*($E$2:$E$4734=0)),0)</f>
        <v>5</v>
      </c>
      <c r="L3010" s="1">
        <f>IF(E3010=0,SUMPRODUCT(MIN($K$2:$K$4734+((($A$2:$A$4734&lt;&gt;A3010)+($E$2:$E$4734&lt;&gt;0))&gt;0)*1000000)),"")</f>
        <v>3</v>
      </c>
      <c r="M3010" s="1">
        <f>IF(AND(E3010=0,COUNTIFS($A$2:A3010,A3010,$E$2:E3010,0)=1),L3010,0)</f>
        <v>0</v>
      </c>
    </row>
    <row r="3011" spans="1:13" ht="15" customHeight="1">
      <c r="A3011" s="1">
        <v>91</v>
      </c>
      <c r="B3011" s="1" t="s">
        <v>9</v>
      </c>
      <c r="C3011" s="2" t="s">
        <v>3552</v>
      </c>
      <c r="D3011" s="2" t="s">
        <v>3550</v>
      </c>
      <c r="E3011" s="1">
        <v>0</v>
      </c>
      <c r="F3011" s="2" t="s">
        <v>3553</v>
      </c>
      <c r="H3011" s="1" t="str">
        <f t="shared" si="48"/>
        <v/>
      </c>
      <c r="K3011" s="1">
        <f>IF(E3011=0,SUMPRODUCT(($A$2:$A$4734=A3011)*($B$2:$B$4734=B3011)*($D$2:$D$4734=D3011)*($E$2:$E$4734=0)),0)</f>
        <v>5</v>
      </c>
      <c r="L3011" s="1">
        <f>IF(E3011=0,SUMPRODUCT(MIN($K$2:$K$4734+((($A$2:$A$4734&lt;&gt;A3011)+($E$2:$E$4734&lt;&gt;0))&gt;0)*1000000)),"")</f>
        <v>3</v>
      </c>
      <c r="M3011" s="1">
        <f>IF(AND(E3011=0,COUNTIFS($A$2:A3011,A3011,$E$2:E3011,0)=1),L3011,0)</f>
        <v>0</v>
      </c>
    </row>
    <row r="3012" spans="1:13" ht="15" customHeight="1">
      <c r="A3012" s="1">
        <v>91</v>
      </c>
      <c r="B3012" s="1" t="s">
        <v>9</v>
      </c>
      <c r="C3012" s="2" t="s">
        <v>3554</v>
      </c>
      <c r="D3012" s="2" t="s">
        <v>3550</v>
      </c>
      <c r="E3012" s="1">
        <v>0</v>
      </c>
      <c r="F3012" s="2" t="s">
        <v>3555</v>
      </c>
      <c r="H3012" s="1" t="str">
        <f t="shared" si="48"/>
        <v/>
      </c>
      <c r="K3012" s="1">
        <f>IF(E3012=0,SUMPRODUCT(($A$2:$A$4734=A3012)*($B$2:$B$4734=B3012)*($D$2:$D$4734=D3012)*($E$2:$E$4734=0)),0)</f>
        <v>5</v>
      </c>
      <c r="L3012" s="1">
        <f>IF(E3012=0,SUMPRODUCT(MIN($K$2:$K$4734+((($A$2:$A$4734&lt;&gt;A3012)+($E$2:$E$4734&lt;&gt;0))&gt;0)*1000000)),"")</f>
        <v>3</v>
      </c>
      <c r="M3012" s="1">
        <f>IF(AND(E3012=0,COUNTIFS($A$2:A3012,A3012,$E$2:E3012,0)=1),L3012,0)</f>
        <v>0</v>
      </c>
    </row>
    <row r="3013" spans="1:13" ht="15" customHeight="1">
      <c r="A3013" s="1">
        <v>91</v>
      </c>
      <c r="B3013" s="1" t="s">
        <v>9</v>
      </c>
      <c r="C3013" s="2" t="s">
        <v>3556</v>
      </c>
      <c r="D3013" s="2" t="s">
        <v>3550</v>
      </c>
      <c r="E3013" s="1">
        <v>0</v>
      </c>
      <c r="F3013" s="2" t="s">
        <v>3557</v>
      </c>
      <c r="H3013" s="1" t="str">
        <f t="shared" si="48"/>
        <v/>
      </c>
      <c r="K3013" s="1">
        <f>IF(E3013=0,SUMPRODUCT(($A$2:$A$4734=A3013)*($B$2:$B$4734=B3013)*($D$2:$D$4734=D3013)*($E$2:$E$4734=0)),0)</f>
        <v>5</v>
      </c>
      <c r="L3013" s="1">
        <f>IF(E3013=0,SUMPRODUCT(MIN($K$2:$K$4734+((($A$2:$A$4734&lt;&gt;A3013)+($E$2:$E$4734&lt;&gt;0))&gt;0)*1000000)),"")</f>
        <v>3</v>
      </c>
      <c r="M3013" s="1">
        <f>IF(AND(E3013=0,COUNTIFS($A$2:A3013,A3013,$E$2:E3013,0)=1),L3013,0)</f>
        <v>0</v>
      </c>
    </row>
    <row r="3014" spans="1:13" ht="15" customHeight="1">
      <c r="A3014" s="1">
        <v>91</v>
      </c>
      <c r="B3014" s="1" t="s">
        <v>9</v>
      </c>
      <c r="C3014" s="2" t="s">
        <v>3558</v>
      </c>
      <c r="D3014" s="2" t="s">
        <v>3550</v>
      </c>
      <c r="E3014" s="1">
        <v>0</v>
      </c>
      <c r="F3014" s="2" t="s">
        <v>3559</v>
      </c>
      <c r="H3014" s="1" t="str">
        <f t="shared" si="48"/>
        <v/>
      </c>
      <c r="K3014" s="1">
        <f>IF(E3014=0,SUMPRODUCT(($A$2:$A$4734=A3014)*($B$2:$B$4734=B3014)*($D$2:$D$4734=D3014)*($E$2:$E$4734=0)),0)</f>
        <v>5</v>
      </c>
      <c r="L3014" s="1">
        <f>IF(E3014=0,SUMPRODUCT(MIN($K$2:$K$4734+((($A$2:$A$4734&lt;&gt;A3014)+($E$2:$E$4734&lt;&gt;0))&gt;0)*1000000)),"")</f>
        <v>3</v>
      </c>
      <c r="M3014" s="1">
        <f>IF(AND(E3014=0,COUNTIFS($A$2:A3014,A3014,$E$2:E3014,0)=1),L3014,0)</f>
        <v>0</v>
      </c>
    </row>
    <row r="3015" spans="1:13" ht="15" customHeight="1">
      <c r="A3015" s="1">
        <v>91</v>
      </c>
      <c r="B3015" s="1" t="s">
        <v>16</v>
      </c>
      <c r="C3015" s="2" t="s">
        <v>3560</v>
      </c>
      <c r="D3015" s="2" t="s">
        <v>3561</v>
      </c>
      <c r="E3015" s="1">
        <v>0</v>
      </c>
      <c r="F3015" s="2" t="s">
        <v>3562</v>
      </c>
      <c r="H3015" s="1" t="str">
        <f t="shared" si="48"/>
        <v/>
      </c>
      <c r="K3015" s="1">
        <f>IF(E3015=0,SUMPRODUCT(($A$2:$A$4734=A3015)*($B$2:$B$4734=B3015)*($D$2:$D$4734=D3015)*($E$2:$E$4734=0)),0)</f>
        <v>3</v>
      </c>
      <c r="L3015" s="1">
        <f>IF(E3015=0,SUMPRODUCT(MIN($K$2:$K$4734+((($A$2:$A$4734&lt;&gt;A3015)+($E$2:$E$4734&lt;&gt;0))&gt;0)*1000000)),"")</f>
        <v>3</v>
      </c>
      <c r="M3015" s="1">
        <f>IF(AND(E3015=0,COUNTIFS($A$2:A3015,A3015,$E$2:E3015,0)=1),L3015,0)</f>
        <v>0</v>
      </c>
    </row>
    <row r="3016" spans="1:13" ht="15" customHeight="1">
      <c r="A3016" s="1">
        <v>91</v>
      </c>
      <c r="B3016" s="1" t="s">
        <v>16</v>
      </c>
      <c r="C3016" s="2" t="s">
        <v>3563</v>
      </c>
      <c r="D3016" s="2" t="s">
        <v>3561</v>
      </c>
      <c r="E3016" s="1">
        <v>0</v>
      </c>
      <c r="F3016" s="2" t="s">
        <v>3564</v>
      </c>
      <c r="H3016" s="1" t="str">
        <f t="shared" si="48"/>
        <v/>
      </c>
      <c r="K3016" s="1">
        <f>IF(E3016=0,SUMPRODUCT(($A$2:$A$4734=A3016)*($B$2:$B$4734=B3016)*($D$2:$D$4734=D3016)*($E$2:$E$4734=0)),0)</f>
        <v>3</v>
      </c>
      <c r="L3016" s="1">
        <f>IF(E3016=0,SUMPRODUCT(MIN($K$2:$K$4734+((($A$2:$A$4734&lt;&gt;A3016)+($E$2:$E$4734&lt;&gt;0))&gt;0)*1000000)),"")</f>
        <v>3</v>
      </c>
      <c r="M3016" s="1">
        <f>IF(AND(E3016=0,COUNTIFS($A$2:A3016,A3016,$E$2:E3016,0)=1),L3016,0)</f>
        <v>0</v>
      </c>
    </row>
    <row r="3017" spans="1:13" ht="15" customHeight="1">
      <c r="A3017" s="1">
        <v>91</v>
      </c>
      <c r="B3017" s="1" t="s">
        <v>16</v>
      </c>
      <c r="C3017" s="2" t="s">
        <v>3565</v>
      </c>
      <c r="D3017" s="2" t="s">
        <v>3561</v>
      </c>
      <c r="E3017" s="1">
        <v>0</v>
      </c>
      <c r="F3017" s="2" t="s">
        <v>3566</v>
      </c>
      <c r="H3017" s="1" t="str">
        <f t="shared" si="48"/>
        <v/>
      </c>
      <c r="K3017" s="1">
        <f>IF(E3017=0,SUMPRODUCT(($A$2:$A$4734=A3017)*($B$2:$B$4734=B3017)*($D$2:$D$4734=D3017)*($E$2:$E$4734=0)),0)</f>
        <v>3</v>
      </c>
      <c r="L3017" s="1">
        <f>IF(E3017=0,SUMPRODUCT(MIN($K$2:$K$4734+((($A$2:$A$4734&lt;&gt;A3017)+($E$2:$E$4734&lt;&gt;0))&gt;0)*1000000)),"")</f>
        <v>3</v>
      </c>
      <c r="M3017" s="1">
        <f>IF(AND(E3017=0,COUNTIFS($A$2:A3017,A3017,$E$2:E3017,0)=1),L3017,0)</f>
        <v>0</v>
      </c>
    </row>
    <row r="3018" spans="1:13" ht="15" customHeight="1">
      <c r="A3018" s="1">
        <v>92</v>
      </c>
      <c r="B3018" s="1" t="s">
        <v>9</v>
      </c>
      <c r="C3018" s="2" t="s">
        <v>3567</v>
      </c>
      <c r="D3018" s="2" t="s">
        <v>3568</v>
      </c>
      <c r="E3018" s="1">
        <v>0</v>
      </c>
      <c r="F3018" s="2" t="s">
        <v>3569</v>
      </c>
      <c r="H3018" s="1" t="str">
        <f t="shared" si="48"/>
        <v/>
      </c>
      <c r="K3018" s="1">
        <f>IF(E3018=0,SUMPRODUCT(($A$2:$A$4734=A3018)*($B$2:$B$4734=B3018)*($D$2:$D$4734=D3018)*($E$2:$E$4734=0)),0)</f>
        <v>4</v>
      </c>
      <c r="L3018" s="1">
        <f>IF(E3018=0,SUMPRODUCT(MIN($K$2:$K$4734+((($A$2:$A$4734&lt;&gt;A3018)+($E$2:$E$4734&lt;&gt;0))&gt;0)*1000000)),"")</f>
        <v>4</v>
      </c>
      <c r="M3018" s="1">
        <f>IF(AND(E3018=0,COUNTIFS($A$2:A3018,A3018,$E$2:E3018,0)=1),L3018,0)</f>
        <v>4</v>
      </c>
    </row>
    <row r="3019" spans="1:13" ht="15" customHeight="1">
      <c r="A3019" s="1">
        <v>92</v>
      </c>
      <c r="B3019" s="1" t="s">
        <v>9</v>
      </c>
      <c r="C3019" s="2" t="s">
        <v>3570</v>
      </c>
      <c r="D3019" s="2" t="s">
        <v>3568</v>
      </c>
      <c r="E3019" s="1">
        <v>0</v>
      </c>
      <c r="F3019" s="2" t="s">
        <v>3571</v>
      </c>
      <c r="H3019" s="1" t="str">
        <f t="shared" si="48"/>
        <v/>
      </c>
      <c r="K3019" s="1">
        <f>IF(E3019=0,SUMPRODUCT(($A$2:$A$4734=A3019)*($B$2:$B$4734=B3019)*($D$2:$D$4734=D3019)*($E$2:$E$4734=0)),0)</f>
        <v>4</v>
      </c>
      <c r="L3019" s="1">
        <f>IF(E3019=0,SUMPRODUCT(MIN($K$2:$K$4734+((($A$2:$A$4734&lt;&gt;A3019)+($E$2:$E$4734&lt;&gt;0))&gt;0)*1000000)),"")</f>
        <v>4</v>
      </c>
      <c r="M3019" s="1">
        <f>IF(AND(E3019=0,COUNTIFS($A$2:A3019,A3019,$E$2:E3019,0)=1),L3019,0)</f>
        <v>0</v>
      </c>
    </row>
    <row r="3020" spans="1:13" ht="15" customHeight="1">
      <c r="A3020" s="1">
        <v>92</v>
      </c>
      <c r="B3020" s="1" t="s">
        <v>9</v>
      </c>
      <c r="C3020" s="2" t="s">
        <v>3572</v>
      </c>
      <c r="D3020" s="2" t="s">
        <v>3568</v>
      </c>
      <c r="E3020" s="1">
        <v>0</v>
      </c>
      <c r="F3020" s="2" t="s">
        <v>3573</v>
      </c>
      <c r="H3020" s="1" t="str">
        <f t="shared" si="48"/>
        <v/>
      </c>
      <c r="K3020" s="1">
        <f>IF(E3020=0,SUMPRODUCT(($A$2:$A$4734=A3020)*($B$2:$B$4734=B3020)*($D$2:$D$4734=D3020)*($E$2:$E$4734=0)),0)</f>
        <v>4</v>
      </c>
      <c r="L3020" s="1">
        <f>IF(E3020=0,SUMPRODUCT(MIN($K$2:$K$4734+((($A$2:$A$4734&lt;&gt;A3020)+($E$2:$E$4734&lt;&gt;0))&gt;0)*1000000)),"")</f>
        <v>4</v>
      </c>
      <c r="M3020" s="1">
        <f>IF(AND(E3020=0,COUNTIFS($A$2:A3020,A3020,$E$2:E3020,0)=1),L3020,0)</f>
        <v>0</v>
      </c>
    </row>
    <row r="3021" spans="1:13" ht="15" customHeight="1">
      <c r="A3021" s="1">
        <v>92</v>
      </c>
      <c r="B3021" s="1" t="s">
        <v>9</v>
      </c>
      <c r="C3021" s="2" t="s">
        <v>3574</v>
      </c>
      <c r="D3021" s="2" t="s">
        <v>3568</v>
      </c>
      <c r="E3021" s="1">
        <v>0</v>
      </c>
      <c r="F3021" s="2" t="s">
        <v>3575</v>
      </c>
      <c r="H3021" s="1" t="str">
        <f t="shared" si="48"/>
        <v/>
      </c>
      <c r="K3021" s="1">
        <f>IF(E3021=0,SUMPRODUCT(($A$2:$A$4734=A3021)*($B$2:$B$4734=B3021)*($D$2:$D$4734=D3021)*($E$2:$E$4734=0)),0)</f>
        <v>4</v>
      </c>
      <c r="L3021" s="1">
        <f>IF(E3021=0,SUMPRODUCT(MIN($K$2:$K$4734+((($A$2:$A$4734&lt;&gt;A3021)+($E$2:$E$4734&lt;&gt;0))&gt;0)*1000000)),"")</f>
        <v>4</v>
      </c>
      <c r="M3021" s="1">
        <f>IF(AND(E3021=0,COUNTIFS($A$2:A3021,A3021,$E$2:E3021,0)=1),L3021,0)</f>
        <v>0</v>
      </c>
    </row>
    <row r="3022" spans="1:13" ht="15" customHeight="1">
      <c r="A3022" s="1">
        <v>93</v>
      </c>
      <c r="B3022" s="1" t="s">
        <v>358</v>
      </c>
      <c r="C3022" s="2" t="s">
        <v>3576</v>
      </c>
      <c r="D3022" s="2" t="s">
        <v>3577</v>
      </c>
      <c r="E3022" s="1">
        <v>1</v>
      </c>
      <c r="F3022" s="2" t="s">
        <v>3578</v>
      </c>
      <c r="G3022" s="1">
        <v>1</v>
      </c>
      <c r="H3022" s="1" t="str">
        <f t="shared" si="48"/>
        <v>k93_1</v>
      </c>
      <c r="K3022" s="1">
        <f>IF(E3022=0,SUMPRODUCT(($A$2:$A$4734=A3022)*($B$2:$B$4734=B3022)*($D$2:$D$4734=D3022)*($E$2:$E$4734=0)),0)</f>
        <v>0</v>
      </c>
      <c r="L3022" s="1" t="str">
        <f>IF(E3022=0,SUMPRODUCT(MIN($K$2:$K$4734+((($A$2:$A$4734&lt;&gt;A3022)+($E$2:$E$4734&lt;&gt;0))&gt;0)*1000000)),"")</f>
        <v/>
      </c>
      <c r="M3022" s="1">
        <f>IF(AND(E3022=0,COUNTIFS($A$2:A3022,A3022,$E$2:E3022,0)=1),L3022,0)</f>
        <v>0</v>
      </c>
    </row>
    <row r="3023" spans="1:13" ht="15" customHeight="1">
      <c r="A3023" s="1">
        <v>93</v>
      </c>
      <c r="B3023" s="1" t="s">
        <v>358</v>
      </c>
      <c r="C3023" s="2" t="s">
        <v>3576</v>
      </c>
      <c r="D3023" s="2" t="s">
        <v>3577</v>
      </c>
      <c r="E3023" s="1">
        <v>1</v>
      </c>
      <c r="F3023" s="2" t="s">
        <v>3579</v>
      </c>
      <c r="G3023" s="1">
        <v>2</v>
      </c>
      <c r="H3023" s="1" t="str">
        <f t="shared" si="48"/>
        <v>k93_2</v>
      </c>
      <c r="K3023" s="1">
        <f>IF(E3023=0,SUMPRODUCT(($A$2:$A$4734=A3023)*($B$2:$B$4734=B3023)*($D$2:$D$4734=D3023)*($E$2:$E$4734=0)),0)</f>
        <v>0</v>
      </c>
      <c r="L3023" s="1" t="str">
        <f>IF(E3023=0,SUMPRODUCT(MIN($K$2:$K$4734+((($A$2:$A$4734&lt;&gt;A3023)+($E$2:$E$4734&lt;&gt;0))&gt;0)*1000000)),"")</f>
        <v/>
      </c>
      <c r="M3023" s="1">
        <f>IF(AND(E3023=0,COUNTIFS($A$2:A3023,A3023,$E$2:E3023,0)=1),L3023,0)</f>
        <v>0</v>
      </c>
    </row>
    <row r="3024" spans="1:13" ht="15" customHeight="1">
      <c r="A3024" s="1">
        <v>93</v>
      </c>
      <c r="B3024" s="1" t="s">
        <v>358</v>
      </c>
      <c r="C3024" s="2" t="s">
        <v>3576</v>
      </c>
      <c r="D3024" s="2" t="s">
        <v>3577</v>
      </c>
      <c r="E3024" s="1">
        <v>1</v>
      </c>
      <c r="F3024" s="2" t="s">
        <v>3580</v>
      </c>
      <c r="G3024" s="1">
        <v>3</v>
      </c>
      <c r="H3024" s="1" t="str">
        <f t="shared" si="48"/>
        <v>k93_3</v>
      </c>
      <c r="K3024" s="1">
        <f>IF(E3024=0,SUMPRODUCT(($A$2:$A$4734=A3024)*($B$2:$B$4734=B3024)*($D$2:$D$4734=D3024)*($E$2:$E$4734=0)),0)</f>
        <v>0</v>
      </c>
      <c r="L3024" s="1" t="str">
        <f>IF(E3024=0,SUMPRODUCT(MIN($K$2:$K$4734+((($A$2:$A$4734&lt;&gt;A3024)+($E$2:$E$4734&lt;&gt;0))&gt;0)*1000000)),"")</f>
        <v/>
      </c>
      <c r="M3024" s="1">
        <f>IF(AND(E3024=0,COUNTIFS($A$2:A3024,A3024,$E$2:E3024,0)=1),L3024,0)</f>
        <v>0</v>
      </c>
    </row>
    <row r="3025" spans="1:13" ht="15" customHeight="1">
      <c r="A3025" s="1">
        <v>93</v>
      </c>
      <c r="B3025" s="1" t="s">
        <v>358</v>
      </c>
      <c r="C3025" s="2" t="s">
        <v>3576</v>
      </c>
      <c r="D3025" s="2" t="s">
        <v>3577</v>
      </c>
      <c r="E3025" s="1">
        <v>1</v>
      </c>
      <c r="F3025" s="2" t="s">
        <v>3581</v>
      </c>
      <c r="G3025" s="1">
        <v>4</v>
      </c>
      <c r="H3025" s="1" t="str">
        <f t="shared" si="48"/>
        <v>k93_4</v>
      </c>
      <c r="K3025" s="1">
        <f>IF(E3025=0,SUMPRODUCT(($A$2:$A$4734=A3025)*($B$2:$B$4734=B3025)*($D$2:$D$4734=D3025)*($E$2:$E$4734=0)),0)</f>
        <v>0</v>
      </c>
      <c r="L3025" s="1" t="str">
        <f>IF(E3025=0,SUMPRODUCT(MIN($K$2:$K$4734+((($A$2:$A$4734&lt;&gt;A3025)+($E$2:$E$4734&lt;&gt;0))&gt;0)*1000000)),"")</f>
        <v/>
      </c>
      <c r="M3025" s="1">
        <f>IF(AND(E3025=0,COUNTIFS($A$2:A3025,A3025,$E$2:E3025,0)=1),L3025,0)</f>
        <v>0</v>
      </c>
    </row>
    <row r="3026" spans="1:13" ht="15" customHeight="1">
      <c r="A3026" s="1">
        <v>93</v>
      </c>
      <c r="B3026" s="1" t="s">
        <v>358</v>
      </c>
      <c r="C3026" s="2" t="s">
        <v>3576</v>
      </c>
      <c r="D3026" s="2" t="s">
        <v>3577</v>
      </c>
      <c r="E3026" s="1">
        <v>1</v>
      </c>
      <c r="F3026" s="2" t="s">
        <v>3582</v>
      </c>
      <c r="G3026" s="1">
        <v>5</v>
      </c>
      <c r="H3026" s="1" t="str">
        <f t="shared" si="48"/>
        <v>k93_5</v>
      </c>
      <c r="K3026" s="1">
        <f>IF(E3026=0,SUMPRODUCT(($A$2:$A$4734=A3026)*($B$2:$B$4734=B3026)*($D$2:$D$4734=D3026)*($E$2:$E$4734=0)),0)</f>
        <v>0</v>
      </c>
      <c r="L3026" s="1" t="str">
        <f>IF(E3026=0,SUMPRODUCT(MIN($K$2:$K$4734+((($A$2:$A$4734&lt;&gt;A3026)+($E$2:$E$4734&lt;&gt;0))&gt;0)*1000000)),"")</f>
        <v/>
      </c>
      <c r="M3026" s="1">
        <f>IF(AND(E3026=0,COUNTIFS($A$2:A3026,A3026,$E$2:E3026,0)=1),L3026,0)</f>
        <v>0</v>
      </c>
    </row>
    <row r="3027" spans="1:13" ht="15" customHeight="1">
      <c r="A3027" s="1">
        <v>93</v>
      </c>
      <c r="B3027" s="1" t="s">
        <v>358</v>
      </c>
      <c r="C3027" s="2" t="s">
        <v>3576</v>
      </c>
      <c r="D3027" s="2" t="s">
        <v>3577</v>
      </c>
      <c r="E3027" s="1">
        <v>1</v>
      </c>
      <c r="F3027" s="2" t="s">
        <v>3582</v>
      </c>
      <c r="G3027" s="1">
        <v>6</v>
      </c>
      <c r="H3027" s="1" t="str">
        <f t="shared" si="48"/>
        <v>k93_6</v>
      </c>
      <c r="K3027" s="1">
        <f>IF(E3027=0,SUMPRODUCT(($A$2:$A$4734=A3027)*($B$2:$B$4734=B3027)*($D$2:$D$4734=D3027)*($E$2:$E$4734=0)),0)</f>
        <v>0</v>
      </c>
      <c r="L3027" s="1" t="str">
        <f>IF(E3027=0,SUMPRODUCT(MIN($K$2:$K$4734+((($A$2:$A$4734&lt;&gt;A3027)+($E$2:$E$4734&lt;&gt;0))&gt;0)*1000000)),"")</f>
        <v/>
      </c>
      <c r="M3027" s="1">
        <f>IF(AND(E3027=0,COUNTIFS($A$2:A3027,A3027,$E$2:E3027,0)=1),L3027,0)</f>
        <v>0</v>
      </c>
    </row>
    <row r="3028" spans="1:13" ht="15" customHeight="1">
      <c r="A3028" s="1">
        <v>93</v>
      </c>
      <c r="B3028" s="1" t="s">
        <v>9</v>
      </c>
      <c r="C3028" s="2" t="s">
        <v>3576</v>
      </c>
      <c r="D3028" s="2" t="s">
        <v>3583</v>
      </c>
      <c r="E3028" s="1">
        <v>1</v>
      </c>
      <c r="F3028" s="2" t="s">
        <v>3584</v>
      </c>
      <c r="G3028" s="1">
        <v>1</v>
      </c>
      <c r="H3028" s="1" t="str">
        <f t="shared" si="48"/>
        <v>k93_1</v>
      </c>
      <c r="K3028" s="1">
        <f>IF(E3028=0,SUMPRODUCT(($A$2:$A$4734=A3028)*($B$2:$B$4734=B3028)*($D$2:$D$4734=D3028)*($E$2:$E$4734=0)),0)</f>
        <v>0</v>
      </c>
      <c r="L3028" s="1" t="str">
        <f>IF(E3028=0,SUMPRODUCT(MIN($K$2:$K$4734+((($A$2:$A$4734&lt;&gt;A3028)+($E$2:$E$4734&lt;&gt;0))&gt;0)*1000000)),"")</f>
        <v/>
      </c>
      <c r="M3028" s="1">
        <f>IF(AND(E3028=0,COUNTIFS($A$2:A3028,A3028,$E$2:E3028,0)=1),L3028,0)</f>
        <v>0</v>
      </c>
    </row>
    <row r="3029" spans="1:13" ht="15" customHeight="1">
      <c r="A3029" s="1">
        <v>93</v>
      </c>
      <c r="B3029" s="1" t="s">
        <v>9</v>
      </c>
      <c r="C3029" s="2" t="s">
        <v>3576</v>
      </c>
      <c r="D3029" s="2" t="s">
        <v>3583</v>
      </c>
      <c r="E3029" s="1">
        <v>1</v>
      </c>
      <c r="F3029" s="2" t="s">
        <v>2589</v>
      </c>
      <c r="G3029" s="1">
        <v>2</v>
      </c>
      <c r="H3029" s="1" t="str">
        <f t="shared" si="48"/>
        <v>k93_2</v>
      </c>
      <c r="K3029" s="1">
        <f>IF(E3029=0,SUMPRODUCT(($A$2:$A$4734=A3029)*($B$2:$B$4734=B3029)*($D$2:$D$4734=D3029)*($E$2:$E$4734=0)),0)</f>
        <v>0</v>
      </c>
      <c r="L3029" s="1" t="str">
        <f>IF(E3029=0,SUMPRODUCT(MIN($K$2:$K$4734+((($A$2:$A$4734&lt;&gt;A3029)+($E$2:$E$4734&lt;&gt;0))&gt;0)*1000000)),"")</f>
        <v/>
      </c>
      <c r="M3029" s="1">
        <f>IF(AND(E3029=0,COUNTIFS($A$2:A3029,A3029,$E$2:E3029,0)=1),L3029,0)</f>
        <v>0</v>
      </c>
    </row>
    <row r="3030" spans="1:13" ht="15" customHeight="1">
      <c r="A3030" s="1">
        <v>93</v>
      </c>
      <c r="B3030" s="1" t="s">
        <v>9</v>
      </c>
      <c r="C3030" s="2" t="s">
        <v>3576</v>
      </c>
      <c r="D3030" s="2" t="s">
        <v>3583</v>
      </c>
      <c r="E3030" s="1">
        <v>1</v>
      </c>
      <c r="F3030" s="2" t="s">
        <v>3585</v>
      </c>
      <c r="G3030" s="1">
        <v>3</v>
      </c>
      <c r="H3030" s="1" t="str">
        <f t="shared" si="48"/>
        <v>k93_3</v>
      </c>
      <c r="K3030" s="1">
        <f>IF(E3030=0,SUMPRODUCT(($A$2:$A$4734=A3030)*($B$2:$B$4734=B3030)*($D$2:$D$4734=D3030)*($E$2:$E$4734=0)),0)</f>
        <v>0</v>
      </c>
      <c r="L3030" s="1" t="str">
        <f>IF(E3030=0,SUMPRODUCT(MIN($K$2:$K$4734+((($A$2:$A$4734&lt;&gt;A3030)+($E$2:$E$4734&lt;&gt;0))&gt;0)*1000000)),"")</f>
        <v/>
      </c>
      <c r="M3030" s="1">
        <f>IF(AND(E3030=0,COUNTIFS($A$2:A3030,A3030,$E$2:E3030,0)=1),L3030,0)</f>
        <v>0</v>
      </c>
    </row>
    <row r="3031" spans="1:13" ht="15" customHeight="1">
      <c r="A3031" s="1">
        <v>93</v>
      </c>
      <c r="B3031" s="1" t="s">
        <v>9</v>
      </c>
      <c r="C3031" s="2" t="s">
        <v>3576</v>
      </c>
      <c r="D3031" s="2" t="s">
        <v>3583</v>
      </c>
      <c r="E3031" s="1">
        <v>1</v>
      </c>
      <c r="F3031" s="2" t="s">
        <v>3586</v>
      </c>
      <c r="G3031" s="1">
        <v>4</v>
      </c>
      <c r="H3031" s="1" t="str">
        <f t="shared" si="48"/>
        <v>k93_4</v>
      </c>
      <c r="K3031" s="1">
        <f>IF(E3031=0,SUMPRODUCT(($A$2:$A$4734=A3031)*($B$2:$B$4734=B3031)*($D$2:$D$4734=D3031)*($E$2:$E$4734=0)),0)</f>
        <v>0</v>
      </c>
      <c r="L3031" s="1" t="str">
        <f>IF(E3031=0,SUMPRODUCT(MIN($K$2:$K$4734+((($A$2:$A$4734&lt;&gt;A3031)+($E$2:$E$4734&lt;&gt;0))&gt;0)*1000000)),"")</f>
        <v/>
      </c>
      <c r="M3031" s="1">
        <f>IF(AND(E3031=0,COUNTIFS($A$2:A3031,A3031,$E$2:E3031,0)=1),L3031,0)</f>
        <v>0</v>
      </c>
    </row>
    <row r="3032" spans="1:13" ht="15" customHeight="1">
      <c r="A3032" s="1">
        <v>93</v>
      </c>
      <c r="B3032" s="1" t="s">
        <v>9</v>
      </c>
      <c r="C3032" s="2" t="s">
        <v>3576</v>
      </c>
      <c r="D3032" s="2" t="s">
        <v>3583</v>
      </c>
      <c r="E3032" s="1">
        <v>1</v>
      </c>
      <c r="F3032" s="2" t="s">
        <v>3587</v>
      </c>
      <c r="G3032" s="1">
        <v>5</v>
      </c>
      <c r="H3032" s="1" t="str">
        <f t="shared" si="48"/>
        <v>k93_5</v>
      </c>
      <c r="K3032" s="1">
        <f>IF(E3032=0,SUMPRODUCT(($A$2:$A$4734=A3032)*($B$2:$B$4734=B3032)*($D$2:$D$4734=D3032)*($E$2:$E$4734=0)),0)</f>
        <v>0</v>
      </c>
      <c r="L3032" s="1" t="str">
        <f>IF(E3032=0,SUMPRODUCT(MIN($K$2:$K$4734+((($A$2:$A$4734&lt;&gt;A3032)+($E$2:$E$4734&lt;&gt;0))&gt;0)*1000000)),"")</f>
        <v/>
      </c>
      <c r="M3032" s="1">
        <f>IF(AND(E3032=0,COUNTIFS($A$2:A3032,A3032,$E$2:E3032,0)=1),L3032,0)</f>
        <v>0</v>
      </c>
    </row>
    <row r="3033" spans="1:13" ht="15" customHeight="1">
      <c r="A3033" s="1">
        <v>93</v>
      </c>
      <c r="B3033" s="1" t="s">
        <v>9</v>
      </c>
      <c r="C3033" s="2" t="s">
        <v>3576</v>
      </c>
      <c r="D3033" s="2" t="s">
        <v>3583</v>
      </c>
      <c r="E3033" s="1">
        <v>1</v>
      </c>
      <c r="F3033" s="2" t="s">
        <v>3587</v>
      </c>
      <c r="G3033" s="1">
        <v>6</v>
      </c>
      <c r="H3033" s="1" t="str">
        <f t="shared" si="48"/>
        <v>k93_6</v>
      </c>
      <c r="K3033" s="1">
        <f>IF(E3033=0,SUMPRODUCT(($A$2:$A$4734=A3033)*($B$2:$B$4734=B3033)*($D$2:$D$4734=D3033)*($E$2:$E$4734=0)),0)</f>
        <v>0</v>
      </c>
      <c r="L3033" s="1" t="str">
        <f>IF(E3033=0,SUMPRODUCT(MIN($K$2:$K$4734+((($A$2:$A$4734&lt;&gt;A3033)+($E$2:$E$4734&lt;&gt;0))&gt;0)*1000000)),"")</f>
        <v/>
      </c>
      <c r="M3033" s="1">
        <f>IF(AND(E3033=0,COUNTIFS($A$2:A3033,A3033,$E$2:E3033,0)=1),L3033,0)</f>
        <v>0</v>
      </c>
    </row>
    <row r="3034" spans="1:13" ht="15" customHeight="1">
      <c r="A3034" s="1">
        <v>93</v>
      </c>
      <c r="B3034" s="1" t="s">
        <v>9</v>
      </c>
      <c r="C3034" s="2" t="s">
        <v>3576</v>
      </c>
      <c r="D3034" s="2" t="s">
        <v>2217</v>
      </c>
      <c r="E3034" s="1">
        <v>1</v>
      </c>
      <c r="F3034" s="2" t="s">
        <v>3588</v>
      </c>
      <c r="G3034" s="1">
        <v>1</v>
      </c>
      <c r="H3034" s="1" t="str">
        <f t="shared" si="48"/>
        <v>k93_1</v>
      </c>
      <c r="K3034" s="1">
        <f>IF(E3034=0,SUMPRODUCT(($A$2:$A$4734=A3034)*($B$2:$B$4734=B3034)*($D$2:$D$4734=D3034)*($E$2:$E$4734=0)),0)</f>
        <v>0</v>
      </c>
      <c r="L3034" s="1" t="str">
        <f>IF(E3034=0,SUMPRODUCT(MIN($K$2:$K$4734+((($A$2:$A$4734&lt;&gt;A3034)+($E$2:$E$4734&lt;&gt;0))&gt;0)*1000000)),"")</f>
        <v/>
      </c>
      <c r="M3034" s="1">
        <f>IF(AND(E3034=0,COUNTIFS($A$2:A3034,A3034,$E$2:E3034,0)=1),L3034,0)</f>
        <v>0</v>
      </c>
    </row>
    <row r="3035" spans="1:13" ht="15" customHeight="1">
      <c r="A3035" s="1">
        <v>93</v>
      </c>
      <c r="B3035" s="1" t="s">
        <v>9</v>
      </c>
      <c r="C3035" s="2" t="s">
        <v>3576</v>
      </c>
      <c r="D3035" s="2" t="s">
        <v>2217</v>
      </c>
      <c r="E3035" s="1">
        <v>1</v>
      </c>
      <c r="F3035" s="2" t="s">
        <v>2219</v>
      </c>
      <c r="G3035" s="1">
        <v>2</v>
      </c>
      <c r="H3035" s="1" t="str">
        <f t="shared" si="48"/>
        <v>k93_2</v>
      </c>
      <c r="K3035" s="1">
        <f>IF(E3035=0,SUMPRODUCT(($A$2:$A$4734=A3035)*($B$2:$B$4734=B3035)*($D$2:$D$4734=D3035)*($E$2:$E$4734=0)),0)</f>
        <v>0</v>
      </c>
      <c r="L3035" s="1" t="str">
        <f>IF(E3035=0,SUMPRODUCT(MIN($K$2:$K$4734+((($A$2:$A$4734&lt;&gt;A3035)+($E$2:$E$4734&lt;&gt;0))&gt;0)*1000000)),"")</f>
        <v/>
      </c>
      <c r="M3035" s="1">
        <f>IF(AND(E3035=0,COUNTIFS($A$2:A3035,A3035,$E$2:E3035,0)=1),L3035,0)</f>
        <v>0</v>
      </c>
    </row>
    <row r="3036" spans="1:13" ht="15" customHeight="1">
      <c r="A3036" s="1">
        <v>93</v>
      </c>
      <c r="B3036" s="1" t="s">
        <v>9</v>
      </c>
      <c r="C3036" s="2" t="s">
        <v>3576</v>
      </c>
      <c r="D3036" s="2" t="s">
        <v>2217</v>
      </c>
      <c r="E3036" s="1">
        <v>1</v>
      </c>
      <c r="F3036" s="2" t="s">
        <v>3589</v>
      </c>
      <c r="G3036" s="1">
        <v>3</v>
      </c>
      <c r="H3036" s="1" t="str">
        <f t="shared" si="48"/>
        <v>k93_3</v>
      </c>
      <c r="K3036" s="1">
        <f>IF(E3036=0,SUMPRODUCT(($A$2:$A$4734=A3036)*($B$2:$B$4734=B3036)*($D$2:$D$4734=D3036)*($E$2:$E$4734=0)),0)</f>
        <v>0</v>
      </c>
      <c r="L3036" s="1" t="str">
        <f>IF(E3036=0,SUMPRODUCT(MIN($K$2:$K$4734+((($A$2:$A$4734&lt;&gt;A3036)+($E$2:$E$4734&lt;&gt;0))&gt;0)*1000000)),"")</f>
        <v/>
      </c>
      <c r="M3036" s="1">
        <f>IF(AND(E3036=0,COUNTIFS($A$2:A3036,A3036,$E$2:E3036,0)=1),L3036,0)</f>
        <v>0</v>
      </c>
    </row>
    <row r="3037" spans="1:13" ht="15" customHeight="1">
      <c r="A3037" s="1">
        <v>93</v>
      </c>
      <c r="B3037" s="1" t="s">
        <v>9</v>
      </c>
      <c r="C3037" s="2" t="s">
        <v>3576</v>
      </c>
      <c r="D3037" s="2" t="s">
        <v>2217</v>
      </c>
      <c r="E3037" s="1">
        <v>1</v>
      </c>
      <c r="F3037" s="2" t="s">
        <v>3589</v>
      </c>
      <c r="G3037" s="1">
        <v>4</v>
      </c>
      <c r="H3037" s="1" t="str">
        <f t="shared" si="48"/>
        <v>k93_4</v>
      </c>
      <c r="K3037" s="1">
        <f>IF(E3037=0,SUMPRODUCT(($A$2:$A$4734=A3037)*($B$2:$B$4734=B3037)*($D$2:$D$4734=D3037)*($E$2:$E$4734=0)),0)</f>
        <v>0</v>
      </c>
      <c r="L3037" s="1" t="str">
        <f>IF(E3037=0,SUMPRODUCT(MIN($K$2:$K$4734+((($A$2:$A$4734&lt;&gt;A3037)+($E$2:$E$4734&lt;&gt;0))&gt;0)*1000000)),"")</f>
        <v/>
      </c>
      <c r="M3037" s="1">
        <f>IF(AND(E3037=0,COUNTIFS($A$2:A3037,A3037,$E$2:E3037,0)=1),L3037,0)</f>
        <v>0</v>
      </c>
    </row>
    <row r="3038" spans="1:13" ht="15" customHeight="1">
      <c r="A3038" s="1">
        <v>93</v>
      </c>
      <c r="B3038" s="1" t="s">
        <v>9</v>
      </c>
      <c r="C3038" s="2" t="s">
        <v>3576</v>
      </c>
      <c r="D3038" s="2" t="s">
        <v>2217</v>
      </c>
      <c r="E3038" s="1">
        <v>1</v>
      </c>
      <c r="F3038" s="2" t="s">
        <v>3590</v>
      </c>
      <c r="G3038" s="1">
        <v>5</v>
      </c>
      <c r="H3038" s="1" t="str">
        <f t="shared" si="48"/>
        <v>k93_5</v>
      </c>
      <c r="K3038" s="1">
        <f>IF(E3038=0,SUMPRODUCT(($A$2:$A$4734=A3038)*($B$2:$B$4734=B3038)*($D$2:$D$4734=D3038)*($E$2:$E$4734=0)),0)</f>
        <v>0</v>
      </c>
      <c r="L3038" s="1" t="str">
        <f>IF(E3038=0,SUMPRODUCT(MIN($K$2:$K$4734+((($A$2:$A$4734&lt;&gt;A3038)+($E$2:$E$4734&lt;&gt;0))&gt;0)*1000000)),"")</f>
        <v/>
      </c>
      <c r="M3038" s="1">
        <f>IF(AND(E3038=0,COUNTIFS($A$2:A3038,A3038,$E$2:E3038,0)=1),L3038,0)</f>
        <v>0</v>
      </c>
    </row>
    <row r="3039" spans="1:13" ht="15" customHeight="1">
      <c r="A3039" s="1">
        <v>93</v>
      </c>
      <c r="B3039" s="1" t="s">
        <v>9</v>
      </c>
      <c r="C3039" s="2" t="s">
        <v>3576</v>
      </c>
      <c r="D3039" s="2" t="s">
        <v>2217</v>
      </c>
      <c r="E3039" s="1">
        <v>1</v>
      </c>
      <c r="F3039" s="2" t="s">
        <v>3590</v>
      </c>
      <c r="G3039" s="1">
        <v>6</v>
      </c>
      <c r="H3039" s="1" t="str">
        <f t="shared" si="48"/>
        <v>k93_6</v>
      </c>
      <c r="K3039" s="1">
        <f>IF(E3039=0,SUMPRODUCT(($A$2:$A$4734=A3039)*($B$2:$B$4734=B3039)*($D$2:$D$4734=D3039)*($E$2:$E$4734=0)),0)</f>
        <v>0</v>
      </c>
      <c r="L3039" s="1" t="str">
        <f>IF(E3039=0,SUMPRODUCT(MIN($K$2:$K$4734+((($A$2:$A$4734&lt;&gt;A3039)+($E$2:$E$4734&lt;&gt;0))&gt;0)*1000000)),"")</f>
        <v/>
      </c>
      <c r="M3039" s="1">
        <f>IF(AND(E3039=0,COUNTIFS($A$2:A3039,A3039,$E$2:E3039,0)=1),L3039,0)</f>
        <v>0</v>
      </c>
    </row>
    <row r="3040" spans="1:13" ht="15" customHeight="1">
      <c r="A3040" s="1">
        <v>93</v>
      </c>
      <c r="B3040" s="1" t="s">
        <v>16</v>
      </c>
      <c r="C3040" s="2" t="s">
        <v>3576</v>
      </c>
      <c r="D3040" s="2" t="s">
        <v>3591</v>
      </c>
      <c r="E3040" s="1">
        <v>1</v>
      </c>
      <c r="F3040" s="2" t="s">
        <v>3592</v>
      </c>
      <c r="G3040" s="1">
        <v>1</v>
      </c>
      <c r="H3040" s="1" t="str">
        <f t="shared" si="48"/>
        <v>k93_1</v>
      </c>
      <c r="K3040" s="1">
        <f>IF(E3040=0,SUMPRODUCT(($A$2:$A$4734=A3040)*($B$2:$B$4734=B3040)*($D$2:$D$4734=D3040)*($E$2:$E$4734=0)),0)</f>
        <v>0</v>
      </c>
      <c r="L3040" s="1" t="str">
        <f>IF(E3040=0,SUMPRODUCT(MIN($K$2:$K$4734+((($A$2:$A$4734&lt;&gt;A3040)+($E$2:$E$4734&lt;&gt;0))&gt;0)*1000000)),"")</f>
        <v/>
      </c>
      <c r="M3040" s="1">
        <f>IF(AND(E3040=0,COUNTIFS($A$2:A3040,A3040,$E$2:E3040,0)=1),L3040,0)</f>
        <v>0</v>
      </c>
    </row>
    <row r="3041" spans="1:13" ht="15" customHeight="1">
      <c r="A3041" s="1">
        <v>93</v>
      </c>
      <c r="B3041" s="1" t="s">
        <v>16</v>
      </c>
      <c r="C3041" s="2" t="s">
        <v>3576</v>
      </c>
      <c r="D3041" s="2" t="s">
        <v>3591</v>
      </c>
      <c r="E3041" s="1">
        <v>1</v>
      </c>
      <c r="F3041" s="2" t="s">
        <v>3593</v>
      </c>
      <c r="G3041" s="1">
        <v>2</v>
      </c>
      <c r="H3041" s="1" t="str">
        <f t="shared" si="48"/>
        <v>k93_2</v>
      </c>
      <c r="K3041" s="1">
        <f>IF(E3041=0,SUMPRODUCT(($A$2:$A$4734=A3041)*($B$2:$B$4734=B3041)*($D$2:$D$4734=D3041)*($E$2:$E$4734=0)),0)</f>
        <v>0</v>
      </c>
      <c r="L3041" s="1" t="str">
        <f>IF(E3041=0,SUMPRODUCT(MIN($K$2:$K$4734+((($A$2:$A$4734&lt;&gt;A3041)+($E$2:$E$4734&lt;&gt;0))&gt;0)*1000000)),"")</f>
        <v/>
      </c>
      <c r="M3041" s="1">
        <f>IF(AND(E3041=0,COUNTIFS($A$2:A3041,A3041,$E$2:E3041,0)=1),L3041,0)</f>
        <v>0</v>
      </c>
    </row>
    <row r="3042" spans="1:13" ht="15" customHeight="1">
      <c r="A3042" s="1">
        <v>93</v>
      </c>
      <c r="B3042" s="1" t="s">
        <v>16</v>
      </c>
      <c r="C3042" s="2" t="s">
        <v>3576</v>
      </c>
      <c r="D3042" s="2" t="s">
        <v>3591</v>
      </c>
      <c r="E3042" s="1">
        <v>1</v>
      </c>
      <c r="F3042" s="2" t="s">
        <v>3594</v>
      </c>
      <c r="G3042" s="1">
        <v>5</v>
      </c>
      <c r="H3042" s="1" t="str">
        <f t="shared" si="48"/>
        <v>k93_5</v>
      </c>
      <c r="K3042" s="1">
        <f>IF(E3042=0,SUMPRODUCT(($A$2:$A$4734=A3042)*($B$2:$B$4734=B3042)*($D$2:$D$4734=D3042)*($E$2:$E$4734=0)),0)</f>
        <v>0</v>
      </c>
      <c r="L3042" s="1" t="str">
        <f>IF(E3042=0,SUMPRODUCT(MIN($K$2:$K$4734+((($A$2:$A$4734&lt;&gt;A3042)+($E$2:$E$4734&lt;&gt;0))&gt;0)*1000000)),"")</f>
        <v/>
      </c>
      <c r="M3042" s="1">
        <f>IF(AND(E3042=0,COUNTIFS($A$2:A3042,A3042,$E$2:E3042,0)=1),L3042,0)</f>
        <v>0</v>
      </c>
    </row>
    <row r="3043" spans="1:13" ht="15" customHeight="1">
      <c r="A3043" s="1">
        <v>93</v>
      </c>
      <c r="B3043" s="1" t="s">
        <v>16</v>
      </c>
      <c r="C3043" s="2" t="s">
        <v>3576</v>
      </c>
      <c r="D3043" s="2" t="s">
        <v>3591</v>
      </c>
      <c r="E3043" s="1">
        <v>1</v>
      </c>
      <c r="F3043" s="2" t="s">
        <v>3595</v>
      </c>
      <c r="G3043" s="1">
        <v>6</v>
      </c>
      <c r="H3043" s="1" t="str">
        <f t="shared" si="48"/>
        <v>k93_6</v>
      </c>
      <c r="K3043" s="1">
        <f>IF(E3043=0,SUMPRODUCT(($A$2:$A$4734=A3043)*($B$2:$B$4734=B3043)*($D$2:$D$4734=D3043)*($E$2:$E$4734=0)),0)</f>
        <v>0</v>
      </c>
      <c r="L3043" s="1" t="str">
        <f>IF(E3043=0,SUMPRODUCT(MIN($K$2:$K$4734+((($A$2:$A$4734&lt;&gt;A3043)+($E$2:$E$4734&lt;&gt;0))&gt;0)*1000000)),"")</f>
        <v/>
      </c>
      <c r="M3043" s="1">
        <f>IF(AND(E3043=0,COUNTIFS($A$2:A3043,A3043,$E$2:E3043,0)=1),L3043,0)</f>
        <v>0</v>
      </c>
    </row>
    <row r="3044" spans="1:13" ht="15" customHeight="1">
      <c r="A3044" s="1">
        <v>93</v>
      </c>
      <c r="B3044" s="1" t="s">
        <v>16</v>
      </c>
      <c r="C3044" s="2" t="s">
        <v>3576</v>
      </c>
      <c r="D3044" s="2" t="s">
        <v>3591</v>
      </c>
      <c r="E3044" s="1">
        <v>1</v>
      </c>
      <c r="F3044" s="2" t="s">
        <v>3596</v>
      </c>
      <c r="G3044" s="1">
        <v>4</v>
      </c>
      <c r="H3044" s="1" t="str">
        <f t="shared" si="48"/>
        <v>k93_4</v>
      </c>
      <c r="K3044" s="1">
        <f>IF(E3044=0,SUMPRODUCT(($A$2:$A$4734=A3044)*($B$2:$B$4734=B3044)*($D$2:$D$4734=D3044)*($E$2:$E$4734=0)),0)</f>
        <v>0</v>
      </c>
      <c r="L3044" s="1" t="str">
        <f>IF(E3044=0,SUMPRODUCT(MIN($K$2:$K$4734+((($A$2:$A$4734&lt;&gt;A3044)+($E$2:$E$4734&lt;&gt;0))&gt;0)*1000000)),"")</f>
        <v/>
      </c>
      <c r="M3044" s="1">
        <f>IF(AND(E3044=0,COUNTIFS($A$2:A3044,A3044,$E$2:E3044,0)=1),L3044,0)</f>
        <v>0</v>
      </c>
    </row>
    <row r="3045" spans="1:13" ht="15" customHeight="1">
      <c r="A3045" s="1">
        <v>93</v>
      </c>
      <c r="B3045" s="1" t="s">
        <v>16</v>
      </c>
      <c r="C3045" s="2" t="s">
        <v>3576</v>
      </c>
      <c r="D3045" s="2" t="s">
        <v>3591</v>
      </c>
      <c r="E3045" s="1">
        <v>1</v>
      </c>
      <c r="F3045" s="2" t="s">
        <v>3597</v>
      </c>
      <c r="G3045" s="1">
        <v>3</v>
      </c>
      <c r="H3045" s="1" t="str">
        <f t="shared" si="48"/>
        <v>k93_3</v>
      </c>
      <c r="K3045" s="1">
        <f>IF(E3045=0,SUMPRODUCT(($A$2:$A$4734=A3045)*($B$2:$B$4734=B3045)*($D$2:$D$4734=D3045)*($E$2:$E$4734=0)),0)</f>
        <v>0</v>
      </c>
      <c r="L3045" s="1" t="str">
        <f>IF(E3045=0,SUMPRODUCT(MIN($K$2:$K$4734+((($A$2:$A$4734&lt;&gt;A3045)+($E$2:$E$4734&lt;&gt;0))&gt;0)*1000000)),"")</f>
        <v/>
      </c>
      <c r="M3045" s="1">
        <f>IF(AND(E3045=0,COUNTIFS($A$2:A3045,A3045,$E$2:E3045,0)=1),L3045,0)</f>
        <v>0</v>
      </c>
    </row>
    <row r="3046" spans="1:13" ht="15" customHeight="1">
      <c r="A3046" s="1">
        <v>94</v>
      </c>
      <c r="B3046" s="1" t="s">
        <v>161</v>
      </c>
      <c r="C3046" s="2" t="s">
        <v>3598</v>
      </c>
      <c r="D3046" s="2" t="s">
        <v>3599</v>
      </c>
      <c r="E3046" s="1">
        <v>1</v>
      </c>
      <c r="F3046" s="2" t="s">
        <v>3600</v>
      </c>
      <c r="G3046" s="1">
        <v>1</v>
      </c>
      <c r="H3046" s="1" t="str">
        <f t="shared" si="48"/>
        <v>k94_1</v>
      </c>
      <c r="K3046" s="1">
        <f>IF(E3046=0,SUMPRODUCT(($A$2:$A$4734=A3046)*($B$2:$B$4734=B3046)*($D$2:$D$4734=D3046)*($E$2:$E$4734=0)),0)</f>
        <v>0</v>
      </c>
      <c r="L3046" s="1" t="str">
        <f>IF(E3046=0,SUMPRODUCT(MIN($K$2:$K$4734+((($A$2:$A$4734&lt;&gt;A3046)+($E$2:$E$4734&lt;&gt;0))&gt;0)*1000000)),"")</f>
        <v/>
      </c>
      <c r="M3046" s="1">
        <f>IF(AND(E3046=0,COUNTIFS($A$2:A3046,A3046,$E$2:E3046,0)=1),L3046,0)</f>
        <v>0</v>
      </c>
    </row>
    <row r="3047" spans="1:13" ht="15" customHeight="1">
      <c r="A3047" s="1">
        <v>94</v>
      </c>
      <c r="B3047" s="1" t="s">
        <v>161</v>
      </c>
      <c r="C3047" s="2" t="s">
        <v>3598</v>
      </c>
      <c r="D3047" s="2" t="s">
        <v>3599</v>
      </c>
      <c r="E3047" s="1">
        <v>1</v>
      </c>
      <c r="F3047" s="2" t="s">
        <v>3601</v>
      </c>
      <c r="G3047" s="1">
        <v>2</v>
      </c>
      <c r="H3047" s="1" t="str">
        <f t="shared" si="48"/>
        <v>k94_2</v>
      </c>
      <c r="K3047" s="1">
        <f>IF(E3047=0,SUMPRODUCT(($A$2:$A$4734=A3047)*($B$2:$B$4734=B3047)*($D$2:$D$4734=D3047)*($E$2:$E$4734=0)),0)</f>
        <v>0</v>
      </c>
      <c r="L3047" s="1" t="str">
        <f>IF(E3047=0,SUMPRODUCT(MIN($K$2:$K$4734+((($A$2:$A$4734&lt;&gt;A3047)+($E$2:$E$4734&lt;&gt;0))&gt;0)*1000000)),"")</f>
        <v/>
      </c>
      <c r="M3047" s="1">
        <f>IF(AND(E3047=0,COUNTIFS($A$2:A3047,A3047,$E$2:E3047,0)=1),L3047,0)</f>
        <v>0</v>
      </c>
    </row>
    <row r="3048" spans="1:13" ht="15" customHeight="1">
      <c r="A3048" s="1">
        <v>94</v>
      </c>
      <c r="B3048" s="1" t="s">
        <v>161</v>
      </c>
      <c r="C3048" s="2" t="s">
        <v>3598</v>
      </c>
      <c r="D3048" s="2" t="s">
        <v>3599</v>
      </c>
      <c r="E3048" s="1">
        <v>1</v>
      </c>
      <c r="F3048" s="2" t="s">
        <v>3602</v>
      </c>
      <c r="G3048" s="1">
        <v>3</v>
      </c>
      <c r="H3048" s="1" t="str">
        <f t="shared" si="48"/>
        <v>k94_3</v>
      </c>
      <c r="K3048" s="1">
        <f>IF(E3048=0,SUMPRODUCT(($A$2:$A$4734=A3048)*($B$2:$B$4734=B3048)*($D$2:$D$4734=D3048)*($E$2:$E$4734=0)),0)</f>
        <v>0</v>
      </c>
      <c r="L3048" s="1" t="str">
        <f>IF(E3048=0,SUMPRODUCT(MIN($K$2:$K$4734+((($A$2:$A$4734&lt;&gt;A3048)+($E$2:$E$4734&lt;&gt;0))&gt;0)*1000000)),"")</f>
        <v/>
      </c>
      <c r="M3048" s="1">
        <f>IF(AND(E3048=0,COUNTIFS($A$2:A3048,A3048,$E$2:E3048,0)=1),L3048,0)</f>
        <v>0</v>
      </c>
    </row>
    <row r="3049" spans="1:13" ht="15" customHeight="1">
      <c r="A3049" s="1">
        <v>94</v>
      </c>
      <c r="B3049" s="1" t="s">
        <v>161</v>
      </c>
      <c r="C3049" s="2" t="s">
        <v>3598</v>
      </c>
      <c r="D3049" s="2" t="s">
        <v>3599</v>
      </c>
      <c r="E3049" s="1">
        <v>1</v>
      </c>
      <c r="F3049" s="2" t="s">
        <v>3603</v>
      </c>
      <c r="G3049" s="1">
        <v>4</v>
      </c>
      <c r="H3049" s="1" t="str">
        <f t="shared" ref="H3049:H3108" si="49">IF(OR(E3049&lt;&gt;1,G3049=""),"","k"&amp;A3049&amp;"_"&amp;G3049)</f>
        <v>k94_4</v>
      </c>
      <c r="K3049" s="1">
        <f>IF(E3049=0,SUMPRODUCT(($A$2:$A$4734=A3049)*($B$2:$B$4734=B3049)*($D$2:$D$4734=D3049)*($E$2:$E$4734=0)),0)</f>
        <v>0</v>
      </c>
      <c r="L3049" s="1" t="str">
        <f>IF(E3049=0,SUMPRODUCT(MIN($K$2:$K$4734+((($A$2:$A$4734&lt;&gt;A3049)+($E$2:$E$4734&lt;&gt;0))&gt;0)*1000000)),"")</f>
        <v/>
      </c>
      <c r="M3049" s="1">
        <f>IF(AND(E3049=0,COUNTIFS($A$2:A3049,A3049,$E$2:E3049,0)=1),L3049,0)</f>
        <v>0</v>
      </c>
    </row>
    <row r="3050" spans="1:13" ht="15" customHeight="1">
      <c r="A3050" s="1">
        <v>94</v>
      </c>
      <c r="B3050" s="1" t="s">
        <v>161</v>
      </c>
      <c r="C3050" s="2" t="s">
        <v>3598</v>
      </c>
      <c r="D3050" s="2" t="s">
        <v>3599</v>
      </c>
      <c r="E3050" s="1">
        <v>1</v>
      </c>
      <c r="F3050" s="2" t="s">
        <v>3604</v>
      </c>
      <c r="G3050" s="1">
        <v>5</v>
      </c>
      <c r="H3050" s="1" t="str">
        <f t="shared" si="49"/>
        <v>k94_5</v>
      </c>
      <c r="K3050" s="1">
        <f>IF(E3050=0,SUMPRODUCT(($A$2:$A$4734=A3050)*($B$2:$B$4734=B3050)*($D$2:$D$4734=D3050)*($E$2:$E$4734=0)),0)</f>
        <v>0</v>
      </c>
      <c r="L3050" s="1" t="str">
        <f>IF(E3050=0,SUMPRODUCT(MIN($K$2:$K$4734+((($A$2:$A$4734&lt;&gt;A3050)+($E$2:$E$4734&lt;&gt;0))&gt;0)*1000000)),"")</f>
        <v/>
      </c>
      <c r="M3050" s="1">
        <f>IF(AND(E3050=0,COUNTIFS($A$2:A3050,A3050,$E$2:E3050,0)=1),L3050,0)</f>
        <v>0</v>
      </c>
    </row>
    <row r="3051" spans="1:13" ht="15" customHeight="1">
      <c r="A3051" s="1">
        <v>94</v>
      </c>
      <c r="B3051" s="1" t="s">
        <v>161</v>
      </c>
      <c r="C3051" s="2" t="s">
        <v>3598</v>
      </c>
      <c r="D3051" s="2" t="s">
        <v>3599</v>
      </c>
      <c r="E3051" s="1">
        <v>1</v>
      </c>
      <c r="F3051" s="2" t="s">
        <v>3605</v>
      </c>
      <c r="G3051" s="1">
        <v>6</v>
      </c>
      <c r="H3051" s="1" t="str">
        <f t="shared" si="49"/>
        <v>k94_6</v>
      </c>
      <c r="K3051" s="1">
        <f>IF(E3051=0,SUMPRODUCT(($A$2:$A$4734=A3051)*($B$2:$B$4734=B3051)*($D$2:$D$4734=D3051)*($E$2:$E$4734=0)),0)</f>
        <v>0</v>
      </c>
      <c r="L3051" s="1" t="str">
        <f>IF(E3051=0,SUMPRODUCT(MIN($K$2:$K$4734+((($A$2:$A$4734&lt;&gt;A3051)+($E$2:$E$4734&lt;&gt;0))&gt;0)*1000000)),"")</f>
        <v/>
      </c>
      <c r="M3051" s="1">
        <f>IF(AND(E3051=0,COUNTIFS($A$2:A3051,A3051,$E$2:E3051,0)=1),L3051,0)</f>
        <v>0</v>
      </c>
    </row>
    <row r="3052" spans="1:13" ht="15" customHeight="1">
      <c r="A3052" s="1">
        <v>94</v>
      </c>
      <c r="B3052" s="1" t="s">
        <v>9</v>
      </c>
      <c r="C3052" s="2" t="s">
        <v>3598</v>
      </c>
      <c r="D3052" s="2" t="s">
        <v>3606</v>
      </c>
      <c r="E3052" s="1">
        <v>1</v>
      </c>
      <c r="F3052" s="2" t="s">
        <v>3607</v>
      </c>
      <c r="G3052" s="1">
        <v>1</v>
      </c>
      <c r="H3052" s="1" t="str">
        <f t="shared" si="49"/>
        <v>k94_1</v>
      </c>
      <c r="K3052" s="1">
        <f>IF(E3052=0,SUMPRODUCT(($A$2:$A$4734=A3052)*($B$2:$B$4734=B3052)*($D$2:$D$4734=D3052)*($E$2:$E$4734=0)),0)</f>
        <v>0</v>
      </c>
      <c r="L3052" s="1" t="str">
        <f>IF(E3052=0,SUMPRODUCT(MIN($K$2:$K$4734+((($A$2:$A$4734&lt;&gt;A3052)+($E$2:$E$4734&lt;&gt;0))&gt;0)*1000000)),"")</f>
        <v/>
      </c>
      <c r="M3052" s="1">
        <f>IF(AND(E3052=0,COUNTIFS($A$2:A3052,A3052,$E$2:E3052,0)=1),L3052,0)</f>
        <v>0</v>
      </c>
    </row>
    <row r="3053" spans="1:13" ht="15" customHeight="1">
      <c r="A3053" s="1">
        <v>94</v>
      </c>
      <c r="B3053" s="1" t="s">
        <v>9</v>
      </c>
      <c r="C3053" s="2" t="s">
        <v>3598</v>
      </c>
      <c r="D3053" s="2" t="s">
        <v>3606</v>
      </c>
      <c r="E3053" s="1">
        <v>1</v>
      </c>
      <c r="F3053" s="2" t="s">
        <v>3608</v>
      </c>
      <c r="G3053" s="1">
        <v>2</v>
      </c>
      <c r="H3053" s="1" t="str">
        <f t="shared" si="49"/>
        <v>k94_2</v>
      </c>
      <c r="K3053" s="1">
        <f>IF(E3053=0,SUMPRODUCT(($A$2:$A$4734=A3053)*($B$2:$B$4734=B3053)*($D$2:$D$4734=D3053)*($E$2:$E$4734=0)),0)</f>
        <v>0</v>
      </c>
      <c r="L3053" s="1" t="str">
        <f>IF(E3053=0,SUMPRODUCT(MIN($K$2:$K$4734+((($A$2:$A$4734&lt;&gt;A3053)+($E$2:$E$4734&lt;&gt;0))&gt;0)*1000000)),"")</f>
        <v/>
      </c>
      <c r="M3053" s="1">
        <f>IF(AND(E3053=0,COUNTIFS($A$2:A3053,A3053,$E$2:E3053,0)=1),L3053,0)</f>
        <v>0</v>
      </c>
    </row>
    <row r="3054" spans="1:13" ht="15" customHeight="1">
      <c r="A3054" s="1">
        <v>94</v>
      </c>
      <c r="B3054" s="1" t="s">
        <v>9</v>
      </c>
      <c r="C3054" s="2" t="s">
        <v>3598</v>
      </c>
      <c r="D3054" s="2" t="s">
        <v>3606</v>
      </c>
      <c r="E3054" s="1">
        <v>1</v>
      </c>
      <c r="F3054" s="2" t="s">
        <v>3609</v>
      </c>
      <c r="G3054" s="1">
        <v>3</v>
      </c>
      <c r="H3054" s="1" t="str">
        <f t="shared" si="49"/>
        <v>k94_3</v>
      </c>
      <c r="K3054" s="1">
        <f>IF(E3054=0,SUMPRODUCT(($A$2:$A$4734=A3054)*($B$2:$B$4734=B3054)*($D$2:$D$4734=D3054)*($E$2:$E$4734=0)),0)</f>
        <v>0</v>
      </c>
      <c r="L3054" s="1" t="str">
        <f>IF(E3054=0,SUMPRODUCT(MIN($K$2:$K$4734+((($A$2:$A$4734&lt;&gt;A3054)+($E$2:$E$4734&lt;&gt;0))&gt;0)*1000000)),"")</f>
        <v/>
      </c>
      <c r="M3054" s="1">
        <f>IF(AND(E3054=0,COUNTIFS($A$2:A3054,A3054,$E$2:E3054,0)=1),L3054,0)</f>
        <v>0</v>
      </c>
    </row>
    <row r="3055" spans="1:13" ht="15" customHeight="1">
      <c r="A3055" s="1">
        <v>94</v>
      </c>
      <c r="B3055" s="1" t="s">
        <v>9</v>
      </c>
      <c r="C3055" s="2" t="s">
        <v>3598</v>
      </c>
      <c r="D3055" s="2" t="s">
        <v>3606</v>
      </c>
      <c r="E3055" s="1">
        <v>1</v>
      </c>
      <c r="F3055" s="2" t="s">
        <v>3607</v>
      </c>
      <c r="G3055" s="1">
        <v>4</v>
      </c>
      <c r="H3055" s="1" t="str">
        <f t="shared" si="49"/>
        <v>k94_4</v>
      </c>
      <c r="K3055" s="1">
        <f>IF(E3055=0,SUMPRODUCT(($A$2:$A$4734=A3055)*($B$2:$B$4734=B3055)*($D$2:$D$4734=D3055)*($E$2:$E$4734=0)),0)</f>
        <v>0</v>
      </c>
      <c r="L3055" s="1" t="str">
        <f>IF(E3055=0,SUMPRODUCT(MIN($K$2:$K$4734+((($A$2:$A$4734&lt;&gt;A3055)+($E$2:$E$4734&lt;&gt;0))&gt;0)*1000000)),"")</f>
        <v/>
      </c>
      <c r="M3055" s="1">
        <f>IF(AND(E3055=0,COUNTIFS($A$2:A3055,A3055,$E$2:E3055,0)=1),L3055,0)</f>
        <v>0</v>
      </c>
    </row>
    <row r="3056" spans="1:13" ht="15" customHeight="1">
      <c r="A3056" s="1">
        <v>94</v>
      </c>
      <c r="B3056" s="1" t="s">
        <v>9</v>
      </c>
      <c r="C3056" s="2" t="s">
        <v>3598</v>
      </c>
      <c r="D3056" s="2" t="s">
        <v>3606</v>
      </c>
      <c r="E3056" s="1">
        <v>1</v>
      </c>
      <c r="F3056" s="2" t="s">
        <v>3608</v>
      </c>
      <c r="G3056" s="1">
        <v>5</v>
      </c>
      <c r="H3056" s="1" t="str">
        <f t="shared" si="49"/>
        <v>k94_5</v>
      </c>
      <c r="K3056" s="1">
        <f>IF(E3056=0,SUMPRODUCT(($A$2:$A$4734=A3056)*($B$2:$B$4734=B3056)*($D$2:$D$4734=D3056)*($E$2:$E$4734=0)),0)</f>
        <v>0</v>
      </c>
      <c r="L3056" s="1" t="str">
        <f>IF(E3056=0,SUMPRODUCT(MIN($K$2:$K$4734+((($A$2:$A$4734&lt;&gt;A3056)+($E$2:$E$4734&lt;&gt;0))&gt;0)*1000000)),"")</f>
        <v/>
      </c>
      <c r="M3056" s="1">
        <f>IF(AND(E3056=0,COUNTIFS($A$2:A3056,A3056,$E$2:E3056,0)=1),L3056,0)</f>
        <v>0</v>
      </c>
    </row>
    <row r="3057" spans="1:13" ht="15" customHeight="1">
      <c r="A3057" s="1">
        <v>94</v>
      </c>
      <c r="B3057" s="1" t="s">
        <v>9</v>
      </c>
      <c r="C3057" s="2" t="s">
        <v>3598</v>
      </c>
      <c r="D3057" s="2" t="s">
        <v>3606</v>
      </c>
      <c r="E3057" s="1">
        <v>1</v>
      </c>
      <c r="F3057" s="2" t="s">
        <v>3609</v>
      </c>
      <c r="G3057" s="1">
        <v>6</v>
      </c>
      <c r="H3057" s="1" t="str">
        <f t="shared" si="49"/>
        <v>k94_6</v>
      </c>
      <c r="K3057" s="1">
        <f>IF(E3057=0,SUMPRODUCT(($A$2:$A$4734=A3057)*($B$2:$B$4734=B3057)*($D$2:$D$4734=D3057)*($E$2:$E$4734=0)),0)</f>
        <v>0</v>
      </c>
      <c r="L3057" s="1" t="str">
        <f>IF(E3057=0,SUMPRODUCT(MIN($K$2:$K$4734+((($A$2:$A$4734&lt;&gt;A3057)+($E$2:$E$4734&lt;&gt;0))&gt;0)*1000000)),"")</f>
        <v/>
      </c>
      <c r="M3057" s="1">
        <f>IF(AND(E3057=0,COUNTIFS($A$2:A3057,A3057,$E$2:E3057,0)=1),L3057,0)</f>
        <v>0</v>
      </c>
    </row>
    <row r="3058" spans="1:13" ht="15" customHeight="1">
      <c r="A3058" s="1">
        <v>94</v>
      </c>
      <c r="B3058" s="1" t="s">
        <v>9</v>
      </c>
      <c r="C3058" s="2" t="s">
        <v>3598</v>
      </c>
      <c r="D3058" s="2" t="s">
        <v>3610</v>
      </c>
      <c r="E3058" s="1">
        <v>1</v>
      </c>
      <c r="F3058" s="2" t="s">
        <v>3611</v>
      </c>
      <c r="G3058" s="1">
        <v>1</v>
      </c>
      <c r="H3058" s="1" t="str">
        <f t="shared" si="49"/>
        <v>k94_1</v>
      </c>
      <c r="K3058" s="1">
        <f>IF(E3058=0,SUMPRODUCT(($A$2:$A$4734=A3058)*($B$2:$B$4734=B3058)*($D$2:$D$4734=D3058)*($E$2:$E$4734=0)),0)</f>
        <v>0</v>
      </c>
      <c r="L3058" s="1" t="str">
        <f>IF(E3058=0,SUMPRODUCT(MIN($K$2:$K$4734+((($A$2:$A$4734&lt;&gt;A3058)+($E$2:$E$4734&lt;&gt;0))&gt;0)*1000000)),"")</f>
        <v/>
      </c>
      <c r="M3058" s="1">
        <f>IF(AND(E3058=0,COUNTIFS($A$2:A3058,A3058,$E$2:E3058,0)=1),L3058,0)</f>
        <v>0</v>
      </c>
    </row>
    <row r="3059" spans="1:13" ht="15" customHeight="1">
      <c r="A3059" s="1">
        <v>94</v>
      </c>
      <c r="B3059" s="1" t="s">
        <v>9</v>
      </c>
      <c r="C3059" s="2" t="s">
        <v>3598</v>
      </c>
      <c r="D3059" s="2" t="s">
        <v>3610</v>
      </c>
      <c r="E3059" s="1">
        <v>1</v>
      </c>
      <c r="F3059" s="2" t="s">
        <v>3612</v>
      </c>
      <c r="G3059" s="1">
        <v>2</v>
      </c>
      <c r="H3059" s="1" t="str">
        <f t="shared" si="49"/>
        <v>k94_2</v>
      </c>
      <c r="K3059" s="1">
        <f>IF(E3059=0,SUMPRODUCT(($A$2:$A$4734=A3059)*($B$2:$B$4734=B3059)*($D$2:$D$4734=D3059)*($E$2:$E$4734=0)),0)</f>
        <v>0</v>
      </c>
      <c r="L3059" s="1" t="str">
        <f>IF(E3059=0,SUMPRODUCT(MIN($K$2:$K$4734+((($A$2:$A$4734&lt;&gt;A3059)+($E$2:$E$4734&lt;&gt;0))&gt;0)*1000000)),"")</f>
        <v/>
      </c>
      <c r="M3059" s="1">
        <f>IF(AND(E3059=0,COUNTIFS($A$2:A3059,A3059,$E$2:E3059,0)=1),L3059,0)</f>
        <v>0</v>
      </c>
    </row>
    <row r="3060" spans="1:13" ht="15" customHeight="1">
      <c r="A3060" s="1">
        <v>94</v>
      </c>
      <c r="B3060" s="1" t="s">
        <v>9</v>
      </c>
      <c r="C3060" s="2" t="s">
        <v>3598</v>
      </c>
      <c r="D3060" s="2" t="s">
        <v>3610</v>
      </c>
      <c r="E3060" s="1">
        <v>1</v>
      </c>
      <c r="F3060" s="2" t="s">
        <v>3612</v>
      </c>
      <c r="G3060" s="1">
        <v>3</v>
      </c>
      <c r="H3060" s="1" t="str">
        <f t="shared" si="49"/>
        <v>k94_3</v>
      </c>
      <c r="K3060" s="1">
        <f>IF(E3060=0,SUMPRODUCT(($A$2:$A$4734=A3060)*($B$2:$B$4734=B3060)*($D$2:$D$4734=D3060)*($E$2:$E$4734=0)),0)</f>
        <v>0</v>
      </c>
      <c r="L3060" s="1" t="str">
        <f>IF(E3060=0,SUMPRODUCT(MIN($K$2:$K$4734+((($A$2:$A$4734&lt;&gt;A3060)+($E$2:$E$4734&lt;&gt;0))&gt;0)*1000000)),"")</f>
        <v/>
      </c>
      <c r="M3060" s="1">
        <f>IF(AND(E3060=0,COUNTIFS($A$2:A3060,A3060,$E$2:E3060,0)=1),L3060,0)</f>
        <v>0</v>
      </c>
    </row>
    <row r="3061" spans="1:13" ht="15" customHeight="1">
      <c r="A3061" s="1">
        <v>94</v>
      </c>
      <c r="B3061" s="1" t="s">
        <v>9</v>
      </c>
      <c r="C3061" s="2" t="s">
        <v>3598</v>
      </c>
      <c r="D3061" s="2" t="s">
        <v>3610</v>
      </c>
      <c r="E3061" s="1">
        <v>1</v>
      </c>
      <c r="F3061" s="2" t="s">
        <v>3613</v>
      </c>
      <c r="G3061" s="1">
        <v>4</v>
      </c>
      <c r="H3061" s="1" t="str">
        <f t="shared" si="49"/>
        <v>k94_4</v>
      </c>
      <c r="K3061" s="1">
        <f>IF(E3061=0,SUMPRODUCT(($A$2:$A$4734=A3061)*($B$2:$B$4734=B3061)*($D$2:$D$4734=D3061)*($E$2:$E$4734=0)),0)</f>
        <v>0</v>
      </c>
      <c r="L3061" s="1" t="str">
        <f>IF(E3061=0,SUMPRODUCT(MIN($K$2:$K$4734+((($A$2:$A$4734&lt;&gt;A3061)+($E$2:$E$4734&lt;&gt;0))&gt;0)*1000000)),"")</f>
        <v/>
      </c>
      <c r="M3061" s="1">
        <f>IF(AND(E3061=0,COUNTIFS($A$2:A3061,A3061,$E$2:E3061,0)=1),L3061,0)</f>
        <v>0</v>
      </c>
    </row>
    <row r="3062" spans="1:13" ht="15" customHeight="1">
      <c r="A3062" s="1">
        <v>94</v>
      </c>
      <c r="B3062" s="1" t="s">
        <v>9</v>
      </c>
      <c r="C3062" s="2" t="s">
        <v>3598</v>
      </c>
      <c r="D3062" s="2" t="s">
        <v>3610</v>
      </c>
      <c r="E3062" s="1">
        <v>1</v>
      </c>
      <c r="F3062" s="2" t="s">
        <v>3614</v>
      </c>
      <c r="G3062" s="1">
        <v>5</v>
      </c>
      <c r="H3062" s="1" t="str">
        <f t="shared" si="49"/>
        <v>k94_5</v>
      </c>
      <c r="K3062" s="1">
        <f>IF(E3062=0,SUMPRODUCT(($A$2:$A$4734=A3062)*($B$2:$B$4734=B3062)*($D$2:$D$4734=D3062)*($E$2:$E$4734=0)),0)</f>
        <v>0</v>
      </c>
      <c r="L3062" s="1" t="str">
        <f>IF(E3062=0,SUMPRODUCT(MIN($K$2:$K$4734+((($A$2:$A$4734&lt;&gt;A3062)+($E$2:$E$4734&lt;&gt;0))&gt;0)*1000000)),"")</f>
        <v/>
      </c>
      <c r="M3062" s="1">
        <f>IF(AND(E3062=0,COUNTIFS($A$2:A3062,A3062,$E$2:E3062,0)=1),L3062,0)</f>
        <v>0</v>
      </c>
    </row>
    <row r="3063" spans="1:13" ht="15" customHeight="1">
      <c r="A3063" s="1">
        <v>94</v>
      </c>
      <c r="B3063" s="1" t="s">
        <v>9</v>
      </c>
      <c r="C3063" s="2" t="s">
        <v>3598</v>
      </c>
      <c r="D3063" s="2" t="s">
        <v>3610</v>
      </c>
      <c r="E3063" s="1">
        <v>1</v>
      </c>
      <c r="F3063" s="2" t="s">
        <v>3614</v>
      </c>
      <c r="G3063" s="1">
        <v>6</v>
      </c>
      <c r="H3063" s="1" t="str">
        <f t="shared" si="49"/>
        <v>k94_6</v>
      </c>
      <c r="K3063" s="1">
        <f>IF(E3063=0,SUMPRODUCT(($A$2:$A$4734=A3063)*($B$2:$B$4734=B3063)*($D$2:$D$4734=D3063)*($E$2:$E$4734=0)),0)</f>
        <v>0</v>
      </c>
      <c r="L3063" s="1" t="str">
        <f>IF(E3063=0,SUMPRODUCT(MIN($K$2:$K$4734+((($A$2:$A$4734&lt;&gt;A3063)+($E$2:$E$4734&lt;&gt;0))&gt;0)*1000000)),"")</f>
        <v/>
      </c>
      <c r="M3063" s="1">
        <f>IF(AND(E3063=0,COUNTIFS($A$2:A3063,A3063,$E$2:E3063,0)=1),L3063,0)</f>
        <v>0</v>
      </c>
    </row>
    <row r="3064" spans="1:13" ht="15" customHeight="1">
      <c r="A3064" s="1">
        <v>95</v>
      </c>
      <c r="B3064" s="1" t="s">
        <v>9</v>
      </c>
      <c r="C3064" s="2" t="s">
        <v>3615</v>
      </c>
      <c r="D3064" s="2" t="s">
        <v>3616</v>
      </c>
      <c r="E3064" s="1">
        <v>0</v>
      </c>
      <c r="F3064" s="2" t="s">
        <v>3617</v>
      </c>
      <c r="H3064" s="1" t="str">
        <f t="shared" si="49"/>
        <v/>
      </c>
      <c r="K3064" s="1">
        <f>IF(E3064=0,SUMPRODUCT(($A$2:$A$4734=A3064)*($B$2:$B$4734=B3064)*($D$2:$D$4734=D3064)*($E$2:$E$4734=0)),0)</f>
        <v>4</v>
      </c>
      <c r="L3064" s="1">
        <f>IF(E3064=0,SUMPRODUCT(MIN($K$2:$K$4734+((($A$2:$A$4734&lt;&gt;A3064)+($E$2:$E$4734&lt;&gt;0))&gt;0)*1000000)),"")</f>
        <v>4</v>
      </c>
      <c r="M3064" s="1">
        <f>IF(AND(E3064=0,COUNTIFS($A$2:A3064,A3064,$E$2:E3064,0)=1),L3064,0)</f>
        <v>4</v>
      </c>
    </row>
    <row r="3065" spans="1:13" ht="15" customHeight="1">
      <c r="A3065" s="1">
        <v>95</v>
      </c>
      <c r="B3065" s="1" t="s">
        <v>9</v>
      </c>
      <c r="C3065" s="2" t="s">
        <v>3615</v>
      </c>
      <c r="D3065" s="2" t="s">
        <v>3616</v>
      </c>
      <c r="E3065" s="1">
        <v>0</v>
      </c>
      <c r="F3065" s="2" t="s">
        <v>3618</v>
      </c>
      <c r="H3065" s="1" t="str">
        <f t="shared" si="49"/>
        <v/>
      </c>
      <c r="K3065" s="1">
        <f>IF(E3065=0,SUMPRODUCT(($A$2:$A$4734=A3065)*($B$2:$B$4734=B3065)*($D$2:$D$4734=D3065)*($E$2:$E$4734=0)),0)</f>
        <v>4</v>
      </c>
      <c r="L3065" s="1">
        <f>IF(E3065=0,SUMPRODUCT(MIN($K$2:$K$4734+((($A$2:$A$4734&lt;&gt;A3065)+($E$2:$E$4734&lt;&gt;0))&gt;0)*1000000)),"")</f>
        <v>4</v>
      </c>
      <c r="M3065" s="1">
        <f>IF(AND(E3065=0,COUNTIFS($A$2:A3065,A3065,$E$2:E3065,0)=1),L3065,0)</f>
        <v>0</v>
      </c>
    </row>
    <row r="3066" spans="1:13" ht="15" customHeight="1">
      <c r="A3066" s="1">
        <v>95</v>
      </c>
      <c r="B3066" s="1" t="s">
        <v>9</v>
      </c>
      <c r="C3066" s="2" t="s">
        <v>3615</v>
      </c>
      <c r="D3066" s="2" t="s">
        <v>3616</v>
      </c>
      <c r="E3066" s="1">
        <v>0</v>
      </c>
      <c r="F3066" s="2" t="s">
        <v>3619</v>
      </c>
      <c r="H3066" s="1" t="str">
        <f t="shared" si="49"/>
        <v/>
      </c>
      <c r="K3066" s="1">
        <f>IF(E3066=0,SUMPRODUCT(($A$2:$A$4734=A3066)*($B$2:$B$4734=B3066)*($D$2:$D$4734=D3066)*($E$2:$E$4734=0)),0)</f>
        <v>4</v>
      </c>
      <c r="L3066" s="1">
        <f>IF(E3066=0,SUMPRODUCT(MIN($K$2:$K$4734+((($A$2:$A$4734&lt;&gt;A3066)+($E$2:$E$4734&lt;&gt;0))&gt;0)*1000000)),"")</f>
        <v>4</v>
      </c>
      <c r="M3066" s="1">
        <f>IF(AND(E3066=0,COUNTIFS($A$2:A3066,A3066,$E$2:E3066,0)=1),L3066,0)</f>
        <v>0</v>
      </c>
    </row>
    <row r="3067" spans="1:13" ht="15" customHeight="1">
      <c r="A3067" s="1">
        <v>95</v>
      </c>
      <c r="B3067" s="1" t="s">
        <v>9</v>
      </c>
      <c r="C3067" s="2" t="s">
        <v>3615</v>
      </c>
      <c r="D3067" s="2" t="s">
        <v>3616</v>
      </c>
      <c r="E3067" s="1">
        <v>0</v>
      </c>
      <c r="F3067" s="2" t="s">
        <v>3620</v>
      </c>
      <c r="H3067" s="1" t="str">
        <f t="shared" si="49"/>
        <v/>
      </c>
      <c r="K3067" s="1">
        <f>IF(E3067=0,SUMPRODUCT(($A$2:$A$4734=A3067)*($B$2:$B$4734=B3067)*($D$2:$D$4734=D3067)*($E$2:$E$4734=0)),0)</f>
        <v>4</v>
      </c>
      <c r="L3067" s="1">
        <f>IF(E3067=0,SUMPRODUCT(MIN($K$2:$K$4734+((($A$2:$A$4734&lt;&gt;A3067)+($E$2:$E$4734&lt;&gt;0))&gt;0)*1000000)),"")</f>
        <v>4</v>
      </c>
      <c r="M3067" s="1">
        <f>IF(AND(E3067=0,COUNTIFS($A$2:A3067,A3067,$E$2:E3067,0)=1),L3067,0)</f>
        <v>0</v>
      </c>
    </row>
    <row r="3068" spans="1:13" ht="15" customHeight="1">
      <c r="A3068" s="1">
        <v>95</v>
      </c>
      <c r="B3068" s="1" t="s">
        <v>9</v>
      </c>
      <c r="C3068" s="2" t="s">
        <v>3615</v>
      </c>
      <c r="D3068" s="2" t="s">
        <v>3621</v>
      </c>
      <c r="E3068" s="1">
        <v>0</v>
      </c>
      <c r="F3068" s="2" t="s">
        <v>3622</v>
      </c>
      <c r="H3068" s="1" t="str">
        <f t="shared" si="49"/>
        <v/>
      </c>
      <c r="K3068" s="1">
        <f>IF(E3068=0,SUMPRODUCT(($A$2:$A$4734=A3068)*($B$2:$B$4734=B3068)*($D$2:$D$4734=D3068)*($E$2:$E$4734=0)),0)</f>
        <v>5</v>
      </c>
      <c r="L3068" s="1">
        <f>IF(E3068=0,SUMPRODUCT(MIN($K$2:$K$4734+((($A$2:$A$4734&lt;&gt;A3068)+($E$2:$E$4734&lt;&gt;0))&gt;0)*1000000)),"")</f>
        <v>4</v>
      </c>
      <c r="M3068" s="1">
        <f>IF(AND(E3068=0,COUNTIFS($A$2:A3068,A3068,$E$2:E3068,0)=1),L3068,0)</f>
        <v>0</v>
      </c>
    </row>
    <row r="3069" spans="1:13" ht="15" customHeight="1">
      <c r="A3069" s="1">
        <v>95</v>
      </c>
      <c r="B3069" s="1" t="s">
        <v>9</v>
      </c>
      <c r="C3069" s="2" t="s">
        <v>3615</v>
      </c>
      <c r="D3069" s="2" t="s">
        <v>3621</v>
      </c>
      <c r="E3069" s="1">
        <v>0</v>
      </c>
      <c r="F3069" s="2" t="s">
        <v>3623</v>
      </c>
      <c r="H3069" s="1" t="str">
        <f t="shared" si="49"/>
        <v/>
      </c>
      <c r="K3069" s="1">
        <f>IF(E3069=0,SUMPRODUCT(($A$2:$A$4734=A3069)*($B$2:$B$4734=B3069)*($D$2:$D$4734=D3069)*($E$2:$E$4734=0)),0)</f>
        <v>5</v>
      </c>
      <c r="L3069" s="1">
        <f>IF(E3069=0,SUMPRODUCT(MIN($K$2:$K$4734+((($A$2:$A$4734&lt;&gt;A3069)+($E$2:$E$4734&lt;&gt;0))&gt;0)*1000000)),"")</f>
        <v>4</v>
      </c>
      <c r="M3069" s="1">
        <f>IF(AND(E3069=0,COUNTIFS($A$2:A3069,A3069,$E$2:E3069,0)=1),L3069,0)</f>
        <v>0</v>
      </c>
    </row>
    <row r="3070" spans="1:13" ht="15" customHeight="1">
      <c r="A3070" s="1">
        <v>95</v>
      </c>
      <c r="B3070" s="1" t="s">
        <v>9</v>
      </c>
      <c r="C3070" s="2" t="s">
        <v>3615</v>
      </c>
      <c r="D3070" s="2" t="s">
        <v>3621</v>
      </c>
      <c r="E3070" s="1">
        <v>0</v>
      </c>
      <c r="F3070" s="2" t="s">
        <v>3624</v>
      </c>
      <c r="H3070" s="1" t="str">
        <f t="shared" si="49"/>
        <v/>
      </c>
      <c r="K3070" s="1">
        <f>IF(E3070=0,SUMPRODUCT(($A$2:$A$4734=A3070)*($B$2:$B$4734=B3070)*($D$2:$D$4734=D3070)*($E$2:$E$4734=0)),0)</f>
        <v>5</v>
      </c>
      <c r="L3070" s="1">
        <f>IF(E3070=0,SUMPRODUCT(MIN($K$2:$K$4734+((($A$2:$A$4734&lt;&gt;A3070)+($E$2:$E$4734&lt;&gt;0))&gt;0)*1000000)),"")</f>
        <v>4</v>
      </c>
      <c r="M3070" s="1">
        <f>IF(AND(E3070=0,COUNTIFS($A$2:A3070,A3070,$E$2:E3070,0)=1),L3070,0)</f>
        <v>0</v>
      </c>
    </row>
    <row r="3071" spans="1:13" ht="15" customHeight="1">
      <c r="A3071" s="1">
        <v>95</v>
      </c>
      <c r="B3071" s="1" t="s">
        <v>9</v>
      </c>
      <c r="C3071" s="2" t="s">
        <v>3615</v>
      </c>
      <c r="D3071" s="2" t="s">
        <v>3621</v>
      </c>
      <c r="E3071" s="1">
        <v>0</v>
      </c>
      <c r="F3071" s="2" t="s">
        <v>3625</v>
      </c>
      <c r="H3071" s="1" t="str">
        <f t="shared" si="49"/>
        <v/>
      </c>
      <c r="K3071" s="1">
        <f>IF(E3071=0,SUMPRODUCT(($A$2:$A$4734=A3071)*($B$2:$B$4734=B3071)*($D$2:$D$4734=D3071)*($E$2:$E$4734=0)),0)</f>
        <v>5</v>
      </c>
      <c r="L3071" s="1">
        <f>IF(E3071=0,SUMPRODUCT(MIN($K$2:$K$4734+((($A$2:$A$4734&lt;&gt;A3071)+($E$2:$E$4734&lt;&gt;0))&gt;0)*1000000)),"")</f>
        <v>4</v>
      </c>
      <c r="M3071" s="1">
        <f>IF(AND(E3071=0,COUNTIFS($A$2:A3071,A3071,$E$2:E3071,0)=1),L3071,0)</f>
        <v>0</v>
      </c>
    </row>
    <row r="3072" spans="1:13" ht="15" customHeight="1">
      <c r="A3072" s="1">
        <v>95</v>
      </c>
      <c r="B3072" s="1" t="s">
        <v>9</v>
      </c>
      <c r="C3072" s="2" t="s">
        <v>3615</v>
      </c>
      <c r="D3072" s="2" t="s">
        <v>3621</v>
      </c>
      <c r="E3072" s="1">
        <v>0</v>
      </c>
      <c r="F3072" s="2" t="s">
        <v>3626</v>
      </c>
      <c r="H3072" s="1" t="str">
        <f t="shared" si="49"/>
        <v/>
      </c>
      <c r="K3072" s="1">
        <f>IF(E3072=0,SUMPRODUCT(($A$2:$A$4734=A3072)*($B$2:$B$4734=B3072)*($D$2:$D$4734=D3072)*($E$2:$E$4734=0)),0)</f>
        <v>5</v>
      </c>
      <c r="L3072" s="1">
        <f>IF(E3072=0,SUMPRODUCT(MIN($K$2:$K$4734+((($A$2:$A$4734&lt;&gt;A3072)+($E$2:$E$4734&lt;&gt;0))&gt;0)*1000000)),"")</f>
        <v>4</v>
      </c>
      <c r="M3072" s="1">
        <f>IF(AND(E3072=0,COUNTIFS($A$2:A3072,A3072,$E$2:E3072,0)=1),L3072,0)</f>
        <v>0</v>
      </c>
    </row>
    <row r="3073" spans="1:13" ht="15" customHeight="1">
      <c r="A3073" s="1">
        <v>96</v>
      </c>
      <c r="B3073" s="1" t="s">
        <v>9</v>
      </c>
      <c r="C3073" s="2" t="s">
        <v>3627</v>
      </c>
      <c r="D3073" s="2" t="s">
        <v>3628</v>
      </c>
      <c r="E3073" s="1">
        <v>0</v>
      </c>
      <c r="F3073" s="2" t="s">
        <v>3629</v>
      </c>
      <c r="H3073" s="1" t="str">
        <f t="shared" si="49"/>
        <v/>
      </c>
      <c r="K3073" s="1">
        <f>IF(E3073=0,SUMPRODUCT(($A$2:$A$4734=A3073)*($B$2:$B$4734=B3073)*($D$2:$D$4734=D3073)*($E$2:$E$4734=0)),0)</f>
        <v>2</v>
      </c>
      <c r="L3073" s="1">
        <f>IF(E3073=0,SUMPRODUCT(MIN($K$2:$K$4734+((($A$2:$A$4734&lt;&gt;A3073)+($E$2:$E$4734&lt;&gt;0))&gt;0)*1000000)),"")</f>
        <v>2</v>
      </c>
      <c r="M3073" s="1">
        <f>IF(AND(E3073=0,COUNTIFS($A$2:A3073,A3073,$E$2:E3073,0)=1),L3073,0)</f>
        <v>2</v>
      </c>
    </row>
    <row r="3074" spans="1:13" ht="15" customHeight="1">
      <c r="A3074" s="1">
        <v>96</v>
      </c>
      <c r="B3074" s="1" t="s">
        <v>9</v>
      </c>
      <c r="C3074" s="2" t="s">
        <v>3627</v>
      </c>
      <c r="D3074" s="2" t="s">
        <v>3628</v>
      </c>
      <c r="E3074" s="1">
        <v>0</v>
      </c>
      <c r="F3074" s="2" t="s">
        <v>3630</v>
      </c>
      <c r="H3074" s="1" t="str">
        <f t="shared" si="49"/>
        <v/>
      </c>
      <c r="K3074" s="1">
        <f>IF(E3074=0,SUMPRODUCT(($A$2:$A$4734=A3074)*($B$2:$B$4734=B3074)*($D$2:$D$4734=D3074)*($E$2:$E$4734=0)),0)</f>
        <v>2</v>
      </c>
      <c r="L3074" s="1">
        <f>IF(E3074=0,SUMPRODUCT(MIN($K$2:$K$4734+((($A$2:$A$4734&lt;&gt;A3074)+($E$2:$E$4734&lt;&gt;0))&gt;0)*1000000)),"")</f>
        <v>2</v>
      </c>
      <c r="M3074" s="1">
        <f>IF(AND(E3074=0,COUNTIFS($A$2:A3074,A3074,$E$2:E3074,0)=1),L3074,0)</f>
        <v>0</v>
      </c>
    </row>
    <row r="3075" spans="1:13" ht="15" customHeight="1">
      <c r="A3075" s="1">
        <v>96</v>
      </c>
      <c r="B3075" s="1" t="s">
        <v>16</v>
      </c>
      <c r="C3075" s="2" t="s">
        <v>3627</v>
      </c>
      <c r="D3075" s="1" t="s">
        <v>3631</v>
      </c>
      <c r="E3075" s="1">
        <v>0</v>
      </c>
      <c r="F3075" s="2" t="s">
        <v>3632</v>
      </c>
      <c r="H3075" s="1" t="str">
        <f t="shared" si="49"/>
        <v/>
      </c>
      <c r="K3075" s="1">
        <f>IF(E3075=0,SUMPRODUCT(($A$2:$A$4734=A3075)*($B$2:$B$4734=B3075)*($D$2:$D$4734=D3075)*($E$2:$E$4734=0)),0)</f>
        <v>4</v>
      </c>
      <c r="L3075" s="1">
        <f>IF(E3075=0,SUMPRODUCT(MIN($K$2:$K$4734+((($A$2:$A$4734&lt;&gt;A3075)+($E$2:$E$4734&lt;&gt;0))&gt;0)*1000000)),"")</f>
        <v>2</v>
      </c>
      <c r="M3075" s="1">
        <f>IF(AND(E3075=0,COUNTIFS($A$2:A3075,A3075,$E$2:E3075,0)=1),L3075,0)</f>
        <v>0</v>
      </c>
    </row>
    <row r="3076" spans="1:13" ht="15" customHeight="1">
      <c r="A3076" s="1">
        <v>96</v>
      </c>
      <c r="B3076" s="1" t="s">
        <v>16</v>
      </c>
      <c r="C3076" s="2" t="s">
        <v>3627</v>
      </c>
      <c r="D3076" s="1" t="s">
        <v>3631</v>
      </c>
      <c r="E3076" s="1">
        <v>0</v>
      </c>
      <c r="F3076" s="2" t="s">
        <v>3633</v>
      </c>
      <c r="H3076" s="1" t="str">
        <f t="shared" si="49"/>
        <v/>
      </c>
      <c r="K3076" s="1">
        <f>IF(E3076=0,SUMPRODUCT(($A$2:$A$4734=A3076)*($B$2:$B$4734=B3076)*($D$2:$D$4734=D3076)*($E$2:$E$4734=0)),0)</f>
        <v>4</v>
      </c>
      <c r="L3076" s="1">
        <f>IF(E3076=0,SUMPRODUCT(MIN($K$2:$K$4734+((($A$2:$A$4734&lt;&gt;A3076)+($E$2:$E$4734&lt;&gt;0))&gt;0)*1000000)),"")</f>
        <v>2</v>
      </c>
      <c r="M3076" s="1">
        <f>IF(AND(E3076=0,COUNTIFS($A$2:A3076,A3076,$E$2:E3076,0)=1),L3076,0)</f>
        <v>0</v>
      </c>
    </row>
    <row r="3077" spans="1:13" ht="15" customHeight="1">
      <c r="A3077" s="1">
        <v>96</v>
      </c>
      <c r="B3077" s="1" t="s">
        <v>16</v>
      </c>
      <c r="C3077" s="2" t="s">
        <v>3627</v>
      </c>
      <c r="D3077" s="1" t="s">
        <v>3631</v>
      </c>
      <c r="E3077" s="1">
        <v>0</v>
      </c>
      <c r="F3077" s="2" t="s">
        <v>3634</v>
      </c>
      <c r="H3077" s="1" t="str">
        <f t="shared" si="49"/>
        <v/>
      </c>
      <c r="K3077" s="1">
        <f>IF(E3077=0,SUMPRODUCT(($A$2:$A$4734=A3077)*($B$2:$B$4734=B3077)*($D$2:$D$4734=D3077)*($E$2:$E$4734=0)),0)</f>
        <v>4</v>
      </c>
      <c r="L3077" s="1">
        <f>IF(E3077=0,SUMPRODUCT(MIN($K$2:$K$4734+((($A$2:$A$4734&lt;&gt;A3077)+($E$2:$E$4734&lt;&gt;0))&gt;0)*1000000)),"")</f>
        <v>2</v>
      </c>
      <c r="M3077" s="1">
        <f>IF(AND(E3077=0,COUNTIFS($A$2:A3077,A3077,$E$2:E3077,0)=1),L3077,0)</f>
        <v>0</v>
      </c>
    </row>
    <row r="3078" spans="1:13" ht="15" customHeight="1">
      <c r="A3078" s="1">
        <v>96</v>
      </c>
      <c r="B3078" s="1" t="s">
        <v>16</v>
      </c>
      <c r="C3078" s="2" t="s">
        <v>3627</v>
      </c>
      <c r="D3078" s="1" t="s">
        <v>3631</v>
      </c>
      <c r="E3078" s="1">
        <v>0</v>
      </c>
      <c r="F3078" s="2" t="s">
        <v>3635</v>
      </c>
      <c r="H3078" s="1" t="str">
        <f t="shared" si="49"/>
        <v/>
      </c>
      <c r="K3078" s="1">
        <f>IF(E3078=0,SUMPRODUCT(($A$2:$A$4734=A3078)*($B$2:$B$4734=B3078)*($D$2:$D$4734=D3078)*($E$2:$E$4734=0)),0)</f>
        <v>4</v>
      </c>
      <c r="L3078" s="1">
        <f>IF(E3078=0,SUMPRODUCT(MIN($K$2:$K$4734+((($A$2:$A$4734&lt;&gt;A3078)+($E$2:$E$4734&lt;&gt;0))&gt;0)*1000000)),"")</f>
        <v>2</v>
      </c>
      <c r="M3078" s="1">
        <f>IF(AND(E3078=0,COUNTIFS($A$2:A3078,A3078,$E$2:E3078,0)=1),L3078,0)</f>
        <v>0</v>
      </c>
    </row>
    <row r="3079" spans="1:13" ht="15" customHeight="1">
      <c r="A3079" s="1">
        <v>97</v>
      </c>
      <c r="B3079" s="1" t="s">
        <v>9</v>
      </c>
      <c r="C3079" s="2" t="s">
        <v>3636</v>
      </c>
      <c r="D3079" s="2" t="s">
        <v>3637</v>
      </c>
      <c r="E3079" s="1">
        <v>1</v>
      </c>
      <c r="F3079" s="2" t="s">
        <v>3638</v>
      </c>
      <c r="G3079" s="1">
        <v>1</v>
      </c>
      <c r="H3079" s="1" t="str">
        <f t="shared" si="49"/>
        <v>k97_1</v>
      </c>
      <c r="K3079" s="1">
        <f>IF(E3079=0,SUMPRODUCT(($A$2:$A$4734=A3079)*($B$2:$B$4734=B3079)*($D$2:$D$4734=D3079)*($E$2:$E$4734=0)),0)</f>
        <v>0</v>
      </c>
      <c r="L3079" s="1" t="str">
        <f>IF(E3079=0,SUMPRODUCT(MIN($K$2:$K$4734+((($A$2:$A$4734&lt;&gt;A3079)+($E$2:$E$4734&lt;&gt;0))&gt;0)*1000000)),"")</f>
        <v/>
      </c>
      <c r="M3079" s="1">
        <f>IF(AND(E3079=0,COUNTIFS($A$2:A3079,A3079,$E$2:E3079,0)=1),L3079,0)</f>
        <v>0</v>
      </c>
    </row>
    <row r="3080" spans="1:13" ht="15" customHeight="1">
      <c r="A3080" s="1">
        <v>97</v>
      </c>
      <c r="B3080" s="1" t="s">
        <v>9</v>
      </c>
      <c r="C3080" s="2" t="s">
        <v>3636</v>
      </c>
      <c r="D3080" s="2" t="s">
        <v>3637</v>
      </c>
      <c r="E3080" s="1">
        <v>1</v>
      </c>
      <c r="F3080" s="2" t="s">
        <v>3639</v>
      </c>
      <c r="G3080" s="1">
        <v>2</v>
      </c>
      <c r="H3080" s="1" t="str">
        <f t="shared" si="49"/>
        <v>k97_2</v>
      </c>
      <c r="K3080" s="1">
        <f>IF(E3080=0,SUMPRODUCT(($A$2:$A$4734=A3080)*($B$2:$B$4734=B3080)*($D$2:$D$4734=D3080)*($E$2:$E$4734=0)),0)</f>
        <v>0</v>
      </c>
      <c r="L3080" s="1" t="str">
        <f>IF(E3080=0,SUMPRODUCT(MIN($K$2:$K$4734+((($A$2:$A$4734&lt;&gt;A3080)+($E$2:$E$4734&lt;&gt;0))&gt;0)*1000000)),"")</f>
        <v/>
      </c>
      <c r="M3080" s="1">
        <f>IF(AND(E3080=0,COUNTIFS($A$2:A3080,A3080,$E$2:E3080,0)=1),L3080,0)</f>
        <v>0</v>
      </c>
    </row>
    <row r="3081" spans="1:13" ht="15" customHeight="1">
      <c r="A3081" s="1">
        <v>97</v>
      </c>
      <c r="B3081" s="1" t="s">
        <v>9</v>
      </c>
      <c r="C3081" s="2" t="s">
        <v>3636</v>
      </c>
      <c r="D3081" s="2" t="s">
        <v>3637</v>
      </c>
      <c r="E3081" s="1">
        <v>1</v>
      </c>
      <c r="F3081" s="2" t="s">
        <v>3640</v>
      </c>
      <c r="G3081" s="1">
        <v>3</v>
      </c>
      <c r="H3081" s="1" t="str">
        <f t="shared" si="49"/>
        <v>k97_3</v>
      </c>
      <c r="K3081" s="1">
        <f>IF(E3081=0,SUMPRODUCT(($A$2:$A$4734=A3081)*($B$2:$B$4734=B3081)*($D$2:$D$4734=D3081)*($E$2:$E$4734=0)),0)</f>
        <v>0</v>
      </c>
      <c r="L3081" s="1" t="str">
        <f>IF(E3081=0,SUMPRODUCT(MIN($K$2:$K$4734+((($A$2:$A$4734&lt;&gt;A3081)+($E$2:$E$4734&lt;&gt;0))&gt;0)*1000000)),"")</f>
        <v/>
      </c>
      <c r="M3081" s="1">
        <f>IF(AND(E3081=0,COUNTIFS($A$2:A3081,A3081,$E$2:E3081,0)=1),L3081,0)</f>
        <v>0</v>
      </c>
    </row>
    <row r="3082" spans="1:13" ht="15" customHeight="1">
      <c r="A3082" s="1">
        <v>97</v>
      </c>
      <c r="B3082" s="1" t="s">
        <v>9</v>
      </c>
      <c r="C3082" s="2" t="s">
        <v>3636</v>
      </c>
      <c r="D3082" s="2" t="s">
        <v>3637</v>
      </c>
      <c r="E3082" s="1">
        <v>1</v>
      </c>
      <c r="F3082" s="2" t="s">
        <v>3638</v>
      </c>
      <c r="G3082" s="1">
        <v>4</v>
      </c>
      <c r="H3082" s="1" t="str">
        <f t="shared" si="49"/>
        <v>k97_4</v>
      </c>
      <c r="K3082" s="1">
        <f>IF(E3082=0,SUMPRODUCT(($A$2:$A$4734=A3082)*($B$2:$B$4734=B3082)*($D$2:$D$4734=D3082)*($E$2:$E$4734=0)),0)</f>
        <v>0</v>
      </c>
      <c r="L3082" s="1" t="str">
        <f>IF(E3082=0,SUMPRODUCT(MIN($K$2:$K$4734+((($A$2:$A$4734&lt;&gt;A3082)+($E$2:$E$4734&lt;&gt;0))&gt;0)*1000000)),"")</f>
        <v/>
      </c>
      <c r="M3082" s="1">
        <f>IF(AND(E3082=0,COUNTIFS($A$2:A3082,A3082,$E$2:E3082,0)=1),L3082,0)</f>
        <v>0</v>
      </c>
    </row>
    <row r="3083" spans="1:13" ht="15" customHeight="1">
      <c r="A3083" s="1">
        <v>97</v>
      </c>
      <c r="B3083" s="1" t="s">
        <v>9</v>
      </c>
      <c r="C3083" s="2" t="s">
        <v>3636</v>
      </c>
      <c r="D3083" s="2" t="s">
        <v>3637</v>
      </c>
      <c r="E3083" s="1">
        <v>1</v>
      </c>
      <c r="F3083" s="2" t="s">
        <v>3639</v>
      </c>
      <c r="G3083" s="1">
        <v>5</v>
      </c>
      <c r="H3083" s="1" t="str">
        <f t="shared" si="49"/>
        <v>k97_5</v>
      </c>
      <c r="K3083" s="1">
        <f>IF(E3083=0,SUMPRODUCT(($A$2:$A$4734=A3083)*($B$2:$B$4734=B3083)*($D$2:$D$4734=D3083)*($E$2:$E$4734=0)),0)</f>
        <v>0</v>
      </c>
      <c r="L3083" s="1" t="str">
        <f>IF(E3083=0,SUMPRODUCT(MIN($K$2:$K$4734+((($A$2:$A$4734&lt;&gt;A3083)+($E$2:$E$4734&lt;&gt;0))&gt;0)*1000000)),"")</f>
        <v/>
      </c>
      <c r="M3083" s="1">
        <f>IF(AND(E3083=0,COUNTIFS($A$2:A3083,A3083,$E$2:E3083,0)=1),L3083,0)</f>
        <v>0</v>
      </c>
    </row>
    <row r="3084" spans="1:13" ht="15" customHeight="1">
      <c r="A3084" s="1">
        <v>97</v>
      </c>
      <c r="B3084" s="1" t="s">
        <v>9</v>
      </c>
      <c r="C3084" s="2" t="s">
        <v>3636</v>
      </c>
      <c r="D3084" s="2" t="s">
        <v>3637</v>
      </c>
      <c r="E3084" s="1">
        <v>1</v>
      </c>
      <c r="F3084" s="2" t="s">
        <v>3641</v>
      </c>
      <c r="G3084" s="1">
        <v>6</v>
      </c>
      <c r="H3084" s="1" t="str">
        <f t="shared" si="49"/>
        <v>k97_6</v>
      </c>
      <c r="K3084" s="1">
        <f>IF(E3084=0,SUMPRODUCT(($A$2:$A$4734=A3084)*($B$2:$B$4734=B3084)*($D$2:$D$4734=D3084)*($E$2:$E$4734=0)),0)</f>
        <v>0</v>
      </c>
      <c r="L3084" s="1" t="str">
        <f>IF(E3084=0,SUMPRODUCT(MIN($K$2:$K$4734+((($A$2:$A$4734&lt;&gt;A3084)+($E$2:$E$4734&lt;&gt;0))&gt;0)*1000000)),"")</f>
        <v/>
      </c>
      <c r="M3084" s="1">
        <f>IF(AND(E3084=0,COUNTIFS($A$2:A3084,A3084,$E$2:E3084,0)=1),L3084,0)</f>
        <v>0</v>
      </c>
    </row>
    <row r="3085" spans="1:13" ht="15" customHeight="1">
      <c r="A3085" s="1">
        <v>97</v>
      </c>
      <c r="B3085" s="1" t="s">
        <v>9</v>
      </c>
      <c r="C3085" s="2" t="s">
        <v>3636</v>
      </c>
      <c r="D3085" s="2" t="s">
        <v>3642</v>
      </c>
      <c r="E3085" s="1">
        <v>1</v>
      </c>
      <c r="F3085" s="2" t="s">
        <v>3643</v>
      </c>
      <c r="G3085" s="1">
        <v>1</v>
      </c>
      <c r="H3085" s="1" t="str">
        <f t="shared" si="49"/>
        <v>k97_1</v>
      </c>
      <c r="K3085" s="1">
        <f>IF(E3085=0,SUMPRODUCT(($A$2:$A$4734=A3085)*($B$2:$B$4734=B3085)*($D$2:$D$4734=D3085)*($E$2:$E$4734=0)),0)</f>
        <v>0</v>
      </c>
      <c r="L3085" s="1" t="str">
        <f>IF(E3085=0,SUMPRODUCT(MIN($K$2:$K$4734+((($A$2:$A$4734&lt;&gt;A3085)+($E$2:$E$4734&lt;&gt;0))&gt;0)*1000000)),"")</f>
        <v/>
      </c>
      <c r="M3085" s="1">
        <f>IF(AND(E3085=0,COUNTIFS($A$2:A3085,A3085,$E$2:E3085,0)=1),L3085,0)</f>
        <v>0</v>
      </c>
    </row>
    <row r="3086" spans="1:13" ht="15" customHeight="1">
      <c r="A3086" s="1">
        <v>97</v>
      </c>
      <c r="B3086" s="1" t="s">
        <v>9</v>
      </c>
      <c r="C3086" s="2" t="s">
        <v>3636</v>
      </c>
      <c r="D3086" s="2" t="s">
        <v>3642</v>
      </c>
      <c r="E3086" s="1">
        <v>1</v>
      </c>
      <c r="F3086" s="2" t="s">
        <v>3644</v>
      </c>
      <c r="G3086" s="1">
        <v>2</v>
      </c>
      <c r="H3086" s="1" t="str">
        <f t="shared" si="49"/>
        <v>k97_2</v>
      </c>
      <c r="K3086" s="1">
        <f>IF(E3086=0,SUMPRODUCT(($A$2:$A$4734=A3086)*($B$2:$B$4734=B3086)*($D$2:$D$4734=D3086)*($E$2:$E$4734=0)),0)</f>
        <v>0</v>
      </c>
      <c r="L3086" s="1" t="str">
        <f>IF(E3086=0,SUMPRODUCT(MIN($K$2:$K$4734+((($A$2:$A$4734&lt;&gt;A3086)+($E$2:$E$4734&lt;&gt;0))&gt;0)*1000000)),"")</f>
        <v/>
      </c>
      <c r="M3086" s="1">
        <f>IF(AND(E3086=0,COUNTIFS($A$2:A3086,A3086,$E$2:E3086,0)=1),L3086,0)</f>
        <v>0</v>
      </c>
    </row>
    <row r="3087" spans="1:13" ht="15" customHeight="1">
      <c r="A3087" s="1">
        <v>97</v>
      </c>
      <c r="B3087" s="1" t="s">
        <v>9</v>
      </c>
      <c r="C3087" s="2" t="s">
        <v>3636</v>
      </c>
      <c r="D3087" s="2" t="s">
        <v>3642</v>
      </c>
      <c r="E3087" s="1">
        <v>1</v>
      </c>
      <c r="F3087" s="2" t="s">
        <v>3645</v>
      </c>
      <c r="G3087" s="1">
        <v>3</v>
      </c>
      <c r="H3087" s="1" t="str">
        <f t="shared" si="49"/>
        <v>k97_3</v>
      </c>
      <c r="K3087" s="1">
        <f>IF(E3087=0,SUMPRODUCT(($A$2:$A$4734=A3087)*($B$2:$B$4734=B3087)*($D$2:$D$4734=D3087)*($E$2:$E$4734=0)),0)</f>
        <v>0</v>
      </c>
      <c r="L3087" s="1" t="str">
        <f>IF(E3087=0,SUMPRODUCT(MIN($K$2:$K$4734+((($A$2:$A$4734&lt;&gt;A3087)+($E$2:$E$4734&lt;&gt;0))&gt;0)*1000000)),"")</f>
        <v/>
      </c>
      <c r="M3087" s="1">
        <f>IF(AND(E3087=0,COUNTIFS($A$2:A3087,A3087,$E$2:E3087,0)=1),L3087,0)</f>
        <v>0</v>
      </c>
    </row>
    <row r="3088" spans="1:13" ht="15" customHeight="1">
      <c r="A3088" s="1">
        <v>97</v>
      </c>
      <c r="B3088" s="1" t="s">
        <v>9</v>
      </c>
      <c r="C3088" s="2" t="s">
        <v>3636</v>
      </c>
      <c r="D3088" s="2" t="s">
        <v>3642</v>
      </c>
      <c r="E3088" s="1">
        <v>1</v>
      </c>
      <c r="F3088" s="2" t="s">
        <v>3646</v>
      </c>
      <c r="G3088" s="1">
        <v>4</v>
      </c>
      <c r="H3088" s="1" t="str">
        <f t="shared" si="49"/>
        <v>k97_4</v>
      </c>
      <c r="K3088" s="1">
        <f>IF(E3088=0,SUMPRODUCT(($A$2:$A$4734=A3088)*($B$2:$B$4734=B3088)*($D$2:$D$4734=D3088)*($E$2:$E$4734=0)),0)</f>
        <v>0</v>
      </c>
      <c r="L3088" s="1" t="str">
        <f>IF(E3088=0,SUMPRODUCT(MIN($K$2:$K$4734+((($A$2:$A$4734&lt;&gt;A3088)+($E$2:$E$4734&lt;&gt;0))&gt;0)*1000000)),"")</f>
        <v/>
      </c>
      <c r="M3088" s="1">
        <f>IF(AND(E3088=0,COUNTIFS($A$2:A3088,A3088,$E$2:E3088,0)=1),L3088,0)</f>
        <v>0</v>
      </c>
    </row>
    <row r="3089" spans="1:13" ht="15" customHeight="1">
      <c r="A3089" s="1">
        <v>97</v>
      </c>
      <c r="B3089" s="1" t="s">
        <v>9</v>
      </c>
      <c r="C3089" s="2" t="s">
        <v>3636</v>
      </c>
      <c r="D3089" s="2" t="s">
        <v>3642</v>
      </c>
      <c r="E3089" s="1">
        <v>1</v>
      </c>
      <c r="F3089" s="2" t="s">
        <v>3647</v>
      </c>
      <c r="G3089" s="1">
        <v>5</v>
      </c>
      <c r="H3089" s="1" t="str">
        <f t="shared" si="49"/>
        <v>k97_5</v>
      </c>
      <c r="K3089" s="1">
        <f>IF(E3089=0,SUMPRODUCT(($A$2:$A$4734=A3089)*($B$2:$B$4734=B3089)*($D$2:$D$4734=D3089)*($E$2:$E$4734=0)),0)</f>
        <v>0</v>
      </c>
      <c r="L3089" s="1" t="str">
        <f>IF(E3089=0,SUMPRODUCT(MIN($K$2:$K$4734+((($A$2:$A$4734&lt;&gt;A3089)+($E$2:$E$4734&lt;&gt;0))&gt;0)*1000000)),"")</f>
        <v/>
      </c>
      <c r="M3089" s="1">
        <f>IF(AND(E3089=0,COUNTIFS($A$2:A3089,A3089,$E$2:E3089,0)=1),L3089,0)</f>
        <v>0</v>
      </c>
    </row>
    <row r="3090" spans="1:13" ht="15" customHeight="1">
      <c r="A3090" s="1">
        <v>97</v>
      </c>
      <c r="B3090" s="1" t="s">
        <v>9</v>
      </c>
      <c r="C3090" s="2" t="s">
        <v>3636</v>
      </c>
      <c r="D3090" s="2" t="s">
        <v>3642</v>
      </c>
      <c r="E3090" s="1">
        <v>1</v>
      </c>
      <c r="F3090" s="2" t="s">
        <v>3648</v>
      </c>
      <c r="G3090" s="1">
        <v>6</v>
      </c>
      <c r="H3090" s="1" t="str">
        <f t="shared" si="49"/>
        <v>k97_6</v>
      </c>
      <c r="K3090" s="1">
        <f>IF(E3090=0,SUMPRODUCT(($A$2:$A$4734=A3090)*($B$2:$B$4734=B3090)*($D$2:$D$4734=D3090)*($E$2:$E$4734=0)),0)</f>
        <v>0</v>
      </c>
      <c r="L3090" s="1" t="str">
        <f>IF(E3090=0,SUMPRODUCT(MIN($K$2:$K$4734+((($A$2:$A$4734&lt;&gt;A3090)+($E$2:$E$4734&lt;&gt;0))&gt;0)*1000000)),"")</f>
        <v/>
      </c>
      <c r="M3090" s="1">
        <f>IF(AND(E3090=0,COUNTIFS($A$2:A3090,A3090,$E$2:E3090,0)=1),L3090,0)</f>
        <v>0</v>
      </c>
    </row>
    <row r="3091" spans="1:13" ht="15" customHeight="1">
      <c r="A3091" s="1">
        <v>97</v>
      </c>
      <c r="B3091" s="1" t="s">
        <v>16</v>
      </c>
      <c r="C3091" s="2" t="s">
        <v>3636</v>
      </c>
      <c r="D3091" s="2" t="s">
        <v>3637</v>
      </c>
      <c r="E3091" s="1">
        <v>1</v>
      </c>
      <c r="F3091" s="2" t="s">
        <v>3649</v>
      </c>
      <c r="G3091" s="1">
        <v>1</v>
      </c>
      <c r="H3091" s="1" t="str">
        <f t="shared" si="49"/>
        <v>k97_1</v>
      </c>
      <c r="K3091" s="1">
        <f>IF(E3091=0,SUMPRODUCT(($A$2:$A$4734=A3091)*($B$2:$B$4734=B3091)*($D$2:$D$4734=D3091)*($E$2:$E$4734=0)),0)</f>
        <v>0</v>
      </c>
      <c r="L3091" s="1" t="str">
        <f>IF(E3091=0,SUMPRODUCT(MIN($K$2:$K$4734+((($A$2:$A$4734&lt;&gt;A3091)+($E$2:$E$4734&lt;&gt;0))&gt;0)*1000000)),"")</f>
        <v/>
      </c>
      <c r="M3091" s="1">
        <f>IF(AND(E3091=0,COUNTIFS($A$2:A3091,A3091,$E$2:E3091,0)=1),L3091,0)</f>
        <v>0</v>
      </c>
    </row>
    <row r="3092" spans="1:13" ht="15" customHeight="1">
      <c r="A3092" s="1">
        <v>97</v>
      </c>
      <c r="B3092" s="1" t="s">
        <v>16</v>
      </c>
      <c r="C3092" s="2" t="s">
        <v>3636</v>
      </c>
      <c r="D3092" s="2" t="s">
        <v>3637</v>
      </c>
      <c r="E3092" s="1">
        <v>1</v>
      </c>
      <c r="F3092" s="2" t="s">
        <v>3650</v>
      </c>
      <c r="G3092" s="1">
        <v>2</v>
      </c>
      <c r="H3092" s="1" t="str">
        <f t="shared" si="49"/>
        <v>k97_2</v>
      </c>
      <c r="K3092" s="1">
        <f>IF(E3092=0,SUMPRODUCT(($A$2:$A$4734=A3092)*($B$2:$B$4734=B3092)*($D$2:$D$4734=D3092)*($E$2:$E$4734=0)),0)</f>
        <v>0</v>
      </c>
      <c r="L3092" s="1" t="str">
        <f>IF(E3092=0,SUMPRODUCT(MIN($K$2:$K$4734+((($A$2:$A$4734&lt;&gt;A3092)+($E$2:$E$4734&lt;&gt;0))&gt;0)*1000000)),"")</f>
        <v/>
      </c>
      <c r="M3092" s="1">
        <f>IF(AND(E3092=0,COUNTIFS($A$2:A3092,A3092,$E$2:E3092,0)=1),L3092,0)</f>
        <v>0</v>
      </c>
    </row>
    <row r="3093" spans="1:13" ht="15" customHeight="1">
      <c r="A3093" s="1">
        <v>97</v>
      </c>
      <c r="B3093" s="1" t="s">
        <v>16</v>
      </c>
      <c r="C3093" s="2" t="s">
        <v>3636</v>
      </c>
      <c r="D3093" s="2" t="s">
        <v>3637</v>
      </c>
      <c r="E3093" s="1">
        <v>1</v>
      </c>
      <c r="F3093" s="2" t="s">
        <v>3651</v>
      </c>
      <c r="G3093" s="1">
        <v>3</v>
      </c>
      <c r="H3093" s="1" t="str">
        <f t="shared" si="49"/>
        <v>k97_3</v>
      </c>
      <c r="K3093" s="1">
        <f>IF(E3093=0,SUMPRODUCT(($A$2:$A$4734=A3093)*($B$2:$B$4734=B3093)*($D$2:$D$4734=D3093)*($E$2:$E$4734=0)),0)</f>
        <v>0</v>
      </c>
      <c r="L3093" s="1" t="str">
        <f>IF(E3093=0,SUMPRODUCT(MIN($K$2:$K$4734+((($A$2:$A$4734&lt;&gt;A3093)+($E$2:$E$4734&lt;&gt;0))&gt;0)*1000000)),"")</f>
        <v/>
      </c>
      <c r="M3093" s="1">
        <f>IF(AND(E3093=0,COUNTIFS($A$2:A3093,A3093,$E$2:E3093,0)=1),L3093,0)</f>
        <v>0</v>
      </c>
    </row>
    <row r="3094" spans="1:13" ht="15" customHeight="1">
      <c r="A3094" s="1">
        <v>97</v>
      </c>
      <c r="B3094" s="1" t="s">
        <v>16</v>
      </c>
      <c r="C3094" s="2" t="s">
        <v>3636</v>
      </c>
      <c r="D3094" s="2" t="s">
        <v>3637</v>
      </c>
      <c r="E3094" s="1">
        <v>1</v>
      </c>
      <c r="F3094" s="2" t="s">
        <v>3652</v>
      </c>
      <c r="G3094" s="1">
        <v>4</v>
      </c>
      <c r="H3094" s="1" t="str">
        <f t="shared" si="49"/>
        <v>k97_4</v>
      </c>
      <c r="K3094" s="1">
        <f>IF(E3094=0,SUMPRODUCT(($A$2:$A$4734=A3094)*($B$2:$B$4734=B3094)*($D$2:$D$4734=D3094)*($E$2:$E$4734=0)),0)</f>
        <v>0</v>
      </c>
      <c r="L3094" s="1" t="str">
        <f>IF(E3094=0,SUMPRODUCT(MIN($K$2:$K$4734+((($A$2:$A$4734&lt;&gt;A3094)+($E$2:$E$4734&lt;&gt;0))&gt;0)*1000000)),"")</f>
        <v/>
      </c>
      <c r="M3094" s="1">
        <f>IF(AND(E3094=0,COUNTIFS($A$2:A3094,A3094,$E$2:E3094,0)=1),L3094,0)</f>
        <v>0</v>
      </c>
    </row>
    <row r="3095" spans="1:13" ht="15" customHeight="1">
      <c r="A3095" s="1">
        <v>97</v>
      </c>
      <c r="B3095" s="1" t="s">
        <v>16</v>
      </c>
      <c r="C3095" s="2" t="s">
        <v>3636</v>
      </c>
      <c r="D3095" s="2" t="s">
        <v>3637</v>
      </c>
      <c r="E3095" s="1">
        <v>1</v>
      </c>
      <c r="F3095" s="2" t="s">
        <v>3653</v>
      </c>
      <c r="G3095" s="1">
        <v>5</v>
      </c>
      <c r="H3095" s="1" t="str">
        <f t="shared" si="49"/>
        <v>k97_5</v>
      </c>
      <c r="K3095" s="1">
        <f>IF(E3095=0,SUMPRODUCT(($A$2:$A$4734=A3095)*($B$2:$B$4734=B3095)*($D$2:$D$4734=D3095)*($E$2:$E$4734=0)),0)</f>
        <v>0</v>
      </c>
      <c r="L3095" s="1" t="str">
        <f>IF(E3095=0,SUMPRODUCT(MIN($K$2:$K$4734+((($A$2:$A$4734&lt;&gt;A3095)+($E$2:$E$4734&lt;&gt;0))&gt;0)*1000000)),"")</f>
        <v/>
      </c>
      <c r="M3095" s="1">
        <f>IF(AND(E3095=0,COUNTIFS($A$2:A3095,A3095,$E$2:E3095,0)=1),L3095,0)</f>
        <v>0</v>
      </c>
    </row>
    <row r="3096" spans="1:13" ht="15" customHeight="1">
      <c r="A3096" s="1">
        <v>97</v>
      </c>
      <c r="B3096" s="1" t="s">
        <v>16</v>
      </c>
      <c r="C3096" s="2" t="s">
        <v>3636</v>
      </c>
      <c r="D3096" s="2" t="s">
        <v>3637</v>
      </c>
      <c r="E3096" s="1">
        <v>1</v>
      </c>
      <c r="F3096" s="2" t="s">
        <v>3654</v>
      </c>
      <c r="G3096" s="1">
        <v>6</v>
      </c>
      <c r="H3096" s="1" t="str">
        <f t="shared" si="49"/>
        <v>k97_6</v>
      </c>
      <c r="K3096" s="1">
        <f>IF(E3096=0,SUMPRODUCT(($A$2:$A$4734=A3096)*($B$2:$B$4734=B3096)*($D$2:$D$4734=D3096)*($E$2:$E$4734=0)),0)</f>
        <v>0</v>
      </c>
      <c r="L3096" s="1" t="str">
        <f>IF(E3096=0,SUMPRODUCT(MIN($K$2:$K$4734+((($A$2:$A$4734&lt;&gt;A3096)+($E$2:$E$4734&lt;&gt;0))&gt;0)*1000000)),"")</f>
        <v/>
      </c>
      <c r="M3096" s="1">
        <f>IF(AND(E3096=0,COUNTIFS($A$2:A3096,A3096,$E$2:E3096,0)=1),L3096,0)</f>
        <v>0</v>
      </c>
    </row>
    <row r="3097" spans="1:13" ht="15" customHeight="1">
      <c r="A3097" s="1">
        <v>97</v>
      </c>
      <c r="B3097" s="1" t="s">
        <v>167</v>
      </c>
      <c r="C3097" s="2" t="s">
        <v>3636</v>
      </c>
      <c r="D3097" s="1" t="s">
        <v>3655</v>
      </c>
      <c r="E3097" s="1">
        <v>1</v>
      </c>
      <c r="F3097" s="2" t="s">
        <v>3656</v>
      </c>
      <c r="G3097" s="1">
        <v>1</v>
      </c>
      <c r="H3097" s="1" t="str">
        <f t="shared" si="49"/>
        <v>k97_1</v>
      </c>
      <c r="K3097" s="1">
        <f>IF(E3097=0,SUMPRODUCT(($A$2:$A$4734=A3097)*($B$2:$B$4734=B3097)*($D$2:$D$4734=D3097)*($E$2:$E$4734=0)),0)</f>
        <v>0</v>
      </c>
      <c r="L3097" s="1" t="str">
        <f>IF(E3097=0,SUMPRODUCT(MIN($K$2:$K$4734+((($A$2:$A$4734&lt;&gt;A3097)+($E$2:$E$4734&lt;&gt;0))&gt;0)*1000000)),"")</f>
        <v/>
      </c>
      <c r="M3097" s="1">
        <f>IF(AND(E3097=0,COUNTIFS($A$2:A3097,A3097,$E$2:E3097,0)=1),L3097,0)</f>
        <v>0</v>
      </c>
    </row>
    <row r="3098" spans="1:13" ht="15" customHeight="1">
      <c r="A3098" s="1">
        <v>97</v>
      </c>
      <c r="B3098" s="1" t="s">
        <v>167</v>
      </c>
      <c r="C3098" s="2" t="s">
        <v>3636</v>
      </c>
      <c r="D3098" s="1" t="s">
        <v>3655</v>
      </c>
      <c r="E3098" s="1">
        <v>1</v>
      </c>
      <c r="F3098" s="2" t="s">
        <v>3657</v>
      </c>
      <c r="G3098" s="1">
        <v>2</v>
      </c>
      <c r="H3098" s="1" t="str">
        <f t="shared" si="49"/>
        <v>k97_2</v>
      </c>
      <c r="K3098" s="1">
        <f>IF(E3098=0,SUMPRODUCT(($A$2:$A$4734=A3098)*($B$2:$B$4734=B3098)*($D$2:$D$4734=D3098)*($E$2:$E$4734=0)),0)</f>
        <v>0</v>
      </c>
      <c r="L3098" s="1" t="str">
        <f>IF(E3098=0,SUMPRODUCT(MIN($K$2:$K$4734+((($A$2:$A$4734&lt;&gt;A3098)+($E$2:$E$4734&lt;&gt;0))&gt;0)*1000000)),"")</f>
        <v/>
      </c>
      <c r="M3098" s="1">
        <f>IF(AND(E3098=0,COUNTIFS($A$2:A3098,A3098,$E$2:E3098,0)=1),L3098,0)</f>
        <v>0</v>
      </c>
    </row>
    <row r="3099" spans="1:13" ht="15" customHeight="1">
      <c r="A3099" s="1">
        <v>97</v>
      </c>
      <c r="B3099" s="1" t="s">
        <v>167</v>
      </c>
      <c r="C3099" s="2" t="s">
        <v>3636</v>
      </c>
      <c r="D3099" s="1" t="s">
        <v>3655</v>
      </c>
      <c r="E3099" s="1">
        <v>1</v>
      </c>
      <c r="F3099" s="2" t="s">
        <v>3658</v>
      </c>
      <c r="G3099" s="1">
        <v>3</v>
      </c>
      <c r="H3099" s="1" t="str">
        <f t="shared" si="49"/>
        <v>k97_3</v>
      </c>
      <c r="K3099" s="1">
        <f>IF(E3099=0,SUMPRODUCT(($A$2:$A$4734=A3099)*($B$2:$B$4734=B3099)*($D$2:$D$4734=D3099)*($E$2:$E$4734=0)),0)</f>
        <v>0</v>
      </c>
      <c r="L3099" s="1" t="str">
        <f>IF(E3099=0,SUMPRODUCT(MIN($K$2:$K$4734+((($A$2:$A$4734&lt;&gt;A3099)+($E$2:$E$4734&lt;&gt;0))&gt;0)*1000000)),"")</f>
        <v/>
      </c>
      <c r="M3099" s="1">
        <f>IF(AND(E3099=0,COUNTIFS($A$2:A3099,A3099,$E$2:E3099,0)=1),L3099,0)</f>
        <v>0</v>
      </c>
    </row>
    <row r="3100" spans="1:13" ht="15" customHeight="1">
      <c r="A3100" s="1">
        <v>97</v>
      </c>
      <c r="B3100" s="1" t="s">
        <v>167</v>
      </c>
      <c r="C3100" s="2" t="s">
        <v>3636</v>
      </c>
      <c r="D3100" s="1" t="s">
        <v>3655</v>
      </c>
      <c r="E3100" s="1">
        <v>1</v>
      </c>
      <c r="F3100" s="2" t="s">
        <v>3659</v>
      </c>
      <c r="G3100" s="1">
        <v>4</v>
      </c>
      <c r="H3100" s="1" t="str">
        <f t="shared" si="49"/>
        <v>k97_4</v>
      </c>
      <c r="K3100" s="1">
        <f>IF(E3100=0,SUMPRODUCT(($A$2:$A$4734=A3100)*($B$2:$B$4734=B3100)*($D$2:$D$4734=D3100)*($E$2:$E$4734=0)),0)</f>
        <v>0</v>
      </c>
      <c r="L3100" s="1" t="str">
        <f>IF(E3100=0,SUMPRODUCT(MIN($K$2:$K$4734+((($A$2:$A$4734&lt;&gt;A3100)+($E$2:$E$4734&lt;&gt;0))&gt;0)*1000000)),"")</f>
        <v/>
      </c>
      <c r="M3100" s="1">
        <f>IF(AND(E3100=0,COUNTIFS($A$2:A3100,A3100,$E$2:E3100,0)=1),L3100,0)</f>
        <v>0</v>
      </c>
    </row>
    <row r="3101" spans="1:13" ht="15" customHeight="1">
      <c r="A3101" s="1">
        <v>97</v>
      </c>
      <c r="B3101" s="1" t="s">
        <v>167</v>
      </c>
      <c r="C3101" s="2" t="s">
        <v>3636</v>
      </c>
      <c r="D3101" s="1" t="s">
        <v>3655</v>
      </c>
      <c r="E3101" s="1">
        <v>1</v>
      </c>
      <c r="F3101" s="2" t="s">
        <v>3659</v>
      </c>
      <c r="G3101" s="1">
        <v>5</v>
      </c>
      <c r="H3101" s="1" t="str">
        <f t="shared" si="49"/>
        <v>k97_5</v>
      </c>
      <c r="K3101" s="1">
        <f>IF(E3101=0,SUMPRODUCT(($A$2:$A$4734=A3101)*($B$2:$B$4734=B3101)*($D$2:$D$4734=D3101)*($E$2:$E$4734=0)),0)</f>
        <v>0</v>
      </c>
      <c r="L3101" s="1" t="str">
        <f>IF(E3101=0,SUMPRODUCT(MIN($K$2:$K$4734+((($A$2:$A$4734&lt;&gt;A3101)+($E$2:$E$4734&lt;&gt;0))&gt;0)*1000000)),"")</f>
        <v/>
      </c>
      <c r="M3101" s="1">
        <f>IF(AND(E3101=0,COUNTIFS($A$2:A3101,A3101,$E$2:E3101,0)=1),L3101,0)</f>
        <v>0</v>
      </c>
    </row>
    <row r="3102" spans="1:13" ht="15" customHeight="1">
      <c r="A3102" s="1">
        <v>97</v>
      </c>
      <c r="B3102" s="1" t="s">
        <v>167</v>
      </c>
      <c r="C3102" s="2" t="s">
        <v>3636</v>
      </c>
      <c r="D3102" s="1" t="s">
        <v>3655</v>
      </c>
      <c r="E3102" s="1">
        <v>1</v>
      </c>
      <c r="F3102" s="2" t="s">
        <v>3660</v>
      </c>
      <c r="G3102" s="1">
        <v>6</v>
      </c>
      <c r="H3102" s="1" t="str">
        <f t="shared" si="49"/>
        <v>k97_6</v>
      </c>
      <c r="K3102" s="1">
        <f>IF(E3102=0,SUMPRODUCT(($A$2:$A$4734=A3102)*($B$2:$B$4734=B3102)*($D$2:$D$4734=D3102)*($E$2:$E$4734=0)),0)</f>
        <v>0</v>
      </c>
      <c r="L3102" s="1" t="str">
        <f>IF(E3102=0,SUMPRODUCT(MIN($K$2:$K$4734+((($A$2:$A$4734&lt;&gt;A3102)+($E$2:$E$4734&lt;&gt;0))&gt;0)*1000000)),"")</f>
        <v/>
      </c>
      <c r="M3102" s="1">
        <f>IF(AND(E3102=0,COUNTIFS($A$2:A3102,A3102,$E$2:E3102,0)=1),L3102,0)</f>
        <v>0</v>
      </c>
    </row>
    <row r="3103" spans="1:13" ht="15" customHeight="1">
      <c r="A3103" s="1">
        <v>98</v>
      </c>
      <c r="B3103" s="1" t="s">
        <v>16</v>
      </c>
      <c r="C3103" s="2" t="s">
        <v>3661</v>
      </c>
      <c r="D3103" s="2" t="s">
        <v>993</v>
      </c>
      <c r="E3103" s="1">
        <v>0</v>
      </c>
      <c r="F3103" s="2" t="s">
        <v>3413</v>
      </c>
      <c r="H3103" s="1" t="str">
        <f t="shared" si="49"/>
        <v/>
      </c>
      <c r="K3103" s="1">
        <f>IF(E3103=0,SUMPRODUCT(($A$2:$A$4734=A3103)*($B$2:$B$4734=B3103)*($D$2:$D$4734=D3103)*($E$2:$E$4734=0)),0)</f>
        <v>4</v>
      </c>
      <c r="L3103" s="1">
        <f>IF(E3103=0,SUMPRODUCT(MIN($K$2:$K$4734+((($A$2:$A$4734&lt;&gt;A3103)+($E$2:$E$4734&lt;&gt;0))&gt;0)*1000000)),"")</f>
        <v>2</v>
      </c>
      <c r="M3103" s="1">
        <f>IF(AND(E3103=0,COUNTIFS($A$2:A3103,A3103,$E$2:E3103,0)=1),L3103,0)</f>
        <v>2</v>
      </c>
    </row>
    <row r="3104" spans="1:13" ht="15" customHeight="1">
      <c r="A3104" s="1">
        <v>98</v>
      </c>
      <c r="B3104" s="1" t="s">
        <v>16</v>
      </c>
      <c r="C3104" s="2" t="s">
        <v>3661</v>
      </c>
      <c r="D3104" s="2" t="s">
        <v>993</v>
      </c>
      <c r="E3104" s="1">
        <v>0</v>
      </c>
      <c r="F3104" s="2" t="s">
        <v>2431</v>
      </c>
      <c r="H3104" s="1" t="str">
        <f t="shared" si="49"/>
        <v/>
      </c>
      <c r="K3104" s="1">
        <f>IF(E3104=0,SUMPRODUCT(($A$2:$A$4734=A3104)*($B$2:$B$4734=B3104)*($D$2:$D$4734=D3104)*($E$2:$E$4734=0)),0)</f>
        <v>4</v>
      </c>
      <c r="L3104" s="1">
        <f>IF(E3104=0,SUMPRODUCT(MIN($K$2:$K$4734+((($A$2:$A$4734&lt;&gt;A3104)+($E$2:$E$4734&lt;&gt;0))&gt;0)*1000000)),"")</f>
        <v>2</v>
      </c>
      <c r="M3104" s="1">
        <f>IF(AND(E3104=0,COUNTIFS($A$2:A3104,A3104,$E$2:E3104,0)=1),L3104,0)</f>
        <v>0</v>
      </c>
    </row>
    <row r="3105" spans="1:13" ht="15" customHeight="1">
      <c r="A3105" s="1">
        <v>98</v>
      </c>
      <c r="B3105" s="1" t="s">
        <v>16</v>
      </c>
      <c r="C3105" s="2" t="s">
        <v>3661</v>
      </c>
      <c r="D3105" s="2" t="s">
        <v>993</v>
      </c>
      <c r="E3105" s="1">
        <v>0</v>
      </c>
      <c r="F3105" s="2" t="s">
        <v>3508</v>
      </c>
      <c r="H3105" s="1" t="str">
        <f t="shared" si="49"/>
        <v/>
      </c>
      <c r="K3105" s="1">
        <f>IF(E3105=0,SUMPRODUCT(($A$2:$A$4734=A3105)*($B$2:$B$4734=B3105)*($D$2:$D$4734=D3105)*($E$2:$E$4734=0)),0)</f>
        <v>4</v>
      </c>
      <c r="L3105" s="1">
        <f>IF(E3105=0,SUMPRODUCT(MIN($K$2:$K$4734+((($A$2:$A$4734&lt;&gt;A3105)+($E$2:$E$4734&lt;&gt;0))&gt;0)*1000000)),"")</f>
        <v>2</v>
      </c>
      <c r="M3105" s="1">
        <f>IF(AND(E3105=0,COUNTIFS($A$2:A3105,A3105,$E$2:E3105,0)=1),L3105,0)</f>
        <v>0</v>
      </c>
    </row>
    <row r="3106" spans="1:13" ht="15" customHeight="1">
      <c r="A3106" s="1">
        <v>98</v>
      </c>
      <c r="B3106" s="1" t="s">
        <v>16</v>
      </c>
      <c r="C3106" s="2" t="s">
        <v>3661</v>
      </c>
      <c r="D3106" s="2" t="s">
        <v>993</v>
      </c>
      <c r="E3106" s="1">
        <v>0</v>
      </c>
      <c r="F3106" s="2" t="s">
        <v>994</v>
      </c>
      <c r="H3106" s="1" t="str">
        <f t="shared" si="49"/>
        <v/>
      </c>
      <c r="K3106" s="1">
        <f>IF(E3106=0,SUMPRODUCT(($A$2:$A$4734=A3106)*($B$2:$B$4734=B3106)*($D$2:$D$4734=D3106)*($E$2:$E$4734=0)),0)</f>
        <v>4</v>
      </c>
      <c r="L3106" s="1">
        <f>IF(E3106=0,SUMPRODUCT(MIN($K$2:$K$4734+((($A$2:$A$4734&lt;&gt;A3106)+($E$2:$E$4734&lt;&gt;0))&gt;0)*1000000)),"")</f>
        <v>2</v>
      </c>
      <c r="M3106" s="1">
        <f>IF(AND(E3106=0,COUNTIFS($A$2:A3106,A3106,$E$2:E3106,0)=1),L3106,0)</f>
        <v>0</v>
      </c>
    </row>
    <row r="3107" spans="1:13" ht="15" customHeight="1">
      <c r="A3107" s="1">
        <v>98</v>
      </c>
      <c r="B3107" s="1" t="s">
        <v>9</v>
      </c>
      <c r="C3107" s="2" t="s">
        <v>3661</v>
      </c>
      <c r="D3107" s="2" t="s">
        <v>3662</v>
      </c>
      <c r="E3107" s="1">
        <v>0</v>
      </c>
      <c r="F3107" s="2" t="s">
        <v>3663</v>
      </c>
      <c r="H3107" s="1" t="str">
        <f t="shared" si="49"/>
        <v/>
      </c>
      <c r="K3107" s="1">
        <f>IF(E3107=0,SUMPRODUCT(($A$2:$A$4734=A3107)*($B$2:$B$4734=B3107)*($D$2:$D$4734=D3107)*($E$2:$E$4734=0)),0)</f>
        <v>4</v>
      </c>
      <c r="L3107" s="1">
        <f>IF(E3107=0,SUMPRODUCT(MIN($K$2:$K$4734+((($A$2:$A$4734&lt;&gt;A3107)+($E$2:$E$4734&lt;&gt;0))&gt;0)*1000000)),"")</f>
        <v>2</v>
      </c>
      <c r="M3107" s="1">
        <f>IF(AND(E3107=0,COUNTIFS($A$2:A3107,A3107,$E$2:E3107,0)=1),L3107,0)</f>
        <v>0</v>
      </c>
    </row>
    <row r="3108" spans="1:13" ht="15" customHeight="1">
      <c r="A3108" s="1">
        <v>98</v>
      </c>
      <c r="B3108" s="1" t="s">
        <v>9</v>
      </c>
      <c r="C3108" s="2" t="s">
        <v>3661</v>
      </c>
      <c r="D3108" s="2" t="s">
        <v>3662</v>
      </c>
      <c r="E3108" s="1">
        <v>0</v>
      </c>
      <c r="F3108" s="2" t="s">
        <v>3664</v>
      </c>
      <c r="H3108" s="1" t="str">
        <f t="shared" si="49"/>
        <v/>
      </c>
      <c r="K3108" s="1">
        <f>IF(E3108=0,SUMPRODUCT(($A$2:$A$4734=A3108)*($B$2:$B$4734=B3108)*($D$2:$D$4734=D3108)*($E$2:$E$4734=0)),0)</f>
        <v>4</v>
      </c>
      <c r="L3108" s="1">
        <f>IF(E3108=0,SUMPRODUCT(MIN($K$2:$K$4734+((($A$2:$A$4734&lt;&gt;A3108)+($E$2:$E$4734&lt;&gt;0))&gt;0)*1000000)),"")</f>
        <v>2</v>
      </c>
      <c r="M3108" s="1">
        <f>IF(AND(E3108=0,COUNTIFS($A$2:A3108,A3108,$E$2:E3108,0)=1),L3108,0)</f>
        <v>0</v>
      </c>
    </row>
    <row r="3109" spans="1:13" ht="15" customHeight="1">
      <c r="A3109" s="1">
        <v>98</v>
      </c>
      <c r="B3109" s="1" t="s">
        <v>9</v>
      </c>
      <c r="C3109" s="2" t="s">
        <v>3661</v>
      </c>
      <c r="D3109" s="2" t="s">
        <v>3662</v>
      </c>
      <c r="E3109" s="1">
        <v>0</v>
      </c>
      <c r="F3109" s="2" t="s">
        <v>3665</v>
      </c>
      <c r="H3109" s="1" t="str">
        <f t="shared" ref="H3109:H3167" si="50">IF(OR(E3109&lt;&gt;1,G3109=""),"","k"&amp;A3109&amp;"_"&amp;G3109)</f>
        <v/>
      </c>
      <c r="K3109" s="1">
        <f>IF(E3109=0,SUMPRODUCT(($A$2:$A$4734=A3109)*($B$2:$B$4734=B3109)*($D$2:$D$4734=D3109)*($E$2:$E$4734=0)),0)</f>
        <v>4</v>
      </c>
      <c r="L3109" s="1">
        <f>IF(E3109=0,SUMPRODUCT(MIN($K$2:$K$4734+((($A$2:$A$4734&lt;&gt;A3109)+($E$2:$E$4734&lt;&gt;0))&gt;0)*1000000)),"")</f>
        <v>2</v>
      </c>
      <c r="M3109" s="1">
        <f>IF(AND(E3109=0,COUNTIFS($A$2:A3109,A3109,$E$2:E3109,0)=1),L3109,0)</f>
        <v>0</v>
      </c>
    </row>
    <row r="3110" spans="1:13" ht="15" customHeight="1">
      <c r="A3110" s="1">
        <v>98</v>
      </c>
      <c r="B3110" s="1" t="s">
        <v>9</v>
      </c>
      <c r="C3110" s="2" t="s">
        <v>3661</v>
      </c>
      <c r="D3110" s="2" t="s">
        <v>3662</v>
      </c>
      <c r="E3110" s="1">
        <v>0</v>
      </c>
      <c r="F3110" s="2" t="s">
        <v>3666</v>
      </c>
      <c r="H3110" s="1" t="str">
        <f t="shared" si="50"/>
        <v/>
      </c>
      <c r="K3110" s="1">
        <f>IF(E3110=0,SUMPRODUCT(($A$2:$A$4734=A3110)*($B$2:$B$4734=B3110)*($D$2:$D$4734=D3110)*($E$2:$E$4734=0)),0)</f>
        <v>4</v>
      </c>
      <c r="L3110" s="1">
        <f>IF(E3110=0,SUMPRODUCT(MIN($K$2:$K$4734+((($A$2:$A$4734&lt;&gt;A3110)+($E$2:$E$4734&lt;&gt;0))&gt;0)*1000000)),"")</f>
        <v>2</v>
      </c>
      <c r="M3110" s="1">
        <f>IF(AND(E3110=0,COUNTIFS($A$2:A3110,A3110,$E$2:E3110,0)=1),L3110,0)</f>
        <v>0</v>
      </c>
    </row>
    <row r="3111" spans="1:13" ht="15" customHeight="1">
      <c r="A3111" s="1">
        <v>98</v>
      </c>
      <c r="B3111" s="1" t="s">
        <v>9</v>
      </c>
      <c r="C3111" s="2" t="s">
        <v>3661</v>
      </c>
      <c r="D3111" s="2" t="s">
        <v>993</v>
      </c>
      <c r="E3111" s="1">
        <v>0</v>
      </c>
      <c r="F3111" s="2" t="s">
        <v>3413</v>
      </c>
      <c r="H3111" s="1" t="str">
        <f t="shared" si="50"/>
        <v/>
      </c>
      <c r="K3111" s="1">
        <f>IF(E3111=0,SUMPRODUCT(($A$2:$A$4734=A3111)*($B$2:$B$4734=B3111)*($D$2:$D$4734=D3111)*($E$2:$E$4734=0)),0)</f>
        <v>2</v>
      </c>
      <c r="L3111" s="1">
        <f>IF(E3111=0,SUMPRODUCT(MIN($K$2:$K$4734+((($A$2:$A$4734&lt;&gt;A3111)+($E$2:$E$4734&lt;&gt;0))&gt;0)*1000000)),"")</f>
        <v>2</v>
      </c>
      <c r="M3111" s="1">
        <f>IF(AND(E3111=0,COUNTIFS($A$2:A3111,A3111,$E$2:E3111,0)=1),L3111,0)</f>
        <v>0</v>
      </c>
    </row>
    <row r="3112" spans="1:13" ht="15" customHeight="1">
      <c r="A3112" s="1">
        <v>98</v>
      </c>
      <c r="B3112" s="1" t="s">
        <v>9</v>
      </c>
      <c r="C3112" s="2" t="s">
        <v>3661</v>
      </c>
      <c r="D3112" s="2" t="s">
        <v>993</v>
      </c>
      <c r="E3112" s="1">
        <v>0</v>
      </c>
      <c r="F3112" s="2" t="s">
        <v>3131</v>
      </c>
      <c r="H3112" s="1" t="str">
        <f t="shared" si="50"/>
        <v/>
      </c>
      <c r="K3112" s="1">
        <f>IF(E3112=0,SUMPRODUCT(($A$2:$A$4734=A3112)*($B$2:$B$4734=B3112)*($D$2:$D$4734=D3112)*($E$2:$E$4734=0)),0)</f>
        <v>2</v>
      </c>
      <c r="L3112" s="1">
        <f>IF(E3112=0,SUMPRODUCT(MIN($K$2:$K$4734+((($A$2:$A$4734&lt;&gt;A3112)+($E$2:$E$4734&lt;&gt;0))&gt;0)*1000000)),"")</f>
        <v>2</v>
      </c>
      <c r="M3112" s="1">
        <f>IF(AND(E3112=0,COUNTIFS($A$2:A3112,A3112,$E$2:E3112,0)=1),L3112,0)</f>
        <v>0</v>
      </c>
    </row>
    <row r="3113" spans="1:13" ht="15" customHeight="1">
      <c r="A3113" s="1">
        <v>99</v>
      </c>
      <c r="B3113" s="1" t="s">
        <v>173</v>
      </c>
      <c r="C3113" s="2" t="s">
        <v>3667</v>
      </c>
      <c r="D3113" s="2" t="s">
        <v>3667</v>
      </c>
      <c r="E3113" s="1">
        <v>1</v>
      </c>
      <c r="F3113" s="2" t="s">
        <v>3668</v>
      </c>
      <c r="G3113" s="1">
        <v>1</v>
      </c>
      <c r="H3113" s="1" t="str">
        <f t="shared" si="50"/>
        <v>k99_1</v>
      </c>
      <c r="K3113" s="1">
        <f>IF(E3113=0,SUMPRODUCT(($A$2:$A$4734=A3113)*($B$2:$B$4734=B3113)*($D$2:$D$4734=D3113)*($E$2:$E$4734=0)),0)</f>
        <v>0</v>
      </c>
      <c r="L3113" s="1" t="str">
        <f>IF(E3113=0,SUMPRODUCT(MIN($K$2:$K$4734+((($A$2:$A$4734&lt;&gt;A3113)+($E$2:$E$4734&lt;&gt;0))&gt;0)*1000000)),"")</f>
        <v/>
      </c>
      <c r="M3113" s="1">
        <f>IF(AND(E3113=0,COUNTIFS($A$2:A3113,A3113,$E$2:E3113,0)=1),L3113,0)</f>
        <v>0</v>
      </c>
    </row>
    <row r="3114" spans="1:13" ht="15" customHeight="1">
      <c r="A3114" s="1">
        <v>99</v>
      </c>
      <c r="B3114" s="1" t="s">
        <v>173</v>
      </c>
      <c r="C3114" s="2" t="s">
        <v>3667</v>
      </c>
      <c r="D3114" s="2" t="s">
        <v>3667</v>
      </c>
      <c r="E3114" s="1">
        <v>1</v>
      </c>
      <c r="F3114" s="2" t="s">
        <v>3669</v>
      </c>
      <c r="G3114" s="1">
        <v>2</v>
      </c>
      <c r="H3114" s="1" t="str">
        <f t="shared" si="50"/>
        <v>k99_2</v>
      </c>
      <c r="K3114" s="1">
        <f>IF(E3114=0,SUMPRODUCT(($A$2:$A$4734=A3114)*($B$2:$B$4734=B3114)*($D$2:$D$4734=D3114)*($E$2:$E$4734=0)),0)</f>
        <v>0</v>
      </c>
      <c r="L3114" s="1" t="str">
        <f>IF(E3114=0,SUMPRODUCT(MIN($K$2:$K$4734+((($A$2:$A$4734&lt;&gt;A3114)+($E$2:$E$4734&lt;&gt;0))&gt;0)*1000000)),"")</f>
        <v/>
      </c>
      <c r="M3114" s="1">
        <f>IF(AND(E3114=0,COUNTIFS($A$2:A3114,A3114,$E$2:E3114,0)=1),L3114,0)</f>
        <v>0</v>
      </c>
    </row>
    <row r="3115" spans="1:13" ht="15" customHeight="1">
      <c r="A3115" s="1">
        <v>99</v>
      </c>
      <c r="B3115" s="1" t="s">
        <v>173</v>
      </c>
      <c r="C3115" s="2" t="s">
        <v>3667</v>
      </c>
      <c r="D3115" s="2" t="s">
        <v>3667</v>
      </c>
      <c r="E3115" s="1">
        <v>1</v>
      </c>
      <c r="F3115" s="2" t="s">
        <v>3670</v>
      </c>
      <c r="G3115" s="1">
        <v>3</v>
      </c>
      <c r="H3115" s="1" t="str">
        <f t="shared" si="50"/>
        <v>k99_3</v>
      </c>
      <c r="K3115" s="1">
        <f>IF(E3115=0,SUMPRODUCT(($A$2:$A$4734=A3115)*($B$2:$B$4734=B3115)*($D$2:$D$4734=D3115)*($E$2:$E$4734=0)),0)</f>
        <v>0</v>
      </c>
      <c r="L3115" s="1" t="str">
        <f>IF(E3115=0,SUMPRODUCT(MIN($K$2:$K$4734+((($A$2:$A$4734&lt;&gt;A3115)+($E$2:$E$4734&lt;&gt;0))&gt;0)*1000000)),"")</f>
        <v/>
      </c>
      <c r="M3115" s="1">
        <f>IF(AND(E3115=0,COUNTIFS($A$2:A3115,A3115,$E$2:E3115,0)=1),L3115,0)</f>
        <v>0</v>
      </c>
    </row>
    <row r="3116" spans="1:13" ht="15" customHeight="1">
      <c r="A3116" s="1">
        <v>99</v>
      </c>
      <c r="B3116" s="1" t="s">
        <v>173</v>
      </c>
      <c r="C3116" s="2" t="s">
        <v>3667</v>
      </c>
      <c r="D3116" s="2" t="s">
        <v>3667</v>
      </c>
      <c r="E3116" s="1">
        <v>1</v>
      </c>
      <c r="F3116" s="2" t="s">
        <v>3671</v>
      </c>
      <c r="G3116" s="1">
        <v>4</v>
      </c>
      <c r="H3116" s="1" t="str">
        <f t="shared" si="50"/>
        <v>k99_4</v>
      </c>
      <c r="K3116" s="1">
        <f>IF(E3116=0,SUMPRODUCT(($A$2:$A$4734=A3116)*($B$2:$B$4734=B3116)*($D$2:$D$4734=D3116)*($E$2:$E$4734=0)),0)</f>
        <v>0</v>
      </c>
      <c r="L3116" s="1" t="str">
        <f>IF(E3116=0,SUMPRODUCT(MIN($K$2:$K$4734+((($A$2:$A$4734&lt;&gt;A3116)+($E$2:$E$4734&lt;&gt;0))&gt;0)*1000000)),"")</f>
        <v/>
      </c>
      <c r="M3116" s="1">
        <f>IF(AND(E3116=0,COUNTIFS($A$2:A3116,A3116,$E$2:E3116,0)=1),L3116,0)</f>
        <v>0</v>
      </c>
    </row>
    <row r="3117" spans="1:13" ht="15" customHeight="1">
      <c r="A3117" s="1">
        <v>99</v>
      </c>
      <c r="B3117" s="1" t="s">
        <v>173</v>
      </c>
      <c r="C3117" s="2" t="s">
        <v>3667</v>
      </c>
      <c r="D3117" s="2" t="s">
        <v>3667</v>
      </c>
      <c r="E3117" s="1">
        <v>1</v>
      </c>
      <c r="F3117" s="2" t="s">
        <v>3672</v>
      </c>
      <c r="G3117" s="1">
        <v>5</v>
      </c>
      <c r="H3117" s="1" t="str">
        <f t="shared" si="50"/>
        <v>k99_5</v>
      </c>
      <c r="K3117" s="1">
        <f>IF(E3117=0,SUMPRODUCT(($A$2:$A$4734=A3117)*($B$2:$B$4734=B3117)*($D$2:$D$4734=D3117)*($E$2:$E$4734=0)),0)</f>
        <v>0</v>
      </c>
      <c r="L3117" s="1" t="str">
        <f>IF(E3117=0,SUMPRODUCT(MIN($K$2:$K$4734+((($A$2:$A$4734&lt;&gt;A3117)+($E$2:$E$4734&lt;&gt;0))&gt;0)*1000000)),"")</f>
        <v/>
      </c>
      <c r="M3117" s="1">
        <f>IF(AND(E3117=0,COUNTIFS($A$2:A3117,A3117,$E$2:E3117,0)=1),L3117,0)</f>
        <v>0</v>
      </c>
    </row>
    <row r="3118" spans="1:13" ht="15" customHeight="1">
      <c r="A3118" s="1">
        <v>100</v>
      </c>
      <c r="B3118" s="1" t="s">
        <v>9</v>
      </c>
      <c r="C3118" s="2" t="s">
        <v>3673</v>
      </c>
      <c r="D3118" s="2" t="s">
        <v>3674</v>
      </c>
      <c r="E3118" s="1">
        <v>0</v>
      </c>
      <c r="F3118" s="2" t="s">
        <v>3675</v>
      </c>
      <c r="H3118" s="1" t="str">
        <f t="shared" si="50"/>
        <v/>
      </c>
      <c r="K3118" s="1">
        <f>IF(E3118=0,SUMPRODUCT(($A$2:$A$4734=A3118)*($B$2:$B$4734=B3118)*($D$2:$D$4734=D3118)*($E$2:$E$4734=0)),0)</f>
        <v>6</v>
      </c>
      <c r="L3118" s="1">
        <f>IF(E3118=0,SUMPRODUCT(MIN($K$2:$K$4734+((($A$2:$A$4734&lt;&gt;A3118)+($E$2:$E$4734&lt;&gt;0))&gt;0)*1000000)),"")</f>
        <v>3</v>
      </c>
      <c r="M3118" s="1">
        <f>IF(AND(E3118=0,COUNTIFS($A$2:A3118,A3118,$E$2:E3118,0)=1),L3118,0)</f>
        <v>3</v>
      </c>
    </row>
    <row r="3119" spans="1:13" ht="15" customHeight="1">
      <c r="A3119" s="1">
        <v>100</v>
      </c>
      <c r="B3119" s="1" t="s">
        <v>9</v>
      </c>
      <c r="C3119" s="2" t="s">
        <v>3673</v>
      </c>
      <c r="D3119" s="2" t="s">
        <v>3674</v>
      </c>
      <c r="E3119" s="1">
        <v>0</v>
      </c>
      <c r="F3119" s="2" t="s">
        <v>3676</v>
      </c>
      <c r="H3119" s="1" t="str">
        <f t="shared" si="50"/>
        <v/>
      </c>
      <c r="K3119" s="1">
        <f>IF(E3119=0,SUMPRODUCT(($A$2:$A$4734=A3119)*($B$2:$B$4734=B3119)*($D$2:$D$4734=D3119)*($E$2:$E$4734=0)),0)</f>
        <v>6</v>
      </c>
      <c r="L3119" s="1">
        <f>IF(E3119=0,SUMPRODUCT(MIN($K$2:$K$4734+((($A$2:$A$4734&lt;&gt;A3119)+($E$2:$E$4734&lt;&gt;0))&gt;0)*1000000)),"")</f>
        <v>3</v>
      </c>
      <c r="M3119" s="1">
        <f>IF(AND(E3119=0,COUNTIFS($A$2:A3119,A3119,$E$2:E3119,0)=1),L3119,0)</f>
        <v>0</v>
      </c>
    </row>
    <row r="3120" spans="1:13" ht="15" customHeight="1">
      <c r="A3120" s="1">
        <v>100</v>
      </c>
      <c r="B3120" s="1" t="s">
        <v>9</v>
      </c>
      <c r="C3120" s="2" t="s">
        <v>3673</v>
      </c>
      <c r="D3120" s="2" t="s">
        <v>3674</v>
      </c>
      <c r="E3120" s="1">
        <v>0</v>
      </c>
      <c r="F3120" s="2" t="s">
        <v>3677</v>
      </c>
      <c r="H3120" s="1" t="str">
        <f t="shared" si="50"/>
        <v/>
      </c>
      <c r="K3120" s="1">
        <f>IF(E3120=0,SUMPRODUCT(($A$2:$A$4734=A3120)*($B$2:$B$4734=B3120)*($D$2:$D$4734=D3120)*($E$2:$E$4734=0)),0)</f>
        <v>6</v>
      </c>
      <c r="L3120" s="1">
        <f>IF(E3120=0,SUMPRODUCT(MIN($K$2:$K$4734+((($A$2:$A$4734&lt;&gt;A3120)+($E$2:$E$4734&lt;&gt;0))&gt;0)*1000000)),"")</f>
        <v>3</v>
      </c>
      <c r="M3120" s="1">
        <f>IF(AND(E3120=0,COUNTIFS($A$2:A3120,A3120,$E$2:E3120,0)=1),L3120,0)</f>
        <v>0</v>
      </c>
    </row>
    <row r="3121" spans="1:13" ht="15" customHeight="1">
      <c r="A3121" s="1">
        <v>100</v>
      </c>
      <c r="B3121" s="1" t="s">
        <v>9</v>
      </c>
      <c r="C3121" s="2" t="s">
        <v>3673</v>
      </c>
      <c r="D3121" s="2" t="s">
        <v>3674</v>
      </c>
      <c r="E3121" s="1">
        <v>0</v>
      </c>
      <c r="F3121" s="2" t="s">
        <v>3678</v>
      </c>
      <c r="H3121" s="1" t="str">
        <f t="shared" si="50"/>
        <v/>
      </c>
      <c r="K3121" s="1">
        <f>IF(E3121=0,SUMPRODUCT(($A$2:$A$4734=A3121)*($B$2:$B$4734=B3121)*($D$2:$D$4734=D3121)*($E$2:$E$4734=0)),0)</f>
        <v>6</v>
      </c>
      <c r="L3121" s="1">
        <f>IF(E3121=0,SUMPRODUCT(MIN($K$2:$K$4734+((($A$2:$A$4734&lt;&gt;A3121)+($E$2:$E$4734&lt;&gt;0))&gt;0)*1000000)),"")</f>
        <v>3</v>
      </c>
      <c r="M3121" s="1">
        <f>IF(AND(E3121=0,COUNTIFS($A$2:A3121,A3121,$E$2:E3121,0)=1),L3121,0)</f>
        <v>0</v>
      </c>
    </row>
    <row r="3122" spans="1:13" ht="15" customHeight="1">
      <c r="A3122" s="1">
        <v>100</v>
      </c>
      <c r="B3122" s="1" t="s">
        <v>9</v>
      </c>
      <c r="C3122" s="2" t="s">
        <v>3673</v>
      </c>
      <c r="D3122" s="2" t="s">
        <v>3674</v>
      </c>
      <c r="E3122" s="1">
        <v>0</v>
      </c>
      <c r="F3122" s="2" t="s">
        <v>3679</v>
      </c>
      <c r="H3122" s="1" t="str">
        <f t="shared" si="50"/>
        <v/>
      </c>
      <c r="K3122" s="1">
        <f>IF(E3122=0,SUMPRODUCT(($A$2:$A$4734=A3122)*($B$2:$B$4734=B3122)*($D$2:$D$4734=D3122)*($E$2:$E$4734=0)),0)</f>
        <v>6</v>
      </c>
      <c r="L3122" s="1">
        <f>IF(E3122=0,SUMPRODUCT(MIN($K$2:$K$4734+((($A$2:$A$4734&lt;&gt;A3122)+($E$2:$E$4734&lt;&gt;0))&gt;0)*1000000)),"")</f>
        <v>3</v>
      </c>
      <c r="M3122" s="1">
        <f>IF(AND(E3122=0,COUNTIFS($A$2:A3122,A3122,$E$2:E3122,0)=1),L3122,0)</f>
        <v>0</v>
      </c>
    </row>
    <row r="3123" spans="1:13" ht="15" customHeight="1">
      <c r="A3123" s="1">
        <v>100</v>
      </c>
      <c r="B3123" s="1" t="s">
        <v>9</v>
      </c>
      <c r="C3123" s="2" t="s">
        <v>3673</v>
      </c>
      <c r="D3123" s="2" t="s">
        <v>3674</v>
      </c>
      <c r="E3123" s="1">
        <v>0</v>
      </c>
      <c r="F3123" s="2" t="s">
        <v>3680</v>
      </c>
      <c r="H3123" s="1" t="str">
        <f t="shared" si="50"/>
        <v/>
      </c>
      <c r="K3123" s="1">
        <f>IF(E3123=0,SUMPRODUCT(($A$2:$A$4734=A3123)*($B$2:$B$4734=B3123)*($D$2:$D$4734=D3123)*($E$2:$E$4734=0)),0)</f>
        <v>6</v>
      </c>
      <c r="L3123" s="1">
        <f>IF(E3123=0,SUMPRODUCT(MIN($K$2:$K$4734+((($A$2:$A$4734&lt;&gt;A3123)+($E$2:$E$4734&lt;&gt;0))&gt;0)*1000000)),"")</f>
        <v>3</v>
      </c>
      <c r="M3123" s="1">
        <f>IF(AND(E3123=0,COUNTIFS($A$2:A3123,A3123,$E$2:E3123,0)=1),L3123,0)</f>
        <v>0</v>
      </c>
    </row>
    <row r="3124" spans="1:13" ht="15" customHeight="1">
      <c r="A3124" s="1">
        <v>100</v>
      </c>
      <c r="B3124" s="1" t="s">
        <v>9</v>
      </c>
      <c r="C3124" s="2" t="s">
        <v>3673</v>
      </c>
      <c r="D3124" s="2" t="s">
        <v>3681</v>
      </c>
      <c r="E3124" s="1">
        <v>0</v>
      </c>
      <c r="F3124" s="2" t="s">
        <v>3682</v>
      </c>
      <c r="H3124" s="1" t="str">
        <f t="shared" si="50"/>
        <v/>
      </c>
      <c r="K3124" s="1">
        <f>IF(E3124=0,SUMPRODUCT(($A$2:$A$4734=A3124)*($B$2:$B$4734=B3124)*($D$2:$D$4734=D3124)*($E$2:$E$4734=0)),0)</f>
        <v>4</v>
      </c>
      <c r="L3124" s="1">
        <f>IF(E3124=0,SUMPRODUCT(MIN($K$2:$K$4734+((($A$2:$A$4734&lt;&gt;A3124)+($E$2:$E$4734&lt;&gt;0))&gt;0)*1000000)),"")</f>
        <v>3</v>
      </c>
      <c r="M3124" s="1">
        <f>IF(AND(E3124=0,COUNTIFS($A$2:A3124,A3124,$E$2:E3124,0)=1),L3124,0)</f>
        <v>0</v>
      </c>
    </row>
    <row r="3125" spans="1:13" ht="15" customHeight="1">
      <c r="A3125" s="1">
        <v>100</v>
      </c>
      <c r="B3125" s="1" t="s">
        <v>9</v>
      </c>
      <c r="C3125" s="2" t="s">
        <v>3673</v>
      </c>
      <c r="D3125" s="2" t="s">
        <v>3681</v>
      </c>
      <c r="E3125" s="1">
        <v>0</v>
      </c>
      <c r="F3125" s="2" t="s">
        <v>3683</v>
      </c>
      <c r="H3125" s="1" t="str">
        <f t="shared" si="50"/>
        <v/>
      </c>
      <c r="K3125" s="1">
        <f>IF(E3125=0,SUMPRODUCT(($A$2:$A$4734=A3125)*($B$2:$B$4734=B3125)*($D$2:$D$4734=D3125)*($E$2:$E$4734=0)),0)</f>
        <v>4</v>
      </c>
      <c r="L3125" s="1">
        <f>IF(E3125=0,SUMPRODUCT(MIN($K$2:$K$4734+((($A$2:$A$4734&lt;&gt;A3125)+($E$2:$E$4734&lt;&gt;0))&gt;0)*1000000)),"")</f>
        <v>3</v>
      </c>
      <c r="M3125" s="1">
        <f>IF(AND(E3125=0,COUNTIFS($A$2:A3125,A3125,$E$2:E3125,0)=1),L3125,0)</f>
        <v>0</v>
      </c>
    </row>
    <row r="3126" spans="1:13" ht="15" customHeight="1">
      <c r="A3126" s="1">
        <v>100</v>
      </c>
      <c r="B3126" s="1" t="s">
        <v>9</v>
      </c>
      <c r="C3126" s="2" t="s">
        <v>3673</v>
      </c>
      <c r="D3126" s="2" t="s">
        <v>3681</v>
      </c>
      <c r="E3126" s="1">
        <v>0</v>
      </c>
      <c r="F3126" s="2" t="s">
        <v>3684</v>
      </c>
      <c r="H3126" s="1" t="str">
        <f t="shared" si="50"/>
        <v/>
      </c>
      <c r="K3126" s="1">
        <f>IF(E3126=0,SUMPRODUCT(($A$2:$A$4734=A3126)*($B$2:$B$4734=B3126)*($D$2:$D$4734=D3126)*($E$2:$E$4734=0)),0)</f>
        <v>4</v>
      </c>
      <c r="L3126" s="1">
        <f>IF(E3126=0,SUMPRODUCT(MIN($K$2:$K$4734+((($A$2:$A$4734&lt;&gt;A3126)+($E$2:$E$4734&lt;&gt;0))&gt;0)*1000000)),"")</f>
        <v>3</v>
      </c>
      <c r="M3126" s="1">
        <f>IF(AND(E3126=0,COUNTIFS($A$2:A3126,A3126,$E$2:E3126,0)=1),L3126,0)</f>
        <v>0</v>
      </c>
    </row>
    <row r="3127" spans="1:13" ht="15" customHeight="1">
      <c r="A3127" s="1">
        <v>100</v>
      </c>
      <c r="B3127" s="1" t="s">
        <v>9</v>
      </c>
      <c r="C3127" s="2" t="s">
        <v>3673</v>
      </c>
      <c r="D3127" s="2" t="s">
        <v>3681</v>
      </c>
      <c r="E3127" s="1">
        <v>0</v>
      </c>
      <c r="F3127" s="2" t="s">
        <v>3685</v>
      </c>
      <c r="H3127" s="1" t="str">
        <f t="shared" si="50"/>
        <v/>
      </c>
      <c r="K3127" s="1">
        <f>IF(E3127=0,SUMPRODUCT(($A$2:$A$4734=A3127)*($B$2:$B$4734=B3127)*($D$2:$D$4734=D3127)*($E$2:$E$4734=0)),0)</f>
        <v>4</v>
      </c>
      <c r="L3127" s="1">
        <f>IF(E3127=0,SUMPRODUCT(MIN($K$2:$K$4734+((($A$2:$A$4734&lt;&gt;A3127)+($E$2:$E$4734&lt;&gt;0))&gt;0)*1000000)),"")</f>
        <v>3</v>
      </c>
      <c r="M3127" s="1">
        <f>IF(AND(E3127=0,COUNTIFS($A$2:A3127,A3127,$E$2:E3127,0)=1),L3127,0)</f>
        <v>0</v>
      </c>
    </row>
    <row r="3128" spans="1:13" ht="15" customHeight="1">
      <c r="A3128" s="1">
        <v>100</v>
      </c>
      <c r="B3128" s="1" t="s">
        <v>16</v>
      </c>
      <c r="C3128" s="2" t="s">
        <v>3673</v>
      </c>
      <c r="D3128" s="2" t="s">
        <v>3687</v>
      </c>
      <c r="E3128" s="1">
        <v>0</v>
      </c>
      <c r="F3128" s="2" t="s">
        <v>3688</v>
      </c>
      <c r="H3128" s="1" t="str">
        <f t="shared" si="50"/>
        <v/>
      </c>
      <c r="K3128" s="1">
        <f>IF(E3128=0,SUMPRODUCT(($A$2:$A$4734=A3128)*($B$2:$B$4734=B3128)*($D$2:$D$4734=D3128)*($E$2:$E$4734=0)),0)</f>
        <v>5</v>
      </c>
      <c r="L3128" s="1">
        <f>IF(E3128=0,SUMPRODUCT(MIN($K$2:$K$4734+((($A$2:$A$4734&lt;&gt;A3128)+($E$2:$E$4734&lt;&gt;0))&gt;0)*1000000)),"")</f>
        <v>3</v>
      </c>
      <c r="M3128" s="1">
        <f>IF(AND(E3128=0,COUNTIFS($A$2:A3128,A3128,$E$2:E3128,0)=1),L3128,0)</f>
        <v>0</v>
      </c>
    </row>
    <row r="3129" spans="1:13" ht="15" customHeight="1">
      <c r="A3129" s="1">
        <v>100</v>
      </c>
      <c r="B3129" s="1" t="s">
        <v>16</v>
      </c>
      <c r="C3129" s="2" t="s">
        <v>3673</v>
      </c>
      <c r="D3129" s="2" t="s">
        <v>3687</v>
      </c>
      <c r="E3129" s="1">
        <v>0</v>
      </c>
      <c r="F3129" s="2" t="s">
        <v>3689</v>
      </c>
      <c r="H3129" s="1" t="str">
        <f t="shared" si="50"/>
        <v/>
      </c>
      <c r="K3129" s="1">
        <f>IF(E3129=0,SUMPRODUCT(($A$2:$A$4734=A3129)*($B$2:$B$4734=B3129)*($D$2:$D$4734=D3129)*($E$2:$E$4734=0)),0)</f>
        <v>5</v>
      </c>
      <c r="L3129" s="1">
        <f>IF(E3129=0,SUMPRODUCT(MIN($K$2:$K$4734+((($A$2:$A$4734&lt;&gt;A3129)+($E$2:$E$4734&lt;&gt;0))&gt;0)*1000000)),"")</f>
        <v>3</v>
      </c>
      <c r="M3129" s="1">
        <f>IF(AND(E3129=0,COUNTIFS($A$2:A3129,A3129,$E$2:E3129,0)=1),L3129,0)</f>
        <v>0</v>
      </c>
    </row>
    <row r="3130" spans="1:13" ht="15" customHeight="1">
      <c r="A3130" s="1">
        <v>100</v>
      </c>
      <c r="B3130" s="1" t="s">
        <v>16</v>
      </c>
      <c r="C3130" s="2" t="s">
        <v>3673</v>
      </c>
      <c r="D3130" s="2" t="s">
        <v>3687</v>
      </c>
      <c r="E3130" s="1">
        <v>0</v>
      </c>
      <c r="F3130" s="2" t="s">
        <v>3690</v>
      </c>
      <c r="H3130" s="1" t="str">
        <f t="shared" si="50"/>
        <v/>
      </c>
      <c r="K3130" s="1">
        <f>IF(E3130=0,SUMPRODUCT(($A$2:$A$4734=A3130)*($B$2:$B$4734=B3130)*($D$2:$D$4734=D3130)*($E$2:$E$4734=0)),0)</f>
        <v>5</v>
      </c>
      <c r="L3130" s="1">
        <f>IF(E3130=0,SUMPRODUCT(MIN($K$2:$K$4734+((($A$2:$A$4734&lt;&gt;A3130)+($E$2:$E$4734&lt;&gt;0))&gt;0)*1000000)),"")</f>
        <v>3</v>
      </c>
      <c r="M3130" s="1">
        <f>IF(AND(E3130=0,COUNTIFS($A$2:A3130,A3130,$E$2:E3130,0)=1),L3130,0)</f>
        <v>0</v>
      </c>
    </row>
    <row r="3131" spans="1:13" ht="15" customHeight="1">
      <c r="A3131" s="1">
        <v>100</v>
      </c>
      <c r="B3131" s="1" t="s">
        <v>16</v>
      </c>
      <c r="C3131" s="2" t="s">
        <v>3673</v>
      </c>
      <c r="D3131" s="2" t="s">
        <v>3687</v>
      </c>
      <c r="E3131" s="1">
        <v>0</v>
      </c>
      <c r="F3131" s="2" t="s">
        <v>3691</v>
      </c>
      <c r="H3131" s="1" t="str">
        <f t="shared" si="50"/>
        <v/>
      </c>
      <c r="K3131" s="1">
        <f>IF(E3131=0,SUMPRODUCT(($A$2:$A$4734=A3131)*($B$2:$B$4734=B3131)*($D$2:$D$4734=D3131)*($E$2:$E$4734=0)),0)</f>
        <v>5</v>
      </c>
      <c r="L3131" s="1">
        <f>IF(E3131=0,SUMPRODUCT(MIN($K$2:$K$4734+((($A$2:$A$4734&lt;&gt;A3131)+($E$2:$E$4734&lt;&gt;0))&gt;0)*1000000)),"")</f>
        <v>3</v>
      </c>
      <c r="M3131" s="1">
        <f>IF(AND(E3131=0,COUNTIFS($A$2:A3131,A3131,$E$2:E3131,0)=1),L3131,0)</f>
        <v>0</v>
      </c>
    </row>
    <row r="3132" spans="1:13" ht="15" customHeight="1">
      <c r="A3132" s="1">
        <v>100</v>
      </c>
      <c r="B3132" s="1" t="s">
        <v>16</v>
      </c>
      <c r="C3132" s="2" t="s">
        <v>3673</v>
      </c>
      <c r="D3132" s="2" t="s">
        <v>3687</v>
      </c>
      <c r="E3132" s="1">
        <v>0</v>
      </c>
      <c r="F3132" s="2" t="s">
        <v>3692</v>
      </c>
      <c r="H3132" s="1" t="str">
        <f t="shared" si="50"/>
        <v/>
      </c>
      <c r="K3132" s="1">
        <f>IF(E3132=0,SUMPRODUCT(($A$2:$A$4734=A3132)*($B$2:$B$4734=B3132)*($D$2:$D$4734=D3132)*($E$2:$E$4734=0)),0)</f>
        <v>5</v>
      </c>
      <c r="L3132" s="1">
        <f>IF(E3132=0,SUMPRODUCT(MIN($K$2:$K$4734+((($A$2:$A$4734&lt;&gt;A3132)+($E$2:$E$4734&lt;&gt;0))&gt;0)*1000000)),"")</f>
        <v>3</v>
      </c>
      <c r="M3132" s="1">
        <f>IF(AND(E3132=0,COUNTIFS($A$2:A3132,A3132,$E$2:E3132,0)=1),L3132,0)</f>
        <v>0</v>
      </c>
    </row>
    <row r="3133" spans="1:13" ht="15" customHeight="1">
      <c r="A3133" s="1">
        <v>100</v>
      </c>
      <c r="B3133" s="1" t="s">
        <v>16</v>
      </c>
      <c r="C3133" s="2" t="s">
        <v>3673</v>
      </c>
      <c r="D3133" s="1" t="s">
        <v>3693</v>
      </c>
      <c r="E3133" s="1">
        <v>0</v>
      </c>
      <c r="F3133" s="2" t="s">
        <v>3694</v>
      </c>
      <c r="H3133" s="1" t="str">
        <f t="shared" si="50"/>
        <v/>
      </c>
      <c r="K3133" s="1">
        <f>IF(E3133=0,SUMPRODUCT(($A$2:$A$4734=A3133)*($B$2:$B$4734=B3133)*($D$2:$D$4734=D3133)*($E$2:$E$4734=0)),0)</f>
        <v>3</v>
      </c>
      <c r="L3133" s="1">
        <f>IF(E3133=0,SUMPRODUCT(MIN($K$2:$K$4734+((($A$2:$A$4734&lt;&gt;A3133)+($E$2:$E$4734&lt;&gt;0))&gt;0)*1000000)),"")</f>
        <v>3</v>
      </c>
      <c r="M3133" s="1">
        <f>IF(AND(E3133=0,COUNTIFS($A$2:A3133,A3133,$E$2:E3133,0)=1),L3133,0)</f>
        <v>0</v>
      </c>
    </row>
    <row r="3134" spans="1:13" ht="15" customHeight="1">
      <c r="A3134" s="1">
        <v>100</v>
      </c>
      <c r="B3134" s="1" t="s">
        <v>16</v>
      </c>
      <c r="C3134" s="2" t="s">
        <v>3673</v>
      </c>
      <c r="D3134" s="1" t="s">
        <v>3693</v>
      </c>
      <c r="E3134" s="1">
        <v>0</v>
      </c>
      <c r="F3134" s="2" t="s">
        <v>3695</v>
      </c>
      <c r="H3134" s="1" t="str">
        <f t="shared" si="50"/>
        <v/>
      </c>
      <c r="K3134" s="1">
        <f>IF(E3134=0,SUMPRODUCT(($A$2:$A$4734=A3134)*($B$2:$B$4734=B3134)*($D$2:$D$4734=D3134)*($E$2:$E$4734=0)),0)</f>
        <v>3</v>
      </c>
      <c r="L3134" s="1">
        <f>IF(E3134=0,SUMPRODUCT(MIN($K$2:$K$4734+((($A$2:$A$4734&lt;&gt;A3134)+($E$2:$E$4734&lt;&gt;0))&gt;0)*1000000)),"")</f>
        <v>3</v>
      </c>
      <c r="M3134" s="1">
        <f>IF(AND(E3134=0,COUNTIFS($A$2:A3134,A3134,$E$2:E3134,0)=1),L3134,0)</f>
        <v>0</v>
      </c>
    </row>
    <row r="3135" spans="1:13" ht="15" customHeight="1">
      <c r="A3135" s="1">
        <v>100</v>
      </c>
      <c r="B3135" s="1" t="s">
        <v>16</v>
      </c>
      <c r="C3135" s="2" t="s">
        <v>3673</v>
      </c>
      <c r="D3135" s="1" t="s">
        <v>3693</v>
      </c>
      <c r="E3135" s="1">
        <v>0</v>
      </c>
      <c r="F3135" s="2" t="s">
        <v>3696</v>
      </c>
      <c r="H3135" s="1" t="str">
        <f t="shared" si="50"/>
        <v/>
      </c>
      <c r="K3135" s="1">
        <f>IF(E3135=0,SUMPRODUCT(($A$2:$A$4734=A3135)*($B$2:$B$4734=B3135)*($D$2:$D$4734=D3135)*($E$2:$E$4734=0)),0)</f>
        <v>3</v>
      </c>
      <c r="L3135" s="1">
        <f>IF(E3135=0,SUMPRODUCT(MIN($K$2:$K$4734+((($A$2:$A$4734&lt;&gt;A3135)+($E$2:$E$4734&lt;&gt;0))&gt;0)*1000000)),"")</f>
        <v>3</v>
      </c>
      <c r="M3135" s="1">
        <f>IF(AND(E3135=0,COUNTIFS($A$2:A3135,A3135,$E$2:E3135,0)=1),L3135,0)</f>
        <v>0</v>
      </c>
    </row>
    <row r="3136" spans="1:13" ht="15" customHeight="1">
      <c r="A3136" s="1">
        <v>101</v>
      </c>
      <c r="B3136" s="1" t="s">
        <v>9</v>
      </c>
      <c r="C3136" s="2" t="s">
        <v>3697</v>
      </c>
      <c r="D3136" s="2" t="s">
        <v>3698</v>
      </c>
      <c r="E3136" s="1">
        <v>0</v>
      </c>
      <c r="F3136" s="2" t="s">
        <v>3699</v>
      </c>
      <c r="H3136" s="1" t="str">
        <f t="shared" si="50"/>
        <v/>
      </c>
      <c r="K3136" s="1">
        <f>IF(E3136=0,SUMPRODUCT(($A$2:$A$4734=A3136)*($B$2:$B$4734=B3136)*($D$2:$D$4734=D3136)*($E$2:$E$4734=0)),0)</f>
        <v>5</v>
      </c>
      <c r="L3136" s="1">
        <f>IF(E3136=0,SUMPRODUCT(MIN($K$2:$K$4734+((($A$2:$A$4734&lt;&gt;A3136)+($E$2:$E$4734&lt;&gt;0))&gt;0)*1000000)),"")</f>
        <v>5</v>
      </c>
      <c r="M3136" s="1">
        <f>IF(AND(E3136=0,COUNTIFS($A$2:A3136,A3136,$E$2:E3136,0)=1),L3136,0)</f>
        <v>5</v>
      </c>
    </row>
    <row r="3137" spans="1:13" ht="15" customHeight="1">
      <c r="A3137" s="1">
        <v>101</v>
      </c>
      <c r="B3137" s="1" t="s">
        <v>9</v>
      </c>
      <c r="C3137" s="2" t="s">
        <v>3697</v>
      </c>
      <c r="D3137" s="2" t="s">
        <v>3698</v>
      </c>
      <c r="E3137" s="1">
        <v>0</v>
      </c>
      <c r="F3137" s="2" t="s">
        <v>544</v>
      </c>
      <c r="H3137" s="1" t="str">
        <f t="shared" si="50"/>
        <v/>
      </c>
      <c r="K3137" s="1">
        <f>IF(E3137=0,SUMPRODUCT(($A$2:$A$4734=A3137)*($B$2:$B$4734=B3137)*($D$2:$D$4734=D3137)*($E$2:$E$4734=0)),0)</f>
        <v>5</v>
      </c>
      <c r="L3137" s="1">
        <f>IF(E3137=0,SUMPRODUCT(MIN($K$2:$K$4734+((($A$2:$A$4734&lt;&gt;A3137)+($E$2:$E$4734&lt;&gt;0))&gt;0)*1000000)),"")</f>
        <v>5</v>
      </c>
      <c r="M3137" s="1">
        <f>IF(AND(E3137=0,COUNTIFS($A$2:A3137,A3137,$E$2:E3137,0)=1),L3137,0)</f>
        <v>0</v>
      </c>
    </row>
    <row r="3138" spans="1:13" ht="15" customHeight="1">
      <c r="A3138" s="1">
        <v>101</v>
      </c>
      <c r="B3138" s="1" t="s">
        <v>9</v>
      </c>
      <c r="C3138" s="2" t="s">
        <v>3697</v>
      </c>
      <c r="D3138" s="2" t="s">
        <v>3698</v>
      </c>
      <c r="E3138" s="1">
        <v>0</v>
      </c>
      <c r="F3138" s="2" t="s">
        <v>3700</v>
      </c>
      <c r="H3138" s="1" t="str">
        <f t="shared" si="50"/>
        <v/>
      </c>
      <c r="K3138" s="1">
        <f>IF(E3138=0,SUMPRODUCT(($A$2:$A$4734=A3138)*($B$2:$B$4734=B3138)*($D$2:$D$4734=D3138)*($E$2:$E$4734=0)),0)</f>
        <v>5</v>
      </c>
      <c r="L3138" s="1">
        <f>IF(E3138=0,SUMPRODUCT(MIN($K$2:$K$4734+((($A$2:$A$4734&lt;&gt;A3138)+($E$2:$E$4734&lt;&gt;0))&gt;0)*1000000)),"")</f>
        <v>5</v>
      </c>
      <c r="M3138" s="1">
        <f>IF(AND(E3138=0,COUNTIFS($A$2:A3138,A3138,$E$2:E3138,0)=1),L3138,0)</f>
        <v>0</v>
      </c>
    </row>
    <row r="3139" spans="1:13" ht="15" customHeight="1">
      <c r="A3139" s="1">
        <v>101</v>
      </c>
      <c r="B3139" s="1" t="s">
        <v>9</v>
      </c>
      <c r="C3139" s="2" t="s">
        <v>3697</v>
      </c>
      <c r="D3139" s="2" t="s">
        <v>3698</v>
      </c>
      <c r="E3139" s="1">
        <v>0</v>
      </c>
      <c r="F3139" s="2" t="s">
        <v>2828</v>
      </c>
      <c r="H3139" s="1" t="str">
        <f t="shared" si="50"/>
        <v/>
      </c>
      <c r="K3139" s="1">
        <f>IF(E3139=0,SUMPRODUCT(($A$2:$A$4734=A3139)*($B$2:$B$4734=B3139)*($D$2:$D$4734=D3139)*($E$2:$E$4734=0)),0)</f>
        <v>5</v>
      </c>
      <c r="L3139" s="1">
        <f>IF(E3139=0,SUMPRODUCT(MIN($K$2:$K$4734+((($A$2:$A$4734&lt;&gt;A3139)+($E$2:$E$4734&lt;&gt;0))&gt;0)*1000000)),"")</f>
        <v>5</v>
      </c>
      <c r="M3139" s="1">
        <f>IF(AND(E3139=0,COUNTIFS($A$2:A3139,A3139,$E$2:E3139,0)=1),L3139,0)</f>
        <v>0</v>
      </c>
    </row>
    <row r="3140" spans="1:13" ht="15" customHeight="1">
      <c r="A3140" s="1">
        <v>101</v>
      </c>
      <c r="B3140" s="1" t="s">
        <v>9</v>
      </c>
      <c r="C3140" s="2" t="s">
        <v>3697</v>
      </c>
      <c r="D3140" s="2" t="s">
        <v>3698</v>
      </c>
      <c r="E3140" s="1">
        <v>0</v>
      </c>
      <c r="F3140" s="2" t="s">
        <v>3701</v>
      </c>
      <c r="H3140" s="1" t="str">
        <f t="shared" si="50"/>
        <v/>
      </c>
      <c r="K3140" s="1">
        <f>IF(E3140=0,SUMPRODUCT(($A$2:$A$4734=A3140)*($B$2:$B$4734=B3140)*($D$2:$D$4734=D3140)*($E$2:$E$4734=0)),0)</f>
        <v>5</v>
      </c>
      <c r="L3140" s="1">
        <f>IF(E3140=0,SUMPRODUCT(MIN($K$2:$K$4734+((($A$2:$A$4734&lt;&gt;A3140)+($E$2:$E$4734&lt;&gt;0))&gt;0)*1000000)),"")</f>
        <v>5</v>
      </c>
      <c r="M3140" s="1">
        <f>IF(AND(E3140=0,COUNTIFS($A$2:A3140,A3140,$E$2:E3140,0)=1),L3140,0)</f>
        <v>0</v>
      </c>
    </row>
    <row r="3141" spans="1:13" ht="15" customHeight="1">
      <c r="A3141" s="1">
        <v>102</v>
      </c>
      <c r="B3141" s="1" t="s">
        <v>9</v>
      </c>
      <c r="C3141" s="2" t="s">
        <v>3702</v>
      </c>
      <c r="D3141" s="2" t="s">
        <v>3703</v>
      </c>
      <c r="E3141" s="1">
        <v>1</v>
      </c>
      <c r="F3141" s="2" t="s">
        <v>3704</v>
      </c>
      <c r="G3141" s="1">
        <v>4</v>
      </c>
      <c r="H3141" s="1" t="str">
        <f t="shared" si="50"/>
        <v>k102_4</v>
      </c>
      <c r="K3141" s="1">
        <f>IF(E3141=0,SUMPRODUCT(($A$2:$A$4734=A3141)*($B$2:$B$4734=B3141)*($D$2:$D$4734=D3141)*($E$2:$E$4734=0)),0)</f>
        <v>0</v>
      </c>
      <c r="L3141" s="1" t="str">
        <f>IF(E3141=0,SUMPRODUCT(MIN($K$2:$K$4734+((($A$2:$A$4734&lt;&gt;A3141)+($E$2:$E$4734&lt;&gt;0))&gt;0)*1000000)),"")</f>
        <v/>
      </c>
      <c r="M3141" s="1">
        <f>IF(AND(E3141=0,COUNTIFS($A$2:A3141,A3141,$E$2:E3141,0)=1),L3141,0)</f>
        <v>0</v>
      </c>
    </row>
    <row r="3142" spans="1:13" ht="15" customHeight="1">
      <c r="A3142" s="1">
        <v>102</v>
      </c>
      <c r="B3142" s="1" t="s">
        <v>9</v>
      </c>
      <c r="C3142" s="2" t="s">
        <v>3702</v>
      </c>
      <c r="D3142" s="2" t="s">
        <v>3703</v>
      </c>
      <c r="E3142" s="1">
        <v>1</v>
      </c>
      <c r="F3142" s="2" t="s">
        <v>3705</v>
      </c>
      <c r="G3142" s="1">
        <v>2</v>
      </c>
      <c r="H3142" s="1" t="str">
        <f t="shared" si="50"/>
        <v>k102_2</v>
      </c>
      <c r="K3142" s="1">
        <f>IF(E3142=0,SUMPRODUCT(($A$2:$A$4734=A3142)*($B$2:$B$4734=B3142)*($D$2:$D$4734=D3142)*($E$2:$E$4734=0)),0)</f>
        <v>0</v>
      </c>
      <c r="L3142" s="1" t="str">
        <f>IF(E3142=0,SUMPRODUCT(MIN($K$2:$K$4734+((($A$2:$A$4734&lt;&gt;A3142)+($E$2:$E$4734&lt;&gt;0))&gt;0)*1000000)),"")</f>
        <v/>
      </c>
      <c r="M3142" s="1">
        <f>IF(AND(E3142=0,COUNTIFS($A$2:A3142,A3142,$E$2:E3142,0)=1),L3142,0)</f>
        <v>0</v>
      </c>
    </row>
    <row r="3143" spans="1:13" ht="15" customHeight="1">
      <c r="A3143" s="1">
        <v>102</v>
      </c>
      <c r="B3143" s="1" t="s">
        <v>9</v>
      </c>
      <c r="C3143" s="2" t="s">
        <v>3702</v>
      </c>
      <c r="D3143" s="2" t="s">
        <v>3703</v>
      </c>
      <c r="E3143" s="1">
        <v>1</v>
      </c>
      <c r="F3143" s="2" t="s">
        <v>3706</v>
      </c>
      <c r="G3143" s="1">
        <v>3</v>
      </c>
      <c r="H3143" s="1" t="str">
        <f t="shared" si="50"/>
        <v>k102_3</v>
      </c>
      <c r="K3143" s="1">
        <f>IF(E3143=0,SUMPRODUCT(($A$2:$A$4734=A3143)*($B$2:$B$4734=B3143)*($D$2:$D$4734=D3143)*($E$2:$E$4734=0)),0)</f>
        <v>0</v>
      </c>
      <c r="L3143" s="1" t="str">
        <f>IF(E3143=0,SUMPRODUCT(MIN($K$2:$K$4734+((($A$2:$A$4734&lt;&gt;A3143)+($E$2:$E$4734&lt;&gt;0))&gt;0)*1000000)),"")</f>
        <v/>
      </c>
      <c r="M3143" s="1">
        <f>IF(AND(E3143=0,COUNTIFS($A$2:A3143,A3143,$E$2:E3143,0)=1),L3143,0)</f>
        <v>0</v>
      </c>
    </row>
    <row r="3144" spans="1:13" ht="15" customHeight="1">
      <c r="A3144" s="1">
        <v>102</v>
      </c>
      <c r="B3144" s="1" t="s">
        <v>9</v>
      </c>
      <c r="C3144" s="2" t="s">
        <v>3702</v>
      </c>
      <c r="D3144" s="2" t="s">
        <v>3703</v>
      </c>
      <c r="E3144" s="1">
        <v>1</v>
      </c>
      <c r="F3144" s="2" t="s">
        <v>1332</v>
      </c>
      <c r="G3144" s="1">
        <v>1</v>
      </c>
      <c r="H3144" s="1" t="str">
        <f t="shared" si="50"/>
        <v>k102_1</v>
      </c>
      <c r="K3144" s="1">
        <f>IF(E3144=0,SUMPRODUCT(($A$2:$A$4734=A3144)*($B$2:$B$4734=B3144)*($D$2:$D$4734=D3144)*($E$2:$E$4734=0)),0)</f>
        <v>0</v>
      </c>
      <c r="L3144" s="1" t="str">
        <f>IF(E3144=0,SUMPRODUCT(MIN($K$2:$K$4734+((($A$2:$A$4734&lt;&gt;A3144)+($E$2:$E$4734&lt;&gt;0))&gt;0)*1000000)),"")</f>
        <v/>
      </c>
      <c r="M3144" s="1">
        <f>IF(AND(E3144=0,COUNTIFS($A$2:A3144,A3144,$E$2:E3144,0)=1),L3144,0)</f>
        <v>0</v>
      </c>
    </row>
    <row r="3145" spans="1:13" ht="15" customHeight="1">
      <c r="A3145" s="1">
        <v>102</v>
      </c>
      <c r="B3145" s="1" t="s">
        <v>9</v>
      </c>
      <c r="C3145" s="2" t="s">
        <v>3702</v>
      </c>
      <c r="D3145" s="2" t="s">
        <v>3703</v>
      </c>
      <c r="E3145" s="1">
        <v>1</v>
      </c>
      <c r="F3145" s="2" t="s">
        <v>3707</v>
      </c>
      <c r="G3145" s="1">
        <v>5</v>
      </c>
      <c r="H3145" s="1" t="str">
        <f t="shared" si="50"/>
        <v>k102_5</v>
      </c>
      <c r="K3145" s="1">
        <f>IF(E3145=0,SUMPRODUCT(($A$2:$A$4734=A3145)*($B$2:$B$4734=B3145)*($D$2:$D$4734=D3145)*($E$2:$E$4734=0)),0)</f>
        <v>0</v>
      </c>
      <c r="L3145" s="1" t="str">
        <f>IF(E3145=0,SUMPRODUCT(MIN($K$2:$K$4734+((($A$2:$A$4734&lt;&gt;A3145)+($E$2:$E$4734&lt;&gt;0))&gt;0)*1000000)),"")</f>
        <v/>
      </c>
      <c r="M3145" s="1">
        <f>IF(AND(E3145=0,COUNTIFS($A$2:A3145,A3145,$E$2:E3145,0)=1),L3145,0)</f>
        <v>0</v>
      </c>
    </row>
    <row r="3146" spans="1:13" ht="15" customHeight="1">
      <c r="A3146" s="1">
        <v>102</v>
      </c>
      <c r="B3146" s="1" t="s">
        <v>9</v>
      </c>
      <c r="C3146" s="2" t="s">
        <v>3702</v>
      </c>
      <c r="D3146" s="2" t="s">
        <v>3708</v>
      </c>
      <c r="E3146" s="1">
        <v>1</v>
      </c>
      <c r="F3146" s="2" t="s">
        <v>3709</v>
      </c>
      <c r="G3146" s="1">
        <v>1</v>
      </c>
      <c r="H3146" s="1" t="str">
        <f t="shared" si="50"/>
        <v>k102_1</v>
      </c>
      <c r="K3146" s="1">
        <f>IF(E3146=0,SUMPRODUCT(($A$2:$A$4734=A3146)*($B$2:$B$4734=B3146)*($D$2:$D$4734=D3146)*($E$2:$E$4734=0)),0)</f>
        <v>0</v>
      </c>
      <c r="L3146" s="1" t="str">
        <f>IF(E3146=0,SUMPRODUCT(MIN($K$2:$K$4734+((($A$2:$A$4734&lt;&gt;A3146)+($E$2:$E$4734&lt;&gt;0))&gt;0)*1000000)),"")</f>
        <v/>
      </c>
      <c r="M3146" s="1">
        <f>IF(AND(E3146=0,COUNTIFS($A$2:A3146,A3146,$E$2:E3146,0)=1),L3146,0)</f>
        <v>0</v>
      </c>
    </row>
    <row r="3147" spans="1:13" ht="15" customHeight="1">
      <c r="A3147" s="1">
        <v>102</v>
      </c>
      <c r="B3147" s="1" t="s">
        <v>9</v>
      </c>
      <c r="C3147" s="2" t="s">
        <v>3702</v>
      </c>
      <c r="D3147" s="2" t="s">
        <v>3708</v>
      </c>
      <c r="E3147" s="1">
        <v>1</v>
      </c>
      <c r="F3147" s="2" t="s">
        <v>3710</v>
      </c>
      <c r="G3147" s="1">
        <v>3</v>
      </c>
      <c r="H3147" s="1" t="str">
        <f t="shared" si="50"/>
        <v>k102_3</v>
      </c>
      <c r="K3147" s="1">
        <f>IF(E3147=0,SUMPRODUCT(($A$2:$A$4734=A3147)*($B$2:$B$4734=B3147)*($D$2:$D$4734=D3147)*($E$2:$E$4734=0)),0)</f>
        <v>0</v>
      </c>
      <c r="L3147" s="1" t="str">
        <f>IF(E3147=0,SUMPRODUCT(MIN($K$2:$K$4734+((($A$2:$A$4734&lt;&gt;A3147)+($E$2:$E$4734&lt;&gt;0))&gt;0)*1000000)),"")</f>
        <v/>
      </c>
      <c r="M3147" s="1">
        <f>IF(AND(E3147=0,COUNTIFS($A$2:A3147,A3147,$E$2:E3147,0)=1),L3147,0)</f>
        <v>0</v>
      </c>
    </row>
    <row r="3148" spans="1:13" ht="15" customHeight="1">
      <c r="A3148" s="1">
        <v>102</v>
      </c>
      <c r="B3148" s="1" t="s">
        <v>9</v>
      </c>
      <c r="C3148" s="2" t="s">
        <v>3702</v>
      </c>
      <c r="D3148" s="2" t="s">
        <v>3708</v>
      </c>
      <c r="E3148" s="1">
        <v>1</v>
      </c>
      <c r="F3148" s="2" t="s">
        <v>3710</v>
      </c>
      <c r="G3148" s="1">
        <v>2</v>
      </c>
      <c r="H3148" s="1" t="str">
        <f t="shared" si="50"/>
        <v>k102_2</v>
      </c>
      <c r="K3148" s="1">
        <f>IF(E3148=0,SUMPRODUCT(($A$2:$A$4734=A3148)*($B$2:$B$4734=B3148)*($D$2:$D$4734=D3148)*($E$2:$E$4734=0)),0)</f>
        <v>0</v>
      </c>
      <c r="L3148" s="1" t="str">
        <f>IF(E3148=0,SUMPRODUCT(MIN($K$2:$K$4734+((($A$2:$A$4734&lt;&gt;A3148)+($E$2:$E$4734&lt;&gt;0))&gt;0)*1000000)),"")</f>
        <v/>
      </c>
      <c r="M3148" s="1">
        <f>IF(AND(E3148=0,COUNTIFS($A$2:A3148,A3148,$E$2:E3148,0)=1),L3148,0)</f>
        <v>0</v>
      </c>
    </row>
    <row r="3149" spans="1:13" ht="15" customHeight="1">
      <c r="A3149" s="1">
        <v>102</v>
      </c>
      <c r="B3149" s="1" t="s">
        <v>9</v>
      </c>
      <c r="C3149" s="2" t="s">
        <v>3702</v>
      </c>
      <c r="D3149" s="2" t="s">
        <v>3708</v>
      </c>
      <c r="E3149" s="1">
        <v>1</v>
      </c>
      <c r="F3149" s="2" t="s">
        <v>3711</v>
      </c>
      <c r="G3149" s="1">
        <v>4</v>
      </c>
      <c r="H3149" s="1" t="str">
        <f t="shared" si="50"/>
        <v>k102_4</v>
      </c>
      <c r="K3149" s="1">
        <f>IF(E3149=0,SUMPRODUCT(($A$2:$A$4734=A3149)*($B$2:$B$4734=B3149)*($D$2:$D$4734=D3149)*($E$2:$E$4734=0)),0)</f>
        <v>0</v>
      </c>
      <c r="L3149" s="1" t="str">
        <f>IF(E3149=0,SUMPRODUCT(MIN($K$2:$K$4734+((($A$2:$A$4734&lt;&gt;A3149)+($E$2:$E$4734&lt;&gt;0))&gt;0)*1000000)),"")</f>
        <v/>
      </c>
      <c r="M3149" s="1">
        <f>IF(AND(E3149=0,COUNTIFS($A$2:A3149,A3149,$E$2:E3149,0)=1),L3149,0)</f>
        <v>0</v>
      </c>
    </row>
    <row r="3150" spans="1:13" ht="15" customHeight="1">
      <c r="A3150" s="1">
        <v>102</v>
      </c>
      <c r="B3150" s="1" t="s">
        <v>9</v>
      </c>
      <c r="C3150" s="2" t="s">
        <v>3702</v>
      </c>
      <c r="D3150" s="2" t="s">
        <v>3708</v>
      </c>
      <c r="E3150" s="1">
        <v>1</v>
      </c>
      <c r="F3150" s="2" t="s">
        <v>3712</v>
      </c>
      <c r="G3150" s="1">
        <v>5</v>
      </c>
      <c r="H3150" s="1" t="str">
        <f t="shared" si="50"/>
        <v>k102_5</v>
      </c>
      <c r="K3150" s="1">
        <f>IF(E3150=0,SUMPRODUCT(($A$2:$A$4734=A3150)*($B$2:$B$4734=B3150)*($D$2:$D$4734=D3150)*($E$2:$E$4734=0)),0)</f>
        <v>0</v>
      </c>
      <c r="L3150" s="1" t="str">
        <f>IF(E3150=0,SUMPRODUCT(MIN($K$2:$K$4734+((($A$2:$A$4734&lt;&gt;A3150)+($E$2:$E$4734&lt;&gt;0))&gt;0)*1000000)),"")</f>
        <v/>
      </c>
      <c r="M3150" s="1">
        <f>IF(AND(E3150=0,COUNTIFS($A$2:A3150,A3150,$E$2:E3150,0)=1),L3150,0)</f>
        <v>0</v>
      </c>
    </row>
    <row r="3151" spans="1:13" ht="15" customHeight="1">
      <c r="A3151" s="1">
        <v>102</v>
      </c>
      <c r="B3151" s="1" t="s">
        <v>144</v>
      </c>
      <c r="C3151" s="2" t="s">
        <v>3702</v>
      </c>
      <c r="D3151" s="2" t="s">
        <v>3713</v>
      </c>
      <c r="E3151" s="1">
        <v>1</v>
      </c>
      <c r="F3151" s="2" t="s">
        <v>3714</v>
      </c>
      <c r="G3151" s="1">
        <v>1</v>
      </c>
      <c r="H3151" s="1" t="str">
        <f t="shared" si="50"/>
        <v>k102_1</v>
      </c>
      <c r="K3151" s="1">
        <f>IF(E3151=0,SUMPRODUCT(($A$2:$A$4734=A3151)*($B$2:$B$4734=B3151)*($D$2:$D$4734=D3151)*($E$2:$E$4734=0)),0)</f>
        <v>0</v>
      </c>
      <c r="L3151" s="1" t="str">
        <f>IF(E3151=0,SUMPRODUCT(MIN($K$2:$K$4734+((($A$2:$A$4734&lt;&gt;A3151)+($E$2:$E$4734&lt;&gt;0))&gt;0)*1000000)),"")</f>
        <v/>
      </c>
      <c r="M3151" s="1">
        <f>IF(AND(E3151=0,COUNTIFS($A$2:A3151,A3151,$E$2:E3151,0)=1),L3151,0)</f>
        <v>0</v>
      </c>
    </row>
    <row r="3152" spans="1:13" ht="15" customHeight="1">
      <c r="A3152" s="1">
        <v>102</v>
      </c>
      <c r="B3152" s="1" t="s">
        <v>144</v>
      </c>
      <c r="C3152" s="2" t="s">
        <v>3702</v>
      </c>
      <c r="D3152" s="2" t="s">
        <v>3713</v>
      </c>
      <c r="E3152" s="1">
        <v>1</v>
      </c>
      <c r="F3152" s="2" t="s">
        <v>3715</v>
      </c>
      <c r="G3152" s="1">
        <v>2</v>
      </c>
      <c r="H3152" s="1" t="str">
        <f t="shared" si="50"/>
        <v>k102_2</v>
      </c>
      <c r="K3152" s="1">
        <f>IF(E3152=0,SUMPRODUCT(($A$2:$A$4734=A3152)*($B$2:$B$4734=B3152)*($D$2:$D$4734=D3152)*($E$2:$E$4734=0)),0)</f>
        <v>0</v>
      </c>
      <c r="L3152" s="1" t="str">
        <f>IF(E3152=0,SUMPRODUCT(MIN($K$2:$K$4734+((($A$2:$A$4734&lt;&gt;A3152)+($E$2:$E$4734&lt;&gt;0))&gt;0)*1000000)),"")</f>
        <v/>
      </c>
      <c r="M3152" s="1">
        <f>IF(AND(E3152=0,COUNTIFS($A$2:A3152,A3152,$E$2:E3152,0)=1),L3152,0)</f>
        <v>0</v>
      </c>
    </row>
    <row r="3153" spans="1:13" ht="15" customHeight="1">
      <c r="A3153" s="1">
        <v>102</v>
      </c>
      <c r="B3153" s="1" t="s">
        <v>144</v>
      </c>
      <c r="C3153" s="2" t="s">
        <v>3702</v>
      </c>
      <c r="D3153" s="2" t="s">
        <v>3713</v>
      </c>
      <c r="E3153" s="1">
        <v>1</v>
      </c>
      <c r="F3153" s="2" t="s">
        <v>3716</v>
      </c>
      <c r="G3153" s="1">
        <v>3</v>
      </c>
      <c r="H3153" s="1" t="str">
        <f t="shared" si="50"/>
        <v>k102_3</v>
      </c>
      <c r="K3153" s="1">
        <f>IF(E3153=0,SUMPRODUCT(($A$2:$A$4734=A3153)*($B$2:$B$4734=B3153)*($D$2:$D$4734=D3153)*($E$2:$E$4734=0)),0)</f>
        <v>0</v>
      </c>
      <c r="L3153" s="1" t="str">
        <f>IF(E3153=0,SUMPRODUCT(MIN($K$2:$K$4734+((($A$2:$A$4734&lt;&gt;A3153)+($E$2:$E$4734&lt;&gt;0))&gt;0)*1000000)),"")</f>
        <v/>
      </c>
      <c r="M3153" s="1">
        <f>IF(AND(E3153=0,COUNTIFS($A$2:A3153,A3153,$E$2:E3153,0)=1),L3153,0)</f>
        <v>0</v>
      </c>
    </row>
    <row r="3154" spans="1:13" ht="15" customHeight="1">
      <c r="A3154" s="1">
        <v>102</v>
      </c>
      <c r="B3154" s="1" t="s">
        <v>144</v>
      </c>
      <c r="C3154" s="2" t="s">
        <v>3702</v>
      </c>
      <c r="D3154" s="2" t="s">
        <v>3713</v>
      </c>
      <c r="E3154" s="1">
        <v>1</v>
      </c>
      <c r="F3154" s="2" t="s">
        <v>3717</v>
      </c>
      <c r="G3154" s="1">
        <v>4</v>
      </c>
      <c r="H3154" s="1" t="str">
        <f t="shared" si="50"/>
        <v>k102_4</v>
      </c>
      <c r="K3154" s="1">
        <f>IF(E3154=0,SUMPRODUCT(($A$2:$A$4734=A3154)*($B$2:$B$4734=B3154)*($D$2:$D$4734=D3154)*($E$2:$E$4734=0)),0)</f>
        <v>0</v>
      </c>
      <c r="L3154" s="1" t="str">
        <f>IF(E3154=0,SUMPRODUCT(MIN($K$2:$K$4734+((($A$2:$A$4734&lt;&gt;A3154)+($E$2:$E$4734&lt;&gt;0))&gt;0)*1000000)),"")</f>
        <v/>
      </c>
      <c r="M3154" s="1">
        <f>IF(AND(E3154=0,COUNTIFS($A$2:A3154,A3154,$E$2:E3154,0)=1),L3154,0)</f>
        <v>0</v>
      </c>
    </row>
    <row r="3155" spans="1:13" ht="15" customHeight="1">
      <c r="A3155" s="1">
        <v>102</v>
      </c>
      <c r="B3155" s="1" t="s">
        <v>144</v>
      </c>
      <c r="C3155" s="2" t="s">
        <v>3702</v>
      </c>
      <c r="D3155" s="2" t="s">
        <v>3713</v>
      </c>
      <c r="E3155" s="1">
        <v>1</v>
      </c>
      <c r="F3155" s="2" t="s">
        <v>3718</v>
      </c>
      <c r="G3155" s="1">
        <v>5</v>
      </c>
      <c r="H3155" s="1" t="str">
        <f t="shared" si="50"/>
        <v>k102_5</v>
      </c>
      <c r="K3155" s="1">
        <f>IF(E3155=0,SUMPRODUCT(($A$2:$A$4734=A3155)*($B$2:$B$4734=B3155)*($D$2:$D$4734=D3155)*($E$2:$E$4734=0)),0)</f>
        <v>0</v>
      </c>
      <c r="L3155" s="1" t="str">
        <f>IF(E3155=0,SUMPRODUCT(MIN($K$2:$K$4734+((($A$2:$A$4734&lt;&gt;A3155)+($E$2:$E$4734&lt;&gt;0))&gt;0)*1000000)),"")</f>
        <v/>
      </c>
      <c r="M3155" s="1">
        <f>IF(AND(E3155=0,COUNTIFS($A$2:A3155,A3155,$E$2:E3155,0)=1),L3155,0)</f>
        <v>0</v>
      </c>
    </row>
    <row r="3156" spans="1:13" ht="15" customHeight="1">
      <c r="A3156" s="1">
        <v>103</v>
      </c>
      <c r="B3156" s="1" t="s">
        <v>144</v>
      </c>
      <c r="C3156" s="2" t="s">
        <v>3719</v>
      </c>
      <c r="D3156" s="2" t="s">
        <v>3720</v>
      </c>
      <c r="E3156" s="1">
        <v>1</v>
      </c>
      <c r="F3156" s="2" t="s">
        <v>3721</v>
      </c>
      <c r="G3156" s="1">
        <v>1</v>
      </c>
      <c r="H3156" s="1" t="str">
        <f t="shared" si="50"/>
        <v>k103_1</v>
      </c>
      <c r="K3156" s="1">
        <f>IF(E3156=0,SUMPRODUCT(($A$2:$A$4734=A3156)*($B$2:$B$4734=B3156)*($D$2:$D$4734=D3156)*($E$2:$E$4734=0)),0)</f>
        <v>0</v>
      </c>
      <c r="L3156" s="1" t="str">
        <f>IF(E3156=0,SUMPRODUCT(MIN($K$2:$K$4734+((($A$2:$A$4734&lt;&gt;A3156)+($E$2:$E$4734&lt;&gt;0))&gt;0)*1000000)),"")</f>
        <v/>
      </c>
      <c r="M3156" s="1">
        <f>IF(AND(E3156=0,COUNTIFS($A$2:A3156,A3156,$E$2:E3156,0)=1),L3156,0)</f>
        <v>0</v>
      </c>
    </row>
    <row r="3157" spans="1:13" ht="15" customHeight="1">
      <c r="A3157" s="1">
        <v>103</v>
      </c>
      <c r="B3157" s="1" t="s">
        <v>144</v>
      </c>
      <c r="C3157" s="2" t="s">
        <v>3719</v>
      </c>
      <c r="D3157" s="2" t="s">
        <v>3720</v>
      </c>
      <c r="E3157" s="1">
        <v>1</v>
      </c>
      <c r="F3157" s="2" t="s">
        <v>3722</v>
      </c>
      <c r="G3157" s="1">
        <v>2</v>
      </c>
      <c r="H3157" s="1" t="str">
        <f t="shared" si="50"/>
        <v>k103_2</v>
      </c>
      <c r="K3157" s="1">
        <f>IF(E3157=0,SUMPRODUCT(($A$2:$A$4734=A3157)*($B$2:$B$4734=B3157)*($D$2:$D$4734=D3157)*($E$2:$E$4734=0)),0)</f>
        <v>0</v>
      </c>
      <c r="L3157" s="1" t="str">
        <f>IF(E3157=0,SUMPRODUCT(MIN($K$2:$K$4734+((($A$2:$A$4734&lt;&gt;A3157)+($E$2:$E$4734&lt;&gt;0))&gt;0)*1000000)),"")</f>
        <v/>
      </c>
      <c r="M3157" s="1">
        <f>IF(AND(E3157=0,COUNTIFS($A$2:A3157,A3157,$E$2:E3157,0)=1),L3157,0)</f>
        <v>0</v>
      </c>
    </row>
    <row r="3158" spans="1:13" ht="15" customHeight="1">
      <c r="A3158" s="1">
        <v>103</v>
      </c>
      <c r="B3158" s="1" t="s">
        <v>144</v>
      </c>
      <c r="C3158" s="2" t="s">
        <v>3719</v>
      </c>
      <c r="D3158" s="2" t="s">
        <v>3720</v>
      </c>
      <c r="E3158" s="1">
        <v>1</v>
      </c>
      <c r="F3158" s="2" t="s">
        <v>3723</v>
      </c>
      <c r="G3158" s="1">
        <v>3</v>
      </c>
      <c r="H3158" s="1" t="str">
        <f t="shared" si="50"/>
        <v>k103_3</v>
      </c>
      <c r="K3158" s="1">
        <f>IF(E3158=0,SUMPRODUCT(($A$2:$A$4734=A3158)*($B$2:$B$4734=B3158)*($D$2:$D$4734=D3158)*($E$2:$E$4734=0)),0)</f>
        <v>0</v>
      </c>
      <c r="L3158" s="1" t="str">
        <f>IF(E3158=0,SUMPRODUCT(MIN($K$2:$K$4734+((($A$2:$A$4734&lt;&gt;A3158)+($E$2:$E$4734&lt;&gt;0))&gt;0)*1000000)),"")</f>
        <v/>
      </c>
      <c r="M3158" s="1">
        <f>IF(AND(E3158=0,COUNTIFS($A$2:A3158,A3158,$E$2:E3158,0)=1),L3158,0)</f>
        <v>0</v>
      </c>
    </row>
    <row r="3159" spans="1:13" ht="15" customHeight="1">
      <c r="A3159" s="1">
        <v>103</v>
      </c>
      <c r="B3159" s="1" t="s">
        <v>144</v>
      </c>
      <c r="C3159" s="2" t="s">
        <v>3719</v>
      </c>
      <c r="D3159" s="2" t="s">
        <v>3720</v>
      </c>
      <c r="E3159" s="1">
        <v>1</v>
      </c>
      <c r="F3159" s="2" t="s">
        <v>3724</v>
      </c>
      <c r="G3159" s="1">
        <v>4</v>
      </c>
      <c r="H3159" s="1" t="str">
        <f t="shared" si="50"/>
        <v>k103_4</v>
      </c>
      <c r="K3159" s="1">
        <f>IF(E3159=0,SUMPRODUCT(($A$2:$A$4734=A3159)*($B$2:$B$4734=B3159)*($D$2:$D$4734=D3159)*($E$2:$E$4734=0)),0)</f>
        <v>0</v>
      </c>
      <c r="L3159" s="1" t="str">
        <f>IF(E3159=0,SUMPRODUCT(MIN($K$2:$K$4734+((($A$2:$A$4734&lt;&gt;A3159)+($E$2:$E$4734&lt;&gt;0))&gt;0)*1000000)),"")</f>
        <v/>
      </c>
      <c r="M3159" s="1">
        <f>IF(AND(E3159=0,COUNTIFS($A$2:A3159,A3159,$E$2:E3159,0)=1),L3159,0)</f>
        <v>0</v>
      </c>
    </row>
    <row r="3160" spans="1:13" ht="15" customHeight="1">
      <c r="A3160" s="1">
        <v>103</v>
      </c>
      <c r="B3160" s="1" t="s">
        <v>144</v>
      </c>
      <c r="C3160" s="2" t="s">
        <v>3719</v>
      </c>
      <c r="D3160" s="2" t="s">
        <v>3720</v>
      </c>
      <c r="E3160" s="1">
        <v>1</v>
      </c>
      <c r="F3160" s="2" t="s">
        <v>3725</v>
      </c>
      <c r="G3160" s="1">
        <v>5</v>
      </c>
      <c r="H3160" s="1" t="str">
        <f t="shared" si="50"/>
        <v>k103_5</v>
      </c>
      <c r="K3160" s="1">
        <f>IF(E3160=0,SUMPRODUCT(($A$2:$A$4734=A3160)*($B$2:$B$4734=B3160)*($D$2:$D$4734=D3160)*($E$2:$E$4734=0)),0)</f>
        <v>0</v>
      </c>
      <c r="L3160" s="1" t="str">
        <f>IF(E3160=0,SUMPRODUCT(MIN($K$2:$K$4734+((($A$2:$A$4734&lt;&gt;A3160)+($E$2:$E$4734&lt;&gt;0))&gt;0)*1000000)),"")</f>
        <v/>
      </c>
      <c r="M3160" s="1">
        <f>IF(AND(E3160=0,COUNTIFS($A$2:A3160,A3160,$E$2:E3160,0)=1),L3160,0)</f>
        <v>0</v>
      </c>
    </row>
    <row r="3161" spans="1:13" ht="15" customHeight="1">
      <c r="A3161" s="1">
        <v>103</v>
      </c>
      <c r="B3161" s="1" t="s">
        <v>144</v>
      </c>
      <c r="C3161" s="2" t="s">
        <v>3719</v>
      </c>
      <c r="D3161" s="2" t="s">
        <v>3720</v>
      </c>
      <c r="E3161" s="1">
        <v>1</v>
      </c>
      <c r="F3161" s="2" t="s">
        <v>3725</v>
      </c>
      <c r="G3161" s="1">
        <v>6</v>
      </c>
      <c r="H3161" s="1" t="str">
        <f t="shared" si="50"/>
        <v>k103_6</v>
      </c>
      <c r="K3161" s="1">
        <f>IF(E3161=0,SUMPRODUCT(($A$2:$A$4734=A3161)*($B$2:$B$4734=B3161)*($D$2:$D$4734=D3161)*($E$2:$E$4734=0)),0)</f>
        <v>0</v>
      </c>
      <c r="L3161" s="1" t="str">
        <f>IF(E3161=0,SUMPRODUCT(MIN($K$2:$K$4734+((($A$2:$A$4734&lt;&gt;A3161)+($E$2:$E$4734&lt;&gt;0))&gt;0)*1000000)),"")</f>
        <v/>
      </c>
      <c r="M3161" s="1">
        <f>IF(AND(E3161=0,COUNTIFS($A$2:A3161,A3161,$E$2:E3161,0)=1),L3161,0)</f>
        <v>0</v>
      </c>
    </row>
    <row r="3162" spans="1:13" ht="15" customHeight="1">
      <c r="A3162" s="1">
        <v>103</v>
      </c>
      <c r="B3162" s="1" t="s">
        <v>144</v>
      </c>
      <c r="C3162" s="2" t="s">
        <v>3719</v>
      </c>
      <c r="D3162" s="2" t="s">
        <v>3720</v>
      </c>
      <c r="E3162" s="1">
        <v>1</v>
      </c>
      <c r="F3162" s="2" t="s">
        <v>3726</v>
      </c>
      <c r="G3162" s="1">
        <v>7</v>
      </c>
      <c r="H3162" s="1" t="str">
        <f t="shared" si="50"/>
        <v>k103_7</v>
      </c>
      <c r="K3162" s="1">
        <f>IF(E3162=0,SUMPRODUCT(($A$2:$A$4734=A3162)*($B$2:$B$4734=B3162)*($D$2:$D$4734=D3162)*($E$2:$E$4734=0)),0)</f>
        <v>0</v>
      </c>
      <c r="L3162" s="1" t="str">
        <f>IF(E3162=0,SUMPRODUCT(MIN($K$2:$K$4734+((($A$2:$A$4734&lt;&gt;A3162)+($E$2:$E$4734&lt;&gt;0))&gt;0)*1000000)),"")</f>
        <v/>
      </c>
      <c r="M3162" s="1">
        <f>IF(AND(E3162=0,COUNTIFS($A$2:A3162,A3162,$E$2:E3162,0)=1),L3162,0)</f>
        <v>0</v>
      </c>
    </row>
    <row r="3163" spans="1:13" ht="15" customHeight="1">
      <c r="A3163" s="1">
        <v>103</v>
      </c>
      <c r="B3163" s="1" t="s">
        <v>9</v>
      </c>
      <c r="C3163" s="2" t="s">
        <v>3719</v>
      </c>
      <c r="D3163" s="2" t="s">
        <v>3727</v>
      </c>
      <c r="E3163" s="1">
        <v>1</v>
      </c>
      <c r="F3163" s="2" t="s">
        <v>3105</v>
      </c>
      <c r="G3163" s="1">
        <v>1</v>
      </c>
      <c r="H3163" s="1" t="str">
        <f t="shared" si="50"/>
        <v>k103_1</v>
      </c>
      <c r="K3163" s="1">
        <f>IF(E3163=0,SUMPRODUCT(($A$2:$A$4734=A3163)*($B$2:$B$4734=B3163)*($D$2:$D$4734=D3163)*($E$2:$E$4734=0)),0)</f>
        <v>0</v>
      </c>
      <c r="L3163" s="1" t="str">
        <f>IF(E3163=0,SUMPRODUCT(MIN($K$2:$K$4734+((($A$2:$A$4734&lt;&gt;A3163)+($E$2:$E$4734&lt;&gt;0))&gt;0)*1000000)),"")</f>
        <v/>
      </c>
      <c r="M3163" s="1">
        <f>IF(AND(E3163=0,COUNTIFS($A$2:A3163,A3163,$E$2:E3163,0)=1),L3163,0)</f>
        <v>0</v>
      </c>
    </row>
    <row r="3164" spans="1:13" ht="15" customHeight="1">
      <c r="A3164" s="1">
        <v>103</v>
      </c>
      <c r="B3164" s="1" t="s">
        <v>9</v>
      </c>
      <c r="C3164" s="2" t="s">
        <v>3719</v>
      </c>
      <c r="D3164" s="2" t="s">
        <v>3727</v>
      </c>
      <c r="E3164" s="1">
        <v>1</v>
      </c>
      <c r="F3164" s="2" t="s">
        <v>3728</v>
      </c>
      <c r="G3164" s="1">
        <v>2</v>
      </c>
      <c r="H3164" s="1" t="str">
        <f t="shared" si="50"/>
        <v>k103_2</v>
      </c>
      <c r="K3164" s="1">
        <f>IF(E3164=0,SUMPRODUCT(($A$2:$A$4734=A3164)*($B$2:$B$4734=B3164)*($D$2:$D$4734=D3164)*($E$2:$E$4734=0)),0)</f>
        <v>0</v>
      </c>
      <c r="L3164" s="1" t="str">
        <f>IF(E3164=0,SUMPRODUCT(MIN($K$2:$K$4734+((($A$2:$A$4734&lt;&gt;A3164)+($E$2:$E$4734&lt;&gt;0))&gt;0)*1000000)),"")</f>
        <v/>
      </c>
      <c r="M3164" s="1">
        <f>IF(AND(E3164=0,COUNTIFS($A$2:A3164,A3164,$E$2:E3164,0)=1),L3164,0)</f>
        <v>0</v>
      </c>
    </row>
    <row r="3165" spans="1:13" ht="15" customHeight="1">
      <c r="A3165" s="1">
        <v>103</v>
      </c>
      <c r="B3165" s="1" t="s">
        <v>9</v>
      </c>
      <c r="C3165" s="2" t="s">
        <v>3719</v>
      </c>
      <c r="D3165" s="2" t="s">
        <v>3727</v>
      </c>
      <c r="E3165" s="1">
        <v>1</v>
      </c>
      <c r="F3165" s="2" t="s">
        <v>3099</v>
      </c>
      <c r="G3165" s="1">
        <v>3</v>
      </c>
      <c r="H3165" s="1" t="str">
        <f t="shared" si="50"/>
        <v>k103_3</v>
      </c>
      <c r="K3165" s="1">
        <f>IF(E3165=0,SUMPRODUCT(($A$2:$A$4734=A3165)*($B$2:$B$4734=B3165)*($D$2:$D$4734=D3165)*($E$2:$E$4734=0)),0)</f>
        <v>0</v>
      </c>
      <c r="L3165" s="1" t="str">
        <f>IF(E3165=0,SUMPRODUCT(MIN($K$2:$K$4734+((($A$2:$A$4734&lt;&gt;A3165)+($E$2:$E$4734&lt;&gt;0))&gt;0)*1000000)),"")</f>
        <v/>
      </c>
      <c r="M3165" s="1">
        <f>IF(AND(E3165=0,COUNTIFS($A$2:A3165,A3165,$E$2:E3165,0)=1),L3165,0)</f>
        <v>0</v>
      </c>
    </row>
    <row r="3166" spans="1:13" ht="15" customHeight="1">
      <c r="A3166" s="1">
        <v>103</v>
      </c>
      <c r="B3166" s="1" t="s">
        <v>9</v>
      </c>
      <c r="C3166" s="2" t="s">
        <v>3719</v>
      </c>
      <c r="D3166" s="2" t="s">
        <v>3727</v>
      </c>
      <c r="E3166" s="1">
        <v>1</v>
      </c>
      <c r="F3166" s="2" t="s">
        <v>3099</v>
      </c>
      <c r="G3166" s="1">
        <v>5</v>
      </c>
      <c r="H3166" s="1" t="str">
        <f t="shared" si="50"/>
        <v>k103_5</v>
      </c>
      <c r="K3166" s="1">
        <f>IF(E3166=0,SUMPRODUCT(($A$2:$A$4734=A3166)*($B$2:$B$4734=B3166)*($D$2:$D$4734=D3166)*($E$2:$E$4734=0)),0)</f>
        <v>0</v>
      </c>
      <c r="L3166" s="1" t="str">
        <f>IF(E3166=0,SUMPRODUCT(MIN($K$2:$K$4734+((($A$2:$A$4734&lt;&gt;A3166)+($E$2:$E$4734&lt;&gt;0))&gt;0)*1000000)),"")</f>
        <v/>
      </c>
      <c r="M3166" s="1">
        <f>IF(AND(E3166=0,COUNTIFS($A$2:A3166,A3166,$E$2:E3166,0)=1),L3166,0)</f>
        <v>0</v>
      </c>
    </row>
    <row r="3167" spans="1:13" ht="15" customHeight="1">
      <c r="A3167" s="1">
        <v>103</v>
      </c>
      <c r="B3167" s="1" t="s">
        <v>9</v>
      </c>
      <c r="C3167" s="2" t="s">
        <v>3719</v>
      </c>
      <c r="D3167" s="2" t="s">
        <v>3727</v>
      </c>
      <c r="E3167" s="1">
        <v>1</v>
      </c>
      <c r="F3167" s="2" t="s">
        <v>3099</v>
      </c>
      <c r="G3167" s="1">
        <v>7</v>
      </c>
      <c r="H3167" s="1" t="str">
        <f t="shared" si="50"/>
        <v>k103_7</v>
      </c>
      <c r="K3167" s="1">
        <f>IF(E3167=0,SUMPRODUCT(($A$2:$A$4734=A3167)*($B$2:$B$4734=B3167)*($D$2:$D$4734=D3167)*($E$2:$E$4734=0)),0)</f>
        <v>0</v>
      </c>
      <c r="L3167" s="1" t="str">
        <f>IF(E3167=0,SUMPRODUCT(MIN($K$2:$K$4734+((($A$2:$A$4734&lt;&gt;A3167)+($E$2:$E$4734&lt;&gt;0))&gt;0)*1000000)),"")</f>
        <v/>
      </c>
      <c r="M3167" s="1">
        <f>IF(AND(E3167=0,COUNTIFS($A$2:A3167,A3167,$E$2:E3167,0)=1),L3167,0)</f>
        <v>0</v>
      </c>
    </row>
    <row r="3168" spans="1:13" ht="15" customHeight="1">
      <c r="A3168" s="1">
        <v>103</v>
      </c>
      <c r="B3168" s="1" t="s">
        <v>9</v>
      </c>
      <c r="C3168" s="2" t="s">
        <v>3719</v>
      </c>
      <c r="D3168" s="2" t="s">
        <v>3727</v>
      </c>
      <c r="E3168" s="1">
        <v>1</v>
      </c>
      <c r="F3168" s="2" t="s">
        <v>3099</v>
      </c>
      <c r="G3168" s="1">
        <v>6</v>
      </c>
      <c r="H3168" s="1" t="str">
        <f t="shared" ref="H3168:H3228" si="51">IF(OR(E3168&lt;&gt;1,G3168=""),"","k"&amp;A3168&amp;"_"&amp;G3168)</f>
        <v>k103_6</v>
      </c>
      <c r="K3168" s="1">
        <f>IF(E3168=0,SUMPRODUCT(($A$2:$A$4734=A3168)*($B$2:$B$4734=B3168)*($D$2:$D$4734=D3168)*($E$2:$E$4734=0)),0)</f>
        <v>0</v>
      </c>
      <c r="L3168" s="1" t="str">
        <f>IF(E3168=0,SUMPRODUCT(MIN($K$2:$K$4734+((($A$2:$A$4734&lt;&gt;A3168)+($E$2:$E$4734&lt;&gt;0))&gt;0)*1000000)),"")</f>
        <v/>
      </c>
      <c r="M3168" s="1">
        <f>IF(AND(E3168=0,COUNTIFS($A$2:A3168,A3168,$E$2:E3168,0)=1),L3168,0)</f>
        <v>0</v>
      </c>
    </row>
    <row r="3169" spans="1:13" ht="15" customHeight="1">
      <c r="A3169" s="1">
        <v>103</v>
      </c>
      <c r="B3169" s="1" t="s">
        <v>9</v>
      </c>
      <c r="C3169" s="2" t="s">
        <v>3719</v>
      </c>
      <c r="D3169" s="2" t="s">
        <v>3727</v>
      </c>
      <c r="E3169" s="1">
        <v>1</v>
      </c>
      <c r="F3169" s="2" t="s">
        <v>2317</v>
      </c>
      <c r="G3169" s="1">
        <v>4</v>
      </c>
      <c r="H3169" s="1" t="str">
        <f t="shared" si="51"/>
        <v>k103_4</v>
      </c>
      <c r="K3169" s="1">
        <f>IF(E3169=0,SUMPRODUCT(($A$2:$A$4734=A3169)*($B$2:$B$4734=B3169)*($D$2:$D$4734=D3169)*($E$2:$E$4734=0)),0)</f>
        <v>0</v>
      </c>
      <c r="L3169" s="1" t="str">
        <f>IF(E3169=0,SUMPRODUCT(MIN($K$2:$K$4734+((($A$2:$A$4734&lt;&gt;A3169)+($E$2:$E$4734&lt;&gt;0))&gt;0)*1000000)),"")</f>
        <v/>
      </c>
      <c r="M3169" s="1">
        <f>IF(AND(E3169=0,COUNTIFS($A$2:A3169,A3169,$E$2:E3169,0)=1),L3169,0)</f>
        <v>0</v>
      </c>
    </row>
    <row r="3170" spans="1:13" ht="15" customHeight="1">
      <c r="A3170" s="1">
        <v>103</v>
      </c>
      <c r="B3170" s="1" t="s">
        <v>9</v>
      </c>
      <c r="C3170" s="2" t="s">
        <v>3719</v>
      </c>
      <c r="D3170" s="2" t="s">
        <v>3729</v>
      </c>
      <c r="E3170" s="1">
        <v>1</v>
      </c>
      <c r="F3170" s="2" t="s">
        <v>3730</v>
      </c>
      <c r="G3170" s="1">
        <v>1</v>
      </c>
      <c r="H3170" s="1" t="str">
        <f t="shared" si="51"/>
        <v>k103_1</v>
      </c>
      <c r="K3170" s="1">
        <f>IF(E3170=0,SUMPRODUCT(($A$2:$A$4734=A3170)*($B$2:$B$4734=B3170)*($D$2:$D$4734=D3170)*($E$2:$E$4734=0)),0)</f>
        <v>0</v>
      </c>
      <c r="L3170" s="1" t="str">
        <f>IF(E3170=0,SUMPRODUCT(MIN($K$2:$K$4734+((($A$2:$A$4734&lt;&gt;A3170)+($E$2:$E$4734&lt;&gt;0))&gt;0)*1000000)),"")</f>
        <v/>
      </c>
      <c r="M3170" s="1">
        <f>IF(AND(E3170=0,COUNTIFS($A$2:A3170,A3170,$E$2:E3170,0)=1),L3170,0)</f>
        <v>0</v>
      </c>
    </row>
    <row r="3171" spans="1:13" ht="15" customHeight="1">
      <c r="A3171" s="1">
        <v>103</v>
      </c>
      <c r="B3171" s="1" t="s">
        <v>9</v>
      </c>
      <c r="C3171" s="2" t="s">
        <v>3719</v>
      </c>
      <c r="D3171" s="2" t="s">
        <v>3729</v>
      </c>
      <c r="E3171" s="1">
        <v>1</v>
      </c>
      <c r="F3171" s="2" t="s">
        <v>3731</v>
      </c>
      <c r="G3171" s="1">
        <v>7</v>
      </c>
      <c r="H3171" s="1" t="str">
        <f t="shared" si="51"/>
        <v>k103_7</v>
      </c>
      <c r="K3171" s="1">
        <f>IF(E3171=0,SUMPRODUCT(($A$2:$A$4734=A3171)*($B$2:$B$4734=B3171)*($D$2:$D$4734=D3171)*($E$2:$E$4734=0)),0)</f>
        <v>0</v>
      </c>
      <c r="L3171" s="1" t="str">
        <f>IF(E3171=0,SUMPRODUCT(MIN($K$2:$K$4734+((($A$2:$A$4734&lt;&gt;A3171)+($E$2:$E$4734&lt;&gt;0))&gt;0)*1000000)),"")</f>
        <v/>
      </c>
      <c r="M3171" s="1">
        <f>IF(AND(E3171=0,COUNTIFS($A$2:A3171,A3171,$E$2:E3171,0)=1),L3171,0)</f>
        <v>0</v>
      </c>
    </row>
    <row r="3172" spans="1:13" ht="15" customHeight="1">
      <c r="A3172" s="1">
        <v>103</v>
      </c>
      <c r="B3172" s="1" t="s">
        <v>9</v>
      </c>
      <c r="C3172" s="2" t="s">
        <v>3719</v>
      </c>
      <c r="D3172" s="2" t="s">
        <v>3729</v>
      </c>
      <c r="E3172" s="1">
        <v>1</v>
      </c>
      <c r="F3172" s="2" t="s">
        <v>3732</v>
      </c>
      <c r="G3172" s="1">
        <v>2</v>
      </c>
      <c r="H3172" s="1" t="str">
        <f t="shared" si="51"/>
        <v>k103_2</v>
      </c>
      <c r="K3172" s="1">
        <f>IF(E3172=0,SUMPRODUCT(($A$2:$A$4734=A3172)*($B$2:$B$4734=B3172)*($D$2:$D$4734=D3172)*($E$2:$E$4734=0)),0)</f>
        <v>0</v>
      </c>
      <c r="L3172" s="1" t="str">
        <f>IF(E3172=0,SUMPRODUCT(MIN($K$2:$K$4734+((($A$2:$A$4734&lt;&gt;A3172)+($E$2:$E$4734&lt;&gt;0))&gt;0)*1000000)),"")</f>
        <v/>
      </c>
      <c r="M3172" s="1">
        <f>IF(AND(E3172=0,COUNTIFS($A$2:A3172,A3172,$E$2:E3172,0)=1),L3172,0)</f>
        <v>0</v>
      </c>
    </row>
    <row r="3173" spans="1:13" ht="15" customHeight="1">
      <c r="A3173" s="1">
        <v>103</v>
      </c>
      <c r="B3173" s="1" t="s">
        <v>9</v>
      </c>
      <c r="C3173" s="2" t="s">
        <v>3719</v>
      </c>
      <c r="D3173" s="2" t="s">
        <v>3729</v>
      </c>
      <c r="E3173" s="1">
        <v>1</v>
      </c>
      <c r="F3173" s="2" t="s">
        <v>3730</v>
      </c>
      <c r="G3173" s="1">
        <v>3</v>
      </c>
      <c r="H3173" s="1" t="str">
        <f t="shared" si="51"/>
        <v>k103_3</v>
      </c>
      <c r="K3173" s="1">
        <f>IF(E3173=0,SUMPRODUCT(($A$2:$A$4734=A3173)*($B$2:$B$4734=B3173)*($D$2:$D$4734=D3173)*($E$2:$E$4734=0)),0)</f>
        <v>0</v>
      </c>
      <c r="L3173" s="1" t="str">
        <f>IF(E3173=0,SUMPRODUCT(MIN($K$2:$K$4734+((($A$2:$A$4734&lt;&gt;A3173)+($E$2:$E$4734&lt;&gt;0))&gt;0)*1000000)),"")</f>
        <v/>
      </c>
      <c r="M3173" s="1">
        <f>IF(AND(E3173=0,COUNTIFS($A$2:A3173,A3173,$E$2:E3173,0)=1),L3173,0)</f>
        <v>0</v>
      </c>
    </row>
    <row r="3174" spans="1:13" ht="15" customHeight="1">
      <c r="A3174" s="1">
        <v>103</v>
      </c>
      <c r="B3174" s="1" t="s">
        <v>9</v>
      </c>
      <c r="C3174" s="2" t="s">
        <v>3719</v>
      </c>
      <c r="D3174" s="2" t="s">
        <v>3729</v>
      </c>
      <c r="E3174" s="1">
        <v>1</v>
      </c>
      <c r="F3174" s="2" t="s">
        <v>3731</v>
      </c>
      <c r="G3174" s="1">
        <v>4</v>
      </c>
      <c r="H3174" s="1" t="str">
        <f t="shared" si="51"/>
        <v>k103_4</v>
      </c>
      <c r="K3174" s="1">
        <f>IF(E3174=0,SUMPRODUCT(($A$2:$A$4734=A3174)*($B$2:$B$4734=B3174)*($D$2:$D$4734=D3174)*($E$2:$E$4734=0)),0)</f>
        <v>0</v>
      </c>
      <c r="L3174" s="1" t="str">
        <f>IF(E3174=0,SUMPRODUCT(MIN($K$2:$K$4734+((($A$2:$A$4734&lt;&gt;A3174)+($E$2:$E$4734&lt;&gt;0))&gt;0)*1000000)),"")</f>
        <v/>
      </c>
      <c r="M3174" s="1">
        <f>IF(AND(E3174=0,COUNTIFS($A$2:A3174,A3174,$E$2:E3174,0)=1),L3174,0)</f>
        <v>0</v>
      </c>
    </row>
    <row r="3175" spans="1:13" ht="15" customHeight="1">
      <c r="A3175" s="1">
        <v>103</v>
      </c>
      <c r="B3175" s="1" t="s">
        <v>9</v>
      </c>
      <c r="C3175" s="2" t="s">
        <v>3719</v>
      </c>
      <c r="D3175" s="2" t="s">
        <v>3729</v>
      </c>
      <c r="E3175" s="1">
        <v>1</v>
      </c>
      <c r="F3175" s="2" t="s">
        <v>3732</v>
      </c>
      <c r="G3175" s="1">
        <v>5</v>
      </c>
      <c r="H3175" s="1" t="str">
        <f t="shared" si="51"/>
        <v>k103_5</v>
      </c>
      <c r="K3175" s="1">
        <f>IF(E3175=0,SUMPRODUCT(($A$2:$A$4734=A3175)*($B$2:$B$4734=B3175)*($D$2:$D$4734=D3175)*($E$2:$E$4734=0)),0)</f>
        <v>0</v>
      </c>
      <c r="L3175" s="1" t="str">
        <f>IF(E3175=0,SUMPRODUCT(MIN($K$2:$K$4734+((($A$2:$A$4734&lt;&gt;A3175)+($E$2:$E$4734&lt;&gt;0))&gt;0)*1000000)),"")</f>
        <v/>
      </c>
      <c r="M3175" s="1">
        <f>IF(AND(E3175=0,COUNTIFS($A$2:A3175,A3175,$E$2:E3175,0)=1),L3175,0)</f>
        <v>0</v>
      </c>
    </row>
    <row r="3176" spans="1:13" ht="15" customHeight="1">
      <c r="A3176" s="1">
        <v>103</v>
      </c>
      <c r="B3176" s="1" t="s">
        <v>9</v>
      </c>
      <c r="C3176" s="2" t="s">
        <v>3719</v>
      </c>
      <c r="D3176" s="2" t="s">
        <v>3729</v>
      </c>
      <c r="E3176" s="1">
        <v>1</v>
      </c>
      <c r="F3176" s="2" t="s">
        <v>3733</v>
      </c>
      <c r="G3176" s="1">
        <v>6</v>
      </c>
      <c r="H3176" s="1" t="str">
        <f t="shared" si="51"/>
        <v>k103_6</v>
      </c>
      <c r="K3176" s="1">
        <f>IF(E3176=0,SUMPRODUCT(($A$2:$A$4734=A3176)*($B$2:$B$4734=B3176)*($D$2:$D$4734=D3176)*($E$2:$E$4734=0)),0)</f>
        <v>0</v>
      </c>
      <c r="L3176" s="1" t="str">
        <f>IF(E3176=0,SUMPRODUCT(MIN($K$2:$K$4734+((($A$2:$A$4734&lt;&gt;A3176)+($E$2:$E$4734&lt;&gt;0))&gt;0)*1000000)),"")</f>
        <v/>
      </c>
      <c r="M3176" s="1">
        <f>IF(AND(E3176=0,COUNTIFS($A$2:A3176,A3176,$E$2:E3176,0)=1),L3176,0)</f>
        <v>0</v>
      </c>
    </row>
    <row r="3177" spans="1:13" ht="15" customHeight="1">
      <c r="A3177" s="1">
        <v>104</v>
      </c>
      <c r="B3177" s="1" t="s">
        <v>16</v>
      </c>
      <c r="C3177" s="2" t="s">
        <v>3734</v>
      </c>
      <c r="D3177" s="2" t="s">
        <v>3735</v>
      </c>
      <c r="E3177" s="1">
        <v>1</v>
      </c>
      <c r="F3177" s="2" t="s">
        <v>3736</v>
      </c>
      <c r="G3177" s="1">
        <v>1</v>
      </c>
      <c r="H3177" s="1" t="str">
        <f t="shared" si="51"/>
        <v>k104_1</v>
      </c>
      <c r="K3177" s="1">
        <f>IF(E3177=0,SUMPRODUCT(($A$2:$A$4734=A3177)*($B$2:$B$4734=B3177)*($D$2:$D$4734=D3177)*($E$2:$E$4734=0)),0)</f>
        <v>0</v>
      </c>
      <c r="L3177" s="1" t="str">
        <f>IF(E3177=0,SUMPRODUCT(MIN($K$2:$K$4734+((($A$2:$A$4734&lt;&gt;A3177)+($E$2:$E$4734&lt;&gt;0))&gt;0)*1000000)),"")</f>
        <v/>
      </c>
      <c r="M3177" s="1">
        <f>IF(AND(E3177=0,COUNTIFS($A$2:A3177,A3177,$E$2:E3177,0)=1),L3177,0)</f>
        <v>0</v>
      </c>
    </row>
    <row r="3178" spans="1:13" ht="15" customHeight="1">
      <c r="A3178" s="1">
        <v>104</v>
      </c>
      <c r="B3178" s="1" t="s">
        <v>16</v>
      </c>
      <c r="C3178" s="2" t="s">
        <v>3734</v>
      </c>
      <c r="D3178" s="2" t="s">
        <v>3735</v>
      </c>
      <c r="E3178" s="1">
        <v>1</v>
      </c>
      <c r="F3178" s="2" t="s">
        <v>3737</v>
      </c>
      <c r="G3178" s="1">
        <v>2</v>
      </c>
      <c r="H3178" s="1" t="str">
        <f t="shared" si="51"/>
        <v>k104_2</v>
      </c>
      <c r="K3178" s="1">
        <f>IF(E3178=0,SUMPRODUCT(($A$2:$A$4734=A3178)*($B$2:$B$4734=B3178)*($D$2:$D$4734=D3178)*($E$2:$E$4734=0)),0)</f>
        <v>0</v>
      </c>
      <c r="L3178" s="1" t="str">
        <f>IF(E3178=0,SUMPRODUCT(MIN($K$2:$K$4734+((($A$2:$A$4734&lt;&gt;A3178)+($E$2:$E$4734&lt;&gt;0))&gt;0)*1000000)),"")</f>
        <v/>
      </c>
      <c r="M3178" s="1">
        <f>IF(AND(E3178=0,COUNTIFS($A$2:A3178,A3178,$E$2:E3178,0)=1),L3178,0)</f>
        <v>0</v>
      </c>
    </row>
    <row r="3179" spans="1:13" ht="15" customHeight="1">
      <c r="A3179" s="1">
        <v>104</v>
      </c>
      <c r="B3179" s="1" t="s">
        <v>16</v>
      </c>
      <c r="C3179" s="2" t="s">
        <v>3734</v>
      </c>
      <c r="D3179" s="2" t="s">
        <v>3735</v>
      </c>
      <c r="E3179" s="1">
        <v>1</v>
      </c>
      <c r="F3179" s="2" t="s">
        <v>3738</v>
      </c>
      <c r="G3179" s="1">
        <v>3</v>
      </c>
      <c r="H3179" s="1" t="str">
        <f t="shared" si="51"/>
        <v>k104_3</v>
      </c>
      <c r="K3179" s="1">
        <f>IF(E3179=0,SUMPRODUCT(($A$2:$A$4734=A3179)*($B$2:$B$4734=B3179)*($D$2:$D$4734=D3179)*($E$2:$E$4734=0)),0)</f>
        <v>0</v>
      </c>
      <c r="L3179" s="1" t="str">
        <f>IF(E3179=0,SUMPRODUCT(MIN($K$2:$K$4734+((($A$2:$A$4734&lt;&gt;A3179)+($E$2:$E$4734&lt;&gt;0))&gt;0)*1000000)),"")</f>
        <v/>
      </c>
      <c r="M3179" s="1">
        <f>IF(AND(E3179=0,COUNTIFS($A$2:A3179,A3179,$E$2:E3179,0)=1),L3179,0)</f>
        <v>0</v>
      </c>
    </row>
    <row r="3180" spans="1:13" ht="15" customHeight="1">
      <c r="A3180" s="1">
        <v>104</v>
      </c>
      <c r="B3180" s="1" t="s">
        <v>16</v>
      </c>
      <c r="C3180" s="2" t="s">
        <v>3734</v>
      </c>
      <c r="D3180" s="2" t="s">
        <v>3735</v>
      </c>
      <c r="E3180" s="1">
        <v>1</v>
      </c>
      <c r="F3180" s="2" t="s">
        <v>3739</v>
      </c>
      <c r="G3180" s="1">
        <v>4</v>
      </c>
      <c r="H3180" s="1" t="str">
        <f t="shared" si="51"/>
        <v>k104_4</v>
      </c>
      <c r="K3180" s="1">
        <f>IF(E3180=0,SUMPRODUCT(($A$2:$A$4734=A3180)*($B$2:$B$4734=B3180)*($D$2:$D$4734=D3180)*($E$2:$E$4734=0)),0)</f>
        <v>0</v>
      </c>
      <c r="L3180" s="1" t="str">
        <f>IF(E3180=0,SUMPRODUCT(MIN($K$2:$K$4734+((($A$2:$A$4734&lt;&gt;A3180)+($E$2:$E$4734&lt;&gt;0))&gt;0)*1000000)),"")</f>
        <v/>
      </c>
      <c r="M3180" s="1">
        <f>IF(AND(E3180=0,COUNTIFS($A$2:A3180,A3180,$E$2:E3180,0)=1),L3180,0)</f>
        <v>0</v>
      </c>
    </row>
    <row r="3181" spans="1:13" ht="15" customHeight="1">
      <c r="A3181" s="1">
        <v>104</v>
      </c>
      <c r="B3181" s="1" t="s">
        <v>635</v>
      </c>
      <c r="C3181" s="2" t="s">
        <v>3734</v>
      </c>
      <c r="D3181" s="2" t="s">
        <v>3740</v>
      </c>
      <c r="E3181" s="1">
        <v>1</v>
      </c>
      <c r="F3181" s="2" t="s">
        <v>3741</v>
      </c>
      <c r="G3181" s="1">
        <v>1</v>
      </c>
      <c r="H3181" s="1" t="str">
        <f t="shared" si="51"/>
        <v>k104_1</v>
      </c>
      <c r="K3181" s="1">
        <f>IF(E3181=0,SUMPRODUCT(($A$2:$A$4734=A3181)*($B$2:$B$4734=B3181)*($D$2:$D$4734=D3181)*($E$2:$E$4734=0)),0)</f>
        <v>0</v>
      </c>
      <c r="L3181" s="1" t="str">
        <f>IF(E3181=0,SUMPRODUCT(MIN($K$2:$K$4734+((($A$2:$A$4734&lt;&gt;A3181)+($E$2:$E$4734&lt;&gt;0))&gt;0)*1000000)),"")</f>
        <v/>
      </c>
      <c r="M3181" s="1">
        <f>IF(AND(E3181=0,COUNTIFS($A$2:A3181,A3181,$E$2:E3181,0)=1),L3181,0)</f>
        <v>0</v>
      </c>
    </row>
    <row r="3182" spans="1:13" ht="15" customHeight="1">
      <c r="A3182" s="1">
        <v>104</v>
      </c>
      <c r="B3182" s="1" t="s">
        <v>635</v>
      </c>
      <c r="C3182" s="2" t="s">
        <v>3734</v>
      </c>
      <c r="D3182" s="2" t="s">
        <v>3740</v>
      </c>
      <c r="E3182" s="1">
        <v>1</v>
      </c>
      <c r="F3182" s="2" t="s">
        <v>3742</v>
      </c>
      <c r="G3182" s="1">
        <v>2</v>
      </c>
      <c r="H3182" s="1" t="str">
        <f t="shared" si="51"/>
        <v>k104_2</v>
      </c>
      <c r="K3182" s="1">
        <f>IF(E3182=0,SUMPRODUCT(($A$2:$A$4734=A3182)*($B$2:$B$4734=B3182)*($D$2:$D$4734=D3182)*($E$2:$E$4734=0)),0)</f>
        <v>0</v>
      </c>
      <c r="L3182" s="1" t="str">
        <f>IF(E3182=0,SUMPRODUCT(MIN($K$2:$K$4734+((($A$2:$A$4734&lt;&gt;A3182)+($E$2:$E$4734&lt;&gt;0))&gt;0)*1000000)),"")</f>
        <v/>
      </c>
      <c r="M3182" s="1">
        <f>IF(AND(E3182=0,COUNTIFS($A$2:A3182,A3182,$E$2:E3182,0)=1),L3182,0)</f>
        <v>0</v>
      </c>
    </row>
    <row r="3183" spans="1:13" ht="15" customHeight="1">
      <c r="A3183" s="1">
        <v>104</v>
      </c>
      <c r="B3183" s="1" t="s">
        <v>635</v>
      </c>
      <c r="C3183" s="2" t="s">
        <v>3734</v>
      </c>
      <c r="D3183" s="2" t="s">
        <v>3740</v>
      </c>
      <c r="E3183" s="1">
        <v>1</v>
      </c>
      <c r="F3183" s="2" t="s">
        <v>3743</v>
      </c>
      <c r="G3183" s="1">
        <v>3</v>
      </c>
      <c r="H3183" s="1" t="str">
        <f t="shared" si="51"/>
        <v>k104_3</v>
      </c>
      <c r="K3183" s="1">
        <f>IF(E3183=0,SUMPRODUCT(($A$2:$A$4734=A3183)*($B$2:$B$4734=B3183)*($D$2:$D$4734=D3183)*($E$2:$E$4734=0)),0)</f>
        <v>0</v>
      </c>
      <c r="L3183" s="1" t="str">
        <f>IF(E3183=0,SUMPRODUCT(MIN($K$2:$K$4734+((($A$2:$A$4734&lt;&gt;A3183)+($E$2:$E$4734&lt;&gt;0))&gt;0)*1000000)),"")</f>
        <v/>
      </c>
      <c r="M3183" s="1">
        <f>IF(AND(E3183=0,COUNTIFS($A$2:A3183,A3183,$E$2:E3183,0)=1),L3183,0)</f>
        <v>0</v>
      </c>
    </row>
    <row r="3184" spans="1:13" ht="15" customHeight="1">
      <c r="A3184" s="1">
        <v>104</v>
      </c>
      <c r="B3184" s="1" t="s">
        <v>635</v>
      </c>
      <c r="C3184" s="2" t="s">
        <v>3734</v>
      </c>
      <c r="D3184" s="2" t="s">
        <v>3740</v>
      </c>
      <c r="E3184" s="1">
        <v>1</v>
      </c>
      <c r="F3184" s="2" t="s">
        <v>3744</v>
      </c>
      <c r="G3184" s="1">
        <v>4</v>
      </c>
      <c r="H3184" s="1" t="str">
        <f t="shared" si="51"/>
        <v>k104_4</v>
      </c>
      <c r="K3184" s="1">
        <f>IF(E3184=0,SUMPRODUCT(($A$2:$A$4734=A3184)*($B$2:$B$4734=B3184)*($D$2:$D$4734=D3184)*($E$2:$E$4734=0)),0)</f>
        <v>0</v>
      </c>
      <c r="L3184" s="1" t="str">
        <f>IF(E3184=0,SUMPRODUCT(MIN($K$2:$K$4734+((($A$2:$A$4734&lt;&gt;A3184)+($E$2:$E$4734&lt;&gt;0))&gt;0)*1000000)),"")</f>
        <v/>
      </c>
      <c r="M3184" s="1">
        <f>IF(AND(E3184=0,COUNTIFS($A$2:A3184,A3184,$E$2:E3184,0)=1),L3184,0)</f>
        <v>0</v>
      </c>
    </row>
    <row r="3185" spans="1:13" ht="15" customHeight="1">
      <c r="A3185" s="1">
        <v>105</v>
      </c>
      <c r="B3185" s="1" t="s">
        <v>16</v>
      </c>
      <c r="C3185" s="2" t="s">
        <v>3745</v>
      </c>
      <c r="D3185" s="2" t="s">
        <v>3746</v>
      </c>
      <c r="E3185" s="1">
        <v>0</v>
      </c>
      <c r="F3185" s="2" t="s">
        <v>3413</v>
      </c>
      <c r="H3185" s="1" t="str">
        <f t="shared" si="51"/>
        <v/>
      </c>
      <c r="K3185" s="1">
        <f>IF(E3185=0,SUMPRODUCT(($A$2:$A$4734=A3185)*($B$2:$B$4734=B3185)*($D$2:$D$4734=D3185)*($E$2:$E$4734=0)),0)</f>
        <v>2</v>
      </c>
      <c r="L3185" s="1">
        <f>IF(E3185=0,SUMPRODUCT(MIN($K$2:$K$4734+((($A$2:$A$4734&lt;&gt;A3185)+($E$2:$E$4734&lt;&gt;0))&gt;0)*1000000)),"")</f>
        <v>2</v>
      </c>
      <c r="M3185" s="1">
        <f>IF(AND(E3185=0,COUNTIFS($A$2:A3185,A3185,$E$2:E3185,0)=1),L3185,0)</f>
        <v>2</v>
      </c>
    </row>
    <row r="3186" spans="1:13" ht="15" customHeight="1">
      <c r="A3186" s="1">
        <v>105</v>
      </c>
      <c r="B3186" s="1" t="s">
        <v>16</v>
      </c>
      <c r="C3186" s="2" t="s">
        <v>3745</v>
      </c>
      <c r="D3186" s="2" t="s">
        <v>3746</v>
      </c>
      <c r="E3186" s="1">
        <v>0</v>
      </c>
      <c r="F3186" s="2" t="s">
        <v>698</v>
      </c>
      <c r="H3186" s="1" t="str">
        <f t="shared" si="51"/>
        <v/>
      </c>
      <c r="K3186" s="1">
        <f>IF(E3186=0,SUMPRODUCT(($A$2:$A$4734=A3186)*($B$2:$B$4734=B3186)*($D$2:$D$4734=D3186)*($E$2:$E$4734=0)),0)</f>
        <v>2</v>
      </c>
      <c r="L3186" s="1">
        <f>IF(E3186=0,SUMPRODUCT(MIN($K$2:$K$4734+((($A$2:$A$4734&lt;&gt;A3186)+($E$2:$E$4734&lt;&gt;0))&gt;0)*1000000)),"")</f>
        <v>2</v>
      </c>
      <c r="M3186" s="1">
        <f>IF(AND(E3186=0,COUNTIFS($A$2:A3186,A3186,$E$2:E3186,0)=1),L3186,0)</f>
        <v>0</v>
      </c>
    </row>
    <row r="3187" spans="1:13" ht="15" customHeight="1">
      <c r="A3187" s="1">
        <v>105</v>
      </c>
      <c r="B3187" s="1" t="s">
        <v>16</v>
      </c>
      <c r="C3187" s="2" t="s">
        <v>3745</v>
      </c>
      <c r="D3187" s="2" t="s">
        <v>3747</v>
      </c>
      <c r="E3187" s="1">
        <v>0</v>
      </c>
      <c r="F3187" s="2" t="s">
        <v>2169</v>
      </c>
      <c r="H3187" s="1" t="str">
        <f t="shared" si="51"/>
        <v/>
      </c>
      <c r="K3187" s="1">
        <f>IF(E3187=0,SUMPRODUCT(($A$2:$A$4734=A3187)*($B$2:$B$4734=B3187)*($D$2:$D$4734=D3187)*($E$2:$E$4734=0)),0)</f>
        <v>5</v>
      </c>
      <c r="L3187" s="1">
        <f>IF(E3187=0,SUMPRODUCT(MIN($K$2:$K$4734+((($A$2:$A$4734&lt;&gt;A3187)+($E$2:$E$4734&lt;&gt;0))&gt;0)*1000000)),"")</f>
        <v>2</v>
      </c>
      <c r="M3187" s="1">
        <f>IF(AND(E3187=0,COUNTIFS($A$2:A3187,A3187,$E$2:E3187,0)=1),L3187,0)</f>
        <v>0</v>
      </c>
    </row>
    <row r="3188" spans="1:13" ht="15" customHeight="1">
      <c r="A3188" s="1">
        <v>105</v>
      </c>
      <c r="B3188" s="1" t="s">
        <v>16</v>
      </c>
      <c r="C3188" s="2" t="s">
        <v>3745</v>
      </c>
      <c r="D3188" s="2" t="s">
        <v>3747</v>
      </c>
      <c r="E3188" s="1">
        <v>0</v>
      </c>
      <c r="F3188" s="2" t="s">
        <v>3748</v>
      </c>
      <c r="H3188" s="1" t="str">
        <f t="shared" si="51"/>
        <v/>
      </c>
      <c r="K3188" s="1">
        <f>IF(E3188=0,SUMPRODUCT(($A$2:$A$4734=A3188)*($B$2:$B$4734=B3188)*($D$2:$D$4734=D3188)*($E$2:$E$4734=0)),0)</f>
        <v>5</v>
      </c>
      <c r="L3188" s="1">
        <f>IF(E3188=0,SUMPRODUCT(MIN($K$2:$K$4734+((($A$2:$A$4734&lt;&gt;A3188)+($E$2:$E$4734&lt;&gt;0))&gt;0)*1000000)),"")</f>
        <v>2</v>
      </c>
      <c r="M3188" s="1">
        <f>IF(AND(E3188=0,COUNTIFS($A$2:A3188,A3188,$E$2:E3188,0)=1),L3188,0)</f>
        <v>0</v>
      </c>
    </row>
    <row r="3189" spans="1:13" ht="15" customHeight="1">
      <c r="A3189" s="1">
        <v>105</v>
      </c>
      <c r="B3189" s="1" t="s">
        <v>16</v>
      </c>
      <c r="C3189" s="2" t="s">
        <v>3745</v>
      </c>
      <c r="D3189" s="2" t="s">
        <v>3747</v>
      </c>
      <c r="E3189" s="1">
        <v>0</v>
      </c>
      <c r="F3189" s="2" t="s">
        <v>3749</v>
      </c>
      <c r="H3189" s="1" t="str">
        <f t="shared" si="51"/>
        <v/>
      </c>
      <c r="K3189" s="1">
        <f>IF(E3189=0,SUMPRODUCT(($A$2:$A$4734=A3189)*($B$2:$B$4734=B3189)*($D$2:$D$4734=D3189)*($E$2:$E$4734=0)),0)</f>
        <v>5</v>
      </c>
      <c r="L3189" s="1">
        <f>IF(E3189=0,SUMPRODUCT(MIN($K$2:$K$4734+((($A$2:$A$4734&lt;&gt;A3189)+($E$2:$E$4734&lt;&gt;0))&gt;0)*1000000)),"")</f>
        <v>2</v>
      </c>
      <c r="M3189" s="1">
        <f>IF(AND(E3189=0,COUNTIFS($A$2:A3189,A3189,$E$2:E3189,0)=1),L3189,0)</f>
        <v>0</v>
      </c>
    </row>
    <row r="3190" spans="1:13" ht="15" customHeight="1">
      <c r="A3190" s="1">
        <v>105</v>
      </c>
      <c r="B3190" s="1" t="s">
        <v>16</v>
      </c>
      <c r="C3190" s="2" t="s">
        <v>3745</v>
      </c>
      <c r="D3190" s="2" t="s">
        <v>3747</v>
      </c>
      <c r="E3190" s="1">
        <v>0</v>
      </c>
      <c r="F3190" s="2" t="s">
        <v>3750</v>
      </c>
      <c r="H3190" s="1" t="str">
        <f t="shared" si="51"/>
        <v/>
      </c>
      <c r="K3190" s="1">
        <f>IF(E3190=0,SUMPRODUCT(($A$2:$A$4734=A3190)*($B$2:$B$4734=B3190)*($D$2:$D$4734=D3190)*($E$2:$E$4734=0)),0)</f>
        <v>5</v>
      </c>
      <c r="L3190" s="1">
        <f>IF(E3190=0,SUMPRODUCT(MIN($K$2:$K$4734+((($A$2:$A$4734&lt;&gt;A3190)+($E$2:$E$4734&lt;&gt;0))&gt;0)*1000000)),"")</f>
        <v>2</v>
      </c>
      <c r="M3190" s="1">
        <f>IF(AND(E3190=0,COUNTIFS($A$2:A3190,A3190,$E$2:E3190,0)=1),L3190,0)</f>
        <v>0</v>
      </c>
    </row>
    <row r="3191" spans="1:13" ht="15" customHeight="1">
      <c r="A3191" s="1">
        <v>105</v>
      </c>
      <c r="B3191" s="1" t="s">
        <v>16</v>
      </c>
      <c r="C3191" s="2" t="s">
        <v>3745</v>
      </c>
      <c r="D3191" s="2" t="s">
        <v>3747</v>
      </c>
      <c r="E3191" s="1">
        <v>0</v>
      </c>
      <c r="F3191" s="2" t="s">
        <v>3751</v>
      </c>
      <c r="H3191" s="1" t="str">
        <f t="shared" si="51"/>
        <v/>
      </c>
      <c r="K3191" s="1">
        <f>IF(E3191=0,SUMPRODUCT(($A$2:$A$4734=A3191)*($B$2:$B$4734=B3191)*($D$2:$D$4734=D3191)*($E$2:$E$4734=0)),0)</f>
        <v>5</v>
      </c>
      <c r="L3191" s="1">
        <f>IF(E3191=0,SUMPRODUCT(MIN($K$2:$K$4734+((($A$2:$A$4734&lt;&gt;A3191)+($E$2:$E$4734&lt;&gt;0))&gt;0)*1000000)),"")</f>
        <v>2</v>
      </c>
      <c r="M3191" s="1">
        <f>IF(AND(E3191=0,COUNTIFS($A$2:A3191,A3191,$E$2:E3191,0)=1),L3191,0)</f>
        <v>0</v>
      </c>
    </row>
    <row r="3192" spans="1:13" ht="15" customHeight="1">
      <c r="A3192" s="1">
        <v>106</v>
      </c>
      <c r="B3192" s="1" t="s">
        <v>16</v>
      </c>
      <c r="C3192" s="2" t="s">
        <v>3752</v>
      </c>
      <c r="D3192" s="2" t="s">
        <v>3753</v>
      </c>
      <c r="E3192" s="1">
        <v>0</v>
      </c>
      <c r="F3192" s="2" t="s">
        <v>3754</v>
      </c>
      <c r="H3192" s="1" t="str">
        <f t="shared" si="51"/>
        <v/>
      </c>
      <c r="K3192" s="1">
        <f>IF(E3192=0,SUMPRODUCT(($A$2:$A$4734=A3192)*($B$2:$B$4734=B3192)*($D$2:$D$4734=D3192)*($E$2:$E$4734=0)),0)</f>
        <v>6</v>
      </c>
      <c r="L3192" s="1">
        <f>IF(E3192=0,SUMPRODUCT(MIN($K$2:$K$4734+((($A$2:$A$4734&lt;&gt;A3192)+($E$2:$E$4734&lt;&gt;0))&gt;0)*1000000)),"")</f>
        <v>4</v>
      </c>
      <c r="M3192" s="1">
        <f>IF(AND(E3192=0,COUNTIFS($A$2:A3192,A3192,$E$2:E3192,0)=1),L3192,0)</f>
        <v>4</v>
      </c>
    </row>
    <row r="3193" spans="1:13" ht="15" customHeight="1">
      <c r="A3193" s="1">
        <v>106</v>
      </c>
      <c r="B3193" s="1" t="s">
        <v>16</v>
      </c>
      <c r="C3193" s="2" t="s">
        <v>3752</v>
      </c>
      <c r="D3193" s="2" t="s">
        <v>3753</v>
      </c>
      <c r="E3193" s="1">
        <v>0</v>
      </c>
      <c r="F3193" s="2" t="s">
        <v>3755</v>
      </c>
      <c r="H3193" s="1" t="str">
        <f t="shared" si="51"/>
        <v/>
      </c>
      <c r="K3193" s="1">
        <f>IF(E3193=0,SUMPRODUCT(($A$2:$A$4734=A3193)*($B$2:$B$4734=B3193)*($D$2:$D$4734=D3193)*($E$2:$E$4734=0)),0)</f>
        <v>6</v>
      </c>
      <c r="L3193" s="1">
        <f>IF(E3193=0,SUMPRODUCT(MIN($K$2:$K$4734+((($A$2:$A$4734&lt;&gt;A3193)+($E$2:$E$4734&lt;&gt;0))&gt;0)*1000000)),"")</f>
        <v>4</v>
      </c>
      <c r="M3193" s="1">
        <f>IF(AND(E3193=0,COUNTIFS($A$2:A3193,A3193,$E$2:E3193,0)=1),L3193,0)</f>
        <v>0</v>
      </c>
    </row>
    <row r="3194" spans="1:13" ht="15" customHeight="1">
      <c r="A3194" s="1">
        <v>106</v>
      </c>
      <c r="B3194" s="1" t="s">
        <v>16</v>
      </c>
      <c r="C3194" s="2" t="s">
        <v>3752</v>
      </c>
      <c r="D3194" s="2" t="s">
        <v>3753</v>
      </c>
      <c r="E3194" s="1">
        <v>0</v>
      </c>
      <c r="F3194" s="2" t="s">
        <v>3756</v>
      </c>
      <c r="H3194" s="1" t="str">
        <f t="shared" si="51"/>
        <v/>
      </c>
      <c r="K3194" s="1">
        <f>IF(E3194=0,SUMPRODUCT(($A$2:$A$4734=A3194)*($B$2:$B$4734=B3194)*($D$2:$D$4734=D3194)*($E$2:$E$4734=0)),0)</f>
        <v>6</v>
      </c>
      <c r="L3194" s="1">
        <f>IF(E3194=0,SUMPRODUCT(MIN($K$2:$K$4734+((($A$2:$A$4734&lt;&gt;A3194)+($E$2:$E$4734&lt;&gt;0))&gt;0)*1000000)),"")</f>
        <v>4</v>
      </c>
      <c r="M3194" s="1">
        <f>IF(AND(E3194=0,COUNTIFS($A$2:A3194,A3194,$E$2:E3194,0)=1),L3194,0)</f>
        <v>0</v>
      </c>
    </row>
    <row r="3195" spans="1:13" ht="15" customHeight="1">
      <c r="A3195" s="1">
        <v>106</v>
      </c>
      <c r="B3195" s="1" t="s">
        <v>16</v>
      </c>
      <c r="C3195" s="2" t="s">
        <v>3752</v>
      </c>
      <c r="D3195" s="2" t="s">
        <v>3753</v>
      </c>
      <c r="E3195" s="1">
        <v>0</v>
      </c>
      <c r="F3195" s="2" t="s">
        <v>3757</v>
      </c>
      <c r="H3195" s="1" t="str">
        <f t="shared" si="51"/>
        <v/>
      </c>
      <c r="K3195" s="1">
        <f>IF(E3195=0,SUMPRODUCT(($A$2:$A$4734=A3195)*($B$2:$B$4734=B3195)*($D$2:$D$4734=D3195)*($E$2:$E$4734=0)),0)</f>
        <v>6</v>
      </c>
      <c r="L3195" s="1">
        <f>IF(E3195=0,SUMPRODUCT(MIN($K$2:$K$4734+((($A$2:$A$4734&lt;&gt;A3195)+($E$2:$E$4734&lt;&gt;0))&gt;0)*1000000)),"")</f>
        <v>4</v>
      </c>
      <c r="M3195" s="1">
        <f>IF(AND(E3195=0,COUNTIFS($A$2:A3195,A3195,$E$2:E3195,0)=1),L3195,0)</f>
        <v>0</v>
      </c>
    </row>
    <row r="3196" spans="1:13" ht="15" customHeight="1">
      <c r="A3196" s="1">
        <v>106</v>
      </c>
      <c r="B3196" s="1" t="s">
        <v>16</v>
      </c>
      <c r="C3196" s="2" t="s">
        <v>3752</v>
      </c>
      <c r="D3196" s="2" t="s">
        <v>3753</v>
      </c>
      <c r="E3196" s="1">
        <v>0</v>
      </c>
      <c r="F3196" s="2" t="s">
        <v>3758</v>
      </c>
      <c r="H3196" s="1" t="str">
        <f t="shared" si="51"/>
        <v/>
      </c>
      <c r="K3196" s="1">
        <f>IF(E3196=0,SUMPRODUCT(($A$2:$A$4734=A3196)*($B$2:$B$4734=B3196)*($D$2:$D$4734=D3196)*($E$2:$E$4734=0)),0)</f>
        <v>6</v>
      </c>
      <c r="L3196" s="1">
        <f>IF(E3196=0,SUMPRODUCT(MIN($K$2:$K$4734+((($A$2:$A$4734&lt;&gt;A3196)+($E$2:$E$4734&lt;&gt;0))&gt;0)*1000000)),"")</f>
        <v>4</v>
      </c>
      <c r="M3196" s="1">
        <f>IF(AND(E3196=0,COUNTIFS($A$2:A3196,A3196,$E$2:E3196,0)=1),L3196,0)</f>
        <v>0</v>
      </c>
    </row>
    <row r="3197" spans="1:13" ht="15" customHeight="1">
      <c r="A3197" s="1">
        <v>106</v>
      </c>
      <c r="B3197" s="1" t="s">
        <v>16</v>
      </c>
      <c r="C3197" s="2" t="s">
        <v>3752</v>
      </c>
      <c r="D3197" s="2" t="s">
        <v>3753</v>
      </c>
      <c r="E3197" s="1">
        <v>0</v>
      </c>
      <c r="F3197" s="2" t="s">
        <v>3759</v>
      </c>
      <c r="H3197" s="1" t="str">
        <f t="shared" si="51"/>
        <v/>
      </c>
      <c r="K3197" s="1">
        <f>IF(E3197=0,SUMPRODUCT(($A$2:$A$4734=A3197)*($B$2:$B$4734=B3197)*($D$2:$D$4734=D3197)*($E$2:$E$4734=0)),0)</f>
        <v>6</v>
      </c>
      <c r="L3197" s="1">
        <f>IF(E3197=0,SUMPRODUCT(MIN($K$2:$K$4734+((($A$2:$A$4734&lt;&gt;A3197)+($E$2:$E$4734&lt;&gt;0))&gt;0)*1000000)),"")</f>
        <v>4</v>
      </c>
      <c r="M3197" s="1">
        <f>IF(AND(E3197=0,COUNTIFS($A$2:A3197,A3197,$E$2:E3197,0)=1),L3197,0)</f>
        <v>0</v>
      </c>
    </row>
    <row r="3198" spans="1:13" ht="15" customHeight="1">
      <c r="A3198" s="1">
        <v>106</v>
      </c>
      <c r="B3198" s="1" t="s">
        <v>9</v>
      </c>
      <c r="C3198" s="2" t="s">
        <v>3752</v>
      </c>
      <c r="D3198" s="2" t="s">
        <v>3760</v>
      </c>
      <c r="E3198" s="1">
        <v>0</v>
      </c>
      <c r="F3198" s="2" t="s">
        <v>3761</v>
      </c>
      <c r="H3198" s="1" t="str">
        <f t="shared" si="51"/>
        <v/>
      </c>
      <c r="K3198" s="1">
        <f>IF(E3198=0,SUMPRODUCT(($A$2:$A$4734=A3198)*($B$2:$B$4734=B3198)*($D$2:$D$4734=D3198)*($E$2:$E$4734=0)),0)</f>
        <v>4</v>
      </c>
      <c r="L3198" s="1">
        <f>IF(E3198=0,SUMPRODUCT(MIN($K$2:$K$4734+((($A$2:$A$4734&lt;&gt;A3198)+($E$2:$E$4734&lt;&gt;0))&gt;0)*1000000)),"")</f>
        <v>4</v>
      </c>
      <c r="M3198" s="1">
        <f>IF(AND(E3198=0,COUNTIFS($A$2:A3198,A3198,$E$2:E3198,0)=1),L3198,0)</f>
        <v>0</v>
      </c>
    </row>
    <row r="3199" spans="1:13" ht="15" customHeight="1">
      <c r="A3199" s="1">
        <v>106</v>
      </c>
      <c r="B3199" s="1" t="s">
        <v>9</v>
      </c>
      <c r="C3199" s="2" t="s">
        <v>3752</v>
      </c>
      <c r="D3199" s="2" t="s">
        <v>3760</v>
      </c>
      <c r="E3199" s="1">
        <v>0</v>
      </c>
      <c r="F3199" s="2" t="s">
        <v>3762</v>
      </c>
      <c r="H3199" s="1" t="str">
        <f t="shared" si="51"/>
        <v/>
      </c>
      <c r="K3199" s="1">
        <f>IF(E3199=0,SUMPRODUCT(($A$2:$A$4734=A3199)*($B$2:$B$4734=B3199)*($D$2:$D$4734=D3199)*($E$2:$E$4734=0)),0)</f>
        <v>4</v>
      </c>
      <c r="L3199" s="1">
        <f>IF(E3199=0,SUMPRODUCT(MIN($K$2:$K$4734+((($A$2:$A$4734&lt;&gt;A3199)+($E$2:$E$4734&lt;&gt;0))&gt;0)*1000000)),"")</f>
        <v>4</v>
      </c>
      <c r="M3199" s="1">
        <f>IF(AND(E3199=0,COUNTIFS($A$2:A3199,A3199,$E$2:E3199,0)=1),L3199,0)</f>
        <v>0</v>
      </c>
    </row>
    <row r="3200" spans="1:13" ht="15" customHeight="1">
      <c r="A3200" s="1">
        <v>106</v>
      </c>
      <c r="B3200" s="1" t="s">
        <v>9</v>
      </c>
      <c r="C3200" s="2" t="s">
        <v>3752</v>
      </c>
      <c r="D3200" s="2" t="s">
        <v>3760</v>
      </c>
      <c r="E3200" s="1">
        <v>0</v>
      </c>
      <c r="F3200" s="2" t="s">
        <v>3763</v>
      </c>
      <c r="H3200" s="1" t="str">
        <f t="shared" si="51"/>
        <v/>
      </c>
      <c r="K3200" s="1">
        <f>IF(E3200=0,SUMPRODUCT(($A$2:$A$4734=A3200)*($B$2:$B$4734=B3200)*($D$2:$D$4734=D3200)*($E$2:$E$4734=0)),0)</f>
        <v>4</v>
      </c>
      <c r="L3200" s="1">
        <f>IF(E3200=0,SUMPRODUCT(MIN($K$2:$K$4734+((($A$2:$A$4734&lt;&gt;A3200)+($E$2:$E$4734&lt;&gt;0))&gt;0)*1000000)),"")</f>
        <v>4</v>
      </c>
      <c r="M3200" s="1">
        <f>IF(AND(E3200=0,COUNTIFS($A$2:A3200,A3200,$E$2:E3200,0)=1),L3200,0)</f>
        <v>0</v>
      </c>
    </row>
    <row r="3201" spans="1:13" ht="15" customHeight="1">
      <c r="A3201" s="1">
        <v>106</v>
      </c>
      <c r="B3201" s="1" t="s">
        <v>9</v>
      </c>
      <c r="C3201" s="2" t="s">
        <v>3752</v>
      </c>
      <c r="D3201" s="2" t="s">
        <v>3760</v>
      </c>
      <c r="E3201" s="1">
        <v>0</v>
      </c>
      <c r="F3201" s="2" t="s">
        <v>3764</v>
      </c>
      <c r="H3201" s="1" t="str">
        <f t="shared" si="51"/>
        <v/>
      </c>
      <c r="K3201" s="1">
        <f>IF(E3201=0,SUMPRODUCT(($A$2:$A$4734=A3201)*($B$2:$B$4734=B3201)*($D$2:$D$4734=D3201)*($E$2:$E$4734=0)),0)</f>
        <v>4</v>
      </c>
      <c r="L3201" s="1">
        <f>IF(E3201=0,SUMPRODUCT(MIN($K$2:$K$4734+((($A$2:$A$4734&lt;&gt;A3201)+($E$2:$E$4734&lt;&gt;0))&gt;0)*1000000)),"")</f>
        <v>4</v>
      </c>
      <c r="M3201" s="1">
        <f>IF(AND(E3201=0,COUNTIFS($A$2:A3201,A3201,$E$2:E3201,0)=1),L3201,0)</f>
        <v>0</v>
      </c>
    </row>
    <row r="3202" spans="1:13" ht="15" customHeight="1">
      <c r="A3202" s="1">
        <v>107</v>
      </c>
      <c r="B3202" s="1" t="s">
        <v>358</v>
      </c>
      <c r="C3202" s="2" t="s">
        <v>3765</v>
      </c>
      <c r="D3202" s="2" t="s">
        <v>3765</v>
      </c>
      <c r="E3202" s="1">
        <v>1</v>
      </c>
      <c r="F3202" s="2" t="s">
        <v>3766</v>
      </c>
      <c r="G3202" s="1">
        <v>1</v>
      </c>
      <c r="H3202" s="1" t="str">
        <f t="shared" si="51"/>
        <v>k107_1</v>
      </c>
      <c r="K3202" s="1">
        <f>IF(E3202=0,SUMPRODUCT(($A$2:$A$4734=A3202)*($B$2:$B$4734=B3202)*($D$2:$D$4734=D3202)*($E$2:$E$4734=0)),0)</f>
        <v>0</v>
      </c>
      <c r="L3202" s="1" t="str">
        <f>IF(E3202=0,SUMPRODUCT(MIN($K$2:$K$4734+((($A$2:$A$4734&lt;&gt;A3202)+($E$2:$E$4734&lt;&gt;0))&gt;0)*1000000)),"")</f>
        <v/>
      </c>
      <c r="M3202" s="1">
        <f>IF(AND(E3202=0,COUNTIFS($A$2:A3202,A3202,$E$2:E3202,0)=1),L3202,0)</f>
        <v>0</v>
      </c>
    </row>
    <row r="3203" spans="1:13" ht="15" customHeight="1">
      <c r="A3203" s="1">
        <v>107</v>
      </c>
      <c r="B3203" s="1" t="s">
        <v>358</v>
      </c>
      <c r="C3203" s="2" t="s">
        <v>3765</v>
      </c>
      <c r="D3203" s="2" t="s">
        <v>3765</v>
      </c>
      <c r="E3203" s="1">
        <v>1</v>
      </c>
      <c r="F3203" s="2" t="s">
        <v>3767</v>
      </c>
      <c r="G3203" s="1">
        <v>2</v>
      </c>
      <c r="H3203" s="1" t="str">
        <f t="shared" si="51"/>
        <v>k107_2</v>
      </c>
      <c r="K3203" s="1">
        <f>IF(E3203=0,SUMPRODUCT(($A$2:$A$4734=A3203)*($B$2:$B$4734=B3203)*($D$2:$D$4734=D3203)*($E$2:$E$4734=0)),0)</f>
        <v>0</v>
      </c>
      <c r="L3203" s="1" t="str">
        <f>IF(E3203=0,SUMPRODUCT(MIN($K$2:$K$4734+((($A$2:$A$4734&lt;&gt;A3203)+($E$2:$E$4734&lt;&gt;0))&gt;0)*1000000)),"")</f>
        <v/>
      </c>
      <c r="M3203" s="1">
        <f>IF(AND(E3203=0,COUNTIFS($A$2:A3203,A3203,$E$2:E3203,0)=1),L3203,0)</f>
        <v>0</v>
      </c>
    </row>
    <row r="3204" spans="1:13" ht="15" customHeight="1">
      <c r="A3204" s="1">
        <v>107</v>
      </c>
      <c r="B3204" s="1" t="s">
        <v>358</v>
      </c>
      <c r="C3204" s="2" t="s">
        <v>3765</v>
      </c>
      <c r="D3204" s="2" t="s">
        <v>3765</v>
      </c>
      <c r="E3204" s="1">
        <v>1</v>
      </c>
      <c r="F3204" s="2" t="s">
        <v>3768</v>
      </c>
      <c r="G3204" s="1">
        <v>3</v>
      </c>
      <c r="H3204" s="1" t="str">
        <f t="shared" si="51"/>
        <v>k107_3</v>
      </c>
      <c r="K3204" s="1">
        <f>IF(E3204=0,SUMPRODUCT(($A$2:$A$4734=A3204)*($B$2:$B$4734=B3204)*($D$2:$D$4734=D3204)*($E$2:$E$4734=0)),0)</f>
        <v>0</v>
      </c>
      <c r="L3204" s="1" t="str">
        <f>IF(E3204=0,SUMPRODUCT(MIN($K$2:$K$4734+((($A$2:$A$4734&lt;&gt;A3204)+($E$2:$E$4734&lt;&gt;0))&gt;0)*1000000)),"")</f>
        <v/>
      </c>
      <c r="M3204" s="1">
        <f>IF(AND(E3204=0,COUNTIFS($A$2:A3204,A3204,$E$2:E3204,0)=1),L3204,0)</f>
        <v>0</v>
      </c>
    </row>
    <row r="3205" spans="1:13" ht="15" customHeight="1">
      <c r="A3205" s="1">
        <v>107</v>
      </c>
      <c r="B3205" s="1" t="s">
        <v>358</v>
      </c>
      <c r="C3205" s="2" t="s">
        <v>3765</v>
      </c>
      <c r="D3205" s="2" t="s">
        <v>3765</v>
      </c>
      <c r="E3205" s="1">
        <v>1</v>
      </c>
      <c r="F3205" s="2" t="s">
        <v>3769</v>
      </c>
      <c r="G3205" s="1">
        <v>4</v>
      </c>
      <c r="H3205" s="1" t="str">
        <f t="shared" si="51"/>
        <v>k107_4</v>
      </c>
      <c r="K3205" s="1">
        <f>IF(E3205=0,SUMPRODUCT(($A$2:$A$4734=A3205)*($B$2:$B$4734=B3205)*($D$2:$D$4734=D3205)*($E$2:$E$4734=0)),0)</f>
        <v>0</v>
      </c>
      <c r="L3205" s="1" t="str">
        <f>IF(E3205=0,SUMPRODUCT(MIN($K$2:$K$4734+((($A$2:$A$4734&lt;&gt;A3205)+($E$2:$E$4734&lt;&gt;0))&gt;0)*1000000)),"")</f>
        <v/>
      </c>
      <c r="M3205" s="1">
        <f>IF(AND(E3205=0,COUNTIFS($A$2:A3205,A3205,$E$2:E3205,0)=1),L3205,0)</f>
        <v>0</v>
      </c>
    </row>
    <row r="3206" spans="1:13" ht="15" customHeight="1">
      <c r="A3206" s="1">
        <v>108</v>
      </c>
      <c r="B3206" s="1" t="s">
        <v>9</v>
      </c>
      <c r="C3206" s="2" t="s">
        <v>3770</v>
      </c>
      <c r="D3206" s="2" t="s">
        <v>3771</v>
      </c>
      <c r="E3206" s="1">
        <v>1</v>
      </c>
      <c r="F3206" s="2" t="s">
        <v>3772</v>
      </c>
      <c r="G3206" s="1">
        <v>1</v>
      </c>
      <c r="H3206" s="1" t="str">
        <f t="shared" si="51"/>
        <v>k108_1</v>
      </c>
      <c r="K3206" s="1">
        <f>IF(E3206=0,SUMPRODUCT(($A$2:$A$4734=A3206)*($B$2:$B$4734=B3206)*($D$2:$D$4734=D3206)*($E$2:$E$4734=0)),0)</f>
        <v>0</v>
      </c>
      <c r="L3206" s="1" t="str">
        <f>IF(E3206=0,SUMPRODUCT(MIN($K$2:$K$4734+((($A$2:$A$4734&lt;&gt;A3206)+($E$2:$E$4734&lt;&gt;0))&gt;0)*1000000)),"")</f>
        <v/>
      </c>
      <c r="M3206" s="1">
        <f>IF(AND(E3206=0,COUNTIFS($A$2:A3206,A3206,$E$2:E3206,0)=1),L3206,0)</f>
        <v>0</v>
      </c>
    </row>
    <row r="3207" spans="1:13" ht="15" customHeight="1">
      <c r="A3207" s="1">
        <v>108</v>
      </c>
      <c r="B3207" s="1" t="s">
        <v>9</v>
      </c>
      <c r="C3207" s="2" t="s">
        <v>3773</v>
      </c>
      <c r="D3207" s="2" t="s">
        <v>3771</v>
      </c>
      <c r="E3207" s="1">
        <v>1</v>
      </c>
      <c r="F3207" s="2" t="s">
        <v>3774</v>
      </c>
      <c r="G3207" s="1">
        <v>2</v>
      </c>
      <c r="H3207" s="1" t="str">
        <f t="shared" si="51"/>
        <v>k108_2</v>
      </c>
      <c r="K3207" s="1">
        <f>IF(E3207=0,SUMPRODUCT(($A$2:$A$4734=A3207)*($B$2:$B$4734=B3207)*($D$2:$D$4734=D3207)*($E$2:$E$4734=0)),0)</f>
        <v>0</v>
      </c>
      <c r="L3207" s="1" t="str">
        <f>IF(E3207=0,SUMPRODUCT(MIN($K$2:$K$4734+((($A$2:$A$4734&lt;&gt;A3207)+($E$2:$E$4734&lt;&gt;0))&gt;0)*1000000)),"")</f>
        <v/>
      </c>
      <c r="M3207" s="1">
        <f>IF(AND(E3207=0,COUNTIFS($A$2:A3207,A3207,$E$2:E3207,0)=1),L3207,0)</f>
        <v>0</v>
      </c>
    </row>
    <row r="3208" spans="1:13" ht="15" customHeight="1">
      <c r="A3208" s="1">
        <v>108</v>
      </c>
      <c r="B3208" s="1" t="s">
        <v>9</v>
      </c>
      <c r="C3208" s="2" t="s">
        <v>3775</v>
      </c>
      <c r="D3208" s="2" t="s">
        <v>3771</v>
      </c>
      <c r="E3208" s="1">
        <v>1</v>
      </c>
      <c r="F3208" s="2" t="s">
        <v>3776</v>
      </c>
      <c r="G3208" s="1">
        <v>3</v>
      </c>
      <c r="H3208" s="1" t="str">
        <f t="shared" si="51"/>
        <v>k108_3</v>
      </c>
      <c r="K3208" s="1">
        <f>IF(E3208=0,SUMPRODUCT(($A$2:$A$4734=A3208)*($B$2:$B$4734=B3208)*($D$2:$D$4734=D3208)*($E$2:$E$4734=0)),0)</f>
        <v>0</v>
      </c>
      <c r="L3208" s="1" t="str">
        <f>IF(E3208=0,SUMPRODUCT(MIN($K$2:$K$4734+((($A$2:$A$4734&lt;&gt;A3208)+($E$2:$E$4734&lt;&gt;0))&gt;0)*1000000)),"")</f>
        <v/>
      </c>
      <c r="M3208" s="1">
        <f>IF(AND(E3208=0,COUNTIFS($A$2:A3208,A3208,$E$2:E3208,0)=1),L3208,0)</f>
        <v>0</v>
      </c>
    </row>
    <row r="3209" spans="1:13" ht="15" customHeight="1">
      <c r="A3209" s="1">
        <v>108</v>
      </c>
      <c r="B3209" s="1" t="s">
        <v>9</v>
      </c>
      <c r="C3209" s="2" t="s">
        <v>3777</v>
      </c>
      <c r="D3209" s="2" t="s">
        <v>3771</v>
      </c>
      <c r="E3209" s="1">
        <v>1</v>
      </c>
      <c r="F3209" s="2" t="s">
        <v>3778</v>
      </c>
      <c r="G3209" s="1">
        <v>4</v>
      </c>
      <c r="H3209" s="1" t="str">
        <f t="shared" si="51"/>
        <v>k108_4</v>
      </c>
      <c r="K3209" s="1">
        <f>IF(E3209=0,SUMPRODUCT(($A$2:$A$4734=A3209)*($B$2:$B$4734=B3209)*($D$2:$D$4734=D3209)*($E$2:$E$4734=0)),0)</f>
        <v>0</v>
      </c>
      <c r="L3209" s="1" t="str">
        <f>IF(E3209=0,SUMPRODUCT(MIN($K$2:$K$4734+((($A$2:$A$4734&lt;&gt;A3209)+($E$2:$E$4734&lt;&gt;0))&gt;0)*1000000)),"")</f>
        <v/>
      </c>
      <c r="M3209" s="1">
        <f>IF(AND(E3209=0,COUNTIFS($A$2:A3209,A3209,$E$2:E3209,0)=1),L3209,0)</f>
        <v>0</v>
      </c>
    </row>
    <row r="3210" spans="1:13" ht="15" customHeight="1">
      <c r="A3210" s="1">
        <v>108</v>
      </c>
      <c r="B3210" s="1" t="s">
        <v>95</v>
      </c>
      <c r="C3210" s="2" t="s">
        <v>3779</v>
      </c>
      <c r="D3210" s="2" t="s">
        <v>3780</v>
      </c>
      <c r="E3210" s="1">
        <v>1</v>
      </c>
      <c r="F3210" s="2" t="s">
        <v>3781</v>
      </c>
      <c r="G3210" s="1">
        <v>1</v>
      </c>
      <c r="H3210" s="1" t="str">
        <f t="shared" si="51"/>
        <v>k108_1</v>
      </c>
      <c r="K3210" s="1">
        <f>IF(E3210=0,SUMPRODUCT(($A$2:$A$4734=A3210)*($B$2:$B$4734=B3210)*($D$2:$D$4734=D3210)*($E$2:$E$4734=0)),0)</f>
        <v>0</v>
      </c>
      <c r="L3210" s="1" t="str">
        <f>IF(E3210=0,SUMPRODUCT(MIN($K$2:$K$4734+((($A$2:$A$4734&lt;&gt;A3210)+($E$2:$E$4734&lt;&gt;0))&gt;0)*1000000)),"")</f>
        <v/>
      </c>
      <c r="M3210" s="1">
        <f>IF(AND(E3210=0,COUNTIFS($A$2:A3210,A3210,$E$2:E3210,0)=1),L3210,0)</f>
        <v>0</v>
      </c>
    </row>
    <row r="3211" spans="1:13" ht="15" customHeight="1">
      <c r="A3211" s="1">
        <v>108</v>
      </c>
      <c r="B3211" s="1" t="s">
        <v>95</v>
      </c>
      <c r="C3211" s="2" t="s">
        <v>3782</v>
      </c>
      <c r="D3211" s="2" t="s">
        <v>3780</v>
      </c>
      <c r="E3211" s="1">
        <v>1</v>
      </c>
      <c r="F3211" s="2" t="s">
        <v>3783</v>
      </c>
      <c r="G3211" s="1">
        <v>2</v>
      </c>
      <c r="H3211" s="1" t="str">
        <f t="shared" si="51"/>
        <v>k108_2</v>
      </c>
      <c r="K3211" s="1">
        <f>IF(E3211=0,SUMPRODUCT(($A$2:$A$4734=A3211)*($B$2:$B$4734=B3211)*($D$2:$D$4734=D3211)*($E$2:$E$4734=0)),0)</f>
        <v>0</v>
      </c>
      <c r="L3211" s="1" t="str">
        <f>IF(E3211=0,SUMPRODUCT(MIN($K$2:$K$4734+((($A$2:$A$4734&lt;&gt;A3211)+($E$2:$E$4734&lt;&gt;0))&gt;0)*1000000)),"")</f>
        <v/>
      </c>
      <c r="M3211" s="1">
        <f>IF(AND(E3211=0,COUNTIFS($A$2:A3211,A3211,$E$2:E3211,0)=1),L3211,0)</f>
        <v>0</v>
      </c>
    </row>
    <row r="3212" spans="1:13" ht="15" customHeight="1">
      <c r="A3212" s="1">
        <v>108</v>
      </c>
      <c r="B3212" s="1" t="s">
        <v>95</v>
      </c>
      <c r="C3212" s="2" t="s">
        <v>3784</v>
      </c>
      <c r="D3212" s="2" t="s">
        <v>3780</v>
      </c>
      <c r="E3212" s="1">
        <v>1</v>
      </c>
      <c r="F3212" s="2" t="s">
        <v>3785</v>
      </c>
      <c r="G3212" s="1">
        <v>3</v>
      </c>
      <c r="H3212" s="1" t="str">
        <f t="shared" si="51"/>
        <v>k108_3</v>
      </c>
      <c r="K3212" s="1">
        <f>IF(E3212=0,SUMPRODUCT(($A$2:$A$4734=A3212)*($B$2:$B$4734=B3212)*($D$2:$D$4734=D3212)*($E$2:$E$4734=0)),0)</f>
        <v>0</v>
      </c>
      <c r="L3212" s="1" t="str">
        <f>IF(E3212=0,SUMPRODUCT(MIN($K$2:$K$4734+((($A$2:$A$4734&lt;&gt;A3212)+($E$2:$E$4734&lt;&gt;0))&gt;0)*1000000)),"")</f>
        <v/>
      </c>
      <c r="M3212" s="1">
        <f>IF(AND(E3212=0,COUNTIFS($A$2:A3212,A3212,$E$2:E3212,0)=1),L3212,0)</f>
        <v>0</v>
      </c>
    </row>
    <row r="3213" spans="1:13" ht="15" customHeight="1">
      <c r="A3213" s="1">
        <v>108</v>
      </c>
      <c r="B3213" s="1" t="s">
        <v>95</v>
      </c>
      <c r="C3213" s="2" t="s">
        <v>3786</v>
      </c>
      <c r="D3213" s="2" t="s">
        <v>3780</v>
      </c>
      <c r="E3213" s="1">
        <v>1</v>
      </c>
      <c r="F3213" s="2" t="s">
        <v>3787</v>
      </c>
      <c r="G3213" s="1">
        <v>4</v>
      </c>
      <c r="H3213" s="1" t="str">
        <f t="shared" si="51"/>
        <v>k108_4</v>
      </c>
      <c r="K3213" s="1">
        <f>IF(E3213=0,SUMPRODUCT(($A$2:$A$4734=A3213)*($B$2:$B$4734=B3213)*($D$2:$D$4734=D3213)*($E$2:$E$4734=0)),0)</f>
        <v>0</v>
      </c>
      <c r="L3213" s="1" t="str">
        <f>IF(E3213=0,SUMPRODUCT(MIN($K$2:$K$4734+((($A$2:$A$4734&lt;&gt;A3213)+($E$2:$E$4734&lt;&gt;0))&gt;0)*1000000)),"")</f>
        <v/>
      </c>
      <c r="M3213" s="1">
        <f>IF(AND(E3213=0,COUNTIFS($A$2:A3213,A3213,$E$2:E3213,0)=1),L3213,0)</f>
        <v>0</v>
      </c>
    </row>
    <row r="3214" spans="1:13" ht="15" customHeight="1">
      <c r="A3214" s="1">
        <v>108</v>
      </c>
      <c r="B3214" s="1" t="s">
        <v>16</v>
      </c>
      <c r="C3214" s="2" t="s">
        <v>3788</v>
      </c>
      <c r="D3214" s="2" t="s">
        <v>3789</v>
      </c>
      <c r="E3214" s="1">
        <v>1</v>
      </c>
      <c r="F3214" s="2" t="s">
        <v>3790</v>
      </c>
      <c r="G3214" s="1">
        <v>1</v>
      </c>
      <c r="H3214" s="1" t="str">
        <f t="shared" si="51"/>
        <v>k108_1</v>
      </c>
      <c r="K3214" s="1">
        <f>IF(E3214=0,SUMPRODUCT(($A$2:$A$4734=A3214)*($B$2:$B$4734=B3214)*($D$2:$D$4734=D3214)*($E$2:$E$4734=0)),0)</f>
        <v>0</v>
      </c>
      <c r="L3214" s="1" t="str">
        <f>IF(E3214=0,SUMPRODUCT(MIN($K$2:$K$4734+((($A$2:$A$4734&lt;&gt;A3214)+($E$2:$E$4734&lt;&gt;0))&gt;0)*1000000)),"")</f>
        <v/>
      </c>
      <c r="M3214" s="1">
        <f>IF(AND(E3214=0,COUNTIFS($A$2:A3214,A3214,$E$2:E3214,0)=1),L3214,0)</f>
        <v>0</v>
      </c>
    </row>
    <row r="3215" spans="1:13" ht="15" customHeight="1">
      <c r="A3215" s="1">
        <v>108</v>
      </c>
      <c r="B3215" s="1" t="s">
        <v>16</v>
      </c>
      <c r="C3215" s="2" t="s">
        <v>3791</v>
      </c>
      <c r="D3215" s="2" t="s">
        <v>3789</v>
      </c>
      <c r="E3215" s="1">
        <v>1</v>
      </c>
      <c r="F3215" s="2" t="s">
        <v>3792</v>
      </c>
      <c r="G3215" s="1">
        <v>2</v>
      </c>
      <c r="H3215" s="1" t="str">
        <f t="shared" si="51"/>
        <v>k108_2</v>
      </c>
      <c r="K3215" s="1">
        <f>IF(E3215=0,SUMPRODUCT(($A$2:$A$4734=A3215)*($B$2:$B$4734=B3215)*($D$2:$D$4734=D3215)*($E$2:$E$4734=0)),0)</f>
        <v>0</v>
      </c>
      <c r="L3215" s="1" t="str">
        <f>IF(E3215=0,SUMPRODUCT(MIN($K$2:$K$4734+((($A$2:$A$4734&lt;&gt;A3215)+($E$2:$E$4734&lt;&gt;0))&gt;0)*1000000)),"")</f>
        <v/>
      </c>
      <c r="M3215" s="1">
        <f>IF(AND(E3215=0,COUNTIFS($A$2:A3215,A3215,$E$2:E3215,0)=1),L3215,0)</f>
        <v>0</v>
      </c>
    </row>
    <row r="3216" spans="1:13" ht="15" customHeight="1">
      <c r="A3216" s="1">
        <v>108</v>
      </c>
      <c r="B3216" s="1" t="s">
        <v>16</v>
      </c>
      <c r="C3216" s="2" t="s">
        <v>3793</v>
      </c>
      <c r="D3216" s="2" t="s">
        <v>3789</v>
      </c>
      <c r="E3216" s="1">
        <v>1</v>
      </c>
      <c r="F3216" s="2" t="s">
        <v>3794</v>
      </c>
      <c r="G3216" s="1">
        <v>3</v>
      </c>
      <c r="H3216" s="1" t="str">
        <f t="shared" si="51"/>
        <v>k108_3</v>
      </c>
      <c r="K3216" s="1">
        <f>IF(E3216=0,SUMPRODUCT(($A$2:$A$4734=A3216)*($B$2:$B$4734=B3216)*($D$2:$D$4734=D3216)*($E$2:$E$4734=0)),0)</f>
        <v>0</v>
      </c>
      <c r="L3216" s="1" t="str">
        <f>IF(E3216=0,SUMPRODUCT(MIN($K$2:$K$4734+((($A$2:$A$4734&lt;&gt;A3216)+($E$2:$E$4734&lt;&gt;0))&gt;0)*1000000)),"")</f>
        <v/>
      </c>
      <c r="M3216" s="1">
        <f>IF(AND(E3216=0,COUNTIFS($A$2:A3216,A3216,$E$2:E3216,0)=1),L3216,0)</f>
        <v>0</v>
      </c>
    </row>
    <row r="3217" spans="1:13" ht="15" customHeight="1">
      <c r="A3217" s="1">
        <v>108</v>
      </c>
      <c r="B3217" s="1" t="s">
        <v>16</v>
      </c>
      <c r="C3217" s="2" t="s">
        <v>3795</v>
      </c>
      <c r="D3217" s="2" t="s">
        <v>3789</v>
      </c>
      <c r="E3217" s="1">
        <v>1</v>
      </c>
      <c r="F3217" s="2" t="s">
        <v>3796</v>
      </c>
      <c r="G3217" s="1">
        <v>7</v>
      </c>
      <c r="H3217" s="1" t="str">
        <f t="shared" si="51"/>
        <v>k108_7</v>
      </c>
      <c r="K3217" s="1">
        <f>IF(E3217=0,SUMPRODUCT(($A$2:$A$4734=A3217)*($B$2:$B$4734=B3217)*($D$2:$D$4734=D3217)*($E$2:$E$4734=0)),0)</f>
        <v>0</v>
      </c>
      <c r="L3217" s="1" t="str">
        <f>IF(E3217=0,SUMPRODUCT(MIN($K$2:$K$4734+((($A$2:$A$4734&lt;&gt;A3217)+($E$2:$E$4734&lt;&gt;0))&gt;0)*1000000)),"")</f>
        <v/>
      </c>
      <c r="M3217" s="1">
        <f>IF(AND(E3217=0,COUNTIFS($A$2:A3217,A3217,$E$2:E3217,0)=1),L3217,0)</f>
        <v>0</v>
      </c>
    </row>
    <row r="3218" spans="1:13" ht="15" customHeight="1">
      <c r="A3218" s="1">
        <v>109</v>
      </c>
      <c r="B3218" s="1" t="s">
        <v>9</v>
      </c>
      <c r="C3218" s="2" t="s">
        <v>3797</v>
      </c>
      <c r="D3218" s="2" t="s">
        <v>3798</v>
      </c>
      <c r="E3218" s="1">
        <v>1</v>
      </c>
      <c r="F3218" s="2" t="s">
        <v>3799</v>
      </c>
      <c r="G3218" s="1">
        <v>5</v>
      </c>
      <c r="H3218" s="1" t="str">
        <f t="shared" si="51"/>
        <v>k109_5</v>
      </c>
      <c r="K3218" s="1">
        <f>IF(E3218=0,SUMPRODUCT(($A$2:$A$4734=A3218)*($B$2:$B$4734=B3218)*($D$2:$D$4734=D3218)*($E$2:$E$4734=0)),0)</f>
        <v>0</v>
      </c>
      <c r="L3218" s="1" t="str">
        <f>IF(E3218=0,SUMPRODUCT(MIN($K$2:$K$4734+((($A$2:$A$4734&lt;&gt;A3218)+($E$2:$E$4734&lt;&gt;0))&gt;0)*1000000)),"")</f>
        <v/>
      </c>
      <c r="M3218" s="1">
        <f>IF(AND(E3218=0,COUNTIFS($A$2:A3218,A3218,$E$2:E3218,0)=1),L3218,0)</f>
        <v>0</v>
      </c>
    </row>
    <row r="3219" spans="1:13" ht="15" customHeight="1">
      <c r="A3219" s="1">
        <v>109</v>
      </c>
      <c r="B3219" s="1" t="s">
        <v>9</v>
      </c>
      <c r="C3219" s="2" t="s">
        <v>3797</v>
      </c>
      <c r="D3219" s="2" t="s">
        <v>3798</v>
      </c>
      <c r="E3219" s="1">
        <v>1</v>
      </c>
      <c r="F3219" s="2" t="s">
        <v>3800</v>
      </c>
      <c r="G3219" s="1">
        <v>1</v>
      </c>
      <c r="H3219" s="1" t="str">
        <f t="shared" si="51"/>
        <v>k109_1</v>
      </c>
      <c r="K3219" s="1">
        <f>IF(E3219=0,SUMPRODUCT(($A$2:$A$4734=A3219)*($B$2:$B$4734=B3219)*($D$2:$D$4734=D3219)*($E$2:$E$4734=0)),0)</f>
        <v>0</v>
      </c>
      <c r="L3219" s="1" t="str">
        <f>IF(E3219=0,SUMPRODUCT(MIN($K$2:$K$4734+((($A$2:$A$4734&lt;&gt;A3219)+($E$2:$E$4734&lt;&gt;0))&gt;0)*1000000)),"")</f>
        <v/>
      </c>
      <c r="M3219" s="1">
        <f>IF(AND(E3219=0,COUNTIFS($A$2:A3219,A3219,$E$2:E3219,0)=1),L3219,0)</f>
        <v>0</v>
      </c>
    </row>
    <row r="3220" spans="1:13" ht="15" customHeight="1">
      <c r="A3220" s="1">
        <v>109</v>
      </c>
      <c r="B3220" s="1" t="s">
        <v>9</v>
      </c>
      <c r="C3220" s="2" t="s">
        <v>3797</v>
      </c>
      <c r="D3220" s="2" t="s">
        <v>3798</v>
      </c>
      <c r="E3220" s="1">
        <v>1</v>
      </c>
      <c r="F3220" s="2" t="s">
        <v>3801</v>
      </c>
      <c r="G3220" s="1">
        <v>2</v>
      </c>
      <c r="H3220" s="1" t="str">
        <f t="shared" si="51"/>
        <v>k109_2</v>
      </c>
      <c r="K3220" s="1">
        <f>IF(E3220=0,SUMPRODUCT(($A$2:$A$4734=A3220)*($B$2:$B$4734=B3220)*($D$2:$D$4734=D3220)*($E$2:$E$4734=0)),0)</f>
        <v>0</v>
      </c>
      <c r="L3220" s="1" t="str">
        <f>IF(E3220=0,SUMPRODUCT(MIN($K$2:$K$4734+((($A$2:$A$4734&lt;&gt;A3220)+($E$2:$E$4734&lt;&gt;0))&gt;0)*1000000)),"")</f>
        <v/>
      </c>
      <c r="M3220" s="1">
        <f>IF(AND(E3220=0,COUNTIFS($A$2:A3220,A3220,$E$2:E3220,0)=1),L3220,0)</f>
        <v>0</v>
      </c>
    </row>
    <row r="3221" spans="1:13" ht="15" customHeight="1">
      <c r="A3221" s="1">
        <v>109</v>
      </c>
      <c r="B3221" s="1" t="s">
        <v>9</v>
      </c>
      <c r="C3221" s="2" t="s">
        <v>3797</v>
      </c>
      <c r="D3221" s="2" t="s">
        <v>3798</v>
      </c>
      <c r="E3221" s="1">
        <v>1</v>
      </c>
      <c r="F3221" s="2" t="s">
        <v>3801</v>
      </c>
      <c r="G3221" s="1">
        <v>6</v>
      </c>
      <c r="H3221" s="1" t="str">
        <f t="shared" si="51"/>
        <v>k109_6</v>
      </c>
      <c r="K3221" s="1">
        <f>IF(E3221=0,SUMPRODUCT(($A$2:$A$4734=A3221)*($B$2:$B$4734=B3221)*($D$2:$D$4734=D3221)*($E$2:$E$4734=0)),0)</f>
        <v>0</v>
      </c>
      <c r="L3221" s="1" t="str">
        <f>IF(E3221=0,SUMPRODUCT(MIN($K$2:$K$4734+((($A$2:$A$4734&lt;&gt;A3221)+($E$2:$E$4734&lt;&gt;0))&gt;0)*1000000)),"")</f>
        <v/>
      </c>
      <c r="M3221" s="1">
        <f>IF(AND(E3221=0,COUNTIFS($A$2:A3221,A3221,$E$2:E3221,0)=1),L3221,0)</f>
        <v>0</v>
      </c>
    </row>
    <row r="3222" spans="1:13" ht="15" customHeight="1">
      <c r="A3222" s="1">
        <v>109</v>
      </c>
      <c r="B3222" s="1" t="s">
        <v>9</v>
      </c>
      <c r="C3222" s="2" t="s">
        <v>3797</v>
      </c>
      <c r="D3222" s="2" t="s">
        <v>3798</v>
      </c>
      <c r="E3222" s="1">
        <v>1</v>
      </c>
      <c r="F3222" s="2" t="s">
        <v>3801</v>
      </c>
      <c r="G3222" s="1">
        <v>8</v>
      </c>
      <c r="H3222" s="1" t="str">
        <f t="shared" si="51"/>
        <v>k109_8</v>
      </c>
      <c r="K3222" s="1">
        <f>IF(E3222=0,SUMPRODUCT(($A$2:$A$4734=A3222)*($B$2:$B$4734=B3222)*($D$2:$D$4734=D3222)*($E$2:$E$4734=0)),0)</f>
        <v>0</v>
      </c>
      <c r="L3222" s="1" t="str">
        <f>IF(E3222=0,SUMPRODUCT(MIN($K$2:$K$4734+((($A$2:$A$4734&lt;&gt;A3222)+($E$2:$E$4734&lt;&gt;0))&gt;0)*1000000)),"")</f>
        <v/>
      </c>
      <c r="M3222" s="1">
        <f>IF(AND(E3222=0,COUNTIFS($A$2:A3222,A3222,$E$2:E3222,0)=1),L3222,0)</f>
        <v>0</v>
      </c>
    </row>
    <row r="3223" spans="1:13" ht="15" customHeight="1">
      <c r="A3223" s="1">
        <v>109</v>
      </c>
      <c r="B3223" s="1" t="s">
        <v>9</v>
      </c>
      <c r="C3223" s="2" t="s">
        <v>3797</v>
      </c>
      <c r="D3223" s="2" t="s">
        <v>3798</v>
      </c>
      <c r="E3223" s="1">
        <v>1</v>
      </c>
      <c r="F3223" s="2" t="s">
        <v>3801</v>
      </c>
      <c r="G3223" s="1">
        <v>7</v>
      </c>
      <c r="H3223" s="1" t="str">
        <f t="shared" si="51"/>
        <v>k109_7</v>
      </c>
      <c r="K3223" s="1">
        <f>IF(E3223=0,SUMPRODUCT(($A$2:$A$4734=A3223)*($B$2:$B$4734=B3223)*($D$2:$D$4734=D3223)*($E$2:$E$4734=0)),0)</f>
        <v>0</v>
      </c>
      <c r="L3223" s="1" t="str">
        <f>IF(E3223=0,SUMPRODUCT(MIN($K$2:$K$4734+((($A$2:$A$4734&lt;&gt;A3223)+($E$2:$E$4734&lt;&gt;0))&gt;0)*1000000)),"")</f>
        <v/>
      </c>
      <c r="M3223" s="1">
        <f>IF(AND(E3223=0,COUNTIFS($A$2:A3223,A3223,$E$2:E3223,0)=1),L3223,0)</f>
        <v>0</v>
      </c>
    </row>
    <row r="3224" spans="1:13" ht="15" customHeight="1">
      <c r="A3224" s="1">
        <v>109</v>
      </c>
      <c r="B3224" s="1" t="s">
        <v>9</v>
      </c>
      <c r="C3224" s="2" t="s">
        <v>3797</v>
      </c>
      <c r="D3224" s="2" t="s">
        <v>3798</v>
      </c>
      <c r="E3224" s="1">
        <v>1</v>
      </c>
      <c r="F3224" s="2" t="s">
        <v>3801</v>
      </c>
      <c r="G3224" s="1">
        <v>9</v>
      </c>
      <c r="H3224" s="1" t="str">
        <f t="shared" si="51"/>
        <v>k109_9</v>
      </c>
      <c r="K3224" s="1">
        <f>IF(E3224=0,SUMPRODUCT(($A$2:$A$4734=A3224)*($B$2:$B$4734=B3224)*($D$2:$D$4734=D3224)*($E$2:$E$4734=0)),0)</f>
        <v>0</v>
      </c>
      <c r="L3224" s="1" t="str">
        <f>IF(E3224=0,SUMPRODUCT(MIN($K$2:$K$4734+((($A$2:$A$4734&lt;&gt;A3224)+($E$2:$E$4734&lt;&gt;0))&gt;0)*1000000)),"")</f>
        <v/>
      </c>
      <c r="M3224" s="1">
        <f>IF(AND(E3224=0,COUNTIFS($A$2:A3224,A3224,$E$2:E3224,0)=1),L3224,0)</f>
        <v>0</v>
      </c>
    </row>
    <row r="3225" spans="1:13" ht="15" customHeight="1">
      <c r="A3225" s="1">
        <v>109</v>
      </c>
      <c r="B3225" s="1" t="s">
        <v>9</v>
      </c>
      <c r="C3225" s="2" t="s">
        <v>3797</v>
      </c>
      <c r="D3225" s="2" t="s">
        <v>3798</v>
      </c>
      <c r="E3225" s="1">
        <v>1</v>
      </c>
      <c r="F3225" s="2" t="s">
        <v>3802</v>
      </c>
      <c r="G3225" s="1">
        <v>4</v>
      </c>
      <c r="H3225" s="1" t="str">
        <f t="shared" si="51"/>
        <v>k109_4</v>
      </c>
      <c r="K3225" s="1">
        <f>IF(E3225=0,SUMPRODUCT(($A$2:$A$4734=A3225)*($B$2:$B$4734=B3225)*($D$2:$D$4734=D3225)*($E$2:$E$4734=0)),0)</f>
        <v>0</v>
      </c>
      <c r="L3225" s="1" t="str">
        <f>IF(E3225=0,SUMPRODUCT(MIN($K$2:$K$4734+((($A$2:$A$4734&lt;&gt;A3225)+($E$2:$E$4734&lt;&gt;0))&gt;0)*1000000)),"")</f>
        <v/>
      </c>
      <c r="M3225" s="1">
        <f>IF(AND(E3225=0,COUNTIFS($A$2:A3225,A3225,$E$2:E3225,0)=1),L3225,0)</f>
        <v>0</v>
      </c>
    </row>
    <row r="3226" spans="1:13" ht="15" customHeight="1">
      <c r="A3226" s="1">
        <v>109</v>
      </c>
      <c r="B3226" s="1" t="s">
        <v>9</v>
      </c>
      <c r="C3226" s="2" t="s">
        <v>3797</v>
      </c>
      <c r="D3226" s="2" t="s">
        <v>3798</v>
      </c>
      <c r="E3226" s="1">
        <v>1</v>
      </c>
      <c r="F3226" s="2" t="s">
        <v>3803</v>
      </c>
      <c r="G3226" s="1">
        <v>3</v>
      </c>
      <c r="H3226" s="1" t="str">
        <f t="shared" si="51"/>
        <v>k109_3</v>
      </c>
      <c r="K3226" s="1">
        <f>IF(E3226=0,SUMPRODUCT(($A$2:$A$4734=A3226)*($B$2:$B$4734=B3226)*($D$2:$D$4734=D3226)*($E$2:$E$4734=0)),0)</f>
        <v>0</v>
      </c>
      <c r="L3226" s="1" t="str">
        <f>IF(E3226=0,SUMPRODUCT(MIN($K$2:$K$4734+((($A$2:$A$4734&lt;&gt;A3226)+($E$2:$E$4734&lt;&gt;0))&gt;0)*1000000)),"")</f>
        <v/>
      </c>
      <c r="M3226" s="1">
        <f>IF(AND(E3226=0,COUNTIFS($A$2:A3226,A3226,$E$2:E3226,0)=1),L3226,0)</f>
        <v>0</v>
      </c>
    </row>
    <row r="3227" spans="1:13" ht="15" customHeight="1">
      <c r="A3227" s="1">
        <v>109</v>
      </c>
      <c r="B3227" s="1" t="s">
        <v>144</v>
      </c>
      <c r="C3227" s="2" t="s">
        <v>3797</v>
      </c>
      <c r="D3227" s="2" t="s">
        <v>3804</v>
      </c>
      <c r="E3227" s="1">
        <v>1</v>
      </c>
      <c r="F3227" s="2" t="s">
        <v>3805</v>
      </c>
      <c r="G3227" s="1">
        <v>1</v>
      </c>
      <c r="H3227" s="1" t="str">
        <f t="shared" si="51"/>
        <v>k109_1</v>
      </c>
      <c r="K3227" s="1">
        <f>IF(E3227=0,SUMPRODUCT(($A$2:$A$4734=A3227)*($B$2:$B$4734=B3227)*($D$2:$D$4734=D3227)*($E$2:$E$4734=0)),0)</f>
        <v>0</v>
      </c>
      <c r="L3227" s="1" t="str">
        <f>IF(E3227=0,SUMPRODUCT(MIN($K$2:$K$4734+((($A$2:$A$4734&lt;&gt;A3227)+($E$2:$E$4734&lt;&gt;0))&gt;0)*1000000)),"")</f>
        <v/>
      </c>
      <c r="M3227" s="1">
        <f>IF(AND(E3227=0,COUNTIFS($A$2:A3227,A3227,$E$2:E3227,0)=1),L3227,0)</f>
        <v>0</v>
      </c>
    </row>
    <row r="3228" spans="1:13" ht="15" customHeight="1">
      <c r="A3228" s="1">
        <v>109</v>
      </c>
      <c r="B3228" s="1" t="s">
        <v>144</v>
      </c>
      <c r="C3228" s="2" t="s">
        <v>3797</v>
      </c>
      <c r="D3228" s="2" t="s">
        <v>3804</v>
      </c>
      <c r="E3228" s="1">
        <v>1</v>
      </c>
      <c r="F3228" s="2" t="s">
        <v>3806</v>
      </c>
      <c r="G3228" s="1">
        <v>2</v>
      </c>
      <c r="H3228" s="1" t="str">
        <f t="shared" si="51"/>
        <v>k109_2</v>
      </c>
      <c r="K3228" s="1">
        <f>IF(E3228=0,SUMPRODUCT(($A$2:$A$4734=A3228)*($B$2:$B$4734=B3228)*($D$2:$D$4734=D3228)*($E$2:$E$4734=0)),0)</f>
        <v>0</v>
      </c>
      <c r="L3228" s="1" t="str">
        <f>IF(E3228=0,SUMPRODUCT(MIN($K$2:$K$4734+((($A$2:$A$4734&lt;&gt;A3228)+($E$2:$E$4734&lt;&gt;0))&gt;0)*1000000)),"")</f>
        <v/>
      </c>
      <c r="M3228" s="1">
        <f>IF(AND(E3228=0,COUNTIFS($A$2:A3228,A3228,$E$2:E3228,0)=1),L3228,0)</f>
        <v>0</v>
      </c>
    </row>
    <row r="3229" spans="1:13" ht="15" customHeight="1">
      <c r="A3229" s="1">
        <v>109</v>
      </c>
      <c r="B3229" s="1" t="s">
        <v>144</v>
      </c>
      <c r="C3229" s="2" t="s">
        <v>3797</v>
      </c>
      <c r="D3229" s="2" t="s">
        <v>3804</v>
      </c>
      <c r="E3229" s="1">
        <v>1</v>
      </c>
      <c r="F3229" s="2" t="s">
        <v>3806</v>
      </c>
      <c r="G3229" s="1">
        <v>3</v>
      </c>
      <c r="H3229" s="1" t="str">
        <f t="shared" ref="H3229:H3288" si="52">IF(OR(E3229&lt;&gt;1,G3229=""),"","k"&amp;A3229&amp;"_"&amp;G3229)</f>
        <v>k109_3</v>
      </c>
      <c r="K3229" s="1">
        <f>IF(E3229=0,SUMPRODUCT(($A$2:$A$4734=A3229)*($B$2:$B$4734=B3229)*($D$2:$D$4734=D3229)*($E$2:$E$4734=0)),0)</f>
        <v>0</v>
      </c>
      <c r="L3229" s="1" t="str">
        <f>IF(E3229=0,SUMPRODUCT(MIN($K$2:$K$4734+((($A$2:$A$4734&lt;&gt;A3229)+($E$2:$E$4734&lt;&gt;0))&gt;0)*1000000)),"")</f>
        <v/>
      </c>
      <c r="M3229" s="1">
        <f>IF(AND(E3229=0,COUNTIFS($A$2:A3229,A3229,$E$2:E3229,0)=1),L3229,0)</f>
        <v>0</v>
      </c>
    </row>
    <row r="3230" spans="1:13" ht="15" customHeight="1">
      <c r="A3230" s="1">
        <v>109</v>
      </c>
      <c r="B3230" s="1" t="s">
        <v>144</v>
      </c>
      <c r="C3230" s="2" t="s">
        <v>3797</v>
      </c>
      <c r="D3230" s="2" t="s">
        <v>3804</v>
      </c>
      <c r="E3230" s="1">
        <v>1</v>
      </c>
      <c r="F3230" s="2" t="s">
        <v>3807</v>
      </c>
      <c r="G3230" s="1">
        <v>4</v>
      </c>
      <c r="H3230" s="1" t="str">
        <f t="shared" si="52"/>
        <v>k109_4</v>
      </c>
      <c r="K3230" s="1">
        <f>IF(E3230=0,SUMPRODUCT(($A$2:$A$4734=A3230)*($B$2:$B$4734=B3230)*($D$2:$D$4734=D3230)*($E$2:$E$4734=0)),0)</f>
        <v>0</v>
      </c>
      <c r="L3230" s="1" t="str">
        <f>IF(E3230=0,SUMPRODUCT(MIN($K$2:$K$4734+((($A$2:$A$4734&lt;&gt;A3230)+($E$2:$E$4734&lt;&gt;0))&gt;0)*1000000)),"")</f>
        <v/>
      </c>
      <c r="M3230" s="1">
        <f>IF(AND(E3230=0,COUNTIFS($A$2:A3230,A3230,$E$2:E3230,0)=1),L3230,0)</f>
        <v>0</v>
      </c>
    </row>
    <row r="3231" spans="1:13" ht="15" customHeight="1">
      <c r="A3231" s="1">
        <v>109</v>
      </c>
      <c r="B3231" s="1" t="s">
        <v>144</v>
      </c>
      <c r="C3231" s="2" t="s">
        <v>3797</v>
      </c>
      <c r="D3231" s="2" t="s">
        <v>3804</v>
      </c>
      <c r="E3231" s="1">
        <v>1</v>
      </c>
      <c r="F3231" s="2" t="s">
        <v>3808</v>
      </c>
      <c r="G3231" s="1">
        <v>5</v>
      </c>
      <c r="H3231" s="1" t="str">
        <f t="shared" si="52"/>
        <v>k109_5</v>
      </c>
      <c r="K3231" s="1">
        <f>IF(E3231=0,SUMPRODUCT(($A$2:$A$4734=A3231)*($B$2:$B$4734=B3231)*($D$2:$D$4734=D3231)*($E$2:$E$4734=0)),0)</f>
        <v>0</v>
      </c>
      <c r="L3231" s="1" t="str">
        <f>IF(E3231=0,SUMPRODUCT(MIN($K$2:$K$4734+((($A$2:$A$4734&lt;&gt;A3231)+($E$2:$E$4734&lt;&gt;0))&gt;0)*1000000)),"")</f>
        <v/>
      </c>
      <c r="M3231" s="1">
        <f>IF(AND(E3231=0,COUNTIFS($A$2:A3231,A3231,$E$2:E3231,0)=1),L3231,0)</f>
        <v>0</v>
      </c>
    </row>
    <row r="3232" spans="1:13" ht="15" customHeight="1">
      <c r="A3232" s="1">
        <v>109</v>
      </c>
      <c r="B3232" s="1" t="s">
        <v>144</v>
      </c>
      <c r="C3232" s="2" t="s">
        <v>3797</v>
      </c>
      <c r="D3232" s="2" t="s">
        <v>3804</v>
      </c>
      <c r="E3232" s="1">
        <v>1</v>
      </c>
      <c r="F3232" s="2" t="s">
        <v>3809</v>
      </c>
      <c r="G3232" s="1">
        <v>6</v>
      </c>
      <c r="H3232" s="1" t="str">
        <f t="shared" si="52"/>
        <v>k109_6</v>
      </c>
      <c r="K3232" s="1">
        <f>IF(E3232=0,SUMPRODUCT(($A$2:$A$4734=A3232)*($B$2:$B$4734=B3232)*($D$2:$D$4734=D3232)*($E$2:$E$4734=0)),0)</f>
        <v>0</v>
      </c>
      <c r="L3232" s="1" t="str">
        <f>IF(E3232=0,SUMPRODUCT(MIN($K$2:$K$4734+((($A$2:$A$4734&lt;&gt;A3232)+($E$2:$E$4734&lt;&gt;0))&gt;0)*1000000)),"")</f>
        <v/>
      </c>
      <c r="M3232" s="1">
        <f>IF(AND(E3232=0,COUNTIFS($A$2:A3232,A3232,$E$2:E3232,0)=1),L3232,0)</f>
        <v>0</v>
      </c>
    </row>
    <row r="3233" spans="1:13" ht="15" customHeight="1">
      <c r="A3233" s="1">
        <v>109</v>
      </c>
      <c r="B3233" s="1" t="s">
        <v>144</v>
      </c>
      <c r="C3233" s="2" t="s">
        <v>3797</v>
      </c>
      <c r="D3233" s="2" t="s">
        <v>3804</v>
      </c>
      <c r="E3233" s="1">
        <v>1</v>
      </c>
      <c r="F3233" s="2" t="s">
        <v>3810</v>
      </c>
      <c r="G3233" s="1">
        <v>7</v>
      </c>
      <c r="H3233" s="1" t="str">
        <f t="shared" si="52"/>
        <v>k109_7</v>
      </c>
      <c r="K3233" s="1">
        <f>IF(E3233=0,SUMPRODUCT(($A$2:$A$4734=A3233)*($B$2:$B$4734=B3233)*($D$2:$D$4734=D3233)*($E$2:$E$4734=0)),0)</f>
        <v>0</v>
      </c>
      <c r="L3233" s="1" t="str">
        <f>IF(E3233=0,SUMPRODUCT(MIN($K$2:$K$4734+((($A$2:$A$4734&lt;&gt;A3233)+($E$2:$E$4734&lt;&gt;0))&gt;0)*1000000)),"")</f>
        <v/>
      </c>
      <c r="M3233" s="1">
        <f>IF(AND(E3233=0,COUNTIFS($A$2:A3233,A3233,$E$2:E3233,0)=1),L3233,0)</f>
        <v>0</v>
      </c>
    </row>
    <row r="3234" spans="1:13" ht="15" customHeight="1">
      <c r="A3234" s="1">
        <v>109</v>
      </c>
      <c r="B3234" s="1" t="s">
        <v>144</v>
      </c>
      <c r="C3234" s="2" t="s">
        <v>3797</v>
      </c>
      <c r="D3234" s="2" t="s">
        <v>3804</v>
      </c>
      <c r="E3234" s="1">
        <v>1</v>
      </c>
      <c r="F3234" s="2" t="s">
        <v>3809</v>
      </c>
      <c r="G3234" s="1">
        <v>8</v>
      </c>
      <c r="H3234" s="1" t="str">
        <f t="shared" si="52"/>
        <v>k109_8</v>
      </c>
      <c r="K3234" s="1">
        <f>IF(E3234=0,SUMPRODUCT(($A$2:$A$4734=A3234)*($B$2:$B$4734=B3234)*($D$2:$D$4734=D3234)*($E$2:$E$4734=0)),0)</f>
        <v>0</v>
      </c>
      <c r="L3234" s="1" t="str">
        <f>IF(E3234=0,SUMPRODUCT(MIN($K$2:$K$4734+((($A$2:$A$4734&lt;&gt;A3234)+($E$2:$E$4734&lt;&gt;0))&gt;0)*1000000)),"")</f>
        <v/>
      </c>
      <c r="M3234" s="1">
        <f>IF(AND(E3234=0,COUNTIFS($A$2:A3234,A3234,$E$2:E3234,0)=1),L3234,0)</f>
        <v>0</v>
      </c>
    </row>
    <row r="3235" spans="1:13" ht="15" customHeight="1">
      <c r="A3235" s="1">
        <v>109</v>
      </c>
      <c r="B3235" s="1" t="s">
        <v>144</v>
      </c>
      <c r="C3235" s="2" t="s">
        <v>3797</v>
      </c>
      <c r="D3235" s="2" t="s">
        <v>3804</v>
      </c>
      <c r="E3235" s="1">
        <v>1</v>
      </c>
      <c r="F3235" s="2" t="s">
        <v>3810</v>
      </c>
      <c r="G3235" s="1">
        <v>9</v>
      </c>
      <c r="H3235" s="1" t="str">
        <f t="shared" si="52"/>
        <v>k109_9</v>
      </c>
      <c r="K3235" s="1">
        <f>IF(E3235=0,SUMPRODUCT(($A$2:$A$4734=A3235)*($B$2:$B$4734=B3235)*($D$2:$D$4734=D3235)*($E$2:$E$4734=0)),0)</f>
        <v>0</v>
      </c>
      <c r="L3235" s="1" t="str">
        <f>IF(E3235=0,SUMPRODUCT(MIN($K$2:$K$4734+((($A$2:$A$4734&lt;&gt;A3235)+($E$2:$E$4734&lt;&gt;0))&gt;0)*1000000)),"")</f>
        <v/>
      </c>
      <c r="M3235" s="1">
        <f>IF(AND(E3235=0,COUNTIFS($A$2:A3235,A3235,$E$2:E3235,0)=1),L3235,0)</f>
        <v>0</v>
      </c>
    </row>
    <row r="3236" spans="1:13" ht="15" customHeight="1">
      <c r="A3236" s="1">
        <v>110</v>
      </c>
      <c r="B3236" s="1" t="s">
        <v>9</v>
      </c>
      <c r="C3236" s="2" t="s">
        <v>3811</v>
      </c>
      <c r="D3236" s="2" t="s">
        <v>3812</v>
      </c>
      <c r="E3236" s="1">
        <v>0</v>
      </c>
      <c r="F3236" s="2" t="s">
        <v>3813</v>
      </c>
      <c r="H3236" s="1" t="str">
        <f t="shared" si="52"/>
        <v/>
      </c>
      <c r="K3236" s="1">
        <f>IF(E3236=0,SUMPRODUCT(($A$2:$A$4734=A3236)*($B$2:$B$4734=B3236)*($D$2:$D$4734=D3236)*($E$2:$E$4734=0)),0)</f>
        <v>6</v>
      </c>
      <c r="L3236" s="1">
        <f>IF(E3236=0,SUMPRODUCT(MIN($K$2:$K$4734+((($A$2:$A$4734&lt;&gt;A3236)+($E$2:$E$4734&lt;&gt;0))&gt;0)*1000000)),"")</f>
        <v>3</v>
      </c>
      <c r="M3236" s="1">
        <f>IF(AND(E3236=0,COUNTIFS($A$2:A3236,A3236,$E$2:E3236,0)=1),L3236,0)</f>
        <v>3</v>
      </c>
    </row>
    <row r="3237" spans="1:13" ht="15" customHeight="1">
      <c r="A3237" s="1">
        <v>110</v>
      </c>
      <c r="B3237" s="1" t="s">
        <v>9</v>
      </c>
      <c r="C3237" s="2" t="s">
        <v>3811</v>
      </c>
      <c r="D3237" s="2" t="s">
        <v>3812</v>
      </c>
      <c r="E3237" s="1">
        <v>0</v>
      </c>
      <c r="F3237" s="2" t="s">
        <v>3814</v>
      </c>
      <c r="H3237" s="1" t="str">
        <f t="shared" si="52"/>
        <v/>
      </c>
      <c r="K3237" s="1">
        <f>IF(E3237=0,SUMPRODUCT(($A$2:$A$4734=A3237)*($B$2:$B$4734=B3237)*($D$2:$D$4734=D3237)*($E$2:$E$4734=0)),0)</f>
        <v>6</v>
      </c>
      <c r="L3237" s="1">
        <f>IF(E3237=0,SUMPRODUCT(MIN($K$2:$K$4734+((($A$2:$A$4734&lt;&gt;A3237)+($E$2:$E$4734&lt;&gt;0))&gt;0)*1000000)),"")</f>
        <v>3</v>
      </c>
      <c r="M3237" s="1">
        <f>IF(AND(E3237=0,COUNTIFS($A$2:A3237,A3237,$E$2:E3237,0)=1),L3237,0)</f>
        <v>0</v>
      </c>
    </row>
    <row r="3238" spans="1:13" ht="15" customHeight="1">
      <c r="A3238" s="1">
        <v>110</v>
      </c>
      <c r="B3238" s="1" t="s">
        <v>9</v>
      </c>
      <c r="C3238" s="2" t="s">
        <v>3811</v>
      </c>
      <c r="D3238" s="2" t="s">
        <v>3812</v>
      </c>
      <c r="E3238" s="1">
        <v>0</v>
      </c>
      <c r="F3238" s="2" t="s">
        <v>3815</v>
      </c>
      <c r="H3238" s="1" t="str">
        <f t="shared" si="52"/>
        <v/>
      </c>
      <c r="K3238" s="1">
        <f>IF(E3238=0,SUMPRODUCT(($A$2:$A$4734=A3238)*($B$2:$B$4734=B3238)*($D$2:$D$4734=D3238)*($E$2:$E$4734=0)),0)</f>
        <v>6</v>
      </c>
      <c r="L3238" s="1">
        <f>IF(E3238=0,SUMPRODUCT(MIN($K$2:$K$4734+((($A$2:$A$4734&lt;&gt;A3238)+($E$2:$E$4734&lt;&gt;0))&gt;0)*1000000)),"")</f>
        <v>3</v>
      </c>
      <c r="M3238" s="1">
        <f>IF(AND(E3238=0,COUNTIFS($A$2:A3238,A3238,$E$2:E3238,0)=1),L3238,0)</f>
        <v>0</v>
      </c>
    </row>
    <row r="3239" spans="1:13" ht="15" customHeight="1">
      <c r="A3239" s="1">
        <v>110</v>
      </c>
      <c r="B3239" s="1" t="s">
        <v>9</v>
      </c>
      <c r="C3239" s="2" t="s">
        <v>3811</v>
      </c>
      <c r="D3239" s="2" t="s">
        <v>3812</v>
      </c>
      <c r="E3239" s="1">
        <v>0</v>
      </c>
      <c r="F3239" s="2" t="s">
        <v>3816</v>
      </c>
      <c r="H3239" s="1" t="str">
        <f t="shared" si="52"/>
        <v/>
      </c>
      <c r="K3239" s="1">
        <f>IF(E3239=0,SUMPRODUCT(($A$2:$A$4734=A3239)*($B$2:$B$4734=B3239)*($D$2:$D$4734=D3239)*($E$2:$E$4734=0)),0)</f>
        <v>6</v>
      </c>
      <c r="L3239" s="1">
        <f>IF(E3239=0,SUMPRODUCT(MIN($K$2:$K$4734+((($A$2:$A$4734&lt;&gt;A3239)+($E$2:$E$4734&lt;&gt;0))&gt;0)*1000000)),"")</f>
        <v>3</v>
      </c>
      <c r="M3239" s="1">
        <f>IF(AND(E3239=0,COUNTIFS($A$2:A3239,A3239,$E$2:E3239,0)=1),L3239,0)</f>
        <v>0</v>
      </c>
    </row>
    <row r="3240" spans="1:13" ht="15" customHeight="1">
      <c r="A3240" s="1">
        <v>110</v>
      </c>
      <c r="B3240" s="1" t="s">
        <v>9</v>
      </c>
      <c r="C3240" s="2" t="s">
        <v>3811</v>
      </c>
      <c r="D3240" s="2" t="s">
        <v>3812</v>
      </c>
      <c r="E3240" s="1">
        <v>0</v>
      </c>
      <c r="F3240" s="2" t="s">
        <v>3817</v>
      </c>
      <c r="H3240" s="1" t="str">
        <f t="shared" si="52"/>
        <v/>
      </c>
      <c r="K3240" s="1">
        <f>IF(E3240=0,SUMPRODUCT(($A$2:$A$4734=A3240)*($B$2:$B$4734=B3240)*($D$2:$D$4734=D3240)*($E$2:$E$4734=0)),0)</f>
        <v>6</v>
      </c>
      <c r="L3240" s="1">
        <f>IF(E3240=0,SUMPRODUCT(MIN($K$2:$K$4734+((($A$2:$A$4734&lt;&gt;A3240)+($E$2:$E$4734&lt;&gt;0))&gt;0)*1000000)),"")</f>
        <v>3</v>
      </c>
      <c r="M3240" s="1">
        <f>IF(AND(E3240=0,COUNTIFS($A$2:A3240,A3240,$E$2:E3240,0)=1),L3240,0)</f>
        <v>0</v>
      </c>
    </row>
    <row r="3241" spans="1:13" ht="15" customHeight="1">
      <c r="A3241" s="1">
        <v>110</v>
      </c>
      <c r="B3241" s="1" t="s">
        <v>9</v>
      </c>
      <c r="C3241" s="2" t="s">
        <v>3811</v>
      </c>
      <c r="D3241" s="2" t="s">
        <v>3812</v>
      </c>
      <c r="E3241" s="1">
        <v>0</v>
      </c>
      <c r="F3241" s="2" t="s">
        <v>3818</v>
      </c>
      <c r="H3241" s="1" t="str">
        <f t="shared" si="52"/>
        <v/>
      </c>
      <c r="K3241" s="1">
        <f>IF(E3241=0,SUMPRODUCT(($A$2:$A$4734=A3241)*($B$2:$B$4734=B3241)*($D$2:$D$4734=D3241)*($E$2:$E$4734=0)),0)</f>
        <v>6</v>
      </c>
      <c r="L3241" s="1">
        <f>IF(E3241=0,SUMPRODUCT(MIN($K$2:$K$4734+((($A$2:$A$4734&lt;&gt;A3241)+($E$2:$E$4734&lt;&gt;0))&gt;0)*1000000)),"")</f>
        <v>3</v>
      </c>
      <c r="M3241" s="1">
        <f>IF(AND(E3241=0,COUNTIFS($A$2:A3241,A3241,$E$2:E3241,0)=1),L3241,0)</f>
        <v>0</v>
      </c>
    </row>
    <row r="3242" spans="1:13" ht="15" customHeight="1">
      <c r="A3242" s="1">
        <v>110</v>
      </c>
      <c r="B3242" s="1" t="s">
        <v>9</v>
      </c>
      <c r="C3242" s="2" t="s">
        <v>3811</v>
      </c>
      <c r="D3242" s="2" t="s">
        <v>3819</v>
      </c>
      <c r="E3242" s="1">
        <v>0</v>
      </c>
      <c r="F3242" s="2" t="s">
        <v>3820</v>
      </c>
      <c r="H3242" s="1" t="str">
        <f t="shared" si="52"/>
        <v/>
      </c>
      <c r="K3242" s="1">
        <f>IF(E3242=0,SUMPRODUCT(($A$2:$A$4734=A3242)*($B$2:$B$4734=B3242)*($D$2:$D$4734=D3242)*($E$2:$E$4734=0)),0)</f>
        <v>5</v>
      </c>
      <c r="L3242" s="1">
        <f>IF(E3242=0,SUMPRODUCT(MIN($K$2:$K$4734+((($A$2:$A$4734&lt;&gt;A3242)+($E$2:$E$4734&lt;&gt;0))&gt;0)*1000000)),"")</f>
        <v>3</v>
      </c>
      <c r="M3242" s="1">
        <f>IF(AND(E3242=0,COUNTIFS($A$2:A3242,A3242,$E$2:E3242,0)=1),L3242,0)</f>
        <v>0</v>
      </c>
    </row>
    <row r="3243" spans="1:13" ht="15" customHeight="1">
      <c r="A3243" s="1">
        <v>110</v>
      </c>
      <c r="B3243" s="1" t="s">
        <v>9</v>
      </c>
      <c r="C3243" s="2" t="s">
        <v>3811</v>
      </c>
      <c r="D3243" s="2" t="s">
        <v>3819</v>
      </c>
      <c r="E3243" s="1">
        <v>0</v>
      </c>
      <c r="F3243" s="2" t="s">
        <v>3821</v>
      </c>
      <c r="H3243" s="1" t="str">
        <f t="shared" si="52"/>
        <v/>
      </c>
      <c r="K3243" s="1">
        <f>IF(E3243=0,SUMPRODUCT(($A$2:$A$4734=A3243)*($B$2:$B$4734=B3243)*($D$2:$D$4734=D3243)*($E$2:$E$4734=0)),0)</f>
        <v>5</v>
      </c>
      <c r="L3243" s="1">
        <f>IF(E3243=0,SUMPRODUCT(MIN($K$2:$K$4734+((($A$2:$A$4734&lt;&gt;A3243)+($E$2:$E$4734&lt;&gt;0))&gt;0)*1000000)),"")</f>
        <v>3</v>
      </c>
      <c r="M3243" s="1">
        <f>IF(AND(E3243=0,COUNTIFS($A$2:A3243,A3243,$E$2:E3243,0)=1),L3243,0)</f>
        <v>0</v>
      </c>
    </row>
    <row r="3244" spans="1:13" ht="15" customHeight="1">
      <c r="A3244" s="1">
        <v>110</v>
      </c>
      <c r="B3244" s="1" t="s">
        <v>9</v>
      </c>
      <c r="C3244" s="2" t="s">
        <v>3811</v>
      </c>
      <c r="D3244" s="2" t="s">
        <v>3819</v>
      </c>
      <c r="E3244" s="1">
        <v>0</v>
      </c>
      <c r="F3244" s="2" t="s">
        <v>3822</v>
      </c>
      <c r="H3244" s="1" t="str">
        <f t="shared" si="52"/>
        <v/>
      </c>
      <c r="K3244" s="1">
        <f>IF(E3244=0,SUMPRODUCT(($A$2:$A$4734=A3244)*($B$2:$B$4734=B3244)*($D$2:$D$4734=D3244)*($E$2:$E$4734=0)),0)</f>
        <v>5</v>
      </c>
      <c r="L3244" s="1">
        <f>IF(E3244=0,SUMPRODUCT(MIN($K$2:$K$4734+((($A$2:$A$4734&lt;&gt;A3244)+($E$2:$E$4734&lt;&gt;0))&gt;0)*1000000)),"")</f>
        <v>3</v>
      </c>
      <c r="M3244" s="1">
        <f>IF(AND(E3244=0,COUNTIFS($A$2:A3244,A3244,$E$2:E3244,0)=1),L3244,0)</f>
        <v>0</v>
      </c>
    </row>
    <row r="3245" spans="1:13" ht="15" customHeight="1">
      <c r="A3245" s="1">
        <v>110</v>
      </c>
      <c r="B3245" s="1" t="s">
        <v>9</v>
      </c>
      <c r="C3245" s="2" t="s">
        <v>3811</v>
      </c>
      <c r="D3245" s="2" t="s">
        <v>3819</v>
      </c>
      <c r="E3245" s="1">
        <v>0</v>
      </c>
      <c r="F3245" s="2" t="s">
        <v>3823</v>
      </c>
      <c r="H3245" s="1" t="str">
        <f t="shared" si="52"/>
        <v/>
      </c>
      <c r="K3245" s="1">
        <f>IF(E3245=0,SUMPRODUCT(($A$2:$A$4734=A3245)*($B$2:$B$4734=B3245)*($D$2:$D$4734=D3245)*($E$2:$E$4734=0)),0)</f>
        <v>5</v>
      </c>
      <c r="L3245" s="1">
        <f>IF(E3245=0,SUMPRODUCT(MIN($K$2:$K$4734+((($A$2:$A$4734&lt;&gt;A3245)+($E$2:$E$4734&lt;&gt;0))&gt;0)*1000000)),"")</f>
        <v>3</v>
      </c>
      <c r="M3245" s="1">
        <f>IF(AND(E3245=0,COUNTIFS($A$2:A3245,A3245,$E$2:E3245,0)=1),L3245,0)</f>
        <v>0</v>
      </c>
    </row>
    <row r="3246" spans="1:13" ht="15" customHeight="1">
      <c r="A3246" s="1">
        <v>110</v>
      </c>
      <c r="B3246" s="1" t="s">
        <v>9</v>
      </c>
      <c r="C3246" s="2" t="s">
        <v>3811</v>
      </c>
      <c r="D3246" s="2" t="s">
        <v>3819</v>
      </c>
      <c r="E3246" s="1">
        <v>0</v>
      </c>
      <c r="F3246" s="2" t="s">
        <v>3824</v>
      </c>
      <c r="H3246" s="1" t="str">
        <f t="shared" si="52"/>
        <v/>
      </c>
      <c r="K3246" s="1">
        <f>IF(E3246=0,SUMPRODUCT(($A$2:$A$4734=A3246)*($B$2:$B$4734=B3246)*($D$2:$D$4734=D3246)*($E$2:$E$4734=0)),0)</f>
        <v>5</v>
      </c>
      <c r="L3246" s="1">
        <f>IF(E3246=0,SUMPRODUCT(MIN($K$2:$K$4734+((($A$2:$A$4734&lt;&gt;A3246)+($E$2:$E$4734&lt;&gt;0))&gt;0)*1000000)),"")</f>
        <v>3</v>
      </c>
      <c r="M3246" s="1">
        <f>IF(AND(E3246=0,COUNTIFS($A$2:A3246,A3246,$E$2:E3246,0)=1),L3246,0)</f>
        <v>0</v>
      </c>
    </row>
    <row r="3247" spans="1:13" ht="15" customHeight="1">
      <c r="A3247" s="1">
        <v>110</v>
      </c>
      <c r="B3247" s="1" t="s">
        <v>9</v>
      </c>
      <c r="C3247" s="2" t="s">
        <v>3811</v>
      </c>
      <c r="D3247" s="2" t="s">
        <v>3825</v>
      </c>
      <c r="E3247" s="1">
        <v>0</v>
      </c>
      <c r="F3247" s="2" t="s">
        <v>3826</v>
      </c>
      <c r="H3247" s="1" t="str">
        <f t="shared" si="52"/>
        <v/>
      </c>
      <c r="K3247" s="1">
        <f>IF(E3247=0,SUMPRODUCT(($A$2:$A$4734=A3247)*($B$2:$B$4734=B3247)*($D$2:$D$4734=D3247)*($E$2:$E$4734=0)),0)</f>
        <v>3</v>
      </c>
      <c r="L3247" s="1">
        <f>IF(E3247=0,SUMPRODUCT(MIN($K$2:$K$4734+((($A$2:$A$4734&lt;&gt;A3247)+($E$2:$E$4734&lt;&gt;0))&gt;0)*1000000)),"")</f>
        <v>3</v>
      </c>
      <c r="M3247" s="1">
        <f>IF(AND(E3247=0,COUNTIFS($A$2:A3247,A3247,$E$2:E3247,0)=1),L3247,0)</f>
        <v>0</v>
      </c>
    </row>
    <row r="3248" spans="1:13" ht="15" customHeight="1">
      <c r="A3248" s="1">
        <v>110</v>
      </c>
      <c r="B3248" s="1" t="s">
        <v>9</v>
      </c>
      <c r="C3248" s="2" t="s">
        <v>3811</v>
      </c>
      <c r="D3248" s="2" t="s">
        <v>3825</v>
      </c>
      <c r="E3248" s="1">
        <v>0</v>
      </c>
      <c r="F3248" s="2" t="s">
        <v>3827</v>
      </c>
      <c r="H3248" s="1" t="str">
        <f t="shared" si="52"/>
        <v/>
      </c>
      <c r="K3248" s="1">
        <f>IF(E3248=0,SUMPRODUCT(($A$2:$A$4734=A3248)*($B$2:$B$4734=B3248)*($D$2:$D$4734=D3248)*($E$2:$E$4734=0)),0)</f>
        <v>3</v>
      </c>
      <c r="L3248" s="1">
        <f>IF(E3248=0,SUMPRODUCT(MIN($K$2:$K$4734+((($A$2:$A$4734&lt;&gt;A3248)+($E$2:$E$4734&lt;&gt;0))&gt;0)*1000000)),"")</f>
        <v>3</v>
      </c>
      <c r="M3248" s="1">
        <f>IF(AND(E3248=0,COUNTIFS($A$2:A3248,A3248,$E$2:E3248,0)=1),L3248,0)</f>
        <v>0</v>
      </c>
    </row>
    <row r="3249" spans="1:13" ht="15" customHeight="1">
      <c r="A3249" s="1">
        <v>110</v>
      </c>
      <c r="B3249" s="1" t="s">
        <v>9</v>
      </c>
      <c r="C3249" s="2" t="s">
        <v>3811</v>
      </c>
      <c r="D3249" s="2" t="s">
        <v>3825</v>
      </c>
      <c r="E3249" s="1">
        <v>0</v>
      </c>
      <c r="F3249" s="2" t="s">
        <v>3828</v>
      </c>
      <c r="H3249" s="1" t="str">
        <f t="shared" si="52"/>
        <v/>
      </c>
      <c r="K3249" s="1">
        <f>IF(E3249=0,SUMPRODUCT(($A$2:$A$4734=A3249)*($B$2:$B$4734=B3249)*($D$2:$D$4734=D3249)*($E$2:$E$4734=0)),0)</f>
        <v>3</v>
      </c>
      <c r="L3249" s="1">
        <f>IF(E3249=0,SUMPRODUCT(MIN($K$2:$K$4734+((($A$2:$A$4734&lt;&gt;A3249)+($E$2:$E$4734&lt;&gt;0))&gt;0)*1000000)),"")</f>
        <v>3</v>
      </c>
      <c r="M3249" s="1">
        <f>IF(AND(E3249=0,COUNTIFS($A$2:A3249,A3249,$E$2:E3249,0)=1),L3249,0)</f>
        <v>0</v>
      </c>
    </row>
    <row r="3250" spans="1:13" ht="15" customHeight="1">
      <c r="A3250" s="1">
        <v>111</v>
      </c>
      <c r="B3250" s="1" t="s">
        <v>9</v>
      </c>
      <c r="C3250" s="2" t="s">
        <v>3829</v>
      </c>
      <c r="D3250" s="2" t="s">
        <v>3830</v>
      </c>
      <c r="E3250" s="1">
        <v>0</v>
      </c>
      <c r="F3250" s="2" t="s">
        <v>3831</v>
      </c>
      <c r="H3250" s="1" t="str">
        <f t="shared" si="52"/>
        <v/>
      </c>
      <c r="K3250" s="1">
        <f>IF(E3250=0,SUMPRODUCT(($A$2:$A$4734=A3250)*($B$2:$B$4734=B3250)*($D$2:$D$4734=D3250)*($E$2:$E$4734=0)),0)</f>
        <v>6</v>
      </c>
      <c r="L3250" s="1">
        <f>IF(E3250=0,SUMPRODUCT(MIN($K$2:$K$4734+((($A$2:$A$4734&lt;&gt;A3250)+($E$2:$E$4734&lt;&gt;0))&gt;0)*1000000)),"")</f>
        <v>6</v>
      </c>
      <c r="M3250" s="1">
        <f>IF(AND(E3250=0,COUNTIFS($A$2:A3250,A3250,$E$2:E3250,0)=1),L3250,0)</f>
        <v>6</v>
      </c>
    </row>
    <row r="3251" spans="1:13" ht="15" customHeight="1">
      <c r="A3251" s="1">
        <v>111</v>
      </c>
      <c r="B3251" s="1" t="s">
        <v>9</v>
      </c>
      <c r="C3251" s="2" t="s">
        <v>3829</v>
      </c>
      <c r="D3251" s="2" t="s">
        <v>3830</v>
      </c>
      <c r="E3251" s="1">
        <v>0</v>
      </c>
      <c r="F3251" s="2" t="s">
        <v>3832</v>
      </c>
      <c r="H3251" s="1" t="str">
        <f t="shared" si="52"/>
        <v/>
      </c>
      <c r="K3251" s="1">
        <f>IF(E3251=0,SUMPRODUCT(($A$2:$A$4734=A3251)*($B$2:$B$4734=B3251)*($D$2:$D$4734=D3251)*($E$2:$E$4734=0)),0)</f>
        <v>6</v>
      </c>
      <c r="L3251" s="1">
        <f>IF(E3251=0,SUMPRODUCT(MIN($K$2:$K$4734+((($A$2:$A$4734&lt;&gt;A3251)+($E$2:$E$4734&lt;&gt;0))&gt;0)*1000000)),"")</f>
        <v>6</v>
      </c>
      <c r="M3251" s="1">
        <f>IF(AND(E3251=0,COUNTIFS($A$2:A3251,A3251,$E$2:E3251,0)=1),L3251,0)</f>
        <v>0</v>
      </c>
    </row>
    <row r="3252" spans="1:13" ht="15" customHeight="1">
      <c r="A3252" s="1">
        <v>111</v>
      </c>
      <c r="B3252" s="1" t="s">
        <v>9</v>
      </c>
      <c r="C3252" s="2" t="s">
        <v>3829</v>
      </c>
      <c r="D3252" s="2" t="s">
        <v>3830</v>
      </c>
      <c r="E3252" s="1">
        <v>0</v>
      </c>
      <c r="F3252" s="2" t="s">
        <v>2753</v>
      </c>
      <c r="H3252" s="1" t="str">
        <f t="shared" si="52"/>
        <v/>
      </c>
      <c r="K3252" s="1">
        <f>IF(E3252=0,SUMPRODUCT(($A$2:$A$4734=A3252)*($B$2:$B$4734=B3252)*($D$2:$D$4734=D3252)*($E$2:$E$4734=0)),0)</f>
        <v>6</v>
      </c>
      <c r="L3252" s="1">
        <f>IF(E3252=0,SUMPRODUCT(MIN($K$2:$K$4734+((($A$2:$A$4734&lt;&gt;A3252)+($E$2:$E$4734&lt;&gt;0))&gt;0)*1000000)),"")</f>
        <v>6</v>
      </c>
      <c r="M3252" s="1">
        <f>IF(AND(E3252=0,COUNTIFS($A$2:A3252,A3252,$E$2:E3252,0)=1),L3252,0)</f>
        <v>0</v>
      </c>
    </row>
    <row r="3253" spans="1:13" ht="15" customHeight="1">
      <c r="A3253" s="1">
        <v>111</v>
      </c>
      <c r="B3253" s="1" t="s">
        <v>9</v>
      </c>
      <c r="C3253" s="2" t="s">
        <v>3829</v>
      </c>
      <c r="D3253" s="2" t="s">
        <v>3830</v>
      </c>
      <c r="E3253" s="1">
        <v>0</v>
      </c>
      <c r="F3253" s="2" t="s">
        <v>3833</v>
      </c>
      <c r="H3253" s="1" t="str">
        <f t="shared" si="52"/>
        <v/>
      </c>
      <c r="K3253" s="1">
        <f>IF(E3253=0,SUMPRODUCT(($A$2:$A$4734=A3253)*($B$2:$B$4734=B3253)*($D$2:$D$4734=D3253)*($E$2:$E$4734=0)),0)</f>
        <v>6</v>
      </c>
      <c r="L3253" s="1">
        <f>IF(E3253=0,SUMPRODUCT(MIN($K$2:$K$4734+((($A$2:$A$4734&lt;&gt;A3253)+($E$2:$E$4734&lt;&gt;0))&gt;0)*1000000)),"")</f>
        <v>6</v>
      </c>
      <c r="M3253" s="1">
        <f>IF(AND(E3253=0,COUNTIFS($A$2:A3253,A3253,$E$2:E3253,0)=1),L3253,0)</f>
        <v>0</v>
      </c>
    </row>
    <row r="3254" spans="1:13" ht="15" customHeight="1">
      <c r="A3254" s="1">
        <v>111</v>
      </c>
      <c r="B3254" s="1" t="s">
        <v>9</v>
      </c>
      <c r="C3254" s="2" t="s">
        <v>3829</v>
      </c>
      <c r="D3254" s="2" t="s">
        <v>3830</v>
      </c>
      <c r="E3254" s="1">
        <v>0</v>
      </c>
      <c r="F3254" s="2" t="s">
        <v>3834</v>
      </c>
      <c r="H3254" s="1" t="str">
        <f t="shared" si="52"/>
        <v/>
      </c>
      <c r="K3254" s="1">
        <f>IF(E3254=0,SUMPRODUCT(($A$2:$A$4734=A3254)*($B$2:$B$4734=B3254)*($D$2:$D$4734=D3254)*($E$2:$E$4734=0)),0)</f>
        <v>6</v>
      </c>
      <c r="L3254" s="1">
        <f>IF(E3254=0,SUMPRODUCT(MIN($K$2:$K$4734+((($A$2:$A$4734&lt;&gt;A3254)+($E$2:$E$4734&lt;&gt;0))&gt;0)*1000000)),"")</f>
        <v>6</v>
      </c>
      <c r="M3254" s="1">
        <f>IF(AND(E3254=0,COUNTIFS($A$2:A3254,A3254,$E$2:E3254,0)=1),L3254,0)</f>
        <v>0</v>
      </c>
    </row>
    <row r="3255" spans="1:13" ht="15" customHeight="1">
      <c r="A3255" s="1">
        <v>111</v>
      </c>
      <c r="B3255" s="1" t="s">
        <v>9</v>
      </c>
      <c r="C3255" s="2" t="s">
        <v>3829</v>
      </c>
      <c r="D3255" s="2" t="s">
        <v>3830</v>
      </c>
      <c r="E3255" s="1">
        <v>0</v>
      </c>
      <c r="F3255" s="2" t="s">
        <v>554</v>
      </c>
      <c r="H3255" s="1" t="str">
        <f t="shared" si="52"/>
        <v/>
      </c>
      <c r="K3255" s="1">
        <f>IF(E3255=0,SUMPRODUCT(($A$2:$A$4734=A3255)*($B$2:$B$4734=B3255)*($D$2:$D$4734=D3255)*($E$2:$E$4734=0)),0)</f>
        <v>6</v>
      </c>
      <c r="L3255" s="1">
        <f>IF(E3255=0,SUMPRODUCT(MIN($K$2:$K$4734+((($A$2:$A$4734&lt;&gt;A3255)+($E$2:$E$4734&lt;&gt;0))&gt;0)*1000000)),"")</f>
        <v>6</v>
      </c>
      <c r="M3255" s="1">
        <f>IF(AND(E3255=0,COUNTIFS($A$2:A3255,A3255,$E$2:E3255,0)=1),L3255,0)</f>
        <v>0</v>
      </c>
    </row>
    <row r="3256" spans="1:13" ht="15" customHeight="1">
      <c r="A3256" s="1">
        <v>112</v>
      </c>
      <c r="B3256" s="1" t="s">
        <v>9</v>
      </c>
      <c r="C3256" s="2" t="s">
        <v>3835</v>
      </c>
      <c r="D3256" s="2" t="s">
        <v>3836</v>
      </c>
      <c r="E3256" s="1">
        <v>1</v>
      </c>
      <c r="F3256" s="2" t="s">
        <v>3837</v>
      </c>
      <c r="G3256" s="1">
        <v>1</v>
      </c>
      <c r="H3256" s="1" t="str">
        <f t="shared" si="52"/>
        <v>k112_1</v>
      </c>
      <c r="K3256" s="1">
        <f>IF(E3256=0,SUMPRODUCT(($A$2:$A$4734=A3256)*($B$2:$B$4734=B3256)*($D$2:$D$4734=D3256)*($E$2:$E$4734=0)),0)</f>
        <v>0</v>
      </c>
      <c r="L3256" s="1" t="str">
        <f>IF(E3256=0,SUMPRODUCT(MIN($K$2:$K$4734+((($A$2:$A$4734&lt;&gt;A3256)+($E$2:$E$4734&lt;&gt;0))&gt;0)*1000000)),"")</f>
        <v/>
      </c>
      <c r="M3256" s="1">
        <f>IF(AND(E3256=0,COUNTIFS($A$2:A3256,A3256,$E$2:E3256,0)=1),L3256,0)</f>
        <v>0</v>
      </c>
    </row>
    <row r="3257" spans="1:13" ht="15" customHeight="1">
      <c r="A3257" s="1">
        <v>112</v>
      </c>
      <c r="B3257" s="1" t="s">
        <v>9</v>
      </c>
      <c r="C3257" s="2" t="s">
        <v>3835</v>
      </c>
      <c r="D3257" s="2" t="s">
        <v>3836</v>
      </c>
      <c r="E3257" s="1">
        <v>1</v>
      </c>
      <c r="F3257" s="2" t="s">
        <v>3838</v>
      </c>
      <c r="G3257" s="1">
        <v>2</v>
      </c>
      <c r="H3257" s="1" t="str">
        <f t="shared" si="52"/>
        <v>k112_2</v>
      </c>
      <c r="K3257" s="1">
        <f>IF(E3257=0,SUMPRODUCT(($A$2:$A$4734=A3257)*($B$2:$B$4734=B3257)*($D$2:$D$4734=D3257)*($E$2:$E$4734=0)),0)</f>
        <v>0</v>
      </c>
      <c r="L3257" s="1" t="str">
        <f>IF(E3257=0,SUMPRODUCT(MIN($K$2:$K$4734+((($A$2:$A$4734&lt;&gt;A3257)+($E$2:$E$4734&lt;&gt;0))&gt;0)*1000000)),"")</f>
        <v/>
      </c>
      <c r="M3257" s="1">
        <f>IF(AND(E3257=0,COUNTIFS($A$2:A3257,A3257,$E$2:E3257,0)=1),L3257,0)</f>
        <v>0</v>
      </c>
    </row>
    <row r="3258" spans="1:13" ht="15" customHeight="1">
      <c r="A3258" s="1">
        <v>112</v>
      </c>
      <c r="B3258" s="1" t="s">
        <v>9</v>
      </c>
      <c r="C3258" s="2" t="s">
        <v>3835</v>
      </c>
      <c r="D3258" s="2" t="s">
        <v>3836</v>
      </c>
      <c r="E3258" s="1">
        <v>1</v>
      </c>
      <c r="F3258" s="2" t="s">
        <v>3837</v>
      </c>
      <c r="G3258" s="1">
        <v>4</v>
      </c>
      <c r="H3258" s="1" t="str">
        <f t="shared" si="52"/>
        <v>k112_4</v>
      </c>
      <c r="K3258" s="1">
        <f>IF(E3258=0,SUMPRODUCT(($A$2:$A$4734=A3258)*($B$2:$B$4734=B3258)*($D$2:$D$4734=D3258)*($E$2:$E$4734=0)),0)</f>
        <v>0</v>
      </c>
      <c r="L3258" s="1" t="str">
        <f>IF(E3258=0,SUMPRODUCT(MIN($K$2:$K$4734+((($A$2:$A$4734&lt;&gt;A3258)+($E$2:$E$4734&lt;&gt;0))&gt;0)*1000000)),"")</f>
        <v/>
      </c>
      <c r="M3258" s="1">
        <f>IF(AND(E3258=0,COUNTIFS($A$2:A3258,A3258,$E$2:E3258,0)=1),L3258,0)</f>
        <v>0</v>
      </c>
    </row>
    <row r="3259" spans="1:13" ht="15" customHeight="1">
      <c r="A3259" s="1">
        <v>112</v>
      </c>
      <c r="B3259" s="1" t="s">
        <v>9</v>
      </c>
      <c r="C3259" s="2" t="s">
        <v>3835</v>
      </c>
      <c r="D3259" s="2" t="s">
        <v>3836</v>
      </c>
      <c r="E3259" s="1">
        <v>1</v>
      </c>
      <c r="F3259" s="2" t="s">
        <v>3838</v>
      </c>
      <c r="G3259" s="1">
        <v>3</v>
      </c>
      <c r="H3259" s="1" t="str">
        <f t="shared" si="52"/>
        <v>k112_3</v>
      </c>
      <c r="K3259" s="1">
        <f>IF(E3259=0,SUMPRODUCT(($A$2:$A$4734=A3259)*($B$2:$B$4734=B3259)*($D$2:$D$4734=D3259)*($E$2:$E$4734=0)),0)</f>
        <v>0</v>
      </c>
      <c r="L3259" s="1" t="str">
        <f>IF(E3259=0,SUMPRODUCT(MIN($K$2:$K$4734+((($A$2:$A$4734&lt;&gt;A3259)+($E$2:$E$4734&lt;&gt;0))&gt;0)*1000000)),"")</f>
        <v/>
      </c>
      <c r="M3259" s="1">
        <f>IF(AND(E3259=0,COUNTIFS($A$2:A3259,A3259,$E$2:E3259,0)=1),L3259,0)</f>
        <v>0</v>
      </c>
    </row>
    <row r="3260" spans="1:13" ht="15" customHeight="1">
      <c r="A3260" s="1">
        <v>112</v>
      </c>
      <c r="B3260" s="1" t="s">
        <v>9</v>
      </c>
      <c r="C3260" s="2" t="s">
        <v>3835</v>
      </c>
      <c r="D3260" s="1" t="s">
        <v>3839</v>
      </c>
      <c r="E3260" s="1">
        <v>1</v>
      </c>
      <c r="F3260" s="2" t="s">
        <v>3840</v>
      </c>
      <c r="G3260" s="1">
        <v>2</v>
      </c>
      <c r="H3260" s="1" t="str">
        <f t="shared" si="52"/>
        <v>k112_2</v>
      </c>
      <c r="K3260" s="1">
        <f>IF(E3260=0,SUMPRODUCT(($A$2:$A$4734=A3260)*($B$2:$B$4734=B3260)*($D$2:$D$4734=D3260)*($E$2:$E$4734=0)),0)</f>
        <v>0</v>
      </c>
      <c r="L3260" s="1" t="str">
        <f>IF(E3260=0,SUMPRODUCT(MIN($K$2:$K$4734+((($A$2:$A$4734&lt;&gt;A3260)+($E$2:$E$4734&lt;&gt;0))&gt;0)*1000000)),"")</f>
        <v/>
      </c>
      <c r="M3260" s="1">
        <f>IF(AND(E3260=0,COUNTIFS($A$2:A3260,A3260,$E$2:E3260,0)=1),L3260,0)</f>
        <v>0</v>
      </c>
    </row>
    <row r="3261" spans="1:13" ht="15" customHeight="1">
      <c r="A3261" s="1">
        <v>112</v>
      </c>
      <c r="B3261" s="1" t="s">
        <v>9</v>
      </c>
      <c r="C3261" s="2" t="s">
        <v>3835</v>
      </c>
      <c r="D3261" s="1" t="s">
        <v>3839</v>
      </c>
      <c r="E3261" s="1">
        <v>1</v>
      </c>
      <c r="F3261" s="2" t="s">
        <v>3841</v>
      </c>
      <c r="G3261" s="1">
        <v>3</v>
      </c>
      <c r="H3261" s="1" t="str">
        <f t="shared" si="52"/>
        <v>k112_3</v>
      </c>
      <c r="K3261" s="1">
        <f>IF(E3261=0,SUMPRODUCT(($A$2:$A$4734=A3261)*($B$2:$B$4734=B3261)*($D$2:$D$4734=D3261)*($E$2:$E$4734=0)),0)</f>
        <v>0</v>
      </c>
      <c r="L3261" s="1" t="str">
        <f>IF(E3261=0,SUMPRODUCT(MIN($K$2:$K$4734+((($A$2:$A$4734&lt;&gt;A3261)+($E$2:$E$4734&lt;&gt;0))&gt;0)*1000000)),"")</f>
        <v/>
      </c>
      <c r="M3261" s="1">
        <f>IF(AND(E3261=0,COUNTIFS($A$2:A3261,A3261,$E$2:E3261,0)=1),L3261,0)</f>
        <v>0</v>
      </c>
    </row>
    <row r="3262" spans="1:13" ht="15" customHeight="1">
      <c r="A3262" s="1">
        <v>112</v>
      </c>
      <c r="B3262" s="1" t="s">
        <v>9</v>
      </c>
      <c r="C3262" s="2" t="s">
        <v>3835</v>
      </c>
      <c r="D3262" s="1" t="s">
        <v>3839</v>
      </c>
      <c r="E3262" s="1">
        <v>1</v>
      </c>
      <c r="F3262" s="2" t="s">
        <v>3842</v>
      </c>
      <c r="G3262" s="1">
        <v>4</v>
      </c>
      <c r="H3262" s="1" t="str">
        <f t="shared" si="52"/>
        <v>k112_4</v>
      </c>
      <c r="K3262" s="1">
        <f>IF(E3262=0,SUMPRODUCT(($A$2:$A$4734=A3262)*($B$2:$B$4734=B3262)*($D$2:$D$4734=D3262)*($E$2:$E$4734=0)),0)</f>
        <v>0</v>
      </c>
      <c r="L3262" s="1" t="str">
        <f>IF(E3262=0,SUMPRODUCT(MIN($K$2:$K$4734+((($A$2:$A$4734&lt;&gt;A3262)+($E$2:$E$4734&lt;&gt;0))&gt;0)*1000000)),"")</f>
        <v/>
      </c>
      <c r="M3262" s="1">
        <f>IF(AND(E3262=0,COUNTIFS($A$2:A3262,A3262,$E$2:E3262,0)=1),L3262,0)</f>
        <v>0</v>
      </c>
    </row>
    <row r="3263" spans="1:13" ht="15" customHeight="1">
      <c r="A3263" s="1">
        <v>112</v>
      </c>
      <c r="B3263" s="1" t="s">
        <v>9</v>
      </c>
      <c r="C3263" s="2" t="s">
        <v>3835</v>
      </c>
      <c r="D3263" s="1" t="s">
        <v>3839</v>
      </c>
      <c r="E3263" s="1">
        <v>1</v>
      </c>
      <c r="F3263" s="2" t="s">
        <v>3842</v>
      </c>
      <c r="G3263" s="1">
        <v>1</v>
      </c>
      <c r="H3263" s="1" t="str">
        <f t="shared" si="52"/>
        <v>k112_1</v>
      </c>
      <c r="K3263" s="1">
        <f>IF(E3263=0,SUMPRODUCT(($A$2:$A$4734=A3263)*($B$2:$B$4734=B3263)*($D$2:$D$4734=D3263)*($E$2:$E$4734=0)),0)</f>
        <v>0</v>
      </c>
      <c r="L3263" s="1" t="str">
        <f>IF(E3263=0,SUMPRODUCT(MIN($K$2:$K$4734+((($A$2:$A$4734&lt;&gt;A3263)+($E$2:$E$4734&lt;&gt;0))&gt;0)*1000000)),"")</f>
        <v/>
      </c>
      <c r="M3263" s="1">
        <f>IF(AND(E3263=0,COUNTIFS($A$2:A3263,A3263,$E$2:E3263,0)=1),L3263,0)</f>
        <v>0</v>
      </c>
    </row>
    <row r="3264" spans="1:13" ht="15" customHeight="1">
      <c r="A3264" s="1">
        <v>112</v>
      </c>
      <c r="B3264" s="1" t="s">
        <v>144</v>
      </c>
      <c r="C3264" s="2" t="s">
        <v>3835</v>
      </c>
      <c r="D3264" s="2" t="s">
        <v>3843</v>
      </c>
      <c r="E3264" s="1">
        <v>1</v>
      </c>
      <c r="F3264" s="2" t="s">
        <v>3844</v>
      </c>
      <c r="G3264" s="1">
        <v>1</v>
      </c>
      <c r="H3264" s="1" t="str">
        <f t="shared" si="52"/>
        <v>k112_1</v>
      </c>
      <c r="K3264" s="1">
        <f>IF(E3264=0,SUMPRODUCT(($A$2:$A$4734=A3264)*($B$2:$B$4734=B3264)*($D$2:$D$4734=D3264)*($E$2:$E$4734=0)),0)</f>
        <v>0</v>
      </c>
      <c r="L3264" s="1" t="str">
        <f>IF(E3264=0,SUMPRODUCT(MIN($K$2:$K$4734+((($A$2:$A$4734&lt;&gt;A3264)+($E$2:$E$4734&lt;&gt;0))&gt;0)*1000000)),"")</f>
        <v/>
      </c>
      <c r="M3264" s="1">
        <f>IF(AND(E3264=0,COUNTIFS($A$2:A3264,A3264,$E$2:E3264,0)=1),L3264,0)</f>
        <v>0</v>
      </c>
    </row>
    <row r="3265" spans="1:13" ht="15" customHeight="1">
      <c r="A3265" s="1">
        <v>112</v>
      </c>
      <c r="B3265" s="1" t="s">
        <v>144</v>
      </c>
      <c r="C3265" s="2" t="s">
        <v>3835</v>
      </c>
      <c r="D3265" s="2" t="s">
        <v>3843</v>
      </c>
      <c r="E3265" s="1">
        <v>1</v>
      </c>
      <c r="F3265" s="2" t="s">
        <v>3845</v>
      </c>
      <c r="G3265" s="1">
        <v>2</v>
      </c>
      <c r="H3265" s="1" t="str">
        <f t="shared" si="52"/>
        <v>k112_2</v>
      </c>
      <c r="K3265" s="1">
        <f>IF(E3265=0,SUMPRODUCT(($A$2:$A$4734=A3265)*($B$2:$B$4734=B3265)*($D$2:$D$4734=D3265)*($E$2:$E$4734=0)),0)</f>
        <v>0</v>
      </c>
      <c r="L3265" s="1" t="str">
        <f>IF(E3265=0,SUMPRODUCT(MIN($K$2:$K$4734+((($A$2:$A$4734&lt;&gt;A3265)+($E$2:$E$4734&lt;&gt;0))&gt;0)*1000000)),"")</f>
        <v/>
      </c>
      <c r="M3265" s="1">
        <f>IF(AND(E3265=0,COUNTIFS($A$2:A3265,A3265,$E$2:E3265,0)=1),L3265,0)</f>
        <v>0</v>
      </c>
    </row>
    <row r="3266" spans="1:13" ht="15" customHeight="1">
      <c r="A3266" s="1">
        <v>112</v>
      </c>
      <c r="B3266" s="1" t="s">
        <v>144</v>
      </c>
      <c r="C3266" s="2" t="s">
        <v>3835</v>
      </c>
      <c r="D3266" s="2" t="s">
        <v>3843</v>
      </c>
      <c r="E3266" s="1">
        <v>1</v>
      </c>
      <c r="F3266" s="2" t="s">
        <v>3846</v>
      </c>
      <c r="G3266" s="1">
        <v>3</v>
      </c>
      <c r="H3266" s="1" t="str">
        <f t="shared" si="52"/>
        <v>k112_3</v>
      </c>
      <c r="K3266" s="1">
        <f>IF(E3266=0,SUMPRODUCT(($A$2:$A$4734=A3266)*($B$2:$B$4734=B3266)*($D$2:$D$4734=D3266)*($E$2:$E$4734=0)),0)</f>
        <v>0</v>
      </c>
      <c r="L3266" s="1" t="str">
        <f>IF(E3266=0,SUMPRODUCT(MIN($K$2:$K$4734+((($A$2:$A$4734&lt;&gt;A3266)+($E$2:$E$4734&lt;&gt;0))&gt;0)*1000000)),"")</f>
        <v/>
      </c>
      <c r="M3266" s="1">
        <f>IF(AND(E3266=0,COUNTIFS($A$2:A3266,A3266,$E$2:E3266,0)=1),L3266,0)</f>
        <v>0</v>
      </c>
    </row>
    <row r="3267" spans="1:13" ht="15" customHeight="1">
      <c r="A3267" s="1">
        <v>112</v>
      </c>
      <c r="B3267" s="1" t="s">
        <v>144</v>
      </c>
      <c r="C3267" s="2" t="s">
        <v>3835</v>
      </c>
      <c r="D3267" s="2" t="s">
        <v>3843</v>
      </c>
      <c r="E3267" s="1">
        <v>1</v>
      </c>
      <c r="F3267" s="2" t="s">
        <v>3847</v>
      </c>
      <c r="G3267" s="1">
        <v>4</v>
      </c>
      <c r="H3267" s="1" t="str">
        <f t="shared" si="52"/>
        <v>k112_4</v>
      </c>
      <c r="K3267" s="1">
        <f>IF(E3267=0,SUMPRODUCT(($A$2:$A$4734=A3267)*($B$2:$B$4734=B3267)*($D$2:$D$4734=D3267)*($E$2:$E$4734=0)),0)</f>
        <v>0</v>
      </c>
      <c r="L3267" s="1" t="str">
        <f>IF(E3267=0,SUMPRODUCT(MIN($K$2:$K$4734+((($A$2:$A$4734&lt;&gt;A3267)+($E$2:$E$4734&lt;&gt;0))&gt;0)*1000000)),"")</f>
        <v/>
      </c>
      <c r="M3267" s="1">
        <f>IF(AND(E3267=0,COUNTIFS($A$2:A3267,A3267,$E$2:E3267,0)=1),L3267,0)</f>
        <v>0</v>
      </c>
    </row>
    <row r="3268" spans="1:13" ht="15" customHeight="1">
      <c r="A3268" s="1">
        <v>113</v>
      </c>
      <c r="B3268" s="1" t="s">
        <v>95</v>
      </c>
      <c r="C3268" s="2" t="s">
        <v>3848</v>
      </c>
      <c r="D3268" s="2" t="s">
        <v>3849</v>
      </c>
      <c r="E3268" s="1">
        <v>1</v>
      </c>
      <c r="F3268" s="2" t="s">
        <v>3850</v>
      </c>
      <c r="G3268" s="1">
        <v>1</v>
      </c>
      <c r="H3268" s="1" t="str">
        <f t="shared" si="52"/>
        <v>k113_1</v>
      </c>
      <c r="K3268" s="1">
        <f>IF(E3268=0,SUMPRODUCT(($A$2:$A$4734=A3268)*($B$2:$B$4734=B3268)*($D$2:$D$4734=D3268)*($E$2:$E$4734=0)),0)</f>
        <v>0</v>
      </c>
      <c r="L3268" s="1" t="str">
        <f>IF(E3268=0,SUMPRODUCT(MIN($K$2:$K$4734+((($A$2:$A$4734&lt;&gt;A3268)+($E$2:$E$4734&lt;&gt;0))&gt;0)*1000000)),"")</f>
        <v/>
      </c>
      <c r="M3268" s="1">
        <f>IF(AND(E3268=0,COUNTIFS($A$2:A3268,A3268,$E$2:E3268,0)=1),L3268,0)</f>
        <v>0</v>
      </c>
    </row>
    <row r="3269" spans="1:13" ht="15" customHeight="1">
      <c r="A3269" s="1">
        <v>113</v>
      </c>
      <c r="B3269" s="1" t="s">
        <v>95</v>
      </c>
      <c r="C3269" s="2" t="s">
        <v>3851</v>
      </c>
      <c r="D3269" s="2" t="s">
        <v>3849</v>
      </c>
      <c r="E3269" s="1">
        <v>1</v>
      </c>
      <c r="F3269" s="2" t="s">
        <v>3852</v>
      </c>
      <c r="G3269" s="1">
        <v>2</v>
      </c>
      <c r="H3269" s="1" t="str">
        <f t="shared" si="52"/>
        <v>k113_2</v>
      </c>
      <c r="K3269" s="1">
        <f>IF(E3269=0,SUMPRODUCT(($A$2:$A$4734=A3269)*($B$2:$B$4734=B3269)*($D$2:$D$4734=D3269)*($E$2:$E$4734=0)),0)</f>
        <v>0</v>
      </c>
      <c r="L3269" s="1" t="str">
        <f>IF(E3269=0,SUMPRODUCT(MIN($K$2:$K$4734+((($A$2:$A$4734&lt;&gt;A3269)+($E$2:$E$4734&lt;&gt;0))&gt;0)*1000000)),"")</f>
        <v/>
      </c>
      <c r="M3269" s="1">
        <f>IF(AND(E3269=0,COUNTIFS($A$2:A3269,A3269,$E$2:E3269,0)=1),L3269,0)</f>
        <v>0</v>
      </c>
    </row>
    <row r="3270" spans="1:13" ht="15" customHeight="1">
      <c r="A3270" s="1">
        <v>113</v>
      </c>
      <c r="B3270" s="1" t="s">
        <v>95</v>
      </c>
      <c r="C3270" s="2" t="s">
        <v>3853</v>
      </c>
      <c r="D3270" s="2" t="s">
        <v>3849</v>
      </c>
      <c r="E3270" s="1">
        <v>1</v>
      </c>
      <c r="F3270" s="2" t="s">
        <v>3854</v>
      </c>
      <c r="G3270" s="1">
        <v>3</v>
      </c>
      <c r="H3270" s="1" t="str">
        <f t="shared" si="52"/>
        <v>k113_3</v>
      </c>
      <c r="K3270" s="1">
        <f>IF(E3270=0,SUMPRODUCT(($A$2:$A$4734=A3270)*($B$2:$B$4734=B3270)*($D$2:$D$4734=D3270)*($E$2:$E$4734=0)),0)</f>
        <v>0</v>
      </c>
      <c r="L3270" s="1" t="str">
        <f>IF(E3270=0,SUMPRODUCT(MIN($K$2:$K$4734+((($A$2:$A$4734&lt;&gt;A3270)+($E$2:$E$4734&lt;&gt;0))&gt;0)*1000000)),"")</f>
        <v/>
      </c>
      <c r="M3270" s="1">
        <f>IF(AND(E3270=0,COUNTIFS($A$2:A3270,A3270,$E$2:E3270,0)=1),L3270,0)</f>
        <v>0</v>
      </c>
    </row>
    <row r="3271" spans="1:13" ht="15" customHeight="1">
      <c r="A3271" s="1">
        <v>113</v>
      </c>
      <c r="B3271" s="1" t="s">
        <v>95</v>
      </c>
      <c r="C3271" s="2" t="s">
        <v>3855</v>
      </c>
      <c r="D3271" s="2" t="s">
        <v>3849</v>
      </c>
      <c r="E3271" s="1">
        <v>1</v>
      </c>
      <c r="F3271" s="2" t="s">
        <v>3856</v>
      </c>
      <c r="G3271" s="1">
        <v>4</v>
      </c>
      <c r="H3271" s="1" t="str">
        <f t="shared" si="52"/>
        <v>k113_4</v>
      </c>
      <c r="K3271" s="1">
        <f>IF(E3271=0,SUMPRODUCT(($A$2:$A$4734=A3271)*($B$2:$B$4734=B3271)*($D$2:$D$4734=D3271)*($E$2:$E$4734=0)),0)</f>
        <v>0</v>
      </c>
      <c r="L3271" s="1" t="str">
        <f>IF(E3271=0,SUMPRODUCT(MIN($K$2:$K$4734+((($A$2:$A$4734&lt;&gt;A3271)+($E$2:$E$4734&lt;&gt;0))&gt;0)*1000000)),"")</f>
        <v/>
      </c>
      <c r="M3271" s="1">
        <f>IF(AND(E3271=0,COUNTIFS($A$2:A3271,A3271,$E$2:E3271,0)=1),L3271,0)</f>
        <v>0</v>
      </c>
    </row>
    <row r="3272" spans="1:13" ht="15" customHeight="1">
      <c r="A3272" s="1">
        <v>113</v>
      </c>
      <c r="B3272" s="1" t="s">
        <v>95</v>
      </c>
      <c r="C3272" s="2" t="s">
        <v>3857</v>
      </c>
      <c r="D3272" s="2" t="s">
        <v>3849</v>
      </c>
      <c r="E3272" s="1">
        <v>1</v>
      </c>
      <c r="F3272" s="2" t="s">
        <v>3858</v>
      </c>
      <c r="G3272" s="1">
        <v>5</v>
      </c>
      <c r="H3272" s="1" t="str">
        <f t="shared" si="52"/>
        <v>k113_5</v>
      </c>
      <c r="K3272" s="1">
        <f>IF(E3272=0,SUMPRODUCT(($A$2:$A$4734=A3272)*($B$2:$B$4734=B3272)*($D$2:$D$4734=D3272)*($E$2:$E$4734=0)),0)</f>
        <v>0</v>
      </c>
      <c r="L3272" s="1" t="str">
        <f>IF(E3272=0,SUMPRODUCT(MIN($K$2:$K$4734+((($A$2:$A$4734&lt;&gt;A3272)+($E$2:$E$4734&lt;&gt;0))&gt;0)*1000000)),"")</f>
        <v/>
      </c>
      <c r="M3272" s="1">
        <f>IF(AND(E3272=0,COUNTIFS($A$2:A3272,A3272,$E$2:E3272,0)=1),L3272,0)</f>
        <v>0</v>
      </c>
    </row>
    <row r="3273" spans="1:13" ht="15" customHeight="1">
      <c r="A3273" s="1">
        <v>113</v>
      </c>
      <c r="B3273" s="1" t="s">
        <v>95</v>
      </c>
      <c r="C3273" s="2" t="s">
        <v>3859</v>
      </c>
      <c r="D3273" s="2" t="s">
        <v>3849</v>
      </c>
      <c r="E3273" s="1">
        <v>1</v>
      </c>
      <c r="F3273" s="2" t="s">
        <v>3860</v>
      </c>
      <c r="G3273" s="1">
        <v>6</v>
      </c>
      <c r="H3273" s="1" t="str">
        <f t="shared" si="52"/>
        <v>k113_6</v>
      </c>
      <c r="K3273" s="1">
        <f>IF(E3273=0,SUMPRODUCT(($A$2:$A$4734=A3273)*($B$2:$B$4734=B3273)*($D$2:$D$4734=D3273)*($E$2:$E$4734=0)),0)</f>
        <v>0</v>
      </c>
      <c r="L3273" s="1" t="str">
        <f>IF(E3273=0,SUMPRODUCT(MIN($K$2:$K$4734+((($A$2:$A$4734&lt;&gt;A3273)+($E$2:$E$4734&lt;&gt;0))&gt;0)*1000000)),"")</f>
        <v/>
      </c>
      <c r="M3273" s="1">
        <f>IF(AND(E3273=0,COUNTIFS($A$2:A3273,A3273,$E$2:E3273,0)=1),L3273,0)</f>
        <v>0</v>
      </c>
    </row>
    <row r="3274" spans="1:13" ht="15" customHeight="1">
      <c r="A3274" s="1">
        <v>114</v>
      </c>
      <c r="B3274" s="1" t="s">
        <v>9</v>
      </c>
      <c r="C3274" s="2" t="s">
        <v>3861</v>
      </c>
      <c r="D3274" s="2" t="s">
        <v>3862</v>
      </c>
      <c r="E3274" s="1">
        <v>0</v>
      </c>
      <c r="F3274" s="2" t="s">
        <v>3863</v>
      </c>
      <c r="H3274" s="1" t="str">
        <f t="shared" si="52"/>
        <v/>
      </c>
      <c r="K3274" s="1">
        <f>IF(E3274=0,SUMPRODUCT(($A$2:$A$4734=A3274)*($B$2:$B$4734=B3274)*($D$2:$D$4734=D3274)*($E$2:$E$4734=0)),0)</f>
        <v>3</v>
      </c>
      <c r="L3274" s="1">
        <f>IF(E3274=0,SUMPRODUCT(MIN($K$2:$K$4734+((($A$2:$A$4734&lt;&gt;A3274)+($E$2:$E$4734&lt;&gt;0))&gt;0)*1000000)),"")</f>
        <v>3</v>
      </c>
      <c r="M3274" s="1">
        <f>IF(AND(E3274=0,COUNTIFS($A$2:A3274,A3274,$E$2:E3274,0)=1),L3274,0)</f>
        <v>3</v>
      </c>
    </row>
    <row r="3275" spans="1:13" ht="15" customHeight="1">
      <c r="A3275" s="1">
        <v>114</v>
      </c>
      <c r="B3275" s="1" t="s">
        <v>9</v>
      </c>
      <c r="C3275" s="2" t="s">
        <v>3861</v>
      </c>
      <c r="D3275" s="2" t="s">
        <v>3862</v>
      </c>
      <c r="E3275" s="1">
        <v>0</v>
      </c>
      <c r="F3275" s="2" t="s">
        <v>3864</v>
      </c>
      <c r="H3275" s="1" t="str">
        <f t="shared" si="52"/>
        <v/>
      </c>
      <c r="K3275" s="1">
        <f>IF(E3275=0,SUMPRODUCT(($A$2:$A$4734=A3275)*($B$2:$B$4734=B3275)*($D$2:$D$4734=D3275)*($E$2:$E$4734=0)),0)</f>
        <v>3</v>
      </c>
      <c r="L3275" s="1">
        <f>IF(E3275=0,SUMPRODUCT(MIN($K$2:$K$4734+((($A$2:$A$4734&lt;&gt;A3275)+($E$2:$E$4734&lt;&gt;0))&gt;0)*1000000)),"")</f>
        <v>3</v>
      </c>
      <c r="M3275" s="1">
        <f>IF(AND(E3275=0,COUNTIFS($A$2:A3275,A3275,$E$2:E3275,0)=1),L3275,0)</f>
        <v>0</v>
      </c>
    </row>
    <row r="3276" spans="1:13" ht="15" customHeight="1">
      <c r="A3276" s="1">
        <v>114</v>
      </c>
      <c r="B3276" s="1" t="s">
        <v>9</v>
      </c>
      <c r="C3276" s="2" t="s">
        <v>3861</v>
      </c>
      <c r="D3276" s="2" t="s">
        <v>3862</v>
      </c>
      <c r="E3276" s="1">
        <v>0</v>
      </c>
      <c r="F3276" s="2" t="s">
        <v>3865</v>
      </c>
      <c r="H3276" s="1" t="str">
        <f t="shared" si="52"/>
        <v/>
      </c>
      <c r="K3276" s="1">
        <f>IF(E3276=0,SUMPRODUCT(($A$2:$A$4734=A3276)*($B$2:$B$4734=B3276)*($D$2:$D$4734=D3276)*($E$2:$E$4734=0)),0)</f>
        <v>3</v>
      </c>
      <c r="L3276" s="1">
        <f>IF(E3276=0,SUMPRODUCT(MIN($K$2:$K$4734+((($A$2:$A$4734&lt;&gt;A3276)+($E$2:$E$4734&lt;&gt;0))&gt;0)*1000000)),"")</f>
        <v>3</v>
      </c>
      <c r="M3276" s="1">
        <f>IF(AND(E3276=0,COUNTIFS($A$2:A3276,A3276,$E$2:E3276,0)=1),L3276,0)</f>
        <v>0</v>
      </c>
    </row>
    <row r="3277" spans="1:13" ht="15" customHeight="1">
      <c r="A3277" s="1">
        <v>115</v>
      </c>
      <c r="B3277" s="1" t="s">
        <v>9</v>
      </c>
      <c r="C3277" s="2" t="s">
        <v>3866</v>
      </c>
      <c r="D3277" s="2" t="s">
        <v>3571</v>
      </c>
      <c r="E3277" s="1">
        <v>0</v>
      </c>
      <c r="F3277" s="2" t="s">
        <v>3568</v>
      </c>
      <c r="H3277" s="1" t="str">
        <f t="shared" si="52"/>
        <v/>
      </c>
      <c r="K3277" s="1">
        <f>IF(E3277=0,SUMPRODUCT(($A$2:$A$4734=A3277)*($B$2:$B$4734=B3277)*($D$2:$D$4734=D3277)*($E$2:$E$4734=0)),0)</f>
        <v>2</v>
      </c>
      <c r="L3277" s="1">
        <f>IF(E3277=0,SUMPRODUCT(MIN($K$2:$K$4734+((($A$2:$A$4734&lt;&gt;A3277)+($E$2:$E$4734&lt;&gt;0))&gt;0)*1000000)),"")</f>
        <v>2</v>
      </c>
      <c r="M3277" s="1">
        <f>IF(AND(E3277=0,COUNTIFS($A$2:A3277,A3277,$E$2:E3277,0)=1),L3277,0)</f>
        <v>2</v>
      </c>
    </row>
    <row r="3278" spans="1:13" ht="15" customHeight="1">
      <c r="A3278" s="1">
        <v>115</v>
      </c>
      <c r="B3278" s="1" t="s">
        <v>9</v>
      </c>
      <c r="C3278" s="2" t="s">
        <v>3866</v>
      </c>
      <c r="D3278" s="2" t="s">
        <v>3571</v>
      </c>
      <c r="E3278" s="1">
        <v>0</v>
      </c>
      <c r="F3278" s="2" t="s">
        <v>3867</v>
      </c>
      <c r="H3278" s="1" t="str">
        <f t="shared" si="52"/>
        <v/>
      </c>
      <c r="K3278" s="1">
        <f>IF(E3278=0,SUMPRODUCT(($A$2:$A$4734=A3278)*($B$2:$B$4734=B3278)*($D$2:$D$4734=D3278)*($E$2:$E$4734=0)),0)</f>
        <v>2</v>
      </c>
      <c r="L3278" s="1">
        <f>IF(E3278=0,SUMPRODUCT(MIN($K$2:$K$4734+((($A$2:$A$4734&lt;&gt;A3278)+($E$2:$E$4734&lt;&gt;0))&gt;0)*1000000)),"")</f>
        <v>2</v>
      </c>
      <c r="M3278" s="1">
        <f>IF(AND(E3278=0,COUNTIFS($A$2:A3278,A3278,$E$2:E3278,0)=1),L3278,0)</f>
        <v>0</v>
      </c>
    </row>
    <row r="3279" spans="1:13" ht="15" customHeight="1">
      <c r="A3279" s="1">
        <v>115</v>
      </c>
      <c r="B3279" s="1" t="s">
        <v>16</v>
      </c>
      <c r="C3279" s="2" t="s">
        <v>3866</v>
      </c>
      <c r="D3279" s="2" t="s">
        <v>3868</v>
      </c>
      <c r="E3279" s="1">
        <v>0</v>
      </c>
      <c r="F3279" s="2" t="s">
        <v>3869</v>
      </c>
      <c r="H3279" s="1" t="str">
        <f t="shared" si="52"/>
        <v/>
      </c>
      <c r="K3279" s="1">
        <f>IF(E3279=0,SUMPRODUCT(($A$2:$A$4734=A3279)*($B$2:$B$4734=B3279)*($D$2:$D$4734=D3279)*($E$2:$E$4734=0)),0)</f>
        <v>5</v>
      </c>
      <c r="L3279" s="1">
        <f>IF(E3279=0,SUMPRODUCT(MIN($K$2:$K$4734+((($A$2:$A$4734&lt;&gt;A3279)+($E$2:$E$4734&lt;&gt;0))&gt;0)*1000000)),"")</f>
        <v>2</v>
      </c>
      <c r="M3279" s="1">
        <f>IF(AND(E3279=0,COUNTIFS($A$2:A3279,A3279,$E$2:E3279,0)=1),L3279,0)</f>
        <v>0</v>
      </c>
    </row>
    <row r="3280" spans="1:13" ht="15" customHeight="1">
      <c r="A3280" s="1">
        <v>115</v>
      </c>
      <c r="B3280" s="1" t="s">
        <v>16</v>
      </c>
      <c r="C3280" s="2" t="s">
        <v>3866</v>
      </c>
      <c r="D3280" s="2" t="s">
        <v>3868</v>
      </c>
      <c r="E3280" s="1">
        <v>0</v>
      </c>
      <c r="F3280" s="2" t="s">
        <v>3870</v>
      </c>
      <c r="H3280" s="1" t="str">
        <f t="shared" si="52"/>
        <v/>
      </c>
      <c r="K3280" s="1">
        <f>IF(E3280=0,SUMPRODUCT(($A$2:$A$4734=A3280)*($B$2:$B$4734=B3280)*($D$2:$D$4734=D3280)*($E$2:$E$4734=0)),0)</f>
        <v>5</v>
      </c>
      <c r="L3280" s="1">
        <f>IF(E3280=0,SUMPRODUCT(MIN($K$2:$K$4734+((($A$2:$A$4734&lt;&gt;A3280)+($E$2:$E$4734&lt;&gt;0))&gt;0)*1000000)),"")</f>
        <v>2</v>
      </c>
      <c r="M3280" s="1">
        <f>IF(AND(E3280=0,COUNTIFS($A$2:A3280,A3280,$E$2:E3280,0)=1),L3280,0)</f>
        <v>0</v>
      </c>
    </row>
    <row r="3281" spans="1:13" ht="15" customHeight="1">
      <c r="A3281" s="1">
        <v>115</v>
      </c>
      <c r="B3281" s="1" t="s">
        <v>16</v>
      </c>
      <c r="C3281" s="2" t="s">
        <v>3866</v>
      </c>
      <c r="D3281" s="2" t="s">
        <v>3868</v>
      </c>
      <c r="E3281" s="1">
        <v>0</v>
      </c>
      <c r="F3281" s="2" t="s">
        <v>3871</v>
      </c>
      <c r="H3281" s="1" t="str">
        <f t="shared" si="52"/>
        <v/>
      </c>
      <c r="K3281" s="1">
        <f>IF(E3281=0,SUMPRODUCT(($A$2:$A$4734=A3281)*($B$2:$B$4734=B3281)*($D$2:$D$4734=D3281)*($E$2:$E$4734=0)),0)</f>
        <v>5</v>
      </c>
      <c r="L3281" s="1">
        <f>IF(E3281=0,SUMPRODUCT(MIN($K$2:$K$4734+((($A$2:$A$4734&lt;&gt;A3281)+($E$2:$E$4734&lt;&gt;0))&gt;0)*1000000)),"")</f>
        <v>2</v>
      </c>
      <c r="M3281" s="1">
        <f>IF(AND(E3281=0,COUNTIFS($A$2:A3281,A3281,$E$2:E3281,0)=1),L3281,0)</f>
        <v>0</v>
      </c>
    </row>
    <row r="3282" spans="1:13" ht="15" customHeight="1">
      <c r="A3282" s="1">
        <v>115</v>
      </c>
      <c r="B3282" s="1" t="s">
        <v>16</v>
      </c>
      <c r="C3282" s="2" t="s">
        <v>3866</v>
      </c>
      <c r="D3282" s="2" t="s">
        <v>3868</v>
      </c>
      <c r="E3282" s="1">
        <v>0</v>
      </c>
      <c r="F3282" s="2" t="s">
        <v>3872</v>
      </c>
      <c r="H3282" s="1" t="str">
        <f t="shared" si="52"/>
        <v/>
      </c>
      <c r="K3282" s="1">
        <f>IF(E3282=0,SUMPRODUCT(($A$2:$A$4734=A3282)*($B$2:$B$4734=B3282)*($D$2:$D$4734=D3282)*($E$2:$E$4734=0)),0)</f>
        <v>5</v>
      </c>
      <c r="L3282" s="1">
        <f>IF(E3282=0,SUMPRODUCT(MIN($K$2:$K$4734+((($A$2:$A$4734&lt;&gt;A3282)+($E$2:$E$4734&lt;&gt;0))&gt;0)*1000000)),"")</f>
        <v>2</v>
      </c>
      <c r="M3282" s="1">
        <f>IF(AND(E3282=0,COUNTIFS($A$2:A3282,A3282,$E$2:E3282,0)=1),L3282,0)</f>
        <v>0</v>
      </c>
    </row>
    <row r="3283" spans="1:13" ht="15" customHeight="1">
      <c r="A3283" s="1">
        <v>115</v>
      </c>
      <c r="B3283" s="1" t="s">
        <v>16</v>
      </c>
      <c r="C3283" s="2" t="s">
        <v>3866</v>
      </c>
      <c r="D3283" s="2" t="s">
        <v>3868</v>
      </c>
      <c r="E3283" s="1">
        <v>0</v>
      </c>
      <c r="F3283" s="2" t="s">
        <v>3873</v>
      </c>
      <c r="H3283" s="1" t="str">
        <f t="shared" si="52"/>
        <v/>
      </c>
      <c r="K3283" s="1">
        <f>IF(E3283=0,SUMPRODUCT(($A$2:$A$4734=A3283)*($B$2:$B$4734=B3283)*($D$2:$D$4734=D3283)*($E$2:$E$4734=0)),0)</f>
        <v>5</v>
      </c>
      <c r="L3283" s="1">
        <f>IF(E3283=0,SUMPRODUCT(MIN($K$2:$K$4734+((($A$2:$A$4734&lt;&gt;A3283)+($E$2:$E$4734&lt;&gt;0))&gt;0)*1000000)),"")</f>
        <v>2</v>
      </c>
      <c r="M3283" s="1">
        <f>IF(AND(E3283=0,COUNTIFS($A$2:A3283,A3283,$E$2:E3283,0)=1),L3283,0)</f>
        <v>0</v>
      </c>
    </row>
    <row r="3284" spans="1:13" ht="15" customHeight="1">
      <c r="A3284" s="1">
        <v>115</v>
      </c>
      <c r="B3284" s="1" t="s">
        <v>9</v>
      </c>
      <c r="C3284" s="2" t="s">
        <v>3866</v>
      </c>
      <c r="D3284" s="2" t="s">
        <v>3874</v>
      </c>
      <c r="E3284" s="1">
        <v>0</v>
      </c>
      <c r="F3284" s="2" t="s">
        <v>3875</v>
      </c>
      <c r="H3284" s="1" t="str">
        <f t="shared" si="52"/>
        <v/>
      </c>
      <c r="K3284" s="1">
        <f>IF(E3284=0,SUMPRODUCT(($A$2:$A$4734=A3284)*($B$2:$B$4734=B3284)*($D$2:$D$4734=D3284)*($E$2:$E$4734=0)),0)</f>
        <v>5</v>
      </c>
      <c r="L3284" s="1">
        <f>IF(E3284=0,SUMPRODUCT(MIN($K$2:$K$4734+((($A$2:$A$4734&lt;&gt;A3284)+($E$2:$E$4734&lt;&gt;0))&gt;0)*1000000)),"")</f>
        <v>2</v>
      </c>
      <c r="M3284" s="1">
        <f>IF(AND(E3284=0,COUNTIFS($A$2:A3284,A3284,$E$2:E3284,0)=1),L3284,0)</f>
        <v>0</v>
      </c>
    </row>
    <row r="3285" spans="1:13" ht="15" customHeight="1">
      <c r="A3285" s="1">
        <v>115</v>
      </c>
      <c r="B3285" s="1" t="s">
        <v>9</v>
      </c>
      <c r="C3285" s="2" t="s">
        <v>3866</v>
      </c>
      <c r="D3285" s="2" t="s">
        <v>3874</v>
      </c>
      <c r="E3285" s="1">
        <v>0</v>
      </c>
      <c r="F3285" s="2" t="s">
        <v>3876</v>
      </c>
      <c r="H3285" s="1" t="str">
        <f t="shared" si="52"/>
        <v/>
      </c>
      <c r="K3285" s="1">
        <f>IF(E3285=0,SUMPRODUCT(($A$2:$A$4734=A3285)*($B$2:$B$4734=B3285)*($D$2:$D$4734=D3285)*($E$2:$E$4734=0)),0)</f>
        <v>5</v>
      </c>
      <c r="L3285" s="1">
        <f>IF(E3285=0,SUMPRODUCT(MIN($K$2:$K$4734+((($A$2:$A$4734&lt;&gt;A3285)+($E$2:$E$4734&lt;&gt;0))&gt;0)*1000000)),"")</f>
        <v>2</v>
      </c>
      <c r="M3285" s="1">
        <f>IF(AND(E3285=0,COUNTIFS($A$2:A3285,A3285,$E$2:E3285,0)=1),L3285,0)</f>
        <v>0</v>
      </c>
    </row>
    <row r="3286" spans="1:13" ht="15" customHeight="1">
      <c r="A3286" s="1">
        <v>115</v>
      </c>
      <c r="B3286" s="1" t="s">
        <v>9</v>
      </c>
      <c r="C3286" s="2" t="s">
        <v>3866</v>
      </c>
      <c r="D3286" s="2" t="s">
        <v>3874</v>
      </c>
      <c r="E3286" s="1">
        <v>0</v>
      </c>
      <c r="F3286" s="2" t="s">
        <v>3877</v>
      </c>
      <c r="H3286" s="1" t="str">
        <f t="shared" si="52"/>
        <v/>
      </c>
      <c r="K3286" s="1">
        <f>IF(E3286=0,SUMPRODUCT(($A$2:$A$4734=A3286)*($B$2:$B$4734=B3286)*($D$2:$D$4734=D3286)*($E$2:$E$4734=0)),0)</f>
        <v>5</v>
      </c>
      <c r="L3286" s="1">
        <f>IF(E3286=0,SUMPRODUCT(MIN($K$2:$K$4734+((($A$2:$A$4734&lt;&gt;A3286)+($E$2:$E$4734&lt;&gt;0))&gt;0)*1000000)),"")</f>
        <v>2</v>
      </c>
      <c r="M3286" s="1">
        <f>IF(AND(E3286=0,COUNTIFS($A$2:A3286,A3286,$E$2:E3286,0)=1),L3286,0)</f>
        <v>0</v>
      </c>
    </row>
    <row r="3287" spans="1:13" ht="15" customHeight="1">
      <c r="A3287" s="1">
        <v>115</v>
      </c>
      <c r="B3287" s="1" t="s">
        <v>9</v>
      </c>
      <c r="C3287" s="2" t="s">
        <v>3866</v>
      </c>
      <c r="D3287" s="2" t="s">
        <v>3874</v>
      </c>
      <c r="E3287" s="1">
        <v>0</v>
      </c>
      <c r="F3287" s="2" t="s">
        <v>3878</v>
      </c>
      <c r="H3287" s="1" t="str">
        <f t="shared" si="52"/>
        <v/>
      </c>
      <c r="K3287" s="1">
        <f>IF(E3287=0,SUMPRODUCT(($A$2:$A$4734=A3287)*($B$2:$B$4734=B3287)*($D$2:$D$4734=D3287)*($E$2:$E$4734=0)),0)</f>
        <v>5</v>
      </c>
      <c r="L3287" s="1">
        <f>IF(E3287=0,SUMPRODUCT(MIN($K$2:$K$4734+((($A$2:$A$4734&lt;&gt;A3287)+($E$2:$E$4734&lt;&gt;0))&gt;0)*1000000)),"")</f>
        <v>2</v>
      </c>
      <c r="M3287" s="1">
        <f>IF(AND(E3287=0,COUNTIFS($A$2:A3287,A3287,$E$2:E3287,0)=1),L3287,0)</f>
        <v>0</v>
      </c>
    </row>
    <row r="3288" spans="1:13" ht="15" customHeight="1">
      <c r="A3288" s="1">
        <v>115</v>
      </c>
      <c r="B3288" s="1" t="s">
        <v>9</v>
      </c>
      <c r="C3288" s="2" t="s">
        <v>3866</v>
      </c>
      <c r="D3288" s="2" t="s">
        <v>3874</v>
      </c>
      <c r="E3288" s="1">
        <v>0</v>
      </c>
      <c r="F3288" s="2" t="s">
        <v>3879</v>
      </c>
      <c r="H3288" s="1" t="str">
        <f t="shared" si="52"/>
        <v/>
      </c>
      <c r="K3288" s="1">
        <f>IF(E3288=0,SUMPRODUCT(($A$2:$A$4734=A3288)*($B$2:$B$4734=B3288)*($D$2:$D$4734=D3288)*($E$2:$E$4734=0)),0)</f>
        <v>5</v>
      </c>
      <c r="L3288" s="1">
        <f>IF(E3288=0,SUMPRODUCT(MIN($K$2:$K$4734+((($A$2:$A$4734&lt;&gt;A3288)+($E$2:$E$4734&lt;&gt;0))&gt;0)*1000000)),"")</f>
        <v>2</v>
      </c>
      <c r="M3288" s="1">
        <f>IF(AND(E3288=0,COUNTIFS($A$2:A3288,A3288,$E$2:E3288,0)=1),L3288,0)</f>
        <v>0</v>
      </c>
    </row>
    <row r="3289" spans="1:13" ht="15" customHeight="1">
      <c r="A3289" s="1">
        <v>116</v>
      </c>
      <c r="B3289" s="1" t="s">
        <v>9</v>
      </c>
      <c r="C3289" s="2" t="s">
        <v>3880</v>
      </c>
      <c r="D3289" s="2" t="s">
        <v>3881</v>
      </c>
      <c r="E3289" s="1">
        <v>0</v>
      </c>
      <c r="F3289" s="2" t="s">
        <v>3882</v>
      </c>
      <c r="H3289" s="1" t="str">
        <f t="shared" ref="H3289:H3348" si="53">IF(OR(E3289&lt;&gt;1,G3289=""),"","k"&amp;A3289&amp;"_"&amp;G3289)</f>
        <v/>
      </c>
      <c r="K3289" s="1">
        <f>IF(E3289=0,SUMPRODUCT(($A$2:$A$4734=A3289)*($B$2:$B$4734=B3289)*($D$2:$D$4734=D3289)*($E$2:$E$4734=0)),0)</f>
        <v>4</v>
      </c>
      <c r="L3289" s="1">
        <f>IF(E3289=0,SUMPRODUCT(MIN($K$2:$K$4734+((($A$2:$A$4734&lt;&gt;A3289)+($E$2:$E$4734&lt;&gt;0))&gt;0)*1000000)),"")</f>
        <v>4</v>
      </c>
      <c r="M3289" s="1">
        <f>IF(AND(E3289=0,COUNTIFS($A$2:A3289,A3289,$E$2:E3289,0)=1),L3289,0)</f>
        <v>4</v>
      </c>
    </row>
    <row r="3290" spans="1:13" ht="15" customHeight="1">
      <c r="A3290" s="1">
        <v>116</v>
      </c>
      <c r="B3290" s="1" t="s">
        <v>9</v>
      </c>
      <c r="C3290" s="2" t="s">
        <v>3880</v>
      </c>
      <c r="D3290" s="2" t="s">
        <v>3881</v>
      </c>
      <c r="E3290" s="1">
        <v>0</v>
      </c>
      <c r="F3290" s="2" t="s">
        <v>3883</v>
      </c>
      <c r="H3290" s="1" t="str">
        <f t="shared" si="53"/>
        <v/>
      </c>
      <c r="K3290" s="1">
        <f>IF(E3290=0,SUMPRODUCT(($A$2:$A$4734=A3290)*($B$2:$B$4734=B3290)*($D$2:$D$4734=D3290)*($E$2:$E$4734=0)),0)</f>
        <v>4</v>
      </c>
      <c r="L3290" s="1">
        <f>IF(E3290=0,SUMPRODUCT(MIN($K$2:$K$4734+((($A$2:$A$4734&lt;&gt;A3290)+($E$2:$E$4734&lt;&gt;0))&gt;0)*1000000)),"")</f>
        <v>4</v>
      </c>
      <c r="M3290" s="1">
        <f>IF(AND(E3290=0,COUNTIFS($A$2:A3290,A3290,$E$2:E3290,0)=1),L3290,0)</f>
        <v>0</v>
      </c>
    </row>
    <row r="3291" spans="1:13" ht="15" customHeight="1">
      <c r="A3291" s="1">
        <v>116</v>
      </c>
      <c r="B3291" s="1" t="s">
        <v>9</v>
      </c>
      <c r="C3291" s="2" t="s">
        <v>3880</v>
      </c>
      <c r="D3291" s="2" t="s">
        <v>3881</v>
      </c>
      <c r="E3291" s="1">
        <v>0</v>
      </c>
      <c r="F3291" s="2" t="s">
        <v>3884</v>
      </c>
      <c r="H3291" s="1" t="str">
        <f t="shared" si="53"/>
        <v/>
      </c>
      <c r="K3291" s="1">
        <f>IF(E3291=0,SUMPRODUCT(($A$2:$A$4734=A3291)*($B$2:$B$4734=B3291)*($D$2:$D$4734=D3291)*($E$2:$E$4734=0)),0)</f>
        <v>4</v>
      </c>
      <c r="L3291" s="1">
        <f>IF(E3291=0,SUMPRODUCT(MIN($K$2:$K$4734+((($A$2:$A$4734&lt;&gt;A3291)+($E$2:$E$4734&lt;&gt;0))&gt;0)*1000000)),"")</f>
        <v>4</v>
      </c>
      <c r="M3291" s="1">
        <f>IF(AND(E3291=0,COUNTIFS($A$2:A3291,A3291,$E$2:E3291,0)=1),L3291,0)</f>
        <v>0</v>
      </c>
    </row>
    <row r="3292" spans="1:13" ht="15" customHeight="1">
      <c r="A3292" s="1">
        <v>116</v>
      </c>
      <c r="B3292" s="1" t="s">
        <v>9</v>
      </c>
      <c r="C3292" s="2" t="s">
        <v>3880</v>
      </c>
      <c r="D3292" s="2" t="s">
        <v>3881</v>
      </c>
      <c r="E3292" s="1">
        <v>0</v>
      </c>
      <c r="F3292" s="2" t="s">
        <v>3885</v>
      </c>
      <c r="H3292" s="1" t="str">
        <f t="shared" si="53"/>
        <v/>
      </c>
      <c r="K3292" s="1">
        <f>IF(E3292=0,SUMPRODUCT(($A$2:$A$4734=A3292)*($B$2:$B$4734=B3292)*($D$2:$D$4734=D3292)*($E$2:$E$4734=0)),0)</f>
        <v>4</v>
      </c>
      <c r="L3292" s="1">
        <f>IF(E3292=0,SUMPRODUCT(MIN($K$2:$K$4734+((($A$2:$A$4734&lt;&gt;A3292)+($E$2:$E$4734&lt;&gt;0))&gt;0)*1000000)),"")</f>
        <v>4</v>
      </c>
      <c r="M3292" s="1">
        <f>IF(AND(E3292=0,COUNTIFS($A$2:A3292,A3292,$E$2:E3292,0)=1),L3292,0)</f>
        <v>0</v>
      </c>
    </row>
    <row r="3293" spans="1:13" ht="15" customHeight="1">
      <c r="A3293" s="1">
        <v>116</v>
      </c>
      <c r="B3293" s="1" t="s">
        <v>16</v>
      </c>
      <c r="C3293" s="2" t="s">
        <v>3880</v>
      </c>
      <c r="D3293" s="2" t="s">
        <v>3881</v>
      </c>
      <c r="E3293" s="1">
        <v>0</v>
      </c>
      <c r="F3293" s="2" t="s">
        <v>3886</v>
      </c>
      <c r="H3293" s="1" t="str">
        <f t="shared" si="53"/>
        <v/>
      </c>
      <c r="K3293" s="1">
        <f>IF(E3293=0,SUMPRODUCT(($A$2:$A$4734=A3293)*($B$2:$B$4734=B3293)*($D$2:$D$4734=D3293)*($E$2:$E$4734=0)),0)</f>
        <v>6</v>
      </c>
      <c r="L3293" s="1">
        <f>IF(E3293=0,SUMPRODUCT(MIN($K$2:$K$4734+((($A$2:$A$4734&lt;&gt;A3293)+($E$2:$E$4734&lt;&gt;0))&gt;0)*1000000)),"")</f>
        <v>4</v>
      </c>
      <c r="M3293" s="1">
        <f>IF(AND(E3293=0,COUNTIFS($A$2:A3293,A3293,$E$2:E3293,0)=1),L3293,0)</f>
        <v>0</v>
      </c>
    </row>
    <row r="3294" spans="1:13" ht="15" customHeight="1">
      <c r="A3294" s="1">
        <v>116</v>
      </c>
      <c r="B3294" s="1" t="s">
        <v>16</v>
      </c>
      <c r="C3294" s="2" t="s">
        <v>3880</v>
      </c>
      <c r="D3294" s="2" t="s">
        <v>3881</v>
      </c>
      <c r="E3294" s="1">
        <v>0</v>
      </c>
      <c r="F3294" s="2" t="s">
        <v>3887</v>
      </c>
      <c r="H3294" s="1" t="str">
        <f t="shared" si="53"/>
        <v/>
      </c>
      <c r="K3294" s="1">
        <f>IF(E3294=0,SUMPRODUCT(($A$2:$A$4734=A3294)*($B$2:$B$4734=B3294)*($D$2:$D$4734=D3294)*($E$2:$E$4734=0)),0)</f>
        <v>6</v>
      </c>
      <c r="L3294" s="1">
        <f>IF(E3294=0,SUMPRODUCT(MIN($K$2:$K$4734+((($A$2:$A$4734&lt;&gt;A3294)+($E$2:$E$4734&lt;&gt;0))&gt;0)*1000000)),"")</f>
        <v>4</v>
      </c>
      <c r="M3294" s="1">
        <f>IF(AND(E3294=0,COUNTIFS($A$2:A3294,A3294,$E$2:E3294,0)=1),L3294,0)</f>
        <v>0</v>
      </c>
    </row>
    <row r="3295" spans="1:13" ht="15" customHeight="1">
      <c r="A3295" s="1">
        <v>116</v>
      </c>
      <c r="B3295" s="1" t="s">
        <v>16</v>
      </c>
      <c r="C3295" s="2" t="s">
        <v>3880</v>
      </c>
      <c r="D3295" s="2" t="s">
        <v>3881</v>
      </c>
      <c r="E3295" s="1">
        <v>0</v>
      </c>
      <c r="F3295" s="2" t="s">
        <v>3888</v>
      </c>
      <c r="H3295" s="1" t="str">
        <f t="shared" si="53"/>
        <v/>
      </c>
      <c r="K3295" s="1">
        <f>IF(E3295=0,SUMPRODUCT(($A$2:$A$4734=A3295)*($B$2:$B$4734=B3295)*($D$2:$D$4734=D3295)*($E$2:$E$4734=0)),0)</f>
        <v>6</v>
      </c>
      <c r="L3295" s="1">
        <f>IF(E3295=0,SUMPRODUCT(MIN($K$2:$K$4734+((($A$2:$A$4734&lt;&gt;A3295)+($E$2:$E$4734&lt;&gt;0))&gt;0)*1000000)),"")</f>
        <v>4</v>
      </c>
      <c r="M3295" s="1">
        <f>IF(AND(E3295=0,COUNTIFS($A$2:A3295,A3295,$E$2:E3295,0)=1),L3295,0)</f>
        <v>0</v>
      </c>
    </row>
    <row r="3296" spans="1:13" ht="15" customHeight="1">
      <c r="A3296" s="1">
        <v>116</v>
      </c>
      <c r="B3296" s="1" t="s">
        <v>16</v>
      </c>
      <c r="C3296" s="2" t="s">
        <v>3880</v>
      </c>
      <c r="D3296" s="2" t="s">
        <v>3881</v>
      </c>
      <c r="E3296" s="1">
        <v>0</v>
      </c>
      <c r="F3296" s="2" t="s">
        <v>3889</v>
      </c>
      <c r="H3296" s="1" t="str">
        <f t="shared" si="53"/>
        <v/>
      </c>
      <c r="K3296" s="1">
        <f>IF(E3296=0,SUMPRODUCT(($A$2:$A$4734=A3296)*($B$2:$B$4734=B3296)*($D$2:$D$4734=D3296)*($E$2:$E$4734=0)),0)</f>
        <v>6</v>
      </c>
      <c r="L3296" s="1">
        <f>IF(E3296=0,SUMPRODUCT(MIN($K$2:$K$4734+((($A$2:$A$4734&lt;&gt;A3296)+($E$2:$E$4734&lt;&gt;0))&gt;0)*1000000)),"")</f>
        <v>4</v>
      </c>
      <c r="M3296" s="1">
        <f>IF(AND(E3296=0,COUNTIFS($A$2:A3296,A3296,$E$2:E3296,0)=1),L3296,0)</f>
        <v>0</v>
      </c>
    </row>
    <row r="3297" spans="1:13" ht="15" customHeight="1">
      <c r="A3297" s="1">
        <v>116</v>
      </c>
      <c r="B3297" s="1" t="s">
        <v>16</v>
      </c>
      <c r="C3297" s="2" t="s">
        <v>3880</v>
      </c>
      <c r="D3297" s="2" t="s">
        <v>3881</v>
      </c>
      <c r="E3297" s="1">
        <v>0</v>
      </c>
      <c r="F3297" s="2" t="s">
        <v>3890</v>
      </c>
      <c r="H3297" s="1" t="str">
        <f t="shared" si="53"/>
        <v/>
      </c>
      <c r="K3297" s="1">
        <f>IF(E3297=0,SUMPRODUCT(($A$2:$A$4734=A3297)*($B$2:$B$4734=B3297)*($D$2:$D$4734=D3297)*($E$2:$E$4734=0)),0)</f>
        <v>6</v>
      </c>
      <c r="L3297" s="1">
        <f>IF(E3297=0,SUMPRODUCT(MIN($K$2:$K$4734+((($A$2:$A$4734&lt;&gt;A3297)+($E$2:$E$4734&lt;&gt;0))&gt;0)*1000000)),"")</f>
        <v>4</v>
      </c>
      <c r="M3297" s="1">
        <f>IF(AND(E3297=0,COUNTIFS($A$2:A3297,A3297,$E$2:E3297,0)=1),L3297,0)</f>
        <v>0</v>
      </c>
    </row>
    <row r="3298" spans="1:13" ht="15" customHeight="1">
      <c r="A3298" s="1">
        <v>116</v>
      </c>
      <c r="B3298" s="1" t="s">
        <v>16</v>
      </c>
      <c r="C3298" s="2" t="s">
        <v>3880</v>
      </c>
      <c r="D3298" s="2" t="s">
        <v>3881</v>
      </c>
      <c r="E3298" s="1">
        <v>0</v>
      </c>
      <c r="F3298" s="2" t="s">
        <v>3891</v>
      </c>
      <c r="H3298" s="1" t="str">
        <f t="shared" si="53"/>
        <v/>
      </c>
      <c r="K3298" s="1">
        <f>IF(E3298=0,SUMPRODUCT(($A$2:$A$4734=A3298)*($B$2:$B$4734=B3298)*($D$2:$D$4734=D3298)*($E$2:$E$4734=0)),0)</f>
        <v>6</v>
      </c>
      <c r="L3298" s="1">
        <f>IF(E3298=0,SUMPRODUCT(MIN($K$2:$K$4734+((($A$2:$A$4734&lt;&gt;A3298)+($E$2:$E$4734&lt;&gt;0))&gt;0)*1000000)),"")</f>
        <v>4</v>
      </c>
      <c r="M3298" s="1">
        <f>IF(AND(E3298=0,COUNTIFS($A$2:A3298,A3298,$E$2:E3298,0)=1),L3298,0)</f>
        <v>0</v>
      </c>
    </row>
    <row r="3299" spans="1:13" ht="15" customHeight="1">
      <c r="A3299" s="1">
        <v>117</v>
      </c>
      <c r="B3299" s="1" t="s">
        <v>9</v>
      </c>
      <c r="C3299" s="2" t="s">
        <v>3892</v>
      </c>
      <c r="D3299" s="2" t="s">
        <v>3893</v>
      </c>
      <c r="E3299" s="1">
        <v>0</v>
      </c>
      <c r="F3299" s="2" t="s">
        <v>3894</v>
      </c>
      <c r="H3299" s="1" t="str">
        <f t="shared" si="53"/>
        <v/>
      </c>
      <c r="K3299" s="1">
        <f>IF(E3299=0,SUMPRODUCT(($A$2:$A$4734=A3299)*($B$2:$B$4734=B3299)*($D$2:$D$4734=D3299)*($E$2:$E$4734=0)),0)</f>
        <v>5</v>
      </c>
      <c r="L3299" s="1">
        <f>IF(E3299=0,SUMPRODUCT(MIN($K$2:$K$4734+((($A$2:$A$4734&lt;&gt;A3299)+($E$2:$E$4734&lt;&gt;0))&gt;0)*1000000)),"")</f>
        <v>5</v>
      </c>
      <c r="M3299" s="1">
        <f>IF(AND(E3299=0,COUNTIFS($A$2:A3299,A3299,$E$2:E3299,0)=1),L3299,0)</f>
        <v>5</v>
      </c>
    </row>
    <row r="3300" spans="1:13" ht="15" customHeight="1">
      <c r="A3300" s="1">
        <v>117</v>
      </c>
      <c r="B3300" s="1" t="s">
        <v>9</v>
      </c>
      <c r="C3300" s="2" t="s">
        <v>3892</v>
      </c>
      <c r="D3300" s="2" t="s">
        <v>3893</v>
      </c>
      <c r="E3300" s="1">
        <v>0</v>
      </c>
      <c r="F3300" s="2" t="s">
        <v>3895</v>
      </c>
      <c r="H3300" s="1" t="str">
        <f t="shared" si="53"/>
        <v/>
      </c>
      <c r="K3300" s="1">
        <f>IF(E3300=0,SUMPRODUCT(($A$2:$A$4734=A3300)*($B$2:$B$4734=B3300)*($D$2:$D$4734=D3300)*($E$2:$E$4734=0)),0)</f>
        <v>5</v>
      </c>
      <c r="L3300" s="1">
        <f>IF(E3300=0,SUMPRODUCT(MIN($K$2:$K$4734+((($A$2:$A$4734&lt;&gt;A3300)+($E$2:$E$4734&lt;&gt;0))&gt;0)*1000000)),"")</f>
        <v>5</v>
      </c>
      <c r="M3300" s="1">
        <f>IF(AND(E3300=0,COUNTIFS($A$2:A3300,A3300,$E$2:E3300,0)=1),L3300,0)</f>
        <v>0</v>
      </c>
    </row>
    <row r="3301" spans="1:13" ht="15" customHeight="1">
      <c r="A3301" s="1">
        <v>117</v>
      </c>
      <c r="B3301" s="1" t="s">
        <v>9</v>
      </c>
      <c r="C3301" s="2" t="s">
        <v>3892</v>
      </c>
      <c r="D3301" s="2" t="s">
        <v>3893</v>
      </c>
      <c r="E3301" s="1">
        <v>0</v>
      </c>
      <c r="F3301" s="2" t="s">
        <v>3896</v>
      </c>
      <c r="H3301" s="1" t="str">
        <f t="shared" si="53"/>
        <v/>
      </c>
      <c r="K3301" s="1">
        <f>IF(E3301=0,SUMPRODUCT(($A$2:$A$4734=A3301)*($B$2:$B$4734=B3301)*($D$2:$D$4734=D3301)*($E$2:$E$4734=0)),0)</f>
        <v>5</v>
      </c>
      <c r="L3301" s="1">
        <f>IF(E3301=0,SUMPRODUCT(MIN($K$2:$K$4734+((($A$2:$A$4734&lt;&gt;A3301)+($E$2:$E$4734&lt;&gt;0))&gt;0)*1000000)),"")</f>
        <v>5</v>
      </c>
      <c r="M3301" s="1">
        <f>IF(AND(E3301=0,COUNTIFS($A$2:A3301,A3301,$E$2:E3301,0)=1),L3301,0)</f>
        <v>0</v>
      </c>
    </row>
    <row r="3302" spans="1:13" ht="15" customHeight="1">
      <c r="A3302" s="1">
        <v>117</v>
      </c>
      <c r="B3302" s="1" t="s">
        <v>9</v>
      </c>
      <c r="C3302" s="2" t="s">
        <v>3892</v>
      </c>
      <c r="D3302" s="2" t="s">
        <v>3893</v>
      </c>
      <c r="E3302" s="1">
        <v>0</v>
      </c>
      <c r="F3302" s="2" t="s">
        <v>1060</v>
      </c>
      <c r="H3302" s="1" t="str">
        <f t="shared" si="53"/>
        <v/>
      </c>
      <c r="K3302" s="1">
        <f>IF(E3302=0,SUMPRODUCT(($A$2:$A$4734=A3302)*($B$2:$B$4734=B3302)*($D$2:$D$4734=D3302)*($E$2:$E$4734=0)),0)</f>
        <v>5</v>
      </c>
      <c r="L3302" s="1">
        <f>IF(E3302=0,SUMPRODUCT(MIN($K$2:$K$4734+((($A$2:$A$4734&lt;&gt;A3302)+($E$2:$E$4734&lt;&gt;0))&gt;0)*1000000)),"")</f>
        <v>5</v>
      </c>
      <c r="M3302" s="1">
        <f>IF(AND(E3302=0,COUNTIFS($A$2:A3302,A3302,$E$2:E3302,0)=1),L3302,0)</f>
        <v>0</v>
      </c>
    </row>
    <row r="3303" spans="1:13" ht="15" customHeight="1">
      <c r="A3303" s="1">
        <v>117</v>
      </c>
      <c r="B3303" s="1" t="s">
        <v>9</v>
      </c>
      <c r="C3303" s="2" t="s">
        <v>3892</v>
      </c>
      <c r="D3303" s="2" t="s">
        <v>3893</v>
      </c>
      <c r="E3303" s="1">
        <v>0</v>
      </c>
      <c r="F3303" s="2" t="s">
        <v>3897</v>
      </c>
      <c r="H3303" s="1" t="str">
        <f t="shared" si="53"/>
        <v/>
      </c>
      <c r="K3303" s="1">
        <f>IF(E3303=0,SUMPRODUCT(($A$2:$A$4734=A3303)*($B$2:$B$4734=B3303)*($D$2:$D$4734=D3303)*($E$2:$E$4734=0)),0)</f>
        <v>5</v>
      </c>
      <c r="L3303" s="1">
        <f>IF(E3303=0,SUMPRODUCT(MIN($K$2:$K$4734+((($A$2:$A$4734&lt;&gt;A3303)+($E$2:$E$4734&lt;&gt;0))&gt;0)*1000000)),"")</f>
        <v>5</v>
      </c>
      <c r="M3303" s="1">
        <f>IF(AND(E3303=0,COUNTIFS($A$2:A3303,A3303,$E$2:E3303,0)=1),L3303,0)</f>
        <v>0</v>
      </c>
    </row>
    <row r="3304" spans="1:13" ht="15" customHeight="1">
      <c r="A3304" s="1">
        <v>118</v>
      </c>
      <c r="B3304" s="1" t="s">
        <v>16</v>
      </c>
      <c r="C3304" s="2" t="s">
        <v>3898</v>
      </c>
      <c r="D3304" s="2" t="s">
        <v>3899</v>
      </c>
      <c r="E3304" s="1">
        <v>0</v>
      </c>
      <c r="F3304" s="2" t="s">
        <v>3900</v>
      </c>
      <c r="H3304" s="1" t="str">
        <f t="shared" si="53"/>
        <v/>
      </c>
      <c r="K3304" s="1">
        <f>IF(E3304=0,SUMPRODUCT(($A$2:$A$4734=A3304)*($B$2:$B$4734=B3304)*($D$2:$D$4734=D3304)*($E$2:$E$4734=0)),0)</f>
        <v>4</v>
      </c>
      <c r="L3304" s="1">
        <f>IF(E3304=0,SUMPRODUCT(MIN($K$2:$K$4734+((($A$2:$A$4734&lt;&gt;A3304)+($E$2:$E$4734&lt;&gt;0))&gt;0)*1000000)),"")</f>
        <v>4</v>
      </c>
      <c r="M3304" s="1">
        <f>IF(AND(E3304=0,COUNTIFS($A$2:A3304,A3304,$E$2:E3304,0)=1),L3304,0)</f>
        <v>4</v>
      </c>
    </row>
    <row r="3305" spans="1:13" ht="15" customHeight="1">
      <c r="A3305" s="1">
        <v>118</v>
      </c>
      <c r="B3305" s="1" t="s">
        <v>16</v>
      </c>
      <c r="C3305" s="2" t="s">
        <v>3898</v>
      </c>
      <c r="D3305" s="2" t="s">
        <v>3899</v>
      </c>
      <c r="E3305" s="1">
        <v>0</v>
      </c>
      <c r="F3305" s="2" t="s">
        <v>3901</v>
      </c>
      <c r="H3305" s="1" t="str">
        <f t="shared" si="53"/>
        <v/>
      </c>
      <c r="K3305" s="1">
        <f>IF(E3305=0,SUMPRODUCT(($A$2:$A$4734=A3305)*($B$2:$B$4734=B3305)*($D$2:$D$4734=D3305)*($E$2:$E$4734=0)),0)</f>
        <v>4</v>
      </c>
      <c r="L3305" s="1">
        <f>IF(E3305=0,SUMPRODUCT(MIN($K$2:$K$4734+((($A$2:$A$4734&lt;&gt;A3305)+($E$2:$E$4734&lt;&gt;0))&gt;0)*1000000)),"")</f>
        <v>4</v>
      </c>
      <c r="M3305" s="1">
        <f>IF(AND(E3305=0,COUNTIFS($A$2:A3305,A3305,$E$2:E3305,0)=1),L3305,0)</f>
        <v>0</v>
      </c>
    </row>
    <row r="3306" spans="1:13" ht="15" customHeight="1">
      <c r="A3306" s="1">
        <v>118</v>
      </c>
      <c r="B3306" s="1" t="s">
        <v>16</v>
      </c>
      <c r="C3306" s="2" t="s">
        <v>3898</v>
      </c>
      <c r="D3306" s="2" t="s">
        <v>3899</v>
      </c>
      <c r="E3306" s="1">
        <v>0</v>
      </c>
      <c r="F3306" s="2" t="s">
        <v>3902</v>
      </c>
      <c r="H3306" s="1" t="str">
        <f t="shared" si="53"/>
        <v/>
      </c>
      <c r="K3306" s="1">
        <f>IF(E3306=0,SUMPRODUCT(($A$2:$A$4734=A3306)*($B$2:$B$4734=B3306)*($D$2:$D$4734=D3306)*($E$2:$E$4734=0)),0)</f>
        <v>4</v>
      </c>
      <c r="L3306" s="1">
        <f>IF(E3306=0,SUMPRODUCT(MIN($K$2:$K$4734+((($A$2:$A$4734&lt;&gt;A3306)+($E$2:$E$4734&lt;&gt;0))&gt;0)*1000000)),"")</f>
        <v>4</v>
      </c>
      <c r="M3306" s="1">
        <f>IF(AND(E3306=0,COUNTIFS($A$2:A3306,A3306,$E$2:E3306,0)=1),L3306,0)</f>
        <v>0</v>
      </c>
    </row>
    <row r="3307" spans="1:13" ht="15" customHeight="1">
      <c r="A3307" s="1">
        <v>118</v>
      </c>
      <c r="B3307" s="1" t="s">
        <v>16</v>
      </c>
      <c r="C3307" s="2" t="s">
        <v>3898</v>
      </c>
      <c r="D3307" s="2" t="s">
        <v>3899</v>
      </c>
      <c r="E3307" s="1">
        <v>0</v>
      </c>
      <c r="F3307" s="2" t="s">
        <v>3903</v>
      </c>
      <c r="H3307" s="1" t="str">
        <f t="shared" si="53"/>
        <v/>
      </c>
      <c r="K3307" s="1">
        <f>IF(E3307=0,SUMPRODUCT(($A$2:$A$4734=A3307)*($B$2:$B$4734=B3307)*($D$2:$D$4734=D3307)*($E$2:$E$4734=0)),0)</f>
        <v>4</v>
      </c>
      <c r="L3307" s="1">
        <f>IF(E3307=0,SUMPRODUCT(MIN($K$2:$K$4734+((($A$2:$A$4734&lt;&gt;A3307)+($E$2:$E$4734&lt;&gt;0))&gt;0)*1000000)),"")</f>
        <v>4</v>
      </c>
      <c r="M3307" s="1">
        <f>IF(AND(E3307=0,COUNTIFS($A$2:A3307,A3307,$E$2:E3307,0)=1),L3307,0)</f>
        <v>0</v>
      </c>
    </row>
    <row r="3308" spans="1:13" ht="15" customHeight="1">
      <c r="A3308" s="1">
        <v>119</v>
      </c>
      <c r="B3308" s="1" t="s">
        <v>9</v>
      </c>
      <c r="C3308" s="1" t="s">
        <v>3904</v>
      </c>
      <c r="D3308" s="2" t="s">
        <v>3905</v>
      </c>
      <c r="E3308" s="1">
        <v>1</v>
      </c>
      <c r="F3308" s="2" t="s">
        <v>3906</v>
      </c>
      <c r="G3308" s="1">
        <v>1</v>
      </c>
      <c r="H3308" s="1" t="str">
        <f t="shared" si="53"/>
        <v>k119_1</v>
      </c>
      <c r="K3308" s="1">
        <f>IF(E3308=0,SUMPRODUCT(($A$2:$A$4734=A3308)*($B$2:$B$4734=B3308)*($D$2:$D$4734=D3308)*($E$2:$E$4734=0)),0)</f>
        <v>0</v>
      </c>
      <c r="L3308" s="1" t="str">
        <f>IF(E3308=0,SUMPRODUCT(MIN($K$2:$K$4734+((($A$2:$A$4734&lt;&gt;A3308)+($E$2:$E$4734&lt;&gt;0))&gt;0)*1000000)),"")</f>
        <v/>
      </c>
      <c r="M3308" s="1">
        <f>IF(AND(E3308=0,COUNTIFS($A$2:A3308,A3308,$E$2:E3308,0)=1),L3308,0)</f>
        <v>0</v>
      </c>
    </row>
    <row r="3309" spans="1:13" ht="15" customHeight="1">
      <c r="A3309" s="1">
        <v>119</v>
      </c>
      <c r="B3309" s="1" t="s">
        <v>9</v>
      </c>
      <c r="C3309" s="1" t="s">
        <v>3904</v>
      </c>
      <c r="D3309" s="2" t="s">
        <v>3905</v>
      </c>
      <c r="E3309" s="1">
        <v>1</v>
      </c>
      <c r="F3309" s="2" t="s">
        <v>3907</v>
      </c>
      <c r="G3309" s="1">
        <v>6</v>
      </c>
      <c r="H3309" s="1" t="str">
        <f t="shared" si="53"/>
        <v>k119_6</v>
      </c>
      <c r="K3309" s="1">
        <f>IF(E3309=0,SUMPRODUCT(($A$2:$A$4734=A3309)*($B$2:$B$4734=B3309)*($D$2:$D$4734=D3309)*($E$2:$E$4734=0)),0)</f>
        <v>0</v>
      </c>
      <c r="L3309" s="1" t="str">
        <f>IF(E3309=0,SUMPRODUCT(MIN($K$2:$K$4734+((($A$2:$A$4734&lt;&gt;A3309)+($E$2:$E$4734&lt;&gt;0))&gt;0)*1000000)),"")</f>
        <v/>
      </c>
      <c r="M3309" s="1">
        <f>IF(AND(E3309=0,COUNTIFS($A$2:A3309,A3309,$E$2:E3309,0)=1),L3309,0)</f>
        <v>0</v>
      </c>
    </row>
    <row r="3310" spans="1:13" ht="15" customHeight="1">
      <c r="A3310" s="1">
        <v>119</v>
      </c>
      <c r="B3310" s="1" t="s">
        <v>9</v>
      </c>
      <c r="C3310" s="1" t="s">
        <v>3904</v>
      </c>
      <c r="D3310" s="2" t="s">
        <v>3905</v>
      </c>
      <c r="E3310" s="1">
        <v>1</v>
      </c>
      <c r="F3310" s="2" t="s">
        <v>3908</v>
      </c>
      <c r="G3310" s="1">
        <v>7</v>
      </c>
      <c r="H3310" s="1" t="str">
        <f t="shared" si="53"/>
        <v>k119_7</v>
      </c>
      <c r="K3310" s="1">
        <f>IF(E3310=0,SUMPRODUCT(($A$2:$A$4734=A3310)*($B$2:$B$4734=B3310)*($D$2:$D$4734=D3310)*($E$2:$E$4734=0)),0)</f>
        <v>0</v>
      </c>
      <c r="L3310" s="1" t="str">
        <f>IF(E3310=0,SUMPRODUCT(MIN($K$2:$K$4734+((($A$2:$A$4734&lt;&gt;A3310)+($E$2:$E$4734&lt;&gt;0))&gt;0)*1000000)),"")</f>
        <v/>
      </c>
      <c r="M3310" s="1">
        <f>IF(AND(E3310=0,COUNTIFS($A$2:A3310,A3310,$E$2:E3310,0)=1),L3310,0)</f>
        <v>0</v>
      </c>
    </row>
    <row r="3311" spans="1:13" ht="15" customHeight="1">
      <c r="A3311" s="1">
        <v>119</v>
      </c>
      <c r="B3311" s="1" t="s">
        <v>9</v>
      </c>
      <c r="C3311" s="1" t="s">
        <v>3904</v>
      </c>
      <c r="D3311" s="2" t="s">
        <v>3905</v>
      </c>
      <c r="E3311" s="1">
        <v>1</v>
      </c>
      <c r="F3311" s="2" t="s">
        <v>3909</v>
      </c>
      <c r="G3311" s="1">
        <v>8</v>
      </c>
      <c r="H3311" s="1" t="str">
        <f t="shared" si="53"/>
        <v>k119_8</v>
      </c>
      <c r="K3311" s="1">
        <f>IF(E3311=0,SUMPRODUCT(($A$2:$A$4734=A3311)*($B$2:$B$4734=B3311)*($D$2:$D$4734=D3311)*($E$2:$E$4734=0)),0)</f>
        <v>0</v>
      </c>
      <c r="L3311" s="1" t="str">
        <f>IF(E3311=0,SUMPRODUCT(MIN($K$2:$K$4734+((($A$2:$A$4734&lt;&gt;A3311)+($E$2:$E$4734&lt;&gt;0))&gt;0)*1000000)),"")</f>
        <v/>
      </c>
      <c r="M3311" s="1">
        <f>IF(AND(E3311=0,COUNTIFS($A$2:A3311,A3311,$E$2:E3311,0)=1),L3311,0)</f>
        <v>0</v>
      </c>
    </row>
    <row r="3312" spans="1:13" ht="15" customHeight="1">
      <c r="A3312" s="1">
        <v>119</v>
      </c>
      <c r="B3312" s="1" t="s">
        <v>9</v>
      </c>
      <c r="C3312" s="1" t="s">
        <v>3904</v>
      </c>
      <c r="D3312" s="2" t="s">
        <v>3905</v>
      </c>
      <c r="E3312" s="1">
        <v>1</v>
      </c>
      <c r="F3312" s="2" t="s">
        <v>3907</v>
      </c>
      <c r="G3312" s="1">
        <v>3</v>
      </c>
      <c r="H3312" s="1" t="str">
        <f t="shared" si="53"/>
        <v>k119_3</v>
      </c>
      <c r="K3312" s="1">
        <f>IF(E3312=0,SUMPRODUCT(($A$2:$A$4734=A3312)*($B$2:$B$4734=B3312)*($D$2:$D$4734=D3312)*($E$2:$E$4734=0)),0)</f>
        <v>0</v>
      </c>
      <c r="L3312" s="1" t="str">
        <f>IF(E3312=0,SUMPRODUCT(MIN($K$2:$K$4734+((($A$2:$A$4734&lt;&gt;A3312)+($E$2:$E$4734&lt;&gt;0))&gt;0)*1000000)),"")</f>
        <v/>
      </c>
      <c r="M3312" s="1">
        <f>IF(AND(E3312=0,COUNTIFS($A$2:A3312,A3312,$E$2:E3312,0)=1),L3312,0)</f>
        <v>0</v>
      </c>
    </row>
    <row r="3313" spans="1:13" ht="15" customHeight="1">
      <c r="A3313" s="1">
        <v>119</v>
      </c>
      <c r="B3313" s="1" t="s">
        <v>9</v>
      </c>
      <c r="C3313" s="1" t="s">
        <v>3904</v>
      </c>
      <c r="D3313" s="2" t="s">
        <v>3905</v>
      </c>
      <c r="E3313" s="1">
        <v>1</v>
      </c>
      <c r="F3313" s="2" t="s">
        <v>3908</v>
      </c>
      <c r="G3313" s="1">
        <v>4</v>
      </c>
      <c r="H3313" s="1" t="str">
        <f t="shared" si="53"/>
        <v>k119_4</v>
      </c>
      <c r="K3313" s="1">
        <f>IF(E3313=0,SUMPRODUCT(($A$2:$A$4734=A3313)*($B$2:$B$4734=B3313)*($D$2:$D$4734=D3313)*($E$2:$E$4734=0)),0)</f>
        <v>0</v>
      </c>
      <c r="L3313" s="1" t="str">
        <f>IF(E3313=0,SUMPRODUCT(MIN($K$2:$K$4734+((($A$2:$A$4734&lt;&gt;A3313)+($E$2:$E$4734&lt;&gt;0))&gt;0)*1000000)),"")</f>
        <v/>
      </c>
      <c r="M3313" s="1">
        <f>IF(AND(E3313=0,COUNTIFS($A$2:A3313,A3313,$E$2:E3313,0)=1),L3313,0)</f>
        <v>0</v>
      </c>
    </row>
    <row r="3314" spans="1:13" ht="15" customHeight="1">
      <c r="A3314" s="1">
        <v>119</v>
      </c>
      <c r="B3314" s="1" t="s">
        <v>9</v>
      </c>
      <c r="C3314" s="1" t="s">
        <v>3904</v>
      </c>
      <c r="D3314" s="2" t="s">
        <v>3905</v>
      </c>
      <c r="E3314" s="1">
        <v>1</v>
      </c>
      <c r="F3314" s="2" t="s">
        <v>3909</v>
      </c>
      <c r="G3314" s="1">
        <v>2</v>
      </c>
      <c r="H3314" s="1" t="str">
        <f t="shared" si="53"/>
        <v>k119_2</v>
      </c>
      <c r="K3314" s="1">
        <f>IF(E3314=0,SUMPRODUCT(($A$2:$A$4734=A3314)*($B$2:$B$4734=B3314)*($D$2:$D$4734=D3314)*($E$2:$E$4734=0)),0)</f>
        <v>0</v>
      </c>
      <c r="L3314" s="1" t="str">
        <f>IF(E3314=0,SUMPRODUCT(MIN($K$2:$K$4734+((($A$2:$A$4734&lt;&gt;A3314)+($E$2:$E$4734&lt;&gt;0))&gt;0)*1000000)),"")</f>
        <v/>
      </c>
      <c r="M3314" s="1">
        <f>IF(AND(E3314=0,COUNTIFS($A$2:A3314,A3314,$E$2:E3314,0)=1),L3314,0)</f>
        <v>0</v>
      </c>
    </row>
    <row r="3315" spans="1:13" ht="15" customHeight="1">
      <c r="A3315" s="1">
        <v>119</v>
      </c>
      <c r="B3315" s="1" t="s">
        <v>9</v>
      </c>
      <c r="C3315" s="1" t="s">
        <v>3904</v>
      </c>
      <c r="D3315" s="2" t="s">
        <v>3905</v>
      </c>
      <c r="E3315" s="1">
        <v>1</v>
      </c>
      <c r="F3315" s="2" t="s">
        <v>3907</v>
      </c>
      <c r="G3315" s="1">
        <v>5</v>
      </c>
      <c r="H3315" s="1" t="str">
        <f t="shared" si="53"/>
        <v>k119_5</v>
      </c>
      <c r="K3315" s="1">
        <f>IF(E3315=0,SUMPRODUCT(($A$2:$A$4734=A3315)*($B$2:$B$4734=B3315)*($D$2:$D$4734=D3315)*($E$2:$E$4734=0)),0)</f>
        <v>0</v>
      </c>
      <c r="L3315" s="1" t="str">
        <f>IF(E3315=0,SUMPRODUCT(MIN($K$2:$K$4734+((($A$2:$A$4734&lt;&gt;A3315)+($E$2:$E$4734&lt;&gt;0))&gt;0)*1000000)),"")</f>
        <v/>
      </c>
      <c r="M3315" s="1">
        <f>IF(AND(E3315=0,COUNTIFS($A$2:A3315,A3315,$E$2:E3315,0)=1),L3315,0)</f>
        <v>0</v>
      </c>
    </row>
    <row r="3316" spans="1:13" ht="15" customHeight="1">
      <c r="A3316" s="1">
        <v>119</v>
      </c>
      <c r="B3316" s="1" t="s">
        <v>9</v>
      </c>
      <c r="C3316" s="1" t="s">
        <v>3904</v>
      </c>
      <c r="D3316" s="2" t="s">
        <v>3905</v>
      </c>
      <c r="E3316" s="1">
        <v>1</v>
      </c>
      <c r="F3316" s="2" t="s">
        <v>3908</v>
      </c>
      <c r="G3316" s="1">
        <v>9</v>
      </c>
      <c r="H3316" s="1" t="str">
        <f t="shared" si="53"/>
        <v>k119_9</v>
      </c>
      <c r="K3316" s="1">
        <f>IF(E3316=0,SUMPRODUCT(($A$2:$A$4734=A3316)*($B$2:$B$4734=B3316)*($D$2:$D$4734=D3316)*($E$2:$E$4734=0)),0)</f>
        <v>0</v>
      </c>
      <c r="L3316" s="1" t="str">
        <f>IF(E3316=0,SUMPRODUCT(MIN($K$2:$K$4734+((($A$2:$A$4734&lt;&gt;A3316)+($E$2:$E$4734&lt;&gt;0))&gt;0)*1000000)),"")</f>
        <v/>
      </c>
      <c r="M3316" s="1">
        <f>IF(AND(E3316=0,COUNTIFS($A$2:A3316,A3316,$E$2:E3316,0)=1),L3316,0)</f>
        <v>0</v>
      </c>
    </row>
    <row r="3317" spans="1:13" ht="15" customHeight="1">
      <c r="A3317" s="1">
        <v>119</v>
      </c>
      <c r="B3317" s="1" t="s">
        <v>9</v>
      </c>
      <c r="C3317" s="1" t="s">
        <v>3904</v>
      </c>
      <c r="D3317" s="2" t="s">
        <v>3910</v>
      </c>
      <c r="E3317" s="1">
        <v>1</v>
      </c>
      <c r="F3317" s="2" t="s">
        <v>3748</v>
      </c>
      <c r="G3317" s="1">
        <v>6</v>
      </c>
      <c r="H3317" s="1" t="str">
        <f t="shared" si="53"/>
        <v>k119_6</v>
      </c>
      <c r="K3317" s="1">
        <f>IF(E3317=0,SUMPRODUCT(($A$2:$A$4734=A3317)*($B$2:$B$4734=B3317)*($D$2:$D$4734=D3317)*($E$2:$E$4734=0)),0)</f>
        <v>0</v>
      </c>
      <c r="L3317" s="1" t="str">
        <f>IF(E3317=0,SUMPRODUCT(MIN($K$2:$K$4734+((($A$2:$A$4734&lt;&gt;A3317)+($E$2:$E$4734&lt;&gt;0))&gt;0)*1000000)),"")</f>
        <v/>
      </c>
      <c r="M3317" s="1">
        <f>IF(AND(E3317=0,COUNTIFS($A$2:A3317,A3317,$E$2:E3317,0)=1),L3317,0)</f>
        <v>0</v>
      </c>
    </row>
    <row r="3318" spans="1:13" ht="15" customHeight="1">
      <c r="A3318" s="1">
        <v>119</v>
      </c>
      <c r="B3318" s="1" t="s">
        <v>9</v>
      </c>
      <c r="C3318" s="1" t="s">
        <v>3904</v>
      </c>
      <c r="D3318" s="2" t="s">
        <v>3910</v>
      </c>
      <c r="E3318" s="1">
        <v>1</v>
      </c>
      <c r="F3318" s="2" t="s">
        <v>3911</v>
      </c>
      <c r="G3318" s="1">
        <v>3</v>
      </c>
      <c r="H3318" s="1" t="str">
        <f t="shared" si="53"/>
        <v>k119_3</v>
      </c>
      <c r="K3318" s="1">
        <f>IF(E3318=0,SUMPRODUCT(($A$2:$A$4734=A3318)*($B$2:$B$4734=B3318)*($D$2:$D$4734=D3318)*($E$2:$E$4734=0)),0)</f>
        <v>0</v>
      </c>
      <c r="L3318" s="1" t="str">
        <f>IF(E3318=0,SUMPRODUCT(MIN($K$2:$K$4734+((($A$2:$A$4734&lt;&gt;A3318)+($E$2:$E$4734&lt;&gt;0))&gt;0)*1000000)),"")</f>
        <v/>
      </c>
      <c r="M3318" s="1">
        <f>IF(AND(E3318=0,COUNTIFS($A$2:A3318,A3318,$E$2:E3318,0)=1),L3318,0)</f>
        <v>0</v>
      </c>
    </row>
    <row r="3319" spans="1:13" ht="15" customHeight="1">
      <c r="A3319" s="1">
        <v>119</v>
      </c>
      <c r="B3319" s="1" t="s">
        <v>9</v>
      </c>
      <c r="C3319" s="1" t="s">
        <v>3904</v>
      </c>
      <c r="D3319" s="2" t="s">
        <v>3910</v>
      </c>
      <c r="E3319" s="1">
        <v>1</v>
      </c>
      <c r="F3319" s="2" t="s">
        <v>3912</v>
      </c>
      <c r="G3319" s="1">
        <v>5</v>
      </c>
      <c r="H3319" s="1" t="str">
        <f t="shared" si="53"/>
        <v>k119_5</v>
      </c>
      <c r="K3319" s="1">
        <f>IF(E3319=0,SUMPRODUCT(($A$2:$A$4734=A3319)*($B$2:$B$4734=B3319)*($D$2:$D$4734=D3319)*($E$2:$E$4734=0)),0)</f>
        <v>0</v>
      </c>
      <c r="L3319" s="1" t="str">
        <f>IF(E3319=0,SUMPRODUCT(MIN($K$2:$K$4734+((($A$2:$A$4734&lt;&gt;A3319)+($E$2:$E$4734&lt;&gt;0))&gt;0)*1000000)),"")</f>
        <v/>
      </c>
      <c r="M3319" s="1">
        <f>IF(AND(E3319=0,COUNTIFS($A$2:A3319,A3319,$E$2:E3319,0)=1),L3319,0)</f>
        <v>0</v>
      </c>
    </row>
    <row r="3320" spans="1:13" ht="15" customHeight="1">
      <c r="A3320" s="1">
        <v>119</v>
      </c>
      <c r="B3320" s="1" t="s">
        <v>9</v>
      </c>
      <c r="C3320" s="1" t="s">
        <v>3904</v>
      </c>
      <c r="D3320" s="2" t="s">
        <v>3910</v>
      </c>
      <c r="E3320" s="1">
        <v>1</v>
      </c>
      <c r="F3320" s="2" t="s">
        <v>3748</v>
      </c>
      <c r="G3320" s="1">
        <v>4</v>
      </c>
      <c r="H3320" s="1" t="str">
        <f t="shared" si="53"/>
        <v>k119_4</v>
      </c>
      <c r="K3320" s="1">
        <f>IF(E3320=0,SUMPRODUCT(($A$2:$A$4734=A3320)*($B$2:$B$4734=B3320)*($D$2:$D$4734=D3320)*($E$2:$E$4734=0)),0)</f>
        <v>0</v>
      </c>
      <c r="L3320" s="1" t="str">
        <f>IF(E3320=0,SUMPRODUCT(MIN($K$2:$K$4734+((($A$2:$A$4734&lt;&gt;A3320)+($E$2:$E$4734&lt;&gt;0))&gt;0)*1000000)),"")</f>
        <v/>
      </c>
      <c r="M3320" s="1">
        <f>IF(AND(E3320=0,COUNTIFS($A$2:A3320,A3320,$E$2:E3320,0)=1),L3320,0)</f>
        <v>0</v>
      </c>
    </row>
    <row r="3321" spans="1:13" ht="15" customHeight="1">
      <c r="A3321" s="1">
        <v>119</v>
      </c>
      <c r="B3321" s="1" t="s">
        <v>9</v>
      </c>
      <c r="C3321" s="1" t="s">
        <v>3904</v>
      </c>
      <c r="D3321" s="2" t="s">
        <v>3910</v>
      </c>
      <c r="E3321" s="1">
        <v>1</v>
      </c>
      <c r="F3321" s="2" t="s">
        <v>3911</v>
      </c>
      <c r="G3321" s="1">
        <v>7</v>
      </c>
      <c r="H3321" s="1" t="str">
        <f t="shared" si="53"/>
        <v>k119_7</v>
      </c>
      <c r="K3321" s="1">
        <f>IF(E3321=0,SUMPRODUCT(($A$2:$A$4734=A3321)*($B$2:$B$4734=B3321)*($D$2:$D$4734=D3321)*($E$2:$E$4734=0)),0)</f>
        <v>0</v>
      </c>
      <c r="L3321" s="1" t="str">
        <f>IF(E3321=0,SUMPRODUCT(MIN($K$2:$K$4734+((($A$2:$A$4734&lt;&gt;A3321)+($E$2:$E$4734&lt;&gt;0))&gt;0)*1000000)),"")</f>
        <v/>
      </c>
      <c r="M3321" s="1">
        <f>IF(AND(E3321=0,COUNTIFS($A$2:A3321,A3321,$E$2:E3321,0)=1),L3321,0)</f>
        <v>0</v>
      </c>
    </row>
    <row r="3322" spans="1:13" ht="15" customHeight="1">
      <c r="A3322" s="1">
        <v>119</v>
      </c>
      <c r="B3322" s="1" t="s">
        <v>9</v>
      </c>
      <c r="C3322" s="1" t="s">
        <v>3904</v>
      </c>
      <c r="D3322" s="2" t="s">
        <v>3910</v>
      </c>
      <c r="E3322" s="1">
        <v>1</v>
      </c>
      <c r="F3322" s="2" t="s">
        <v>3911</v>
      </c>
      <c r="G3322" s="1">
        <v>1</v>
      </c>
      <c r="H3322" s="1" t="str">
        <f t="shared" si="53"/>
        <v>k119_1</v>
      </c>
      <c r="K3322" s="1">
        <f>IF(E3322=0,SUMPRODUCT(($A$2:$A$4734=A3322)*($B$2:$B$4734=B3322)*($D$2:$D$4734=D3322)*($E$2:$E$4734=0)),0)</f>
        <v>0</v>
      </c>
      <c r="L3322" s="1" t="str">
        <f>IF(E3322=0,SUMPRODUCT(MIN($K$2:$K$4734+((($A$2:$A$4734&lt;&gt;A3322)+($E$2:$E$4734&lt;&gt;0))&gt;0)*1000000)),"")</f>
        <v/>
      </c>
      <c r="M3322" s="1">
        <f>IF(AND(E3322=0,COUNTIFS($A$2:A3322,A3322,$E$2:E3322,0)=1),L3322,0)</f>
        <v>0</v>
      </c>
    </row>
    <row r="3323" spans="1:13" ht="15" customHeight="1">
      <c r="A3323" s="1">
        <v>119</v>
      </c>
      <c r="B3323" s="1" t="s">
        <v>9</v>
      </c>
      <c r="C3323" s="1" t="s">
        <v>3904</v>
      </c>
      <c r="D3323" s="2" t="s">
        <v>3910</v>
      </c>
      <c r="E3323" s="1">
        <v>1</v>
      </c>
      <c r="F3323" s="2" t="s">
        <v>3911</v>
      </c>
      <c r="G3323" s="1">
        <v>2</v>
      </c>
      <c r="H3323" s="1" t="str">
        <f t="shared" si="53"/>
        <v>k119_2</v>
      </c>
      <c r="K3323" s="1">
        <f>IF(E3323=0,SUMPRODUCT(($A$2:$A$4734=A3323)*($B$2:$B$4734=B3323)*($D$2:$D$4734=D3323)*($E$2:$E$4734=0)),0)</f>
        <v>0</v>
      </c>
      <c r="L3323" s="1" t="str">
        <f>IF(E3323=0,SUMPRODUCT(MIN($K$2:$K$4734+((($A$2:$A$4734&lt;&gt;A3323)+($E$2:$E$4734&lt;&gt;0))&gt;0)*1000000)),"")</f>
        <v/>
      </c>
      <c r="M3323" s="1">
        <f>IF(AND(E3323=0,COUNTIFS($A$2:A3323,A3323,$E$2:E3323,0)=1),L3323,0)</f>
        <v>0</v>
      </c>
    </row>
    <row r="3324" spans="1:13" ht="15" customHeight="1">
      <c r="A3324" s="1">
        <v>119</v>
      </c>
      <c r="B3324" s="1" t="s">
        <v>9</v>
      </c>
      <c r="C3324" s="1" t="s">
        <v>3904</v>
      </c>
      <c r="D3324" s="2" t="s">
        <v>3910</v>
      </c>
      <c r="E3324" s="1">
        <v>1</v>
      </c>
      <c r="F3324" s="2" t="s">
        <v>3911</v>
      </c>
      <c r="G3324" s="1">
        <v>8</v>
      </c>
      <c r="H3324" s="1" t="str">
        <f t="shared" si="53"/>
        <v>k119_8</v>
      </c>
      <c r="K3324" s="1">
        <f>IF(E3324=0,SUMPRODUCT(($A$2:$A$4734=A3324)*($B$2:$B$4734=B3324)*($D$2:$D$4734=D3324)*($E$2:$E$4734=0)),0)</f>
        <v>0</v>
      </c>
      <c r="L3324" s="1" t="str">
        <f>IF(E3324=0,SUMPRODUCT(MIN($K$2:$K$4734+((($A$2:$A$4734&lt;&gt;A3324)+($E$2:$E$4734&lt;&gt;0))&gt;0)*1000000)),"")</f>
        <v/>
      </c>
      <c r="M3324" s="1">
        <f>IF(AND(E3324=0,COUNTIFS($A$2:A3324,A3324,$E$2:E3324,0)=1),L3324,0)</f>
        <v>0</v>
      </c>
    </row>
    <row r="3325" spans="1:13" ht="15" customHeight="1">
      <c r="A3325" s="1">
        <v>119</v>
      </c>
      <c r="B3325" s="1" t="s">
        <v>9</v>
      </c>
      <c r="C3325" s="1" t="s">
        <v>3904</v>
      </c>
      <c r="D3325" s="2" t="s">
        <v>3910</v>
      </c>
      <c r="E3325" s="1">
        <v>1</v>
      </c>
      <c r="F3325" s="2" t="s">
        <v>3912</v>
      </c>
      <c r="G3325" s="1">
        <v>9</v>
      </c>
      <c r="H3325" s="1" t="str">
        <f t="shared" si="53"/>
        <v>k119_9</v>
      </c>
      <c r="K3325" s="1">
        <f>IF(E3325=0,SUMPRODUCT(($A$2:$A$4734=A3325)*($B$2:$B$4734=B3325)*($D$2:$D$4734=D3325)*($E$2:$E$4734=0)),0)</f>
        <v>0</v>
      </c>
      <c r="L3325" s="1" t="str">
        <f>IF(E3325=0,SUMPRODUCT(MIN($K$2:$K$4734+((($A$2:$A$4734&lt;&gt;A3325)+($E$2:$E$4734&lt;&gt;0))&gt;0)*1000000)),"")</f>
        <v/>
      </c>
      <c r="M3325" s="1">
        <f>IF(AND(E3325=0,COUNTIFS($A$2:A3325,A3325,$E$2:E3325,0)=1),L3325,0)</f>
        <v>0</v>
      </c>
    </row>
    <row r="3326" spans="1:13" ht="15" customHeight="1">
      <c r="A3326" s="1">
        <v>119</v>
      </c>
      <c r="B3326" s="1" t="s">
        <v>9</v>
      </c>
      <c r="C3326" s="1" t="s">
        <v>3904</v>
      </c>
      <c r="D3326" s="2" t="s">
        <v>3913</v>
      </c>
      <c r="E3326" s="1">
        <v>1</v>
      </c>
      <c r="F3326" s="2" t="s">
        <v>3914</v>
      </c>
      <c r="G3326" s="1">
        <v>6</v>
      </c>
      <c r="H3326" s="1" t="str">
        <f t="shared" si="53"/>
        <v>k119_6</v>
      </c>
      <c r="K3326" s="1">
        <f>IF(E3326=0,SUMPRODUCT(($A$2:$A$4734=A3326)*($B$2:$B$4734=B3326)*($D$2:$D$4734=D3326)*($E$2:$E$4734=0)),0)</f>
        <v>0</v>
      </c>
      <c r="L3326" s="1" t="str">
        <f>IF(E3326=0,SUMPRODUCT(MIN($K$2:$K$4734+((($A$2:$A$4734&lt;&gt;A3326)+($E$2:$E$4734&lt;&gt;0))&gt;0)*1000000)),"")</f>
        <v/>
      </c>
      <c r="M3326" s="1">
        <f>IF(AND(E3326=0,COUNTIFS($A$2:A3326,A3326,$E$2:E3326,0)=1),L3326,0)</f>
        <v>0</v>
      </c>
    </row>
    <row r="3327" spans="1:13" ht="15" customHeight="1">
      <c r="A3327" s="1">
        <v>119</v>
      </c>
      <c r="B3327" s="1" t="s">
        <v>9</v>
      </c>
      <c r="C3327" s="1" t="s">
        <v>3904</v>
      </c>
      <c r="D3327" s="2" t="s">
        <v>3913</v>
      </c>
      <c r="E3327" s="1">
        <v>1</v>
      </c>
      <c r="F3327" s="2" t="s">
        <v>3915</v>
      </c>
      <c r="G3327" s="1">
        <v>5</v>
      </c>
      <c r="H3327" s="1" t="str">
        <f t="shared" si="53"/>
        <v>k119_5</v>
      </c>
      <c r="K3327" s="1">
        <f>IF(E3327=0,SUMPRODUCT(($A$2:$A$4734=A3327)*($B$2:$B$4734=B3327)*($D$2:$D$4734=D3327)*($E$2:$E$4734=0)),0)</f>
        <v>0</v>
      </c>
      <c r="L3327" s="1" t="str">
        <f>IF(E3327=0,SUMPRODUCT(MIN($K$2:$K$4734+((($A$2:$A$4734&lt;&gt;A3327)+($E$2:$E$4734&lt;&gt;0))&gt;0)*1000000)),"")</f>
        <v/>
      </c>
      <c r="M3327" s="1">
        <f>IF(AND(E3327=0,COUNTIFS($A$2:A3327,A3327,$E$2:E3327,0)=1),L3327,0)</f>
        <v>0</v>
      </c>
    </row>
    <row r="3328" spans="1:13" ht="15" customHeight="1">
      <c r="A3328" s="1">
        <v>119</v>
      </c>
      <c r="B3328" s="1" t="s">
        <v>9</v>
      </c>
      <c r="C3328" s="1" t="s">
        <v>3904</v>
      </c>
      <c r="D3328" s="2" t="s">
        <v>3913</v>
      </c>
      <c r="E3328" s="1">
        <v>1</v>
      </c>
      <c r="F3328" s="2" t="s">
        <v>3916</v>
      </c>
      <c r="G3328" s="1">
        <v>4</v>
      </c>
      <c r="H3328" s="1" t="str">
        <f t="shared" si="53"/>
        <v>k119_4</v>
      </c>
      <c r="K3328" s="1">
        <f>IF(E3328=0,SUMPRODUCT(($A$2:$A$4734=A3328)*($B$2:$B$4734=B3328)*($D$2:$D$4734=D3328)*($E$2:$E$4734=0)),0)</f>
        <v>0</v>
      </c>
      <c r="L3328" s="1" t="str">
        <f>IF(E3328=0,SUMPRODUCT(MIN($K$2:$K$4734+((($A$2:$A$4734&lt;&gt;A3328)+($E$2:$E$4734&lt;&gt;0))&gt;0)*1000000)),"")</f>
        <v/>
      </c>
      <c r="M3328" s="1">
        <f>IF(AND(E3328=0,COUNTIFS($A$2:A3328,A3328,$E$2:E3328,0)=1),L3328,0)</f>
        <v>0</v>
      </c>
    </row>
    <row r="3329" spans="1:13" ht="15" customHeight="1">
      <c r="A3329" s="1">
        <v>119</v>
      </c>
      <c r="B3329" s="1" t="s">
        <v>9</v>
      </c>
      <c r="C3329" s="1" t="s">
        <v>3904</v>
      </c>
      <c r="D3329" s="2" t="s">
        <v>3913</v>
      </c>
      <c r="E3329" s="1">
        <v>1</v>
      </c>
      <c r="F3329" s="2" t="s">
        <v>3916</v>
      </c>
      <c r="G3329" s="1">
        <v>7</v>
      </c>
      <c r="H3329" s="1" t="str">
        <f t="shared" si="53"/>
        <v>k119_7</v>
      </c>
      <c r="K3329" s="1">
        <f>IF(E3329=0,SUMPRODUCT(($A$2:$A$4734=A3329)*($B$2:$B$4734=B3329)*($D$2:$D$4734=D3329)*($E$2:$E$4734=0)),0)</f>
        <v>0</v>
      </c>
      <c r="L3329" s="1" t="str">
        <f>IF(E3329=0,SUMPRODUCT(MIN($K$2:$K$4734+((($A$2:$A$4734&lt;&gt;A3329)+($E$2:$E$4734&lt;&gt;0))&gt;0)*1000000)),"")</f>
        <v/>
      </c>
      <c r="M3329" s="1">
        <f>IF(AND(E3329=0,COUNTIFS($A$2:A3329,A3329,$E$2:E3329,0)=1),L3329,0)</f>
        <v>0</v>
      </c>
    </row>
    <row r="3330" spans="1:13" ht="15" customHeight="1">
      <c r="A3330" s="1">
        <v>119</v>
      </c>
      <c r="B3330" s="1" t="s">
        <v>9</v>
      </c>
      <c r="C3330" s="1" t="s">
        <v>3904</v>
      </c>
      <c r="D3330" s="2" t="s">
        <v>3913</v>
      </c>
      <c r="E3330" s="1">
        <v>1</v>
      </c>
      <c r="F3330" s="2" t="s">
        <v>3916</v>
      </c>
      <c r="G3330" s="1">
        <v>3</v>
      </c>
      <c r="H3330" s="1" t="str">
        <f t="shared" si="53"/>
        <v>k119_3</v>
      </c>
      <c r="K3330" s="1">
        <f>IF(E3330=0,SUMPRODUCT(($A$2:$A$4734=A3330)*($B$2:$B$4734=B3330)*($D$2:$D$4734=D3330)*($E$2:$E$4734=0)),0)</f>
        <v>0</v>
      </c>
      <c r="L3330" s="1" t="str">
        <f>IF(E3330=0,SUMPRODUCT(MIN($K$2:$K$4734+((($A$2:$A$4734&lt;&gt;A3330)+($E$2:$E$4734&lt;&gt;0))&gt;0)*1000000)),"")</f>
        <v/>
      </c>
      <c r="M3330" s="1">
        <f>IF(AND(E3330=0,COUNTIFS($A$2:A3330,A3330,$E$2:E3330,0)=1),L3330,0)</f>
        <v>0</v>
      </c>
    </row>
    <row r="3331" spans="1:13" ht="15" customHeight="1">
      <c r="A3331" s="1">
        <v>119</v>
      </c>
      <c r="B3331" s="1" t="s">
        <v>9</v>
      </c>
      <c r="C3331" s="1" t="s">
        <v>3904</v>
      </c>
      <c r="D3331" s="2" t="s">
        <v>3913</v>
      </c>
      <c r="E3331" s="1">
        <v>1</v>
      </c>
      <c r="F3331" s="2" t="s">
        <v>2722</v>
      </c>
      <c r="G3331" s="1">
        <v>1</v>
      </c>
      <c r="H3331" s="1" t="str">
        <f t="shared" si="53"/>
        <v>k119_1</v>
      </c>
      <c r="K3331" s="1">
        <f>IF(E3331=0,SUMPRODUCT(($A$2:$A$4734=A3331)*($B$2:$B$4734=B3331)*($D$2:$D$4734=D3331)*($E$2:$E$4734=0)),0)</f>
        <v>0</v>
      </c>
      <c r="L3331" s="1" t="str">
        <f>IF(E3331=0,SUMPRODUCT(MIN($K$2:$K$4734+((($A$2:$A$4734&lt;&gt;A3331)+($E$2:$E$4734&lt;&gt;0))&gt;0)*1000000)),"")</f>
        <v/>
      </c>
      <c r="M3331" s="1">
        <f>IF(AND(E3331=0,COUNTIFS($A$2:A3331,A3331,$E$2:E3331,0)=1),L3331,0)</f>
        <v>0</v>
      </c>
    </row>
    <row r="3332" spans="1:13" ht="15" customHeight="1">
      <c r="A3332" s="1">
        <v>119</v>
      </c>
      <c r="B3332" s="1" t="s">
        <v>9</v>
      </c>
      <c r="C3332" s="1" t="s">
        <v>3904</v>
      </c>
      <c r="D3332" s="2" t="s">
        <v>3913</v>
      </c>
      <c r="E3332" s="1">
        <v>1</v>
      </c>
      <c r="F3332" s="2" t="s">
        <v>3917</v>
      </c>
      <c r="G3332" s="1">
        <v>2</v>
      </c>
      <c r="H3332" s="1" t="str">
        <f t="shared" si="53"/>
        <v>k119_2</v>
      </c>
      <c r="K3332" s="1">
        <f>IF(E3332=0,SUMPRODUCT(($A$2:$A$4734=A3332)*($B$2:$B$4734=B3332)*($D$2:$D$4734=D3332)*($E$2:$E$4734=0)),0)</f>
        <v>0</v>
      </c>
      <c r="L3332" s="1" t="str">
        <f>IF(E3332=0,SUMPRODUCT(MIN($K$2:$K$4734+((($A$2:$A$4734&lt;&gt;A3332)+($E$2:$E$4734&lt;&gt;0))&gt;0)*1000000)),"")</f>
        <v/>
      </c>
      <c r="M3332" s="1">
        <f>IF(AND(E3332=0,COUNTIFS($A$2:A3332,A3332,$E$2:E3332,0)=1),L3332,0)</f>
        <v>0</v>
      </c>
    </row>
    <row r="3333" spans="1:13" ht="15" customHeight="1">
      <c r="A3333" s="1">
        <v>119</v>
      </c>
      <c r="B3333" s="1" t="s">
        <v>9</v>
      </c>
      <c r="C3333" s="1" t="s">
        <v>3904</v>
      </c>
      <c r="D3333" s="2" t="s">
        <v>3913</v>
      </c>
      <c r="E3333" s="1">
        <v>1</v>
      </c>
      <c r="F3333" s="2" t="s">
        <v>2722</v>
      </c>
      <c r="G3333" s="1">
        <v>8</v>
      </c>
      <c r="H3333" s="1" t="str">
        <f t="shared" si="53"/>
        <v>k119_8</v>
      </c>
      <c r="K3333" s="1">
        <f>IF(E3333=0,SUMPRODUCT(($A$2:$A$4734=A3333)*($B$2:$B$4734=B3333)*($D$2:$D$4734=D3333)*($E$2:$E$4734=0)),0)</f>
        <v>0</v>
      </c>
      <c r="L3333" s="1" t="str">
        <f>IF(E3333=0,SUMPRODUCT(MIN($K$2:$K$4734+((($A$2:$A$4734&lt;&gt;A3333)+($E$2:$E$4734&lt;&gt;0))&gt;0)*1000000)),"")</f>
        <v/>
      </c>
      <c r="M3333" s="1">
        <f>IF(AND(E3333=0,COUNTIFS($A$2:A3333,A3333,$E$2:E3333,0)=1),L3333,0)</f>
        <v>0</v>
      </c>
    </row>
    <row r="3334" spans="1:13" ht="15" customHeight="1">
      <c r="A3334" s="1">
        <v>119</v>
      </c>
      <c r="B3334" s="1" t="s">
        <v>9</v>
      </c>
      <c r="C3334" s="1" t="s">
        <v>3904</v>
      </c>
      <c r="D3334" s="2" t="s">
        <v>3913</v>
      </c>
      <c r="E3334" s="1">
        <v>1</v>
      </c>
      <c r="F3334" s="2" t="s">
        <v>3917</v>
      </c>
      <c r="G3334" s="1">
        <v>9</v>
      </c>
      <c r="H3334" s="1" t="str">
        <f t="shared" si="53"/>
        <v>k119_9</v>
      </c>
      <c r="K3334" s="1">
        <f>IF(E3334=0,SUMPRODUCT(($A$2:$A$4734=A3334)*($B$2:$B$4734=B3334)*($D$2:$D$4734=D3334)*($E$2:$E$4734=0)),0)</f>
        <v>0</v>
      </c>
      <c r="L3334" s="1" t="str">
        <f>IF(E3334=0,SUMPRODUCT(MIN($K$2:$K$4734+((($A$2:$A$4734&lt;&gt;A3334)+($E$2:$E$4734&lt;&gt;0))&gt;0)*1000000)),"")</f>
        <v/>
      </c>
      <c r="M3334" s="1">
        <f>IF(AND(E3334=0,COUNTIFS($A$2:A3334,A3334,$E$2:E3334,0)=1),L3334,0)</f>
        <v>0</v>
      </c>
    </row>
    <row r="3335" spans="1:13" ht="15" customHeight="1">
      <c r="A3335" s="1">
        <v>119</v>
      </c>
      <c r="B3335" s="1" t="s">
        <v>16</v>
      </c>
      <c r="C3335" s="1" t="s">
        <v>3904</v>
      </c>
      <c r="D3335" s="2" t="s">
        <v>3910</v>
      </c>
      <c r="E3335" s="1">
        <v>1</v>
      </c>
      <c r="F3335" s="2" t="s">
        <v>3918</v>
      </c>
      <c r="G3335" s="1">
        <v>6</v>
      </c>
      <c r="H3335" s="1" t="str">
        <f t="shared" si="53"/>
        <v>k119_6</v>
      </c>
      <c r="K3335" s="1">
        <f>IF(E3335=0,SUMPRODUCT(($A$2:$A$4734=A3335)*($B$2:$B$4734=B3335)*($D$2:$D$4734=D3335)*($E$2:$E$4734=0)),0)</f>
        <v>0</v>
      </c>
      <c r="L3335" s="1" t="str">
        <f>IF(E3335=0,SUMPRODUCT(MIN($K$2:$K$4734+((($A$2:$A$4734&lt;&gt;A3335)+($E$2:$E$4734&lt;&gt;0))&gt;0)*1000000)),"")</f>
        <v/>
      </c>
      <c r="M3335" s="1">
        <f>IF(AND(E3335=0,COUNTIFS($A$2:A3335,A3335,$E$2:E3335,0)=1),L3335,0)</f>
        <v>0</v>
      </c>
    </row>
    <row r="3336" spans="1:13" ht="15" customHeight="1">
      <c r="A3336" s="1">
        <v>119</v>
      </c>
      <c r="B3336" s="1" t="s">
        <v>16</v>
      </c>
      <c r="C3336" s="1" t="s">
        <v>3904</v>
      </c>
      <c r="D3336" s="2" t="s">
        <v>3910</v>
      </c>
      <c r="E3336" s="1">
        <v>1</v>
      </c>
      <c r="F3336" s="2" t="s">
        <v>3918</v>
      </c>
      <c r="G3336" s="1">
        <v>3</v>
      </c>
      <c r="H3336" s="1" t="str">
        <f t="shared" si="53"/>
        <v>k119_3</v>
      </c>
      <c r="K3336" s="1">
        <f>IF(E3336=0,SUMPRODUCT(($A$2:$A$4734=A3336)*($B$2:$B$4734=B3336)*($D$2:$D$4734=D3336)*($E$2:$E$4734=0)),0)</f>
        <v>0</v>
      </c>
      <c r="L3336" s="1" t="str">
        <f>IF(E3336=0,SUMPRODUCT(MIN($K$2:$K$4734+((($A$2:$A$4734&lt;&gt;A3336)+($E$2:$E$4734&lt;&gt;0))&gt;0)*1000000)),"")</f>
        <v/>
      </c>
      <c r="M3336" s="1">
        <f>IF(AND(E3336=0,COUNTIFS($A$2:A3336,A3336,$E$2:E3336,0)=1),L3336,0)</f>
        <v>0</v>
      </c>
    </row>
    <row r="3337" spans="1:13" ht="15" customHeight="1">
      <c r="A3337" s="1">
        <v>119</v>
      </c>
      <c r="B3337" s="1" t="s">
        <v>16</v>
      </c>
      <c r="C3337" s="1" t="s">
        <v>3904</v>
      </c>
      <c r="D3337" s="2" t="s">
        <v>3910</v>
      </c>
      <c r="E3337" s="1">
        <v>1</v>
      </c>
      <c r="F3337" s="2" t="s">
        <v>3919</v>
      </c>
      <c r="G3337" s="1">
        <v>5</v>
      </c>
      <c r="H3337" s="1" t="str">
        <f t="shared" si="53"/>
        <v>k119_5</v>
      </c>
      <c r="K3337" s="1">
        <f>IF(E3337=0,SUMPRODUCT(($A$2:$A$4734=A3337)*($B$2:$B$4734=B3337)*($D$2:$D$4734=D3337)*($E$2:$E$4734=0)),0)</f>
        <v>0</v>
      </c>
      <c r="L3337" s="1" t="str">
        <f>IF(E3337=0,SUMPRODUCT(MIN($K$2:$K$4734+((($A$2:$A$4734&lt;&gt;A3337)+($E$2:$E$4734&lt;&gt;0))&gt;0)*1000000)),"")</f>
        <v/>
      </c>
      <c r="M3337" s="1">
        <f>IF(AND(E3337=0,COUNTIFS($A$2:A3337,A3337,$E$2:E3337,0)=1),L3337,0)</f>
        <v>0</v>
      </c>
    </row>
    <row r="3338" spans="1:13" ht="15" customHeight="1">
      <c r="A3338" s="1">
        <v>119</v>
      </c>
      <c r="B3338" s="1" t="s">
        <v>16</v>
      </c>
      <c r="C3338" s="1" t="s">
        <v>3904</v>
      </c>
      <c r="D3338" s="2" t="s">
        <v>3910</v>
      </c>
      <c r="E3338" s="1">
        <v>1</v>
      </c>
      <c r="F3338" s="2" t="s">
        <v>3920</v>
      </c>
      <c r="G3338" s="1">
        <v>4</v>
      </c>
      <c r="H3338" s="1" t="str">
        <f t="shared" si="53"/>
        <v>k119_4</v>
      </c>
      <c r="K3338" s="1">
        <f>IF(E3338=0,SUMPRODUCT(($A$2:$A$4734=A3338)*($B$2:$B$4734=B3338)*($D$2:$D$4734=D3338)*($E$2:$E$4734=0)),0)</f>
        <v>0</v>
      </c>
      <c r="L3338" s="1" t="str">
        <f>IF(E3338=0,SUMPRODUCT(MIN($K$2:$K$4734+((($A$2:$A$4734&lt;&gt;A3338)+($E$2:$E$4734&lt;&gt;0))&gt;0)*1000000)),"")</f>
        <v/>
      </c>
      <c r="M3338" s="1">
        <f>IF(AND(E3338=0,COUNTIFS($A$2:A3338,A3338,$E$2:E3338,0)=1),L3338,0)</f>
        <v>0</v>
      </c>
    </row>
    <row r="3339" spans="1:13" ht="15" customHeight="1">
      <c r="A3339" s="1">
        <v>119</v>
      </c>
      <c r="B3339" s="1" t="s">
        <v>16</v>
      </c>
      <c r="C3339" s="1" t="s">
        <v>3904</v>
      </c>
      <c r="D3339" s="2" t="s">
        <v>3910</v>
      </c>
      <c r="E3339" s="1">
        <v>1</v>
      </c>
      <c r="F3339" s="2" t="s">
        <v>3920</v>
      </c>
      <c r="G3339" s="1">
        <v>7</v>
      </c>
      <c r="H3339" s="1" t="str">
        <f t="shared" si="53"/>
        <v>k119_7</v>
      </c>
      <c r="K3339" s="1">
        <f>IF(E3339=0,SUMPRODUCT(($A$2:$A$4734=A3339)*($B$2:$B$4734=B3339)*($D$2:$D$4734=D3339)*($E$2:$E$4734=0)),0)</f>
        <v>0</v>
      </c>
      <c r="L3339" s="1" t="str">
        <f>IF(E3339=0,SUMPRODUCT(MIN($K$2:$K$4734+((($A$2:$A$4734&lt;&gt;A3339)+($E$2:$E$4734&lt;&gt;0))&gt;0)*1000000)),"")</f>
        <v/>
      </c>
      <c r="M3339" s="1">
        <f>IF(AND(E3339=0,COUNTIFS($A$2:A3339,A3339,$E$2:E3339,0)=1),L3339,0)</f>
        <v>0</v>
      </c>
    </row>
    <row r="3340" spans="1:13" ht="15" customHeight="1">
      <c r="A3340" s="1">
        <v>119</v>
      </c>
      <c r="B3340" s="1" t="s">
        <v>16</v>
      </c>
      <c r="C3340" s="1" t="s">
        <v>3904</v>
      </c>
      <c r="D3340" s="2" t="s">
        <v>3910</v>
      </c>
      <c r="E3340" s="1">
        <v>1</v>
      </c>
      <c r="F3340" s="2" t="s">
        <v>3921</v>
      </c>
      <c r="G3340" s="1">
        <v>1</v>
      </c>
      <c r="H3340" s="1" t="str">
        <f t="shared" si="53"/>
        <v>k119_1</v>
      </c>
      <c r="K3340" s="1">
        <f>IF(E3340=0,SUMPRODUCT(($A$2:$A$4734=A3340)*($B$2:$B$4734=B3340)*($D$2:$D$4734=D3340)*($E$2:$E$4734=0)),0)</f>
        <v>0</v>
      </c>
      <c r="L3340" s="1" t="str">
        <f>IF(E3340=0,SUMPRODUCT(MIN($K$2:$K$4734+((($A$2:$A$4734&lt;&gt;A3340)+($E$2:$E$4734&lt;&gt;0))&gt;0)*1000000)),"")</f>
        <v/>
      </c>
      <c r="M3340" s="1">
        <f>IF(AND(E3340=0,COUNTIFS($A$2:A3340,A3340,$E$2:E3340,0)=1),L3340,0)</f>
        <v>0</v>
      </c>
    </row>
    <row r="3341" spans="1:13" ht="15" customHeight="1">
      <c r="A3341" s="1">
        <v>119</v>
      </c>
      <c r="B3341" s="1" t="s">
        <v>16</v>
      </c>
      <c r="C3341" s="1" t="s">
        <v>3904</v>
      </c>
      <c r="D3341" s="2" t="s">
        <v>3910</v>
      </c>
      <c r="E3341" s="1">
        <v>1</v>
      </c>
      <c r="F3341" s="2" t="s">
        <v>3922</v>
      </c>
      <c r="G3341" s="1">
        <v>2</v>
      </c>
      <c r="H3341" s="1" t="str">
        <f t="shared" si="53"/>
        <v>k119_2</v>
      </c>
      <c r="K3341" s="1">
        <f>IF(E3341=0,SUMPRODUCT(($A$2:$A$4734=A3341)*($B$2:$B$4734=B3341)*($D$2:$D$4734=D3341)*($E$2:$E$4734=0)),0)</f>
        <v>0</v>
      </c>
      <c r="L3341" s="1" t="str">
        <f>IF(E3341=0,SUMPRODUCT(MIN($K$2:$K$4734+((($A$2:$A$4734&lt;&gt;A3341)+($E$2:$E$4734&lt;&gt;0))&gt;0)*1000000)),"")</f>
        <v/>
      </c>
      <c r="M3341" s="1">
        <f>IF(AND(E3341=0,COUNTIFS($A$2:A3341,A3341,$E$2:E3341,0)=1),L3341,0)</f>
        <v>0</v>
      </c>
    </row>
    <row r="3342" spans="1:13" ht="15" customHeight="1">
      <c r="A3342" s="1">
        <v>119</v>
      </c>
      <c r="B3342" s="1" t="s">
        <v>16</v>
      </c>
      <c r="C3342" s="1" t="s">
        <v>3904</v>
      </c>
      <c r="D3342" s="2" t="s">
        <v>3910</v>
      </c>
      <c r="E3342" s="1">
        <v>1</v>
      </c>
      <c r="F3342" s="2" t="s">
        <v>3921</v>
      </c>
      <c r="G3342" s="1">
        <v>8</v>
      </c>
      <c r="H3342" s="1" t="str">
        <f t="shared" si="53"/>
        <v>k119_8</v>
      </c>
      <c r="K3342" s="1">
        <f>IF(E3342=0,SUMPRODUCT(($A$2:$A$4734=A3342)*($B$2:$B$4734=B3342)*($D$2:$D$4734=D3342)*($E$2:$E$4734=0)),0)</f>
        <v>0</v>
      </c>
      <c r="L3342" s="1" t="str">
        <f>IF(E3342=0,SUMPRODUCT(MIN($K$2:$K$4734+((($A$2:$A$4734&lt;&gt;A3342)+($E$2:$E$4734&lt;&gt;0))&gt;0)*1000000)),"")</f>
        <v/>
      </c>
      <c r="M3342" s="1">
        <f>IF(AND(E3342=0,COUNTIFS($A$2:A3342,A3342,$E$2:E3342,0)=1),L3342,0)</f>
        <v>0</v>
      </c>
    </row>
    <row r="3343" spans="1:13" ht="15" customHeight="1">
      <c r="A3343" s="1">
        <v>119</v>
      </c>
      <c r="B3343" s="1" t="s">
        <v>16</v>
      </c>
      <c r="C3343" s="1" t="s">
        <v>3904</v>
      </c>
      <c r="D3343" s="2" t="s">
        <v>3910</v>
      </c>
      <c r="E3343" s="1">
        <v>1</v>
      </c>
      <c r="F3343" s="2" t="s">
        <v>3922</v>
      </c>
      <c r="G3343" s="1">
        <v>9</v>
      </c>
      <c r="H3343" s="1" t="str">
        <f t="shared" si="53"/>
        <v>k119_9</v>
      </c>
      <c r="K3343" s="1">
        <f>IF(E3343=0,SUMPRODUCT(($A$2:$A$4734=A3343)*($B$2:$B$4734=B3343)*($D$2:$D$4734=D3343)*($E$2:$E$4734=0)),0)</f>
        <v>0</v>
      </c>
      <c r="L3343" s="1" t="str">
        <f>IF(E3343=0,SUMPRODUCT(MIN($K$2:$K$4734+((($A$2:$A$4734&lt;&gt;A3343)+($E$2:$E$4734&lt;&gt;0))&gt;0)*1000000)),"")</f>
        <v/>
      </c>
      <c r="M3343" s="1">
        <f>IF(AND(E3343=0,COUNTIFS($A$2:A3343,A3343,$E$2:E3343,0)=1),L3343,0)</f>
        <v>0</v>
      </c>
    </row>
    <row r="3344" spans="1:13" ht="15" customHeight="1">
      <c r="A3344" s="1">
        <v>119</v>
      </c>
      <c r="B3344" s="1" t="s">
        <v>16</v>
      </c>
      <c r="C3344" s="1" t="s">
        <v>3904</v>
      </c>
      <c r="D3344" s="2" t="s">
        <v>3923</v>
      </c>
      <c r="E3344" s="1">
        <v>1</v>
      </c>
      <c r="F3344" s="2" t="s">
        <v>3924</v>
      </c>
      <c r="G3344" s="1">
        <v>1</v>
      </c>
      <c r="H3344" s="1" t="str">
        <f t="shared" si="53"/>
        <v>k119_1</v>
      </c>
      <c r="K3344" s="1">
        <f>IF(E3344=0,SUMPRODUCT(($A$2:$A$4734=A3344)*($B$2:$B$4734=B3344)*($D$2:$D$4734=D3344)*($E$2:$E$4734=0)),0)</f>
        <v>0</v>
      </c>
      <c r="L3344" s="1" t="str">
        <f>IF(E3344=0,SUMPRODUCT(MIN($K$2:$K$4734+((($A$2:$A$4734&lt;&gt;A3344)+($E$2:$E$4734&lt;&gt;0))&gt;0)*1000000)),"")</f>
        <v/>
      </c>
      <c r="M3344" s="1">
        <f>IF(AND(E3344=0,COUNTIFS($A$2:A3344,A3344,$E$2:E3344,0)=1),L3344,0)</f>
        <v>0</v>
      </c>
    </row>
    <row r="3345" spans="1:13" ht="15" customHeight="1">
      <c r="A3345" s="1">
        <v>119</v>
      </c>
      <c r="B3345" s="1" t="s">
        <v>16</v>
      </c>
      <c r="C3345" s="1" t="s">
        <v>3904</v>
      </c>
      <c r="D3345" s="2" t="s">
        <v>3923</v>
      </c>
      <c r="E3345" s="1">
        <v>1</v>
      </c>
      <c r="F3345" s="2" t="s">
        <v>3925</v>
      </c>
      <c r="G3345" s="1">
        <v>2</v>
      </c>
      <c r="H3345" s="1" t="str">
        <f t="shared" si="53"/>
        <v>k119_2</v>
      </c>
      <c r="K3345" s="1">
        <f>IF(E3345=0,SUMPRODUCT(($A$2:$A$4734=A3345)*($B$2:$B$4734=B3345)*($D$2:$D$4734=D3345)*($E$2:$E$4734=0)),0)</f>
        <v>0</v>
      </c>
      <c r="L3345" s="1" t="str">
        <f>IF(E3345=0,SUMPRODUCT(MIN($K$2:$K$4734+((($A$2:$A$4734&lt;&gt;A3345)+($E$2:$E$4734&lt;&gt;0))&gt;0)*1000000)),"")</f>
        <v/>
      </c>
      <c r="M3345" s="1">
        <f>IF(AND(E3345=0,COUNTIFS($A$2:A3345,A3345,$E$2:E3345,0)=1),L3345,0)</f>
        <v>0</v>
      </c>
    </row>
    <row r="3346" spans="1:13" ht="15" customHeight="1">
      <c r="A3346" s="1">
        <v>119</v>
      </c>
      <c r="B3346" s="1" t="s">
        <v>16</v>
      </c>
      <c r="C3346" s="1" t="s">
        <v>3904</v>
      </c>
      <c r="D3346" s="2" t="s">
        <v>3923</v>
      </c>
      <c r="E3346" s="1">
        <v>1</v>
      </c>
      <c r="F3346" s="2" t="s">
        <v>3926</v>
      </c>
      <c r="G3346" s="1">
        <v>3</v>
      </c>
      <c r="H3346" s="1" t="str">
        <f t="shared" si="53"/>
        <v>k119_3</v>
      </c>
      <c r="K3346" s="1">
        <f>IF(E3346=0,SUMPRODUCT(($A$2:$A$4734=A3346)*($B$2:$B$4734=B3346)*($D$2:$D$4734=D3346)*($E$2:$E$4734=0)),0)</f>
        <v>0</v>
      </c>
      <c r="L3346" s="1" t="str">
        <f>IF(E3346=0,SUMPRODUCT(MIN($K$2:$K$4734+((($A$2:$A$4734&lt;&gt;A3346)+($E$2:$E$4734&lt;&gt;0))&gt;0)*1000000)),"")</f>
        <v/>
      </c>
      <c r="M3346" s="1">
        <f>IF(AND(E3346=0,COUNTIFS($A$2:A3346,A3346,$E$2:E3346,0)=1),L3346,0)</f>
        <v>0</v>
      </c>
    </row>
    <row r="3347" spans="1:13" ht="15" customHeight="1">
      <c r="A3347" s="1">
        <v>119</v>
      </c>
      <c r="B3347" s="1" t="s">
        <v>16</v>
      </c>
      <c r="C3347" s="1" t="s">
        <v>3904</v>
      </c>
      <c r="D3347" s="2" t="s">
        <v>3923</v>
      </c>
      <c r="E3347" s="1">
        <v>1</v>
      </c>
      <c r="F3347" s="2" t="s">
        <v>3927</v>
      </c>
      <c r="G3347" s="1">
        <v>4</v>
      </c>
      <c r="H3347" s="1" t="str">
        <f t="shared" si="53"/>
        <v>k119_4</v>
      </c>
      <c r="K3347" s="1">
        <f>IF(E3347=0,SUMPRODUCT(($A$2:$A$4734=A3347)*($B$2:$B$4734=B3347)*($D$2:$D$4734=D3347)*($E$2:$E$4734=0)),0)</f>
        <v>0</v>
      </c>
      <c r="L3347" s="1" t="str">
        <f>IF(E3347=0,SUMPRODUCT(MIN($K$2:$K$4734+((($A$2:$A$4734&lt;&gt;A3347)+($E$2:$E$4734&lt;&gt;0))&gt;0)*1000000)),"")</f>
        <v/>
      </c>
      <c r="M3347" s="1">
        <f>IF(AND(E3347=0,COUNTIFS($A$2:A3347,A3347,$E$2:E3347,0)=1),L3347,0)</f>
        <v>0</v>
      </c>
    </row>
    <row r="3348" spans="1:13" ht="15" customHeight="1">
      <c r="A3348" s="1">
        <v>119</v>
      </c>
      <c r="B3348" s="1" t="s">
        <v>16</v>
      </c>
      <c r="C3348" s="1" t="s">
        <v>3904</v>
      </c>
      <c r="D3348" s="2" t="s">
        <v>3923</v>
      </c>
      <c r="E3348" s="1">
        <v>1</v>
      </c>
      <c r="F3348" s="2" t="s">
        <v>3928</v>
      </c>
      <c r="G3348" s="1">
        <v>5</v>
      </c>
      <c r="H3348" s="1" t="str">
        <f t="shared" si="53"/>
        <v>k119_5</v>
      </c>
      <c r="K3348" s="1">
        <f>IF(E3348=0,SUMPRODUCT(($A$2:$A$4734=A3348)*($B$2:$B$4734=B3348)*($D$2:$D$4734=D3348)*($E$2:$E$4734=0)),0)</f>
        <v>0</v>
      </c>
      <c r="L3348" s="1" t="str">
        <f>IF(E3348=0,SUMPRODUCT(MIN($K$2:$K$4734+((($A$2:$A$4734&lt;&gt;A3348)+($E$2:$E$4734&lt;&gt;0))&gt;0)*1000000)),"")</f>
        <v/>
      </c>
      <c r="M3348" s="1">
        <f>IF(AND(E3348=0,COUNTIFS($A$2:A3348,A3348,$E$2:E3348,0)=1),L3348,0)</f>
        <v>0</v>
      </c>
    </row>
    <row r="3349" spans="1:13" ht="15" customHeight="1">
      <c r="A3349" s="1">
        <v>119</v>
      </c>
      <c r="B3349" s="1" t="s">
        <v>16</v>
      </c>
      <c r="C3349" s="1" t="s">
        <v>3904</v>
      </c>
      <c r="D3349" s="2" t="s">
        <v>3923</v>
      </c>
      <c r="E3349" s="1">
        <v>1</v>
      </c>
      <c r="F3349" s="2" t="s">
        <v>3929</v>
      </c>
      <c r="G3349" s="1">
        <v>6</v>
      </c>
      <c r="H3349" s="1" t="str">
        <f t="shared" ref="H3349:H3408" si="54">IF(OR(E3349&lt;&gt;1,G3349=""),"","k"&amp;A3349&amp;"_"&amp;G3349)</f>
        <v>k119_6</v>
      </c>
      <c r="K3349" s="1">
        <f>IF(E3349=0,SUMPRODUCT(($A$2:$A$4734=A3349)*($B$2:$B$4734=B3349)*($D$2:$D$4734=D3349)*($E$2:$E$4734=0)),0)</f>
        <v>0</v>
      </c>
      <c r="L3349" s="1" t="str">
        <f>IF(E3349=0,SUMPRODUCT(MIN($K$2:$K$4734+((($A$2:$A$4734&lt;&gt;A3349)+($E$2:$E$4734&lt;&gt;0))&gt;0)*1000000)),"")</f>
        <v/>
      </c>
      <c r="M3349" s="1">
        <f>IF(AND(E3349=0,COUNTIFS($A$2:A3349,A3349,$E$2:E3349,0)=1),L3349,0)</f>
        <v>0</v>
      </c>
    </row>
    <row r="3350" spans="1:13" ht="15" customHeight="1">
      <c r="A3350" s="1">
        <v>119</v>
      </c>
      <c r="B3350" s="1" t="s">
        <v>144</v>
      </c>
      <c r="C3350" s="1" t="s">
        <v>3904</v>
      </c>
      <c r="D3350" s="1" t="s">
        <v>3930</v>
      </c>
      <c r="E3350" s="1">
        <v>1</v>
      </c>
      <c r="F3350" s="2" t="s">
        <v>3931</v>
      </c>
      <c r="G3350" s="1">
        <v>1</v>
      </c>
      <c r="H3350" s="1" t="str">
        <f t="shared" si="54"/>
        <v>k119_1</v>
      </c>
      <c r="K3350" s="1">
        <f>IF(E3350=0,SUMPRODUCT(($A$2:$A$4734=A3350)*($B$2:$B$4734=B3350)*($D$2:$D$4734=D3350)*($E$2:$E$4734=0)),0)</f>
        <v>0</v>
      </c>
      <c r="L3350" s="1" t="str">
        <f>IF(E3350=0,SUMPRODUCT(MIN($K$2:$K$4734+((($A$2:$A$4734&lt;&gt;A3350)+($E$2:$E$4734&lt;&gt;0))&gt;0)*1000000)),"")</f>
        <v/>
      </c>
      <c r="M3350" s="1">
        <f>IF(AND(E3350=0,COUNTIFS($A$2:A3350,A3350,$E$2:E3350,0)=1),L3350,0)</f>
        <v>0</v>
      </c>
    </row>
    <row r="3351" spans="1:13" ht="15" customHeight="1">
      <c r="A3351" s="1">
        <v>119</v>
      </c>
      <c r="B3351" s="1" t="s">
        <v>144</v>
      </c>
      <c r="C3351" s="1" t="s">
        <v>3904</v>
      </c>
      <c r="D3351" s="1" t="s">
        <v>3930</v>
      </c>
      <c r="E3351" s="1">
        <v>1</v>
      </c>
      <c r="F3351" s="2" t="s">
        <v>3932</v>
      </c>
      <c r="G3351" s="1">
        <v>2</v>
      </c>
      <c r="H3351" s="1" t="str">
        <f t="shared" si="54"/>
        <v>k119_2</v>
      </c>
      <c r="K3351" s="1">
        <f>IF(E3351=0,SUMPRODUCT(($A$2:$A$4734=A3351)*($B$2:$B$4734=B3351)*($D$2:$D$4734=D3351)*($E$2:$E$4734=0)),0)</f>
        <v>0</v>
      </c>
      <c r="L3351" s="1" t="str">
        <f>IF(E3351=0,SUMPRODUCT(MIN($K$2:$K$4734+((($A$2:$A$4734&lt;&gt;A3351)+($E$2:$E$4734&lt;&gt;0))&gt;0)*1000000)),"")</f>
        <v/>
      </c>
      <c r="M3351" s="1">
        <f>IF(AND(E3351=0,COUNTIFS($A$2:A3351,A3351,$E$2:E3351,0)=1),L3351,0)</f>
        <v>0</v>
      </c>
    </row>
    <row r="3352" spans="1:13" ht="15" customHeight="1">
      <c r="A3352" s="1">
        <v>119</v>
      </c>
      <c r="B3352" s="1" t="s">
        <v>144</v>
      </c>
      <c r="C3352" s="1" t="s">
        <v>3904</v>
      </c>
      <c r="D3352" s="1" t="s">
        <v>3930</v>
      </c>
      <c r="E3352" s="1">
        <v>1</v>
      </c>
      <c r="F3352" s="2" t="s">
        <v>3933</v>
      </c>
      <c r="G3352" s="1">
        <v>3</v>
      </c>
      <c r="H3352" s="1" t="str">
        <f t="shared" si="54"/>
        <v>k119_3</v>
      </c>
      <c r="K3352" s="1">
        <f>IF(E3352=0,SUMPRODUCT(($A$2:$A$4734=A3352)*($B$2:$B$4734=B3352)*($D$2:$D$4734=D3352)*($E$2:$E$4734=0)),0)</f>
        <v>0</v>
      </c>
      <c r="L3352" s="1" t="str">
        <f>IF(E3352=0,SUMPRODUCT(MIN($K$2:$K$4734+((($A$2:$A$4734&lt;&gt;A3352)+($E$2:$E$4734&lt;&gt;0))&gt;0)*1000000)),"")</f>
        <v/>
      </c>
      <c r="M3352" s="1">
        <f>IF(AND(E3352=0,COUNTIFS($A$2:A3352,A3352,$E$2:E3352,0)=1),L3352,0)</f>
        <v>0</v>
      </c>
    </row>
    <row r="3353" spans="1:13" ht="15" customHeight="1">
      <c r="A3353" s="1">
        <v>119</v>
      </c>
      <c r="B3353" s="1" t="s">
        <v>144</v>
      </c>
      <c r="C3353" s="1" t="s">
        <v>3904</v>
      </c>
      <c r="D3353" s="1" t="s">
        <v>3930</v>
      </c>
      <c r="E3353" s="1">
        <v>1</v>
      </c>
      <c r="F3353" s="2" t="s">
        <v>3934</v>
      </c>
      <c r="G3353" s="1">
        <v>4</v>
      </c>
      <c r="H3353" s="1" t="str">
        <f t="shared" si="54"/>
        <v>k119_4</v>
      </c>
      <c r="K3353" s="1">
        <f>IF(E3353=0,SUMPRODUCT(($A$2:$A$4734=A3353)*($B$2:$B$4734=B3353)*($D$2:$D$4734=D3353)*($E$2:$E$4734=0)),0)</f>
        <v>0</v>
      </c>
      <c r="L3353" s="1" t="str">
        <f>IF(E3353=0,SUMPRODUCT(MIN($K$2:$K$4734+((($A$2:$A$4734&lt;&gt;A3353)+($E$2:$E$4734&lt;&gt;0))&gt;0)*1000000)),"")</f>
        <v/>
      </c>
      <c r="M3353" s="1">
        <f>IF(AND(E3353=0,COUNTIFS($A$2:A3353,A3353,$E$2:E3353,0)=1),L3353,0)</f>
        <v>0</v>
      </c>
    </row>
    <row r="3354" spans="1:13" ht="15" customHeight="1">
      <c r="A3354" s="1">
        <v>119</v>
      </c>
      <c r="B3354" s="1" t="s">
        <v>144</v>
      </c>
      <c r="C3354" s="1" t="s">
        <v>3904</v>
      </c>
      <c r="D3354" s="1" t="s">
        <v>3930</v>
      </c>
      <c r="E3354" s="1">
        <v>1</v>
      </c>
      <c r="F3354" s="2" t="s">
        <v>3935</v>
      </c>
      <c r="G3354" s="1">
        <v>5</v>
      </c>
      <c r="H3354" s="1" t="str">
        <f t="shared" si="54"/>
        <v>k119_5</v>
      </c>
      <c r="K3354" s="1">
        <f>IF(E3354=0,SUMPRODUCT(($A$2:$A$4734=A3354)*($B$2:$B$4734=B3354)*($D$2:$D$4734=D3354)*($E$2:$E$4734=0)),0)</f>
        <v>0</v>
      </c>
      <c r="L3354" s="1" t="str">
        <f>IF(E3354=0,SUMPRODUCT(MIN($K$2:$K$4734+((($A$2:$A$4734&lt;&gt;A3354)+($E$2:$E$4734&lt;&gt;0))&gt;0)*1000000)),"")</f>
        <v/>
      </c>
      <c r="M3354" s="1">
        <f>IF(AND(E3354=0,COUNTIFS($A$2:A3354,A3354,$E$2:E3354,0)=1),L3354,0)</f>
        <v>0</v>
      </c>
    </row>
    <row r="3355" spans="1:13" ht="15" customHeight="1">
      <c r="A3355" s="1">
        <v>119</v>
      </c>
      <c r="B3355" s="1" t="s">
        <v>144</v>
      </c>
      <c r="C3355" s="1" t="s">
        <v>3904</v>
      </c>
      <c r="D3355" s="1" t="s">
        <v>3930</v>
      </c>
      <c r="E3355" s="1">
        <v>1</v>
      </c>
      <c r="F3355" s="2" t="s">
        <v>3933</v>
      </c>
      <c r="G3355" s="1">
        <v>6</v>
      </c>
      <c r="H3355" s="1" t="str">
        <f t="shared" si="54"/>
        <v>k119_6</v>
      </c>
      <c r="K3355" s="1">
        <f>IF(E3355=0,SUMPRODUCT(($A$2:$A$4734=A3355)*($B$2:$B$4734=B3355)*($D$2:$D$4734=D3355)*($E$2:$E$4734=0)),0)</f>
        <v>0</v>
      </c>
      <c r="L3355" s="1" t="str">
        <f>IF(E3355=0,SUMPRODUCT(MIN($K$2:$K$4734+((($A$2:$A$4734&lt;&gt;A3355)+($E$2:$E$4734&lt;&gt;0))&gt;0)*1000000)),"")</f>
        <v/>
      </c>
      <c r="M3355" s="1">
        <f>IF(AND(E3355=0,COUNTIFS($A$2:A3355,A3355,$E$2:E3355,0)=1),L3355,0)</f>
        <v>0</v>
      </c>
    </row>
    <row r="3356" spans="1:13" ht="15" customHeight="1">
      <c r="A3356" s="1">
        <v>119</v>
      </c>
      <c r="B3356" s="1" t="s">
        <v>144</v>
      </c>
      <c r="C3356" s="1" t="s">
        <v>3904</v>
      </c>
      <c r="D3356" s="1" t="s">
        <v>3930</v>
      </c>
      <c r="E3356" s="1">
        <v>1</v>
      </c>
      <c r="F3356" s="2" t="s">
        <v>3934</v>
      </c>
      <c r="G3356" s="1">
        <v>7</v>
      </c>
      <c r="H3356" s="1" t="str">
        <f t="shared" si="54"/>
        <v>k119_7</v>
      </c>
      <c r="K3356" s="1">
        <f>IF(E3356=0,SUMPRODUCT(($A$2:$A$4734=A3356)*($B$2:$B$4734=B3356)*($D$2:$D$4734=D3356)*($E$2:$E$4734=0)),0)</f>
        <v>0</v>
      </c>
      <c r="L3356" s="1" t="str">
        <f>IF(E3356=0,SUMPRODUCT(MIN($K$2:$K$4734+((($A$2:$A$4734&lt;&gt;A3356)+($E$2:$E$4734&lt;&gt;0))&gt;0)*1000000)),"")</f>
        <v/>
      </c>
      <c r="M3356" s="1">
        <f>IF(AND(E3356=0,COUNTIFS($A$2:A3356,A3356,$E$2:E3356,0)=1),L3356,0)</f>
        <v>0</v>
      </c>
    </row>
    <row r="3357" spans="1:13" ht="15" customHeight="1">
      <c r="A3357" s="1">
        <v>119</v>
      </c>
      <c r="B3357" s="1" t="s">
        <v>144</v>
      </c>
      <c r="C3357" s="1" t="s">
        <v>3904</v>
      </c>
      <c r="D3357" s="1" t="s">
        <v>3930</v>
      </c>
      <c r="E3357" s="1">
        <v>1</v>
      </c>
      <c r="F3357" s="2" t="s">
        <v>3935</v>
      </c>
      <c r="G3357" s="1">
        <v>8</v>
      </c>
      <c r="H3357" s="1" t="str">
        <f t="shared" si="54"/>
        <v>k119_8</v>
      </c>
      <c r="K3357" s="1">
        <f>IF(E3357=0,SUMPRODUCT(($A$2:$A$4734=A3357)*($B$2:$B$4734=B3357)*($D$2:$D$4734=D3357)*($E$2:$E$4734=0)),0)</f>
        <v>0</v>
      </c>
      <c r="L3357" s="1" t="str">
        <f>IF(E3357=0,SUMPRODUCT(MIN($K$2:$K$4734+((($A$2:$A$4734&lt;&gt;A3357)+($E$2:$E$4734&lt;&gt;0))&gt;0)*1000000)),"")</f>
        <v/>
      </c>
      <c r="M3357" s="1">
        <f>IF(AND(E3357=0,COUNTIFS($A$2:A3357,A3357,$E$2:E3357,0)=1),L3357,0)</f>
        <v>0</v>
      </c>
    </row>
    <row r="3358" spans="1:13" ht="15" customHeight="1">
      <c r="A3358" s="1">
        <v>119</v>
      </c>
      <c r="B3358" s="1" t="s">
        <v>144</v>
      </c>
      <c r="C3358" s="1" t="s">
        <v>3904</v>
      </c>
      <c r="D3358" s="1" t="s">
        <v>3930</v>
      </c>
      <c r="E3358" s="1">
        <v>1</v>
      </c>
      <c r="F3358" s="2" t="s">
        <v>3936</v>
      </c>
      <c r="G3358" s="1">
        <v>9</v>
      </c>
      <c r="H3358" s="1" t="str">
        <f t="shared" si="54"/>
        <v>k119_9</v>
      </c>
      <c r="K3358" s="1">
        <f>IF(E3358=0,SUMPRODUCT(($A$2:$A$4734=A3358)*($B$2:$B$4734=B3358)*($D$2:$D$4734=D3358)*($E$2:$E$4734=0)),0)</f>
        <v>0</v>
      </c>
      <c r="L3358" s="1" t="str">
        <f>IF(E3358=0,SUMPRODUCT(MIN($K$2:$K$4734+((($A$2:$A$4734&lt;&gt;A3358)+($E$2:$E$4734&lt;&gt;0))&gt;0)*1000000)),"")</f>
        <v/>
      </c>
      <c r="M3358" s="1">
        <f>IF(AND(E3358=0,COUNTIFS($A$2:A3358,A3358,$E$2:E3358,0)=1),L3358,0)</f>
        <v>0</v>
      </c>
    </row>
    <row r="3359" spans="1:13" ht="15" customHeight="1">
      <c r="A3359" s="1">
        <v>120</v>
      </c>
      <c r="B3359" s="1" t="s">
        <v>16</v>
      </c>
      <c r="C3359" s="2" t="s">
        <v>3937</v>
      </c>
      <c r="D3359" s="2" t="s">
        <v>3938</v>
      </c>
      <c r="E3359" s="1">
        <v>0</v>
      </c>
      <c r="F3359" s="2" t="s">
        <v>3939</v>
      </c>
      <c r="H3359" s="1" t="str">
        <f t="shared" si="54"/>
        <v/>
      </c>
      <c r="K3359" s="1">
        <f>IF(E3359=0,SUMPRODUCT(($A$2:$A$4734=A3359)*($B$2:$B$4734=B3359)*($D$2:$D$4734=D3359)*($E$2:$E$4734=0)),0)</f>
        <v>4</v>
      </c>
      <c r="L3359" s="1">
        <f>IF(E3359=0,SUMPRODUCT(MIN($K$2:$K$4734+((($A$2:$A$4734&lt;&gt;A3359)+($E$2:$E$4734&lt;&gt;0))&gt;0)*1000000)),"")</f>
        <v>4</v>
      </c>
      <c r="M3359" s="1">
        <f>IF(AND(E3359=0,COUNTIFS($A$2:A3359,A3359,$E$2:E3359,0)=1),L3359,0)</f>
        <v>4</v>
      </c>
    </row>
    <row r="3360" spans="1:13" ht="15" customHeight="1">
      <c r="A3360" s="1">
        <v>120</v>
      </c>
      <c r="B3360" s="1" t="s">
        <v>16</v>
      </c>
      <c r="C3360" s="2" t="s">
        <v>3937</v>
      </c>
      <c r="D3360" s="2" t="s">
        <v>3938</v>
      </c>
      <c r="E3360" s="1">
        <v>0</v>
      </c>
      <c r="F3360" s="2" t="s">
        <v>3940</v>
      </c>
      <c r="H3360" s="1" t="str">
        <f t="shared" si="54"/>
        <v/>
      </c>
      <c r="K3360" s="1">
        <f>IF(E3360=0,SUMPRODUCT(($A$2:$A$4734=A3360)*($B$2:$B$4734=B3360)*($D$2:$D$4734=D3360)*($E$2:$E$4734=0)),0)</f>
        <v>4</v>
      </c>
      <c r="L3360" s="1">
        <f>IF(E3360=0,SUMPRODUCT(MIN($K$2:$K$4734+((($A$2:$A$4734&lt;&gt;A3360)+($E$2:$E$4734&lt;&gt;0))&gt;0)*1000000)),"")</f>
        <v>4</v>
      </c>
      <c r="M3360" s="1">
        <f>IF(AND(E3360=0,COUNTIFS($A$2:A3360,A3360,$E$2:E3360,0)=1),L3360,0)</f>
        <v>0</v>
      </c>
    </row>
    <row r="3361" spans="1:13" ht="15" customHeight="1">
      <c r="A3361" s="1">
        <v>120</v>
      </c>
      <c r="B3361" s="1" t="s">
        <v>16</v>
      </c>
      <c r="C3361" s="2" t="s">
        <v>3937</v>
      </c>
      <c r="D3361" s="2" t="s">
        <v>3938</v>
      </c>
      <c r="E3361" s="1">
        <v>0</v>
      </c>
      <c r="F3361" s="2" t="s">
        <v>3941</v>
      </c>
      <c r="H3361" s="1" t="str">
        <f t="shared" si="54"/>
        <v/>
      </c>
      <c r="K3361" s="1">
        <f>IF(E3361=0,SUMPRODUCT(($A$2:$A$4734=A3361)*($B$2:$B$4734=B3361)*($D$2:$D$4734=D3361)*($E$2:$E$4734=0)),0)</f>
        <v>4</v>
      </c>
      <c r="L3361" s="1">
        <f>IF(E3361=0,SUMPRODUCT(MIN($K$2:$K$4734+((($A$2:$A$4734&lt;&gt;A3361)+($E$2:$E$4734&lt;&gt;0))&gt;0)*1000000)),"")</f>
        <v>4</v>
      </c>
      <c r="M3361" s="1">
        <f>IF(AND(E3361=0,COUNTIFS($A$2:A3361,A3361,$E$2:E3361,0)=1),L3361,0)</f>
        <v>0</v>
      </c>
    </row>
    <row r="3362" spans="1:13" ht="15" customHeight="1">
      <c r="A3362" s="1">
        <v>120</v>
      </c>
      <c r="B3362" s="1" t="s">
        <v>16</v>
      </c>
      <c r="C3362" s="2" t="s">
        <v>3937</v>
      </c>
      <c r="D3362" s="2" t="s">
        <v>3938</v>
      </c>
      <c r="E3362" s="1">
        <v>0</v>
      </c>
      <c r="F3362" s="2" t="s">
        <v>3942</v>
      </c>
      <c r="H3362" s="1" t="str">
        <f t="shared" si="54"/>
        <v/>
      </c>
      <c r="K3362" s="1">
        <f>IF(E3362=0,SUMPRODUCT(($A$2:$A$4734=A3362)*($B$2:$B$4734=B3362)*($D$2:$D$4734=D3362)*($E$2:$E$4734=0)),0)</f>
        <v>4</v>
      </c>
      <c r="L3362" s="1">
        <f>IF(E3362=0,SUMPRODUCT(MIN($K$2:$K$4734+((($A$2:$A$4734&lt;&gt;A3362)+($E$2:$E$4734&lt;&gt;0))&gt;0)*1000000)),"")</f>
        <v>4</v>
      </c>
      <c r="M3362" s="1">
        <f>IF(AND(E3362=0,COUNTIFS($A$2:A3362,A3362,$E$2:E3362,0)=1),L3362,0)</f>
        <v>0</v>
      </c>
    </row>
    <row r="3363" spans="1:13" ht="15" customHeight="1">
      <c r="A3363" s="1">
        <v>121</v>
      </c>
      <c r="B3363" s="1" t="s">
        <v>16</v>
      </c>
      <c r="C3363" s="2" t="s">
        <v>3943</v>
      </c>
      <c r="D3363" s="2" t="s">
        <v>3944</v>
      </c>
      <c r="E3363" s="1">
        <v>0</v>
      </c>
      <c r="F3363" s="2" t="s">
        <v>3945</v>
      </c>
      <c r="H3363" s="1" t="str">
        <f t="shared" si="54"/>
        <v/>
      </c>
      <c r="K3363" s="1">
        <f>IF(E3363=0,SUMPRODUCT(($A$2:$A$4734=A3363)*($B$2:$B$4734=B3363)*($D$2:$D$4734=D3363)*($E$2:$E$4734=0)),0)</f>
        <v>5</v>
      </c>
      <c r="L3363" s="1">
        <f>IF(E3363=0,SUMPRODUCT(MIN($K$2:$K$4734+((($A$2:$A$4734&lt;&gt;A3363)+($E$2:$E$4734&lt;&gt;0))&gt;0)*1000000)),"")</f>
        <v>3</v>
      </c>
      <c r="M3363" s="1">
        <f>IF(AND(E3363=0,COUNTIFS($A$2:A3363,A3363,$E$2:E3363,0)=1),L3363,0)</f>
        <v>3</v>
      </c>
    </row>
    <row r="3364" spans="1:13" ht="15" customHeight="1">
      <c r="A3364" s="1">
        <v>121</v>
      </c>
      <c r="B3364" s="1" t="s">
        <v>16</v>
      </c>
      <c r="C3364" s="2" t="s">
        <v>3943</v>
      </c>
      <c r="D3364" s="2" t="s">
        <v>3944</v>
      </c>
      <c r="E3364" s="1">
        <v>0</v>
      </c>
      <c r="F3364" s="2" t="s">
        <v>3946</v>
      </c>
      <c r="H3364" s="1" t="str">
        <f t="shared" si="54"/>
        <v/>
      </c>
      <c r="K3364" s="1">
        <f>IF(E3364=0,SUMPRODUCT(($A$2:$A$4734=A3364)*($B$2:$B$4734=B3364)*($D$2:$D$4734=D3364)*($E$2:$E$4734=0)),0)</f>
        <v>5</v>
      </c>
      <c r="L3364" s="1">
        <f>IF(E3364=0,SUMPRODUCT(MIN($K$2:$K$4734+((($A$2:$A$4734&lt;&gt;A3364)+($E$2:$E$4734&lt;&gt;0))&gt;0)*1000000)),"")</f>
        <v>3</v>
      </c>
      <c r="M3364" s="1">
        <f>IF(AND(E3364=0,COUNTIFS($A$2:A3364,A3364,$E$2:E3364,0)=1),L3364,0)</f>
        <v>0</v>
      </c>
    </row>
    <row r="3365" spans="1:13" ht="15" customHeight="1">
      <c r="A3365" s="1">
        <v>121</v>
      </c>
      <c r="B3365" s="1" t="s">
        <v>16</v>
      </c>
      <c r="C3365" s="2" t="s">
        <v>3943</v>
      </c>
      <c r="D3365" s="2" t="s">
        <v>3944</v>
      </c>
      <c r="E3365" s="1">
        <v>0</v>
      </c>
      <c r="F3365" s="2" t="s">
        <v>3947</v>
      </c>
      <c r="H3365" s="1" t="str">
        <f t="shared" si="54"/>
        <v/>
      </c>
      <c r="K3365" s="1">
        <f>IF(E3365=0,SUMPRODUCT(($A$2:$A$4734=A3365)*($B$2:$B$4734=B3365)*($D$2:$D$4734=D3365)*($E$2:$E$4734=0)),0)</f>
        <v>5</v>
      </c>
      <c r="L3365" s="1">
        <f>IF(E3365=0,SUMPRODUCT(MIN($K$2:$K$4734+((($A$2:$A$4734&lt;&gt;A3365)+($E$2:$E$4734&lt;&gt;0))&gt;0)*1000000)),"")</f>
        <v>3</v>
      </c>
      <c r="M3365" s="1">
        <f>IF(AND(E3365=0,COUNTIFS($A$2:A3365,A3365,$E$2:E3365,0)=1),L3365,0)</f>
        <v>0</v>
      </c>
    </row>
    <row r="3366" spans="1:13" ht="15" customHeight="1">
      <c r="A3366" s="1">
        <v>121</v>
      </c>
      <c r="B3366" s="1" t="s">
        <v>16</v>
      </c>
      <c r="C3366" s="2" t="s">
        <v>3943</v>
      </c>
      <c r="D3366" s="2" t="s">
        <v>3944</v>
      </c>
      <c r="E3366" s="1">
        <v>0</v>
      </c>
      <c r="F3366" s="2" t="s">
        <v>3948</v>
      </c>
      <c r="H3366" s="1" t="str">
        <f t="shared" si="54"/>
        <v/>
      </c>
      <c r="K3366" s="1">
        <f>IF(E3366=0,SUMPRODUCT(($A$2:$A$4734=A3366)*($B$2:$B$4734=B3366)*($D$2:$D$4734=D3366)*($E$2:$E$4734=0)),0)</f>
        <v>5</v>
      </c>
      <c r="L3366" s="1">
        <f>IF(E3366=0,SUMPRODUCT(MIN($K$2:$K$4734+((($A$2:$A$4734&lt;&gt;A3366)+($E$2:$E$4734&lt;&gt;0))&gt;0)*1000000)),"")</f>
        <v>3</v>
      </c>
      <c r="M3366" s="1">
        <f>IF(AND(E3366=0,COUNTIFS($A$2:A3366,A3366,$E$2:E3366,0)=1),L3366,0)</f>
        <v>0</v>
      </c>
    </row>
    <row r="3367" spans="1:13" ht="15" customHeight="1">
      <c r="A3367" s="1">
        <v>121</v>
      </c>
      <c r="B3367" s="1" t="s">
        <v>16</v>
      </c>
      <c r="C3367" s="2" t="s">
        <v>3943</v>
      </c>
      <c r="D3367" s="2" t="s">
        <v>3944</v>
      </c>
      <c r="E3367" s="1">
        <v>0</v>
      </c>
      <c r="F3367" s="2" t="s">
        <v>3949</v>
      </c>
      <c r="H3367" s="1" t="str">
        <f t="shared" si="54"/>
        <v/>
      </c>
      <c r="K3367" s="1">
        <f>IF(E3367=0,SUMPRODUCT(($A$2:$A$4734=A3367)*($B$2:$B$4734=B3367)*($D$2:$D$4734=D3367)*($E$2:$E$4734=0)),0)</f>
        <v>5</v>
      </c>
      <c r="L3367" s="1">
        <f>IF(E3367=0,SUMPRODUCT(MIN($K$2:$K$4734+((($A$2:$A$4734&lt;&gt;A3367)+($E$2:$E$4734&lt;&gt;0))&gt;0)*1000000)),"")</f>
        <v>3</v>
      </c>
      <c r="M3367" s="1">
        <f>IF(AND(E3367=0,COUNTIFS($A$2:A3367,A3367,$E$2:E3367,0)=1),L3367,0)</f>
        <v>0</v>
      </c>
    </row>
    <row r="3368" spans="1:13" ht="15" customHeight="1">
      <c r="A3368" s="1">
        <v>121</v>
      </c>
      <c r="B3368" s="1" t="s">
        <v>16</v>
      </c>
      <c r="C3368" s="2" t="s">
        <v>3943</v>
      </c>
      <c r="D3368" s="2" t="s">
        <v>75</v>
      </c>
      <c r="E3368" s="1">
        <v>0</v>
      </c>
      <c r="F3368" s="2" t="s">
        <v>3950</v>
      </c>
      <c r="H3368" s="1" t="str">
        <f t="shared" si="54"/>
        <v/>
      </c>
      <c r="K3368" s="1">
        <f>IF(E3368=0,SUMPRODUCT(($A$2:$A$4734=A3368)*($B$2:$B$4734=B3368)*($D$2:$D$4734=D3368)*($E$2:$E$4734=0)),0)</f>
        <v>4</v>
      </c>
      <c r="L3368" s="1">
        <f>IF(E3368=0,SUMPRODUCT(MIN($K$2:$K$4734+((($A$2:$A$4734&lt;&gt;A3368)+($E$2:$E$4734&lt;&gt;0))&gt;0)*1000000)),"")</f>
        <v>3</v>
      </c>
      <c r="M3368" s="1">
        <f>IF(AND(E3368=0,COUNTIFS($A$2:A3368,A3368,$E$2:E3368,0)=1),L3368,0)</f>
        <v>0</v>
      </c>
    </row>
    <row r="3369" spans="1:13" ht="15" customHeight="1">
      <c r="A3369" s="1">
        <v>121</v>
      </c>
      <c r="B3369" s="1" t="s">
        <v>16</v>
      </c>
      <c r="C3369" s="2" t="s">
        <v>3943</v>
      </c>
      <c r="D3369" s="2" t="s">
        <v>75</v>
      </c>
      <c r="E3369" s="1">
        <v>0</v>
      </c>
      <c r="F3369" s="2" t="s">
        <v>3951</v>
      </c>
      <c r="H3369" s="1" t="str">
        <f t="shared" si="54"/>
        <v/>
      </c>
      <c r="K3369" s="1">
        <f>IF(E3369=0,SUMPRODUCT(($A$2:$A$4734=A3369)*($B$2:$B$4734=B3369)*($D$2:$D$4734=D3369)*($E$2:$E$4734=0)),0)</f>
        <v>4</v>
      </c>
      <c r="L3369" s="1">
        <f>IF(E3369=0,SUMPRODUCT(MIN($K$2:$K$4734+((($A$2:$A$4734&lt;&gt;A3369)+($E$2:$E$4734&lt;&gt;0))&gt;0)*1000000)),"")</f>
        <v>3</v>
      </c>
      <c r="M3369" s="1">
        <f>IF(AND(E3369=0,COUNTIFS($A$2:A3369,A3369,$E$2:E3369,0)=1),L3369,0)</f>
        <v>0</v>
      </c>
    </row>
    <row r="3370" spans="1:13" ht="15" customHeight="1">
      <c r="A3370" s="1">
        <v>121</v>
      </c>
      <c r="B3370" s="1" t="s">
        <v>16</v>
      </c>
      <c r="C3370" s="2" t="s">
        <v>3943</v>
      </c>
      <c r="D3370" s="2" t="s">
        <v>75</v>
      </c>
      <c r="E3370" s="1">
        <v>0</v>
      </c>
      <c r="F3370" s="2" t="s">
        <v>3952</v>
      </c>
      <c r="H3370" s="1" t="str">
        <f t="shared" si="54"/>
        <v/>
      </c>
      <c r="K3370" s="1">
        <f>IF(E3370=0,SUMPRODUCT(($A$2:$A$4734=A3370)*($B$2:$B$4734=B3370)*($D$2:$D$4734=D3370)*($E$2:$E$4734=0)),0)</f>
        <v>4</v>
      </c>
      <c r="L3370" s="1">
        <f>IF(E3370=0,SUMPRODUCT(MIN($K$2:$K$4734+((($A$2:$A$4734&lt;&gt;A3370)+($E$2:$E$4734&lt;&gt;0))&gt;0)*1000000)),"")</f>
        <v>3</v>
      </c>
      <c r="M3370" s="1">
        <f>IF(AND(E3370=0,COUNTIFS($A$2:A3370,A3370,$E$2:E3370,0)=1),L3370,0)</f>
        <v>0</v>
      </c>
    </row>
    <row r="3371" spans="1:13" ht="15" customHeight="1">
      <c r="A3371" s="1">
        <v>121</v>
      </c>
      <c r="B3371" s="1" t="s">
        <v>16</v>
      </c>
      <c r="C3371" s="2" t="s">
        <v>3943</v>
      </c>
      <c r="D3371" s="2" t="s">
        <v>75</v>
      </c>
      <c r="E3371" s="1">
        <v>0</v>
      </c>
      <c r="F3371" s="2" t="s">
        <v>3953</v>
      </c>
      <c r="H3371" s="1" t="str">
        <f t="shared" si="54"/>
        <v/>
      </c>
      <c r="K3371" s="1">
        <f>IF(E3371=0,SUMPRODUCT(($A$2:$A$4734=A3371)*($B$2:$B$4734=B3371)*($D$2:$D$4734=D3371)*($E$2:$E$4734=0)),0)</f>
        <v>4</v>
      </c>
      <c r="L3371" s="1">
        <f>IF(E3371=0,SUMPRODUCT(MIN($K$2:$K$4734+((($A$2:$A$4734&lt;&gt;A3371)+($E$2:$E$4734&lt;&gt;0))&gt;0)*1000000)),"")</f>
        <v>3</v>
      </c>
      <c r="M3371" s="1">
        <f>IF(AND(E3371=0,COUNTIFS($A$2:A3371,A3371,$E$2:E3371,0)=1),L3371,0)</f>
        <v>0</v>
      </c>
    </row>
    <row r="3372" spans="1:13" ht="15" customHeight="1">
      <c r="A3372" s="1">
        <v>121</v>
      </c>
      <c r="B3372" s="1" t="s">
        <v>9</v>
      </c>
      <c r="C3372" s="2" t="s">
        <v>3943</v>
      </c>
      <c r="D3372" s="2" t="s">
        <v>3954</v>
      </c>
      <c r="E3372" s="1">
        <v>0</v>
      </c>
      <c r="F3372" s="2" t="s">
        <v>3955</v>
      </c>
      <c r="H3372" s="1" t="str">
        <f t="shared" si="54"/>
        <v/>
      </c>
      <c r="K3372" s="1">
        <f>IF(E3372=0,SUMPRODUCT(($A$2:$A$4734=A3372)*($B$2:$B$4734=B3372)*($D$2:$D$4734=D3372)*($E$2:$E$4734=0)),0)</f>
        <v>3</v>
      </c>
      <c r="L3372" s="1">
        <f>IF(E3372=0,SUMPRODUCT(MIN($K$2:$K$4734+((($A$2:$A$4734&lt;&gt;A3372)+($E$2:$E$4734&lt;&gt;0))&gt;0)*1000000)),"")</f>
        <v>3</v>
      </c>
      <c r="M3372" s="1">
        <f>IF(AND(E3372=0,COUNTIFS($A$2:A3372,A3372,$E$2:E3372,0)=1),L3372,0)</f>
        <v>0</v>
      </c>
    </row>
    <row r="3373" spans="1:13" ht="15" customHeight="1">
      <c r="A3373" s="1">
        <v>121</v>
      </c>
      <c r="B3373" s="1" t="s">
        <v>9</v>
      </c>
      <c r="C3373" s="2" t="s">
        <v>3943</v>
      </c>
      <c r="D3373" s="2" t="s">
        <v>3954</v>
      </c>
      <c r="E3373" s="1">
        <v>0</v>
      </c>
      <c r="F3373" s="2" t="s">
        <v>3956</v>
      </c>
      <c r="H3373" s="1" t="str">
        <f t="shared" si="54"/>
        <v/>
      </c>
      <c r="K3373" s="1">
        <f>IF(E3373=0,SUMPRODUCT(($A$2:$A$4734=A3373)*($B$2:$B$4734=B3373)*($D$2:$D$4734=D3373)*($E$2:$E$4734=0)),0)</f>
        <v>3</v>
      </c>
      <c r="L3373" s="1">
        <f>IF(E3373=0,SUMPRODUCT(MIN($K$2:$K$4734+((($A$2:$A$4734&lt;&gt;A3373)+($E$2:$E$4734&lt;&gt;0))&gt;0)*1000000)),"")</f>
        <v>3</v>
      </c>
      <c r="M3373" s="1">
        <f>IF(AND(E3373=0,COUNTIFS($A$2:A3373,A3373,$E$2:E3373,0)=1),L3373,0)</f>
        <v>0</v>
      </c>
    </row>
    <row r="3374" spans="1:13" ht="15" customHeight="1">
      <c r="A3374" s="1">
        <v>121</v>
      </c>
      <c r="B3374" s="1" t="s">
        <v>9</v>
      </c>
      <c r="C3374" s="2" t="s">
        <v>3943</v>
      </c>
      <c r="D3374" s="2" t="s">
        <v>3954</v>
      </c>
      <c r="E3374" s="1">
        <v>0</v>
      </c>
      <c r="F3374" s="2" t="s">
        <v>3957</v>
      </c>
      <c r="H3374" s="1" t="str">
        <f t="shared" si="54"/>
        <v/>
      </c>
      <c r="K3374" s="1">
        <f>IF(E3374=0,SUMPRODUCT(($A$2:$A$4734=A3374)*($B$2:$B$4734=B3374)*($D$2:$D$4734=D3374)*($E$2:$E$4734=0)),0)</f>
        <v>3</v>
      </c>
      <c r="L3374" s="1">
        <f>IF(E3374=0,SUMPRODUCT(MIN($K$2:$K$4734+((($A$2:$A$4734&lt;&gt;A3374)+($E$2:$E$4734&lt;&gt;0))&gt;0)*1000000)),"")</f>
        <v>3</v>
      </c>
      <c r="M3374" s="1">
        <f>IF(AND(E3374=0,COUNTIFS($A$2:A3374,A3374,$E$2:E3374,0)=1),L3374,0)</f>
        <v>0</v>
      </c>
    </row>
    <row r="3375" spans="1:13" ht="15" customHeight="1">
      <c r="A3375" s="1">
        <v>122</v>
      </c>
      <c r="B3375" s="1" t="s">
        <v>16</v>
      </c>
      <c r="C3375" s="2" t="s">
        <v>3958</v>
      </c>
      <c r="D3375" s="2" t="s">
        <v>3959</v>
      </c>
      <c r="E3375" s="1">
        <v>0</v>
      </c>
      <c r="F3375" s="2" t="s">
        <v>3960</v>
      </c>
      <c r="H3375" s="1" t="str">
        <f t="shared" si="54"/>
        <v/>
      </c>
      <c r="K3375" s="1">
        <f>IF(E3375=0,SUMPRODUCT(($A$2:$A$4734=A3375)*($B$2:$B$4734=B3375)*($D$2:$D$4734=D3375)*($E$2:$E$4734=0)),0)</f>
        <v>3</v>
      </c>
      <c r="L3375" s="1">
        <f>IF(E3375=0,SUMPRODUCT(MIN($K$2:$K$4734+((($A$2:$A$4734&lt;&gt;A3375)+($E$2:$E$4734&lt;&gt;0))&gt;0)*1000000)),"")</f>
        <v>3</v>
      </c>
      <c r="M3375" s="1">
        <f>IF(AND(E3375=0,COUNTIFS($A$2:A3375,A3375,$E$2:E3375,0)=1),L3375,0)</f>
        <v>3</v>
      </c>
    </row>
    <row r="3376" spans="1:13" ht="15" customHeight="1">
      <c r="A3376" s="1">
        <v>122</v>
      </c>
      <c r="B3376" s="1" t="s">
        <v>16</v>
      </c>
      <c r="C3376" s="2" t="s">
        <v>3958</v>
      </c>
      <c r="D3376" s="2" t="s">
        <v>3959</v>
      </c>
      <c r="E3376" s="1">
        <v>0</v>
      </c>
      <c r="F3376" s="2" t="s">
        <v>3961</v>
      </c>
      <c r="H3376" s="1" t="str">
        <f t="shared" si="54"/>
        <v/>
      </c>
      <c r="K3376" s="1">
        <f>IF(E3376=0,SUMPRODUCT(($A$2:$A$4734=A3376)*($B$2:$B$4734=B3376)*($D$2:$D$4734=D3376)*($E$2:$E$4734=0)),0)</f>
        <v>3</v>
      </c>
      <c r="L3376" s="1">
        <f>IF(E3376=0,SUMPRODUCT(MIN($K$2:$K$4734+((($A$2:$A$4734&lt;&gt;A3376)+($E$2:$E$4734&lt;&gt;0))&gt;0)*1000000)),"")</f>
        <v>3</v>
      </c>
      <c r="M3376" s="1">
        <f>IF(AND(E3376=0,COUNTIFS($A$2:A3376,A3376,$E$2:E3376,0)=1),L3376,0)</f>
        <v>0</v>
      </c>
    </row>
    <row r="3377" spans="1:13" ht="15" customHeight="1">
      <c r="A3377" s="1">
        <v>122</v>
      </c>
      <c r="B3377" s="1" t="s">
        <v>16</v>
      </c>
      <c r="C3377" s="2" t="s">
        <v>3958</v>
      </c>
      <c r="D3377" s="2" t="s">
        <v>3959</v>
      </c>
      <c r="E3377" s="1">
        <v>0</v>
      </c>
      <c r="F3377" s="2" t="s">
        <v>3962</v>
      </c>
      <c r="H3377" s="1" t="str">
        <f t="shared" si="54"/>
        <v/>
      </c>
      <c r="K3377" s="1">
        <f>IF(E3377=0,SUMPRODUCT(($A$2:$A$4734=A3377)*($B$2:$B$4734=B3377)*($D$2:$D$4734=D3377)*($E$2:$E$4734=0)),0)</f>
        <v>3</v>
      </c>
      <c r="L3377" s="1">
        <f>IF(E3377=0,SUMPRODUCT(MIN($K$2:$K$4734+((($A$2:$A$4734&lt;&gt;A3377)+($E$2:$E$4734&lt;&gt;0))&gt;0)*1000000)),"")</f>
        <v>3</v>
      </c>
      <c r="M3377" s="1">
        <f>IF(AND(E3377=0,COUNTIFS($A$2:A3377,A3377,$E$2:E3377,0)=1),L3377,0)</f>
        <v>0</v>
      </c>
    </row>
    <row r="3378" spans="1:13" ht="15" customHeight="1">
      <c r="A3378" s="1">
        <v>123</v>
      </c>
      <c r="B3378" s="1" t="s">
        <v>9</v>
      </c>
      <c r="C3378" s="2" t="s">
        <v>3963</v>
      </c>
      <c r="D3378" s="2" t="s">
        <v>3964</v>
      </c>
      <c r="E3378" s="1">
        <v>0</v>
      </c>
      <c r="F3378" s="2" t="s">
        <v>3965</v>
      </c>
      <c r="H3378" s="1" t="str">
        <f t="shared" si="54"/>
        <v/>
      </c>
      <c r="K3378" s="1">
        <f>IF(E3378=0,SUMPRODUCT(($A$2:$A$4734=A3378)*($B$2:$B$4734=B3378)*($D$2:$D$4734=D3378)*($E$2:$E$4734=0)),0)</f>
        <v>4</v>
      </c>
      <c r="L3378" s="1">
        <f>IF(E3378=0,SUMPRODUCT(MIN($K$2:$K$4734+((($A$2:$A$4734&lt;&gt;A3378)+($E$2:$E$4734&lt;&gt;0))&gt;0)*1000000)),"")</f>
        <v>4</v>
      </c>
      <c r="M3378" s="1">
        <f>IF(AND(E3378=0,COUNTIFS($A$2:A3378,A3378,$E$2:E3378,0)=1),L3378,0)</f>
        <v>4</v>
      </c>
    </row>
    <row r="3379" spans="1:13" ht="15" customHeight="1">
      <c r="A3379" s="1">
        <v>123</v>
      </c>
      <c r="B3379" s="1" t="s">
        <v>9</v>
      </c>
      <c r="C3379" s="2" t="s">
        <v>3963</v>
      </c>
      <c r="D3379" s="2" t="s">
        <v>3964</v>
      </c>
      <c r="E3379" s="1">
        <v>0</v>
      </c>
      <c r="F3379" s="2" t="s">
        <v>3966</v>
      </c>
      <c r="H3379" s="1" t="str">
        <f t="shared" si="54"/>
        <v/>
      </c>
      <c r="K3379" s="1">
        <f>IF(E3379=0,SUMPRODUCT(($A$2:$A$4734=A3379)*($B$2:$B$4734=B3379)*($D$2:$D$4734=D3379)*($E$2:$E$4734=0)),0)</f>
        <v>4</v>
      </c>
      <c r="L3379" s="1">
        <f>IF(E3379=0,SUMPRODUCT(MIN($K$2:$K$4734+((($A$2:$A$4734&lt;&gt;A3379)+($E$2:$E$4734&lt;&gt;0))&gt;0)*1000000)),"")</f>
        <v>4</v>
      </c>
      <c r="M3379" s="1">
        <f>IF(AND(E3379=0,COUNTIFS($A$2:A3379,A3379,$E$2:E3379,0)=1),L3379,0)</f>
        <v>0</v>
      </c>
    </row>
    <row r="3380" spans="1:13" ht="15" customHeight="1">
      <c r="A3380" s="1">
        <v>123</v>
      </c>
      <c r="B3380" s="1" t="s">
        <v>9</v>
      </c>
      <c r="C3380" s="2" t="s">
        <v>3963</v>
      </c>
      <c r="D3380" s="2" t="s">
        <v>3964</v>
      </c>
      <c r="E3380" s="1">
        <v>0</v>
      </c>
      <c r="F3380" s="2" t="s">
        <v>3967</v>
      </c>
      <c r="H3380" s="1" t="str">
        <f t="shared" si="54"/>
        <v/>
      </c>
      <c r="K3380" s="1">
        <f>IF(E3380=0,SUMPRODUCT(($A$2:$A$4734=A3380)*($B$2:$B$4734=B3380)*($D$2:$D$4734=D3380)*($E$2:$E$4734=0)),0)</f>
        <v>4</v>
      </c>
      <c r="L3380" s="1">
        <f>IF(E3380=0,SUMPRODUCT(MIN($K$2:$K$4734+((($A$2:$A$4734&lt;&gt;A3380)+($E$2:$E$4734&lt;&gt;0))&gt;0)*1000000)),"")</f>
        <v>4</v>
      </c>
      <c r="M3380" s="1">
        <f>IF(AND(E3380=0,COUNTIFS($A$2:A3380,A3380,$E$2:E3380,0)=1),L3380,0)</f>
        <v>0</v>
      </c>
    </row>
    <row r="3381" spans="1:13" ht="15" customHeight="1">
      <c r="A3381" s="1">
        <v>123</v>
      </c>
      <c r="B3381" s="1" t="s">
        <v>9</v>
      </c>
      <c r="C3381" s="2" t="s">
        <v>3963</v>
      </c>
      <c r="D3381" s="2" t="s">
        <v>3964</v>
      </c>
      <c r="E3381" s="1">
        <v>0</v>
      </c>
      <c r="F3381" s="2" t="s">
        <v>3968</v>
      </c>
      <c r="H3381" s="1" t="str">
        <f t="shared" si="54"/>
        <v/>
      </c>
      <c r="K3381" s="1">
        <f>IF(E3381=0,SUMPRODUCT(($A$2:$A$4734=A3381)*($B$2:$B$4734=B3381)*($D$2:$D$4734=D3381)*($E$2:$E$4734=0)),0)</f>
        <v>4</v>
      </c>
      <c r="L3381" s="1">
        <f>IF(E3381=0,SUMPRODUCT(MIN($K$2:$K$4734+((($A$2:$A$4734&lt;&gt;A3381)+($E$2:$E$4734&lt;&gt;0))&gt;0)*1000000)),"")</f>
        <v>4</v>
      </c>
      <c r="M3381" s="1">
        <f>IF(AND(E3381=0,COUNTIFS($A$2:A3381,A3381,$E$2:E3381,0)=1),L3381,0)</f>
        <v>0</v>
      </c>
    </row>
    <row r="3382" spans="1:13" ht="15" customHeight="1">
      <c r="A3382" s="1">
        <v>124</v>
      </c>
      <c r="B3382" s="1" t="s">
        <v>161</v>
      </c>
      <c r="C3382" s="2" t="s">
        <v>3969</v>
      </c>
      <c r="D3382" s="2" t="s">
        <v>3970</v>
      </c>
      <c r="E3382" s="1">
        <v>1</v>
      </c>
      <c r="F3382" s="2" t="s">
        <v>3971</v>
      </c>
      <c r="G3382" s="1">
        <v>1</v>
      </c>
      <c r="H3382" s="1" t="str">
        <f t="shared" si="54"/>
        <v>k124_1</v>
      </c>
      <c r="K3382" s="1">
        <f>IF(E3382=0,SUMPRODUCT(($A$2:$A$4734=A3382)*($B$2:$B$4734=B3382)*($D$2:$D$4734=D3382)*($E$2:$E$4734=0)),0)</f>
        <v>0</v>
      </c>
      <c r="L3382" s="1" t="str">
        <f>IF(E3382=0,SUMPRODUCT(MIN($K$2:$K$4734+((($A$2:$A$4734&lt;&gt;A3382)+($E$2:$E$4734&lt;&gt;0))&gt;0)*1000000)),"")</f>
        <v/>
      </c>
      <c r="M3382" s="1">
        <f>IF(AND(E3382=0,COUNTIFS($A$2:A3382,A3382,$E$2:E3382,0)=1),L3382,0)</f>
        <v>0</v>
      </c>
    </row>
    <row r="3383" spans="1:13" ht="15" customHeight="1">
      <c r="A3383" s="1">
        <v>124</v>
      </c>
      <c r="B3383" s="1" t="s">
        <v>161</v>
      </c>
      <c r="C3383" s="2" t="s">
        <v>3969</v>
      </c>
      <c r="D3383" s="2" t="s">
        <v>3970</v>
      </c>
      <c r="E3383" s="1">
        <v>1</v>
      </c>
      <c r="F3383" s="2" t="s">
        <v>3972</v>
      </c>
      <c r="G3383" s="1">
        <v>2</v>
      </c>
      <c r="H3383" s="1" t="str">
        <f t="shared" si="54"/>
        <v>k124_2</v>
      </c>
      <c r="K3383" s="1">
        <f>IF(E3383=0,SUMPRODUCT(($A$2:$A$4734=A3383)*($B$2:$B$4734=B3383)*($D$2:$D$4734=D3383)*($E$2:$E$4734=0)),0)</f>
        <v>0</v>
      </c>
      <c r="L3383" s="1" t="str">
        <f>IF(E3383=0,SUMPRODUCT(MIN($K$2:$K$4734+((($A$2:$A$4734&lt;&gt;A3383)+($E$2:$E$4734&lt;&gt;0))&gt;0)*1000000)),"")</f>
        <v/>
      </c>
      <c r="M3383" s="1">
        <f>IF(AND(E3383=0,COUNTIFS($A$2:A3383,A3383,$E$2:E3383,0)=1),L3383,0)</f>
        <v>0</v>
      </c>
    </row>
    <row r="3384" spans="1:13" ht="15" customHeight="1">
      <c r="A3384" s="1">
        <v>124</v>
      </c>
      <c r="B3384" s="1" t="s">
        <v>161</v>
      </c>
      <c r="C3384" s="2" t="s">
        <v>3969</v>
      </c>
      <c r="D3384" s="2" t="s">
        <v>3970</v>
      </c>
      <c r="E3384" s="1">
        <v>1</v>
      </c>
      <c r="F3384" s="2" t="s">
        <v>3973</v>
      </c>
      <c r="G3384" s="1">
        <v>3</v>
      </c>
      <c r="H3384" s="1" t="str">
        <f t="shared" si="54"/>
        <v>k124_3</v>
      </c>
      <c r="K3384" s="1">
        <f>IF(E3384=0,SUMPRODUCT(($A$2:$A$4734=A3384)*($B$2:$B$4734=B3384)*($D$2:$D$4734=D3384)*($E$2:$E$4734=0)),0)</f>
        <v>0</v>
      </c>
      <c r="L3384" s="1" t="str">
        <f>IF(E3384=0,SUMPRODUCT(MIN($K$2:$K$4734+((($A$2:$A$4734&lt;&gt;A3384)+($E$2:$E$4734&lt;&gt;0))&gt;0)*1000000)),"")</f>
        <v/>
      </c>
      <c r="M3384" s="1">
        <f>IF(AND(E3384=0,COUNTIFS($A$2:A3384,A3384,$E$2:E3384,0)=1),L3384,0)</f>
        <v>0</v>
      </c>
    </row>
    <row r="3385" spans="1:13" ht="15" customHeight="1">
      <c r="A3385" s="1">
        <v>124</v>
      </c>
      <c r="B3385" s="1" t="s">
        <v>161</v>
      </c>
      <c r="C3385" s="2" t="s">
        <v>3969</v>
      </c>
      <c r="D3385" s="2" t="s">
        <v>3970</v>
      </c>
      <c r="E3385" s="1">
        <v>1</v>
      </c>
      <c r="F3385" s="2" t="s">
        <v>3974</v>
      </c>
      <c r="G3385" s="1">
        <v>4</v>
      </c>
      <c r="H3385" s="1" t="str">
        <f t="shared" si="54"/>
        <v>k124_4</v>
      </c>
      <c r="K3385" s="1">
        <f>IF(E3385=0,SUMPRODUCT(($A$2:$A$4734=A3385)*($B$2:$B$4734=B3385)*($D$2:$D$4734=D3385)*($E$2:$E$4734=0)),0)</f>
        <v>0</v>
      </c>
      <c r="L3385" s="1" t="str">
        <f>IF(E3385=0,SUMPRODUCT(MIN($K$2:$K$4734+((($A$2:$A$4734&lt;&gt;A3385)+($E$2:$E$4734&lt;&gt;0))&gt;0)*1000000)),"")</f>
        <v/>
      </c>
      <c r="M3385" s="1">
        <f>IF(AND(E3385=0,COUNTIFS($A$2:A3385,A3385,$E$2:E3385,0)=1),L3385,0)</f>
        <v>0</v>
      </c>
    </row>
    <row r="3386" spans="1:13" ht="15" customHeight="1">
      <c r="A3386" s="1">
        <v>124</v>
      </c>
      <c r="B3386" s="1" t="s">
        <v>161</v>
      </c>
      <c r="C3386" s="2" t="s">
        <v>3969</v>
      </c>
      <c r="D3386" s="2" t="s">
        <v>3970</v>
      </c>
      <c r="E3386" s="1">
        <v>1</v>
      </c>
      <c r="F3386" s="2" t="s">
        <v>3975</v>
      </c>
      <c r="G3386" s="1">
        <v>5</v>
      </c>
      <c r="H3386" s="1" t="str">
        <f t="shared" si="54"/>
        <v>k124_5</v>
      </c>
      <c r="K3386" s="1">
        <f>IF(E3386=0,SUMPRODUCT(($A$2:$A$4734=A3386)*($B$2:$B$4734=B3386)*($D$2:$D$4734=D3386)*($E$2:$E$4734=0)),0)</f>
        <v>0</v>
      </c>
      <c r="L3386" s="1" t="str">
        <f>IF(E3386=0,SUMPRODUCT(MIN($K$2:$K$4734+((($A$2:$A$4734&lt;&gt;A3386)+($E$2:$E$4734&lt;&gt;0))&gt;0)*1000000)),"")</f>
        <v/>
      </c>
      <c r="M3386" s="1">
        <f>IF(AND(E3386=0,COUNTIFS($A$2:A3386,A3386,$E$2:E3386,0)=1),L3386,0)</f>
        <v>0</v>
      </c>
    </row>
    <row r="3387" spans="1:13" ht="15" customHeight="1">
      <c r="A3387" s="1">
        <v>124</v>
      </c>
      <c r="B3387" s="1" t="s">
        <v>9</v>
      </c>
      <c r="C3387" s="2" t="s">
        <v>3969</v>
      </c>
      <c r="D3387" s="2" t="s">
        <v>3976</v>
      </c>
      <c r="E3387" s="1">
        <v>1</v>
      </c>
      <c r="F3387" s="2" t="s">
        <v>3977</v>
      </c>
      <c r="G3387" s="1">
        <v>2</v>
      </c>
      <c r="H3387" s="1" t="str">
        <f t="shared" si="54"/>
        <v>k124_2</v>
      </c>
      <c r="K3387" s="1">
        <f>IF(E3387=0,SUMPRODUCT(($A$2:$A$4734=A3387)*($B$2:$B$4734=B3387)*($D$2:$D$4734=D3387)*($E$2:$E$4734=0)),0)</f>
        <v>0</v>
      </c>
      <c r="L3387" s="1" t="str">
        <f>IF(E3387=0,SUMPRODUCT(MIN($K$2:$K$4734+((($A$2:$A$4734&lt;&gt;A3387)+($E$2:$E$4734&lt;&gt;0))&gt;0)*1000000)),"")</f>
        <v/>
      </c>
      <c r="M3387" s="1">
        <f>IF(AND(E3387=0,COUNTIFS($A$2:A3387,A3387,$E$2:E3387,0)=1),L3387,0)</f>
        <v>0</v>
      </c>
    </row>
    <row r="3388" spans="1:13" ht="15" customHeight="1">
      <c r="A3388" s="1">
        <v>124</v>
      </c>
      <c r="B3388" s="1" t="s">
        <v>9</v>
      </c>
      <c r="C3388" s="2" t="s">
        <v>3969</v>
      </c>
      <c r="D3388" s="2" t="s">
        <v>3976</v>
      </c>
      <c r="E3388" s="1">
        <v>1</v>
      </c>
      <c r="F3388" s="2" t="s">
        <v>3978</v>
      </c>
      <c r="G3388" s="1">
        <v>1</v>
      </c>
      <c r="H3388" s="1" t="str">
        <f t="shared" si="54"/>
        <v>k124_1</v>
      </c>
      <c r="K3388" s="1">
        <f>IF(E3388=0,SUMPRODUCT(($A$2:$A$4734=A3388)*($B$2:$B$4734=B3388)*($D$2:$D$4734=D3388)*($E$2:$E$4734=0)),0)</f>
        <v>0</v>
      </c>
      <c r="L3388" s="1" t="str">
        <f>IF(E3388=0,SUMPRODUCT(MIN($K$2:$K$4734+((($A$2:$A$4734&lt;&gt;A3388)+($E$2:$E$4734&lt;&gt;0))&gt;0)*1000000)),"")</f>
        <v/>
      </c>
      <c r="M3388" s="1">
        <f>IF(AND(E3388=0,COUNTIFS($A$2:A3388,A3388,$E$2:E3388,0)=1),L3388,0)</f>
        <v>0</v>
      </c>
    </row>
    <row r="3389" spans="1:13" ht="15" customHeight="1">
      <c r="A3389" s="1">
        <v>124</v>
      </c>
      <c r="B3389" s="1" t="s">
        <v>9</v>
      </c>
      <c r="C3389" s="2" t="s">
        <v>3969</v>
      </c>
      <c r="D3389" s="2" t="s">
        <v>3976</v>
      </c>
      <c r="E3389" s="1">
        <v>1</v>
      </c>
      <c r="F3389" s="2" t="s">
        <v>3977</v>
      </c>
      <c r="G3389" s="1">
        <v>3</v>
      </c>
      <c r="H3389" s="1" t="str">
        <f t="shared" si="54"/>
        <v>k124_3</v>
      </c>
      <c r="K3389" s="1">
        <f>IF(E3389=0,SUMPRODUCT(($A$2:$A$4734=A3389)*($B$2:$B$4734=B3389)*($D$2:$D$4734=D3389)*($E$2:$E$4734=0)),0)</f>
        <v>0</v>
      </c>
      <c r="L3389" s="1" t="str">
        <f>IF(E3389=0,SUMPRODUCT(MIN($K$2:$K$4734+((($A$2:$A$4734&lt;&gt;A3389)+($E$2:$E$4734&lt;&gt;0))&gt;0)*1000000)),"")</f>
        <v/>
      </c>
      <c r="M3389" s="1">
        <f>IF(AND(E3389=0,COUNTIFS($A$2:A3389,A3389,$E$2:E3389,0)=1),L3389,0)</f>
        <v>0</v>
      </c>
    </row>
    <row r="3390" spans="1:13" ht="15" customHeight="1">
      <c r="A3390" s="1">
        <v>124</v>
      </c>
      <c r="B3390" s="1" t="s">
        <v>9</v>
      </c>
      <c r="C3390" s="2" t="s">
        <v>3969</v>
      </c>
      <c r="D3390" s="2" t="s">
        <v>3976</v>
      </c>
      <c r="E3390" s="1">
        <v>1</v>
      </c>
      <c r="F3390" s="2" t="s">
        <v>3978</v>
      </c>
      <c r="G3390" s="1">
        <v>4</v>
      </c>
      <c r="H3390" s="1" t="str">
        <f t="shared" si="54"/>
        <v>k124_4</v>
      </c>
      <c r="K3390" s="1">
        <f>IF(E3390=0,SUMPRODUCT(($A$2:$A$4734=A3390)*($B$2:$B$4734=B3390)*($D$2:$D$4734=D3390)*($E$2:$E$4734=0)),0)</f>
        <v>0</v>
      </c>
      <c r="L3390" s="1" t="str">
        <f>IF(E3390=0,SUMPRODUCT(MIN($K$2:$K$4734+((($A$2:$A$4734&lt;&gt;A3390)+($E$2:$E$4734&lt;&gt;0))&gt;0)*1000000)),"")</f>
        <v/>
      </c>
      <c r="M3390" s="1">
        <f>IF(AND(E3390=0,COUNTIFS($A$2:A3390,A3390,$E$2:E3390,0)=1),L3390,0)</f>
        <v>0</v>
      </c>
    </row>
    <row r="3391" spans="1:13" ht="15" customHeight="1">
      <c r="A3391" s="1">
        <v>124</v>
      </c>
      <c r="B3391" s="1" t="s">
        <v>9</v>
      </c>
      <c r="C3391" s="2" t="s">
        <v>3969</v>
      </c>
      <c r="D3391" s="2" t="s">
        <v>3976</v>
      </c>
      <c r="E3391" s="1">
        <v>1</v>
      </c>
      <c r="F3391" s="2" t="s">
        <v>3979</v>
      </c>
      <c r="G3391" s="1">
        <v>5</v>
      </c>
      <c r="H3391" s="1" t="str">
        <f t="shared" si="54"/>
        <v>k124_5</v>
      </c>
      <c r="K3391" s="1">
        <f>IF(E3391=0,SUMPRODUCT(($A$2:$A$4734=A3391)*($B$2:$B$4734=B3391)*($D$2:$D$4734=D3391)*($E$2:$E$4734=0)),0)</f>
        <v>0</v>
      </c>
      <c r="L3391" s="1" t="str">
        <f>IF(E3391=0,SUMPRODUCT(MIN($K$2:$K$4734+((($A$2:$A$4734&lt;&gt;A3391)+($E$2:$E$4734&lt;&gt;0))&gt;0)*1000000)),"")</f>
        <v/>
      </c>
      <c r="M3391" s="1">
        <f>IF(AND(E3391=0,COUNTIFS($A$2:A3391,A3391,$E$2:E3391,0)=1),L3391,0)</f>
        <v>0</v>
      </c>
    </row>
    <row r="3392" spans="1:13" ht="15" customHeight="1">
      <c r="A3392" s="1">
        <v>124</v>
      </c>
      <c r="B3392" s="1" t="s">
        <v>16</v>
      </c>
      <c r="C3392" s="2" t="s">
        <v>3969</v>
      </c>
      <c r="D3392" s="2" t="s">
        <v>3980</v>
      </c>
      <c r="E3392" s="1">
        <v>1</v>
      </c>
      <c r="F3392" s="2" t="s">
        <v>3981</v>
      </c>
      <c r="G3392" s="1">
        <v>1</v>
      </c>
      <c r="H3392" s="1" t="str">
        <f t="shared" si="54"/>
        <v>k124_1</v>
      </c>
      <c r="K3392" s="1">
        <f>IF(E3392=0,SUMPRODUCT(($A$2:$A$4734=A3392)*($B$2:$B$4734=B3392)*($D$2:$D$4734=D3392)*($E$2:$E$4734=0)),0)</f>
        <v>0</v>
      </c>
      <c r="L3392" s="1" t="str">
        <f>IF(E3392=0,SUMPRODUCT(MIN($K$2:$K$4734+((($A$2:$A$4734&lt;&gt;A3392)+($E$2:$E$4734&lt;&gt;0))&gt;0)*1000000)),"")</f>
        <v/>
      </c>
      <c r="M3392" s="1">
        <f>IF(AND(E3392=0,COUNTIFS($A$2:A3392,A3392,$E$2:E3392,0)=1),L3392,0)</f>
        <v>0</v>
      </c>
    </row>
    <row r="3393" spans="1:13" ht="15" customHeight="1">
      <c r="A3393" s="1">
        <v>124</v>
      </c>
      <c r="B3393" s="1" t="s">
        <v>16</v>
      </c>
      <c r="C3393" s="2" t="s">
        <v>3969</v>
      </c>
      <c r="D3393" s="2" t="s">
        <v>3980</v>
      </c>
      <c r="E3393" s="1">
        <v>1</v>
      </c>
      <c r="F3393" s="2" t="s">
        <v>3982</v>
      </c>
      <c r="G3393" s="1">
        <v>2</v>
      </c>
      <c r="H3393" s="1" t="str">
        <f t="shared" si="54"/>
        <v>k124_2</v>
      </c>
      <c r="K3393" s="1">
        <f>IF(E3393=0,SUMPRODUCT(($A$2:$A$4734=A3393)*($B$2:$B$4734=B3393)*($D$2:$D$4734=D3393)*($E$2:$E$4734=0)),0)</f>
        <v>0</v>
      </c>
      <c r="L3393" s="1" t="str">
        <f>IF(E3393=0,SUMPRODUCT(MIN($K$2:$K$4734+((($A$2:$A$4734&lt;&gt;A3393)+($E$2:$E$4734&lt;&gt;0))&gt;0)*1000000)),"")</f>
        <v/>
      </c>
      <c r="M3393" s="1">
        <f>IF(AND(E3393=0,COUNTIFS($A$2:A3393,A3393,$E$2:E3393,0)=1),L3393,0)</f>
        <v>0</v>
      </c>
    </row>
    <row r="3394" spans="1:13" ht="15" customHeight="1">
      <c r="A3394" s="1">
        <v>124</v>
      </c>
      <c r="B3394" s="1" t="s">
        <v>16</v>
      </c>
      <c r="C3394" s="2" t="s">
        <v>3969</v>
      </c>
      <c r="D3394" s="2" t="s">
        <v>3980</v>
      </c>
      <c r="E3394" s="1">
        <v>1</v>
      </c>
      <c r="F3394" s="2" t="s">
        <v>3983</v>
      </c>
      <c r="G3394" s="1">
        <v>3</v>
      </c>
      <c r="H3394" s="1" t="str">
        <f t="shared" si="54"/>
        <v>k124_3</v>
      </c>
      <c r="K3394" s="1">
        <f>IF(E3394=0,SUMPRODUCT(($A$2:$A$4734=A3394)*($B$2:$B$4734=B3394)*($D$2:$D$4734=D3394)*($E$2:$E$4734=0)),0)</f>
        <v>0</v>
      </c>
      <c r="L3394" s="1" t="str">
        <f>IF(E3394=0,SUMPRODUCT(MIN($K$2:$K$4734+((($A$2:$A$4734&lt;&gt;A3394)+($E$2:$E$4734&lt;&gt;0))&gt;0)*1000000)),"")</f>
        <v/>
      </c>
      <c r="M3394" s="1">
        <f>IF(AND(E3394=0,COUNTIFS($A$2:A3394,A3394,$E$2:E3394,0)=1),L3394,0)</f>
        <v>0</v>
      </c>
    </row>
    <row r="3395" spans="1:13" ht="15" customHeight="1">
      <c r="A3395" s="1">
        <v>124</v>
      </c>
      <c r="B3395" s="1" t="s">
        <v>16</v>
      </c>
      <c r="C3395" s="2" t="s">
        <v>3969</v>
      </c>
      <c r="D3395" s="2" t="s">
        <v>3980</v>
      </c>
      <c r="E3395" s="1">
        <v>1</v>
      </c>
      <c r="F3395" s="2" t="s">
        <v>3984</v>
      </c>
      <c r="G3395" s="1">
        <v>4</v>
      </c>
      <c r="H3395" s="1" t="str">
        <f t="shared" si="54"/>
        <v>k124_4</v>
      </c>
      <c r="K3395" s="1">
        <f>IF(E3395=0,SUMPRODUCT(($A$2:$A$4734=A3395)*($B$2:$B$4734=B3395)*($D$2:$D$4734=D3395)*($E$2:$E$4734=0)),0)</f>
        <v>0</v>
      </c>
      <c r="L3395" s="1" t="str">
        <f>IF(E3395=0,SUMPRODUCT(MIN($K$2:$K$4734+((($A$2:$A$4734&lt;&gt;A3395)+($E$2:$E$4734&lt;&gt;0))&gt;0)*1000000)),"")</f>
        <v/>
      </c>
      <c r="M3395" s="1">
        <f>IF(AND(E3395=0,COUNTIFS($A$2:A3395,A3395,$E$2:E3395,0)=1),L3395,0)</f>
        <v>0</v>
      </c>
    </row>
    <row r="3396" spans="1:13" ht="15" customHeight="1">
      <c r="A3396" s="1">
        <v>124</v>
      </c>
      <c r="B3396" s="1" t="s">
        <v>16</v>
      </c>
      <c r="C3396" s="2" t="s">
        <v>3969</v>
      </c>
      <c r="D3396" s="2" t="s">
        <v>3980</v>
      </c>
      <c r="E3396" s="1">
        <v>1</v>
      </c>
      <c r="F3396" s="2" t="s">
        <v>3985</v>
      </c>
      <c r="G3396" s="1">
        <v>5</v>
      </c>
      <c r="H3396" s="1" t="str">
        <f t="shared" si="54"/>
        <v>k124_5</v>
      </c>
      <c r="K3396" s="1">
        <f>IF(E3396=0,SUMPRODUCT(($A$2:$A$4734=A3396)*($B$2:$B$4734=B3396)*($D$2:$D$4734=D3396)*($E$2:$E$4734=0)),0)</f>
        <v>0</v>
      </c>
      <c r="L3396" s="1" t="str">
        <f>IF(E3396=0,SUMPRODUCT(MIN($K$2:$K$4734+((($A$2:$A$4734&lt;&gt;A3396)+($E$2:$E$4734&lt;&gt;0))&gt;0)*1000000)),"")</f>
        <v/>
      </c>
      <c r="M3396" s="1">
        <f>IF(AND(E3396=0,COUNTIFS($A$2:A3396,A3396,$E$2:E3396,0)=1),L3396,0)</f>
        <v>0</v>
      </c>
    </row>
    <row r="3397" spans="1:13" ht="15" customHeight="1">
      <c r="A3397" s="1">
        <v>125</v>
      </c>
      <c r="B3397" s="1" t="s">
        <v>9</v>
      </c>
      <c r="C3397" s="2" t="s">
        <v>3986</v>
      </c>
      <c r="D3397" s="2" t="s">
        <v>3987</v>
      </c>
      <c r="E3397" s="1">
        <v>0</v>
      </c>
      <c r="F3397" s="2" t="s">
        <v>3988</v>
      </c>
      <c r="H3397" s="1" t="str">
        <f t="shared" si="54"/>
        <v/>
      </c>
      <c r="K3397" s="1">
        <f>IF(E3397=0,SUMPRODUCT(($A$2:$A$4734=A3397)*($B$2:$B$4734=B3397)*($D$2:$D$4734=D3397)*($E$2:$E$4734=0)),0)</f>
        <v>6</v>
      </c>
      <c r="L3397" s="1">
        <f>IF(E3397=0,SUMPRODUCT(MIN($K$2:$K$4734+((($A$2:$A$4734&lt;&gt;A3397)+($E$2:$E$4734&lt;&gt;0))&gt;0)*1000000)),"")</f>
        <v>3</v>
      </c>
      <c r="M3397" s="1">
        <f>IF(AND(E3397=0,COUNTIFS($A$2:A3397,A3397,$E$2:E3397,0)=1),L3397,0)</f>
        <v>3</v>
      </c>
    </row>
    <row r="3398" spans="1:13" ht="15" customHeight="1">
      <c r="A3398" s="1">
        <v>125</v>
      </c>
      <c r="B3398" s="1" t="s">
        <v>9</v>
      </c>
      <c r="C3398" s="2" t="s">
        <v>3986</v>
      </c>
      <c r="D3398" s="2" t="s">
        <v>3987</v>
      </c>
      <c r="E3398" s="1">
        <v>0</v>
      </c>
      <c r="F3398" s="2" t="s">
        <v>3989</v>
      </c>
      <c r="H3398" s="1" t="str">
        <f t="shared" si="54"/>
        <v/>
      </c>
      <c r="K3398" s="1">
        <f>IF(E3398=0,SUMPRODUCT(($A$2:$A$4734=A3398)*($B$2:$B$4734=B3398)*($D$2:$D$4734=D3398)*($E$2:$E$4734=0)),0)</f>
        <v>6</v>
      </c>
      <c r="L3398" s="1">
        <f>IF(E3398=0,SUMPRODUCT(MIN($K$2:$K$4734+((($A$2:$A$4734&lt;&gt;A3398)+($E$2:$E$4734&lt;&gt;0))&gt;0)*1000000)),"")</f>
        <v>3</v>
      </c>
      <c r="M3398" s="1">
        <f>IF(AND(E3398=0,COUNTIFS($A$2:A3398,A3398,$E$2:E3398,0)=1),L3398,0)</f>
        <v>0</v>
      </c>
    </row>
    <row r="3399" spans="1:13" ht="15" customHeight="1">
      <c r="A3399" s="1">
        <v>125</v>
      </c>
      <c r="B3399" s="1" t="s">
        <v>9</v>
      </c>
      <c r="C3399" s="2" t="s">
        <v>3986</v>
      </c>
      <c r="D3399" s="2" t="s">
        <v>3987</v>
      </c>
      <c r="E3399" s="1">
        <v>0</v>
      </c>
      <c r="F3399" s="2" t="s">
        <v>3990</v>
      </c>
      <c r="H3399" s="1" t="str">
        <f t="shared" si="54"/>
        <v/>
      </c>
      <c r="K3399" s="1">
        <f>IF(E3399=0,SUMPRODUCT(($A$2:$A$4734=A3399)*($B$2:$B$4734=B3399)*($D$2:$D$4734=D3399)*($E$2:$E$4734=0)),0)</f>
        <v>6</v>
      </c>
      <c r="L3399" s="1">
        <f>IF(E3399=0,SUMPRODUCT(MIN($K$2:$K$4734+((($A$2:$A$4734&lt;&gt;A3399)+($E$2:$E$4734&lt;&gt;0))&gt;0)*1000000)),"")</f>
        <v>3</v>
      </c>
      <c r="M3399" s="1">
        <f>IF(AND(E3399=0,COUNTIFS($A$2:A3399,A3399,$E$2:E3399,0)=1),L3399,0)</f>
        <v>0</v>
      </c>
    </row>
    <row r="3400" spans="1:13" ht="15" customHeight="1">
      <c r="A3400" s="1">
        <v>125</v>
      </c>
      <c r="B3400" s="1" t="s">
        <v>9</v>
      </c>
      <c r="C3400" s="2" t="s">
        <v>3986</v>
      </c>
      <c r="D3400" s="2" t="s">
        <v>3987</v>
      </c>
      <c r="E3400" s="1">
        <v>0</v>
      </c>
      <c r="F3400" s="2" t="s">
        <v>3991</v>
      </c>
      <c r="H3400" s="1" t="str">
        <f t="shared" si="54"/>
        <v/>
      </c>
      <c r="K3400" s="1">
        <f>IF(E3400=0,SUMPRODUCT(($A$2:$A$4734=A3400)*($B$2:$B$4734=B3400)*($D$2:$D$4734=D3400)*($E$2:$E$4734=0)),0)</f>
        <v>6</v>
      </c>
      <c r="L3400" s="1">
        <f>IF(E3400=0,SUMPRODUCT(MIN($K$2:$K$4734+((($A$2:$A$4734&lt;&gt;A3400)+($E$2:$E$4734&lt;&gt;0))&gt;0)*1000000)),"")</f>
        <v>3</v>
      </c>
      <c r="M3400" s="1">
        <f>IF(AND(E3400=0,COUNTIFS($A$2:A3400,A3400,$E$2:E3400,0)=1),L3400,0)</f>
        <v>0</v>
      </c>
    </row>
    <row r="3401" spans="1:13" ht="15" customHeight="1">
      <c r="A3401" s="1">
        <v>125</v>
      </c>
      <c r="B3401" s="1" t="s">
        <v>9</v>
      </c>
      <c r="C3401" s="2" t="s">
        <v>3986</v>
      </c>
      <c r="D3401" s="2" t="s">
        <v>3987</v>
      </c>
      <c r="E3401" s="1">
        <v>0</v>
      </c>
      <c r="F3401" s="2" t="s">
        <v>3992</v>
      </c>
      <c r="H3401" s="1" t="str">
        <f t="shared" si="54"/>
        <v/>
      </c>
      <c r="K3401" s="1">
        <f>IF(E3401=0,SUMPRODUCT(($A$2:$A$4734=A3401)*($B$2:$B$4734=B3401)*($D$2:$D$4734=D3401)*($E$2:$E$4734=0)),0)</f>
        <v>6</v>
      </c>
      <c r="L3401" s="1">
        <f>IF(E3401=0,SUMPRODUCT(MIN($K$2:$K$4734+((($A$2:$A$4734&lt;&gt;A3401)+($E$2:$E$4734&lt;&gt;0))&gt;0)*1000000)),"")</f>
        <v>3</v>
      </c>
      <c r="M3401" s="1">
        <f>IF(AND(E3401=0,COUNTIFS($A$2:A3401,A3401,$E$2:E3401,0)=1),L3401,0)</f>
        <v>0</v>
      </c>
    </row>
    <row r="3402" spans="1:13" ht="15" customHeight="1">
      <c r="A3402" s="1">
        <v>125</v>
      </c>
      <c r="B3402" s="1" t="s">
        <v>9</v>
      </c>
      <c r="C3402" s="2" t="s">
        <v>3986</v>
      </c>
      <c r="D3402" s="2" t="s">
        <v>3987</v>
      </c>
      <c r="E3402" s="1">
        <v>0</v>
      </c>
      <c r="F3402" s="2" t="s">
        <v>3993</v>
      </c>
      <c r="H3402" s="1" t="str">
        <f t="shared" si="54"/>
        <v/>
      </c>
      <c r="K3402" s="1">
        <f>IF(E3402=0,SUMPRODUCT(($A$2:$A$4734=A3402)*($B$2:$B$4734=B3402)*($D$2:$D$4734=D3402)*($E$2:$E$4734=0)),0)</f>
        <v>6</v>
      </c>
      <c r="L3402" s="1">
        <f>IF(E3402=0,SUMPRODUCT(MIN($K$2:$K$4734+((($A$2:$A$4734&lt;&gt;A3402)+($E$2:$E$4734&lt;&gt;0))&gt;0)*1000000)),"")</f>
        <v>3</v>
      </c>
      <c r="M3402" s="1">
        <f>IF(AND(E3402=0,COUNTIFS($A$2:A3402,A3402,$E$2:E3402,0)=1),L3402,0)</f>
        <v>0</v>
      </c>
    </row>
    <row r="3403" spans="1:13" ht="15" customHeight="1">
      <c r="A3403" s="1">
        <v>125</v>
      </c>
      <c r="B3403" s="1" t="s">
        <v>9</v>
      </c>
      <c r="C3403" s="2" t="s">
        <v>3986</v>
      </c>
      <c r="D3403" s="2" t="s">
        <v>3994</v>
      </c>
      <c r="E3403" s="1">
        <v>0</v>
      </c>
      <c r="F3403" s="2" t="s">
        <v>3995</v>
      </c>
      <c r="H3403" s="1" t="str">
        <f t="shared" si="54"/>
        <v/>
      </c>
      <c r="K3403" s="1">
        <f>IF(E3403=0,SUMPRODUCT(($A$2:$A$4734=A3403)*($B$2:$B$4734=B3403)*($D$2:$D$4734=D3403)*($E$2:$E$4734=0)),0)</f>
        <v>3</v>
      </c>
      <c r="L3403" s="1">
        <f>IF(E3403=0,SUMPRODUCT(MIN($K$2:$K$4734+((($A$2:$A$4734&lt;&gt;A3403)+($E$2:$E$4734&lt;&gt;0))&gt;0)*1000000)),"")</f>
        <v>3</v>
      </c>
      <c r="M3403" s="1">
        <f>IF(AND(E3403=0,COUNTIFS($A$2:A3403,A3403,$E$2:E3403,0)=1),L3403,0)</f>
        <v>0</v>
      </c>
    </row>
    <row r="3404" spans="1:13" ht="15" customHeight="1">
      <c r="A3404" s="1">
        <v>125</v>
      </c>
      <c r="B3404" s="1" t="s">
        <v>9</v>
      </c>
      <c r="C3404" s="2" t="s">
        <v>3986</v>
      </c>
      <c r="D3404" s="2" t="s">
        <v>3994</v>
      </c>
      <c r="E3404" s="1">
        <v>0</v>
      </c>
      <c r="F3404" s="2" t="s">
        <v>3996</v>
      </c>
      <c r="H3404" s="1" t="str">
        <f t="shared" si="54"/>
        <v/>
      </c>
      <c r="K3404" s="1">
        <f>IF(E3404=0,SUMPRODUCT(($A$2:$A$4734=A3404)*($B$2:$B$4734=B3404)*($D$2:$D$4734=D3404)*($E$2:$E$4734=0)),0)</f>
        <v>3</v>
      </c>
      <c r="L3404" s="1">
        <f>IF(E3404=0,SUMPRODUCT(MIN($K$2:$K$4734+((($A$2:$A$4734&lt;&gt;A3404)+($E$2:$E$4734&lt;&gt;0))&gt;0)*1000000)),"")</f>
        <v>3</v>
      </c>
      <c r="M3404" s="1">
        <f>IF(AND(E3404=0,COUNTIFS($A$2:A3404,A3404,$E$2:E3404,0)=1),L3404,0)</f>
        <v>0</v>
      </c>
    </row>
    <row r="3405" spans="1:13" ht="15" customHeight="1">
      <c r="A3405" s="1">
        <v>125</v>
      </c>
      <c r="B3405" s="1" t="s">
        <v>9</v>
      </c>
      <c r="C3405" s="2" t="s">
        <v>3986</v>
      </c>
      <c r="D3405" s="2" t="s">
        <v>3994</v>
      </c>
      <c r="E3405" s="1">
        <v>0</v>
      </c>
      <c r="F3405" s="2" t="s">
        <v>3997</v>
      </c>
      <c r="H3405" s="1" t="str">
        <f t="shared" si="54"/>
        <v/>
      </c>
      <c r="K3405" s="1">
        <f>IF(E3405=0,SUMPRODUCT(($A$2:$A$4734=A3405)*($B$2:$B$4734=B3405)*($D$2:$D$4734=D3405)*($E$2:$E$4734=0)),0)</f>
        <v>3</v>
      </c>
      <c r="L3405" s="1">
        <f>IF(E3405=0,SUMPRODUCT(MIN($K$2:$K$4734+((($A$2:$A$4734&lt;&gt;A3405)+($E$2:$E$4734&lt;&gt;0))&gt;0)*1000000)),"")</f>
        <v>3</v>
      </c>
      <c r="M3405" s="1">
        <f>IF(AND(E3405=0,COUNTIFS($A$2:A3405,A3405,$E$2:E3405,0)=1),L3405,0)</f>
        <v>0</v>
      </c>
    </row>
    <row r="3406" spans="1:13" ht="15" customHeight="1">
      <c r="A3406" s="1">
        <v>126</v>
      </c>
      <c r="B3406" s="1" t="s">
        <v>9</v>
      </c>
      <c r="C3406" s="2" t="s">
        <v>3998</v>
      </c>
      <c r="D3406" s="2" t="s">
        <v>695</v>
      </c>
      <c r="E3406" s="1">
        <v>1</v>
      </c>
      <c r="F3406" s="2" t="s">
        <v>699</v>
      </c>
      <c r="G3406" s="1">
        <v>2</v>
      </c>
      <c r="H3406" s="1" t="str">
        <f t="shared" si="54"/>
        <v>k126_2</v>
      </c>
      <c r="K3406" s="1">
        <f>IF(E3406=0,SUMPRODUCT(($A$2:$A$4734=A3406)*($B$2:$B$4734=B3406)*($D$2:$D$4734=D3406)*($E$2:$E$4734=0)),0)</f>
        <v>0</v>
      </c>
      <c r="L3406" s="1" t="str">
        <f>IF(E3406=0,SUMPRODUCT(MIN($K$2:$K$4734+((($A$2:$A$4734&lt;&gt;A3406)+($E$2:$E$4734&lt;&gt;0))&gt;0)*1000000)),"")</f>
        <v/>
      </c>
      <c r="M3406" s="1">
        <f>IF(AND(E3406=0,COUNTIFS($A$2:A3406,A3406,$E$2:E3406,0)=1),L3406,0)</f>
        <v>0</v>
      </c>
    </row>
    <row r="3407" spans="1:13" ht="15" customHeight="1">
      <c r="A3407" s="1">
        <v>126</v>
      </c>
      <c r="B3407" s="1" t="s">
        <v>9</v>
      </c>
      <c r="C3407" s="2" t="s">
        <v>3998</v>
      </c>
      <c r="D3407" s="2" t="s">
        <v>695</v>
      </c>
      <c r="E3407" s="1">
        <v>1</v>
      </c>
      <c r="F3407" s="2" t="s">
        <v>698</v>
      </c>
      <c r="G3407" s="1">
        <v>3</v>
      </c>
      <c r="H3407" s="1" t="str">
        <f t="shared" si="54"/>
        <v>k126_3</v>
      </c>
      <c r="K3407" s="1">
        <f>IF(E3407=0,SUMPRODUCT(($A$2:$A$4734=A3407)*($B$2:$B$4734=B3407)*($D$2:$D$4734=D3407)*($E$2:$E$4734=0)),0)</f>
        <v>0</v>
      </c>
      <c r="L3407" s="1" t="str">
        <f>IF(E3407=0,SUMPRODUCT(MIN($K$2:$K$4734+((($A$2:$A$4734&lt;&gt;A3407)+($E$2:$E$4734&lt;&gt;0))&gt;0)*1000000)),"")</f>
        <v/>
      </c>
      <c r="M3407" s="1">
        <f>IF(AND(E3407=0,COUNTIFS($A$2:A3407,A3407,$E$2:E3407,0)=1),L3407,0)</f>
        <v>0</v>
      </c>
    </row>
    <row r="3408" spans="1:13" ht="15" customHeight="1">
      <c r="A3408" s="1">
        <v>126</v>
      </c>
      <c r="B3408" s="1" t="s">
        <v>9</v>
      </c>
      <c r="C3408" s="2" t="s">
        <v>3998</v>
      </c>
      <c r="D3408" s="2" t="s">
        <v>695</v>
      </c>
      <c r="E3408" s="1">
        <v>1</v>
      </c>
      <c r="F3408" s="2" t="s">
        <v>698</v>
      </c>
      <c r="G3408" s="1">
        <v>1</v>
      </c>
      <c r="H3408" s="1" t="str">
        <f t="shared" si="54"/>
        <v>k126_1</v>
      </c>
      <c r="K3408" s="1">
        <f>IF(E3408=0,SUMPRODUCT(($A$2:$A$4734=A3408)*($B$2:$B$4734=B3408)*($D$2:$D$4734=D3408)*($E$2:$E$4734=0)),0)</f>
        <v>0</v>
      </c>
      <c r="L3408" s="1" t="str">
        <f>IF(E3408=0,SUMPRODUCT(MIN($K$2:$K$4734+((($A$2:$A$4734&lt;&gt;A3408)+($E$2:$E$4734&lt;&gt;0))&gt;0)*1000000)),"")</f>
        <v/>
      </c>
      <c r="M3408" s="1">
        <f>IF(AND(E3408=0,COUNTIFS($A$2:A3408,A3408,$E$2:E3408,0)=1),L3408,0)</f>
        <v>0</v>
      </c>
    </row>
    <row r="3409" spans="1:13" ht="15" customHeight="1">
      <c r="A3409" s="1">
        <v>126</v>
      </c>
      <c r="B3409" s="1" t="s">
        <v>161</v>
      </c>
      <c r="C3409" s="2" t="s">
        <v>3998</v>
      </c>
      <c r="D3409" s="2" t="s">
        <v>3999</v>
      </c>
      <c r="E3409" s="1">
        <v>1</v>
      </c>
      <c r="F3409" s="2" t="s">
        <v>4000</v>
      </c>
      <c r="G3409" s="1">
        <v>1</v>
      </c>
      <c r="H3409" s="1" t="str">
        <f t="shared" ref="H3409:H3466" si="55">IF(OR(E3409&lt;&gt;1,G3409=""),"","k"&amp;A3409&amp;"_"&amp;G3409)</f>
        <v>k126_1</v>
      </c>
      <c r="K3409" s="1">
        <f>IF(E3409=0,SUMPRODUCT(($A$2:$A$4734=A3409)*($B$2:$B$4734=B3409)*($D$2:$D$4734=D3409)*($E$2:$E$4734=0)),0)</f>
        <v>0</v>
      </c>
      <c r="L3409" s="1" t="str">
        <f>IF(E3409=0,SUMPRODUCT(MIN($K$2:$K$4734+((($A$2:$A$4734&lt;&gt;A3409)+($E$2:$E$4734&lt;&gt;0))&gt;0)*1000000)),"")</f>
        <v/>
      </c>
      <c r="M3409" s="1">
        <f>IF(AND(E3409=0,COUNTIFS($A$2:A3409,A3409,$E$2:E3409,0)=1),L3409,0)</f>
        <v>0</v>
      </c>
    </row>
    <row r="3410" spans="1:13" ht="15" customHeight="1">
      <c r="A3410" s="1">
        <v>126</v>
      </c>
      <c r="B3410" s="1" t="s">
        <v>161</v>
      </c>
      <c r="C3410" s="2" t="s">
        <v>3998</v>
      </c>
      <c r="D3410" s="2" t="s">
        <v>3999</v>
      </c>
      <c r="E3410" s="1">
        <v>1</v>
      </c>
      <c r="F3410" s="2" t="s">
        <v>4001</v>
      </c>
      <c r="G3410" s="1">
        <v>2</v>
      </c>
      <c r="H3410" s="1" t="str">
        <f t="shared" si="55"/>
        <v>k126_2</v>
      </c>
      <c r="K3410" s="1">
        <f>IF(E3410=0,SUMPRODUCT(($A$2:$A$4734=A3410)*($B$2:$B$4734=B3410)*($D$2:$D$4734=D3410)*($E$2:$E$4734=0)),0)</f>
        <v>0</v>
      </c>
      <c r="L3410" s="1" t="str">
        <f>IF(E3410=0,SUMPRODUCT(MIN($K$2:$K$4734+((($A$2:$A$4734&lt;&gt;A3410)+($E$2:$E$4734&lt;&gt;0))&gt;0)*1000000)),"")</f>
        <v/>
      </c>
      <c r="M3410" s="1">
        <f>IF(AND(E3410=0,COUNTIFS($A$2:A3410,A3410,$E$2:E3410,0)=1),L3410,0)</f>
        <v>0</v>
      </c>
    </row>
    <row r="3411" spans="1:13" ht="15" customHeight="1">
      <c r="A3411" s="1">
        <v>126</v>
      </c>
      <c r="B3411" s="1" t="s">
        <v>161</v>
      </c>
      <c r="C3411" s="2" t="s">
        <v>3998</v>
      </c>
      <c r="D3411" s="2" t="s">
        <v>3999</v>
      </c>
      <c r="E3411" s="1">
        <v>1</v>
      </c>
      <c r="F3411" s="2" t="s">
        <v>4002</v>
      </c>
      <c r="G3411" s="1">
        <v>3</v>
      </c>
      <c r="H3411" s="1" t="str">
        <f t="shared" si="55"/>
        <v>k126_3</v>
      </c>
      <c r="K3411" s="1">
        <f>IF(E3411=0,SUMPRODUCT(($A$2:$A$4734=A3411)*($B$2:$B$4734=B3411)*($D$2:$D$4734=D3411)*($E$2:$E$4734=0)),0)</f>
        <v>0</v>
      </c>
      <c r="L3411" s="1" t="str">
        <f>IF(E3411=0,SUMPRODUCT(MIN($K$2:$K$4734+((($A$2:$A$4734&lt;&gt;A3411)+($E$2:$E$4734&lt;&gt;0))&gt;0)*1000000)),"")</f>
        <v/>
      </c>
      <c r="M3411" s="1">
        <f>IF(AND(E3411=0,COUNTIFS($A$2:A3411,A3411,$E$2:E3411,0)=1),L3411,0)</f>
        <v>0</v>
      </c>
    </row>
    <row r="3412" spans="1:13" ht="15" customHeight="1">
      <c r="A3412" s="1">
        <v>126</v>
      </c>
      <c r="B3412" s="1" t="s">
        <v>9</v>
      </c>
      <c r="C3412" s="2" t="s">
        <v>3998</v>
      </c>
      <c r="D3412" s="2" t="s">
        <v>4003</v>
      </c>
      <c r="E3412" s="1">
        <v>1</v>
      </c>
      <c r="F3412" s="2" t="s">
        <v>4004</v>
      </c>
      <c r="G3412" s="1">
        <v>1</v>
      </c>
      <c r="H3412" s="1" t="str">
        <f t="shared" si="55"/>
        <v>k126_1</v>
      </c>
      <c r="K3412" s="1">
        <f>IF(E3412=0,SUMPRODUCT(($A$2:$A$4734=A3412)*($B$2:$B$4734=B3412)*($D$2:$D$4734=D3412)*($E$2:$E$4734=0)),0)</f>
        <v>0</v>
      </c>
      <c r="L3412" s="1" t="str">
        <f>IF(E3412=0,SUMPRODUCT(MIN($K$2:$K$4734+((($A$2:$A$4734&lt;&gt;A3412)+($E$2:$E$4734&lt;&gt;0))&gt;0)*1000000)),"")</f>
        <v/>
      </c>
      <c r="M3412" s="1">
        <f>IF(AND(E3412=0,COUNTIFS($A$2:A3412,A3412,$E$2:E3412,0)=1),L3412,0)</f>
        <v>0</v>
      </c>
    </row>
    <row r="3413" spans="1:13" ht="15" customHeight="1">
      <c r="A3413" s="1">
        <v>126</v>
      </c>
      <c r="B3413" s="1" t="s">
        <v>9</v>
      </c>
      <c r="C3413" s="2" t="s">
        <v>3998</v>
      </c>
      <c r="D3413" s="2" t="s">
        <v>4003</v>
      </c>
      <c r="E3413" s="1">
        <v>1</v>
      </c>
      <c r="F3413" s="2" t="s">
        <v>4005</v>
      </c>
      <c r="G3413" s="1">
        <v>2</v>
      </c>
      <c r="H3413" s="1" t="str">
        <f t="shared" si="55"/>
        <v>k126_2</v>
      </c>
      <c r="K3413" s="1">
        <f>IF(E3413=0,SUMPRODUCT(($A$2:$A$4734=A3413)*($B$2:$B$4734=B3413)*($D$2:$D$4734=D3413)*($E$2:$E$4734=0)),0)</f>
        <v>0</v>
      </c>
      <c r="L3413" s="1" t="str">
        <f>IF(E3413=0,SUMPRODUCT(MIN($K$2:$K$4734+((($A$2:$A$4734&lt;&gt;A3413)+($E$2:$E$4734&lt;&gt;0))&gt;0)*1000000)),"")</f>
        <v/>
      </c>
      <c r="M3413" s="1">
        <f>IF(AND(E3413=0,COUNTIFS($A$2:A3413,A3413,$E$2:E3413,0)=1),L3413,0)</f>
        <v>0</v>
      </c>
    </row>
    <row r="3414" spans="1:13" ht="15" customHeight="1">
      <c r="A3414" s="1">
        <v>126</v>
      </c>
      <c r="B3414" s="1" t="s">
        <v>9</v>
      </c>
      <c r="C3414" s="2" t="s">
        <v>3998</v>
      </c>
      <c r="D3414" s="2" t="s">
        <v>4003</v>
      </c>
      <c r="E3414" s="1">
        <v>1</v>
      </c>
      <c r="F3414" s="2" t="s">
        <v>4006</v>
      </c>
      <c r="G3414" s="1">
        <v>3</v>
      </c>
      <c r="H3414" s="1" t="str">
        <f t="shared" si="55"/>
        <v>k126_3</v>
      </c>
      <c r="K3414" s="1">
        <f>IF(E3414=0,SUMPRODUCT(($A$2:$A$4734=A3414)*($B$2:$B$4734=B3414)*($D$2:$D$4734=D3414)*($E$2:$E$4734=0)),0)</f>
        <v>0</v>
      </c>
      <c r="L3414" s="1" t="str">
        <f>IF(E3414=0,SUMPRODUCT(MIN($K$2:$K$4734+((($A$2:$A$4734&lt;&gt;A3414)+($E$2:$E$4734&lt;&gt;0))&gt;0)*1000000)),"")</f>
        <v/>
      </c>
      <c r="M3414" s="1">
        <f>IF(AND(E3414=0,COUNTIFS($A$2:A3414,A3414,$E$2:E3414,0)=1),L3414,0)</f>
        <v>0</v>
      </c>
    </row>
    <row r="3415" spans="1:13" ht="15" customHeight="1">
      <c r="A3415" s="1">
        <v>127</v>
      </c>
      <c r="B3415" s="1" t="s">
        <v>16</v>
      </c>
      <c r="C3415" s="1" t="s">
        <v>4007</v>
      </c>
      <c r="D3415" s="2" t="s">
        <v>4008</v>
      </c>
      <c r="E3415" s="1">
        <v>0</v>
      </c>
      <c r="F3415" s="2" t="s">
        <v>4009</v>
      </c>
      <c r="H3415" s="1" t="str">
        <f t="shared" si="55"/>
        <v/>
      </c>
      <c r="K3415" s="1">
        <f>IF(E3415=0,SUMPRODUCT(($A$2:$A$4734=A3415)*($B$2:$B$4734=B3415)*($D$2:$D$4734=D3415)*($E$2:$E$4734=0)),0)</f>
        <v>3</v>
      </c>
      <c r="L3415" s="1">
        <f>IF(E3415=0,SUMPRODUCT(MIN($K$2:$K$4734+((($A$2:$A$4734&lt;&gt;A3415)+($E$2:$E$4734&lt;&gt;0))&gt;0)*1000000)),"")</f>
        <v>3</v>
      </c>
      <c r="M3415" s="1">
        <f>IF(AND(E3415=0,COUNTIFS($A$2:A3415,A3415,$E$2:E3415,0)=1),L3415,0)</f>
        <v>3</v>
      </c>
    </row>
    <row r="3416" spans="1:13" ht="15" customHeight="1">
      <c r="A3416" s="1">
        <v>127</v>
      </c>
      <c r="B3416" s="1" t="s">
        <v>16</v>
      </c>
      <c r="C3416" s="1" t="s">
        <v>4010</v>
      </c>
      <c r="D3416" s="2" t="s">
        <v>4008</v>
      </c>
      <c r="E3416" s="1">
        <v>0</v>
      </c>
      <c r="F3416" s="2" t="s">
        <v>4011</v>
      </c>
      <c r="H3416" s="1" t="str">
        <f t="shared" si="55"/>
        <v/>
      </c>
      <c r="K3416" s="1">
        <f>IF(E3416=0,SUMPRODUCT(($A$2:$A$4734=A3416)*($B$2:$B$4734=B3416)*($D$2:$D$4734=D3416)*($E$2:$E$4734=0)),0)</f>
        <v>3</v>
      </c>
      <c r="L3416" s="1">
        <f>IF(E3416=0,SUMPRODUCT(MIN($K$2:$K$4734+((($A$2:$A$4734&lt;&gt;A3416)+($E$2:$E$4734&lt;&gt;0))&gt;0)*1000000)),"")</f>
        <v>3</v>
      </c>
      <c r="M3416" s="1">
        <f>IF(AND(E3416=0,COUNTIFS($A$2:A3416,A3416,$E$2:E3416,0)=1),L3416,0)</f>
        <v>0</v>
      </c>
    </row>
    <row r="3417" spans="1:13" ht="15" customHeight="1">
      <c r="A3417" s="1">
        <v>127</v>
      </c>
      <c r="B3417" s="1" t="s">
        <v>16</v>
      </c>
      <c r="C3417" s="1" t="s">
        <v>4012</v>
      </c>
      <c r="D3417" s="2" t="s">
        <v>4008</v>
      </c>
      <c r="E3417" s="1">
        <v>0</v>
      </c>
      <c r="F3417" s="2" t="s">
        <v>4013</v>
      </c>
      <c r="H3417" s="1" t="str">
        <f t="shared" si="55"/>
        <v/>
      </c>
      <c r="K3417" s="1">
        <f>IF(E3417=0,SUMPRODUCT(($A$2:$A$4734=A3417)*($B$2:$B$4734=B3417)*($D$2:$D$4734=D3417)*($E$2:$E$4734=0)),0)</f>
        <v>3</v>
      </c>
      <c r="L3417" s="1">
        <f>IF(E3417=0,SUMPRODUCT(MIN($K$2:$K$4734+((($A$2:$A$4734&lt;&gt;A3417)+($E$2:$E$4734&lt;&gt;0))&gt;0)*1000000)),"")</f>
        <v>3</v>
      </c>
      <c r="M3417" s="1">
        <f>IF(AND(E3417=0,COUNTIFS($A$2:A3417,A3417,$E$2:E3417,0)=1),L3417,0)</f>
        <v>0</v>
      </c>
    </row>
    <row r="3418" spans="1:13" ht="15" customHeight="1">
      <c r="A3418" s="1">
        <v>128</v>
      </c>
      <c r="B3418" s="1" t="s">
        <v>9</v>
      </c>
      <c r="C3418" s="1" t="s">
        <v>4014</v>
      </c>
      <c r="D3418" s="2" t="s">
        <v>4015</v>
      </c>
      <c r="E3418" s="1">
        <v>0</v>
      </c>
      <c r="F3418" s="2" t="s">
        <v>4016</v>
      </c>
      <c r="H3418" s="1" t="str">
        <f t="shared" si="55"/>
        <v/>
      </c>
      <c r="K3418" s="1">
        <f>IF(E3418=0,SUMPRODUCT(($A$2:$A$4734=A3418)*($B$2:$B$4734=B3418)*($D$2:$D$4734=D3418)*($E$2:$E$4734=0)),0)</f>
        <v>3</v>
      </c>
      <c r="L3418" s="1">
        <f>IF(E3418=0,SUMPRODUCT(MIN($K$2:$K$4734+((($A$2:$A$4734&lt;&gt;A3418)+($E$2:$E$4734&lt;&gt;0))&gt;0)*1000000)),"")</f>
        <v>3</v>
      </c>
      <c r="M3418" s="1">
        <f>IF(AND(E3418=0,COUNTIFS($A$2:A3418,A3418,$E$2:E3418,0)=1),L3418,0)</f>
        <v>3</v>
      </c>
    </row>
    <row r="3419" spans="1:13" ht="15" customHeight="1">
      <c r="A3419" s="1">
        <v>128</v>
      </c>
      <c r="B3419" s="1" t="s">
        <v>9</v>
      </c>
      <c r="C3419" s="1" t="s">
        <v>4014</v>
      </c>
      <c r="D3419" s="2" t="s">
        <v>4015</v>
      </c>
      <c r="E3419" s="1">
        <v>0</v>
      </c>
      <c r="F3419" s="2" t="s">
        <v>4017</v>
      </c>
      <c r="H3419" s="1" t="str">
        <f t="shared" si="55"/>
        <v/>
      </c>
      <c r="K3419" s="1">
        <f>IF(E3419=0,SUMPRODUCT(($A$2:$A$4734=A3419)*($B$2:$B$4734=B3419)*($D$2:$D$4734=D3419)*($E$2:$E$4734=0)),0)</f>
        <v>3</v>
      </c>
      <c r="L3419" s="1">
        <f>IF(E3419=0,SUMPRODUCT(MIN($K$2:$K$4734+((($A$2:$A$4734&lt;&gt;A3419)+($E$2:$E$4734&lt;&gt;0))&gt;0)*1000000)),"")</f>
        <v>3</v>
      </c>
      <c r="M3419" s="1">
        <f>IF(AND(E3419=0,COUNTIFS($A$2:A3419,A3419,$E$2:E3419,0)=1),L3419,0)</f>
        <v>0</v>
      </c>
    </row>
    <row r="3420" spans="1:13" ht="15" customHeight="1">
      <c r="A3420" s="1">
        <v>128</v>
      </c>
      <c r="B3420" s="1" t="s">
        <v>9</v>
      </c>
      <c r="C3420" s="1" t="s">
        <v>4014</v>
      </c>
      <c r="D3420" s="2" t="s">
        <v>4015</v>
      </c>
      <c r="E3420" s="1">
        <v>0</v>
      </c>
      <c r="F3420" s="2" t="s">
        <v>4018</v>
      </c>
      <c r="H3420" s="1" t="str">
        <f t="shared" si="55"/>
        <v/>
      </c>
      <c r="K3420" s="1">
        <f>IF(E3420=0,SUMPRODUCT(($A$2:$A$4734=A3420)*($B$2:$B$4734=B3420)*($D$2:$D$4734=D3420)*($E$2:$E$4734=0)),0)</f>
        <v>3</v>
      </c>
      <c r="L3420" s="1">
        <f>IF(E3420=0,SUMPRODUCT(MIN($K$2:$K$4734+((($A$2:$A$4734&lt;&gt;A3420)+($E$2:$E$4734&lt;&gt;0))&gt;0)*1000000)),"")</f>
        <v>3</v>
      </c>
      <c r="M3420" s="1">
        <f>IF(AND(E3420=0,COUNTIFS($A$2:A3420,A3420,$E$2:E3420,0)=1),L3420,0)</f>
        <v>0</v>
      </c>
    </row>
    <row r="3421" spans="1:13" ht="15" customHeight="1">
      <c r="A3421" s="1">
        <v>128</v>
      </c>
      <c r="B3421" s="1" t="s">
        <v>9</v>
      </c>
      <c r="C3421" s="1" t="s">
        <v>4014</v>
      </c>
      <c r="D3421" s="2" t="s">
        <v>4019</v>
      </c>
      <c r="E3421" s="1">
        <v>0</v>
      </c>
      <c r="F3421" s="2" t="s">
        <v>4020</v>
      </c>
      <c r="H3421" s="1" t="str">
        <f t="shared" si="55"/>
        <v/>
      </c>
      <c r="K3421" s="1">
        <f>IF(E3421=0,SUMPRODUCT(($A$2:$A$4734=A3421)*($B$2:$B$4734=B3421)*($D$2:$D$4734=D3421)*($E$2:$E$4734=0)),0)</f>
        <v>5</v>
      </c>
      <c r="L3421" s="1">
        <f>IF(E3421=0,SUMPRODUCT(MIN($K$2:$K$4734+((($A$2:$A$4734&lt;&gt;A3421)+($E$2:$E$4734&lt;&gt;0))&gt;0)*1000000)),"")</f>
        <v>3</v>
      </c>
      <c r="M3421" s="1">
        <f>IF(AND(E3421=0,COUNTIFS($A$2:A3421,A3421,$E$2:E3421,0)=1),L3421,0)</f>
        <v>0</v>
      </c>
    </row>
    <row r="3422" spans="1:13" ht="15" customHeight="1">
      <c r="A3422" s="1">
        <v>128</v>
      </c>
      <c r="B3422" s="1" t="s">
        <v>9</v>
      </c>
      <c r="C3422" s="1" t="s">
        <v>4014</v>
      </c>
      <c r="D3422" s="2" t="s">
        <v>4019</v>
      </c>
      <c r="E3422" s="1">
        <v>0</v>
      </c>
      <c r="F3422" s="2" t="s">
        <v>4021</v>
      </c>
      <c r="H3422" s="1" t="str">
        <f t="shared" si="55"/>
        <v/>
      </c>
      <c r="K3422" s="1">
        <f>IF(E3422=0,SUMPRODUCT(($A$2:$A$4734=A3422)*($B$2:$B$4734=B3422)*($D$2:$D$4734=D3422)*($E$2:$E$4734=0)),0)</f>
        <v>5</v>
      </c>
      <c r="L3422" s="1">
        <f>IF(E3422=0,SUMPRODUCT(MIN($K$2:$K$4734+((($A$2:$A$4734&lt;&gt;A3422)+($E$2:$E$4734&lt;&gt;0))&gt;0)*1000000)),"")</f>
        <v>3</v>
      </c>
      <c r="M3422" s="1">
        <f>IF(AND(E3422=0,COUNTIFS($A$2:A3422,A3422,$E$2:E3422,0)=1),L3422,0)</f>
        <v>0</v>
      </c>
    </row>
    <row r="3423" spans="1:13" ht="15" customHeight="1">
      <c r="A3423" s="1">
        <v>128</v>
      </c>
      <c r="B3423" s="1" t="s">
        <v>9</v>
      </c>
      <c r="C3423" s="1" t="s">
        <v>4014</v>
      </c>
      <c r="D3423" s="2" t="s">
        <v>4019</v>
      </c>
      <c r="E3423" s="1">
        <v>0</v>
      </c>
      <c r="F3423" s="2" t="s">
        <v>4022</v>
      </c>
      <c r="H3423" s="1" t="str">
        <f t="shared" si="55"/>
        <v/>
      </c>
      <c r="K3423" s="1">
        <f>IF(E3423=0,SUMPRODUCT(($A$2:$A$4734=A3423)*($B$2:$B$4734=B3423)*($D$2:$D$4734=D3423)*($E$2:$E$4734=0)),0)</f>
        <v>5</v>
      </c>
      <c r="L3423" s="1">
        <f>IF(E3423=0,SUMPRODUCT(MIN($K$2:$K$4734+((($A$2:$A$4734&lt;&gt;A3423)+($E$2:$E$4734&lt;&gt;0))&gt;0)*1000000)),"")</f>
        <v>3</v>
      </c>
      <c r="M3423" s="1">
        <f>IF(AND(E3423=0,COUNTIFS($A$2:A3423,A3423,$E$2:E3423,0)=1),L3423,0)</f>
        <v>0</v>
      </c>
    </row>
    <row r="3424" spans="1:13" ht="15" customHeight="1">
      <c r="A3424" s="1">
        <v>128</v>
      </c>
      <c r="B3424" s="1" t="s">
        <v>9</v>
      </c>
      <c r="C3424" s="1" t="s">
        <v>4014</v>
      </c>
      <c r="D3424" s="2" t="s">
        <v>4019</v>
      </c>
      <c r="E3424" s="1">
        <v>0</v>
      </c>
      <c r="F3424" s="2" t="s">
        <v>3978</v>
      </c>
      <c r="H3424" s="1" t="str">
        <f t="shared" si="55"/>
        <v/>
      </c>
      <c r="K3424" s="1">
        <f>IF(E3424=0,SUMPRODUCT(($A$2:$A$4734=A3424)*($B$2:$B$4734=B3424)*($D$2:$D$4734=D3424)*($E$2:$E$4734=0)),0)</f>
        <v>5</v>
      </c>
      <c r="L3424" s="1">
        <f>IF(E3424=0,SUMPRODUCT(MIN($K$2:$K$4734+((($A$2:$A$4734&lt;&gt;A3424)+($E$2:$E$4734&lt;&gt;0))&gt;0)*1000000)),"")</f>
        <v>3</v>
      </c>
      <c r="M3424" s="1">
        <f>IF(AND(E3424=0,COUNTIFS($A$2:A3424,A3424,$E$2:E3424,0)=1),L3424,0)</f>
        <v>0</v>
      </c>
    </row>
    <row r="3425" spans="1:13" ht="15" customHeight="1">
      <c r="A3425" s="1">
        <v>128</v>
      </c>
      <c r="B3425" s="1" t="s">
        <v>9</v>
      </c>
      <c r="C3425" s="1" t="s">
        <v>4014</v>
      </c>
      <c r="D3425" s="2" t="s">
        <v>4019</v>
      </c>
      <c r="E3425" s="1">
        <v>0</v>
      </c>
      <c r="F3425" s="2" t="s">
        <v>4023</v>
      </c>
      <c r="H3425" s="1" t="str">
        <f t="shared" si="55"/>
        <v/>
      </c>
      <c r="K3425" s="1">
        <f>IF(E3425=0,SUMPRODUCT(($A$2:$A$4734=A3425)*($B$2:$B$4734=B3425)*($D$2:$D$4734=D3425)*($E$2:$E$4734=0)),0)</f>
        <v>5</v>
      </c>
      <c r="L3425" s="1">
        <f>IF(E3425=0,SUMPRODUCT(MIN($K$2:$K$4734+((($A$2:$A$4734&lt;&gt;A3425)+($E$2:$E$4734&lt;&gt;0))&gt;0)*1000000)),"")</f>
        <v>3</v>
      </c>
      <c r="M3425" s="1">
        <f>IF(AND(E3425=0,COUNTIFS($A$2:A3425,A3425,$E$2:E3425,0)=1),L3425,0)</f>
        <v>0</v>
      </c>
    </row>
    <row r="3426" spans="1:13" ht="15" customHeight="1">
      <c r="A3426" s="1">
        <v>129</v>
      </c>
      <c r="B3426" s="1" t="s">
        <v>16</v>
      </c>
      <c r="C3426" s="2" t="s">
        <v>4024</v>
      </c>
      <c r="D3426" s="2" t="s">
        <v>4025</v>
      </c>
      <c r="E3426" s="1">
        <v>0</v>
      </c>
      <c r="F3426" s="2" t="s">
        <v>4026</v>
      </c>
      <c r="H3426" s="1" t="str">
        <f t="shared" si="55"/>
        <v/>
      </c>
      <c r="K3426" s="1">
        <f>IF(E3426=0,SUMPRODUCT(($A$2:$A$4734=A3426)*($B$2:$B$4734=B3426)*($D$2:$D$4734=D3426)*($E$2:$E$4734=0)),0)</f>
        <v>4</v>
      </c>
      <c r="L3426" s="1">
        <f>IF(E3426=0,SUMPRODUCT(MIN($K$2:$K$4734+((($A$2:$A$4734&lt;&gt;A3426)+($E$2:$E$4734&lt;&gt;0))&gt;0)*1000000)),"")</f>
        <v>4</v>
      </c>
      <c r="M3426" s="1">
        <f>IF(AND(E3426=0,COUNTIFS($A$2:A3426,A3426,$E$2:E3426,0)=1),L3426,0)</f>
        <v>4</v>
      </c>
    </row>
    <row r="3427" spans="1:13" ht="15" customHeight="1">
      <c r="A3427" s="1">
        <v>129</v>
      </c>
      <c r="B3427" s="1" t="s">
        <v>16</v>
      </c>
      <c r="C3427" s="2" t="s">
        <v>4024</v>
      </c>
      <c r="D3427" s="2" t="s">
        <v>4025</v>
      </c>
      <c r="E3427" s="1">
        <v>0</v>
      </c>
      <c r="F3427" s="2" t="s">
        <v>4027</v>
      </c>
      <c r="H3427" s="1" t="str">
        <f t="shared" si="55"/>
        <v/>
      </c>
      <c r="K3427" s="1">
        <f>IF(E3427=0,SUMPRODUCT(($A$2:$A$4734=A3427)*($B$2:$B$4734=B3427)*($D$2:$D$4734=D3427)*($E$2:$E$4734=0)),0)</f>
        <v>4</v>
      </c>
      <c r="L3427" s="1">
        <f>IF(E3427=0,SUMPRODUCT(MIN($K$2:$K$4734+((($A$2:$A$4734&lt;&gt;A3427)+($E$2:$E$4734&lt;&gt;0))&gt;0)*1000000)),"")</f>
        <v>4</v>
      </c>
      <c r="M3427" s="1">
        <f>IF(AND(E3427=0,COUNTIFS($A$2:A3427,A3427,$E$2:E3427,0)=1),L3427,0)</f>
        <v>0</v>
      </c>
    </row>
    <row r="3428" spans="1:13" ht="15" customHeight="1">
      <c r="A3428" s="1">
        <v>129</v>
      </c>
      <c r="B3428" s="1" t="s">
        <v>16</v>
      </c>
      <c r="C3428" s="2" t="s">
        <v>4024</v>
      </c>
      <c r="D3428" s="2" t="s">
        <v>4025</v>
      </c>
      <c r="E3428" s="1">
        <v>0</v>
      </c>
      <c r="F3428" s="2" t="s">
        <v>4028</v>
      </c>
      <c r="H3428" s="1" t="str">
        <f t="shared" si="55"/>
        <v/>
      </c>
      <c r="K3428" s="1">
        <f>IF(E3428=0,SUMPRODUCT(($A$2:$A$4734=A3428)*($B$2:$B$4734=B3428)*($D$2:$D$4734=D3428)*($E$2:$E$4734=0)),0)</f>
        <v>4</v>
      </c>
      <c r="L3428" s="1">
        <f>IF(E3428=0,SUMPRODUCT(MIN($K$2:$K$4734+((($A$2:$A$4734&lt;&gt;A3428)+($E$2:$E$4734&lt;&gt;0))&gt;0)*1000000)),"")</f>
        <v>4</v>
      </c>
      <c r="M3428" s="1">
        <f>IF(AND(E3428=0,COUNTIFS($A$2:A3428,A3428,$E$2:E3428,0)=1),L3428,0)</f>
        <v>0</v>
      </c>
    </row>
    <row r="3429" spans="1:13" ht="15" customHeight="1">
      <c r="A3429" s="1">
        <v>129</v>
      </c>
      <c r="B3429" s="1" t="s">
        <v>16</v>
      </c>
      <c r="C3429" s="2" t="s">
        <v>4024</v>
      </c>
      <c r="D3429" s="2" t="s">
        <v>4025</v>
      </c>
      <c r="E3429" s="1">
        <v>0</v>
      </c>
      <c r="F3429" s="2" t="s">
        <v>4029</v>
      </c>
      <c r="H3429" s="1" t="str">
        <f t="shared" si="55"/>
        <v/>
      </c>
      <c r="K3429" s="1">
        <f>IF(E3429=0,SUMPRODUCT(($A$2:$A$4734=A3429)*($B$2:$B$4734=B3429)*($D$2:$D$4734=D3429)*($E$2:$E$4734=0)),0)</f>
        <v>4</v>
      </c>
      <c r="L3429" s="1">
        <f>IF(E3429=0,SUMPRODUCT(MIN($K$2:$K$4734+((($A$2:$A$4734&lt;&gt;A3429)+($E$2:$E$4734&lt;&gt;0))&gt;0)*1000000)),"")</f>
        <v>4</v>
      </c>
      <c r="M3429" s="1">
        <f>IF(AND(E3429=0,COUNTIFS($A$2:A3429,A3429,$E$2:E3429,0)=1),L3429,0)</f>
        <v>0</v>
      </c>
    </row>
    <row r="3430" spans="1:13" ht="15" customHeight="1">
      <c r="A3430" s="1">
        <v>130</v>
      </c>
      <c r="B3430" s="1" t="s">
        <v>16</v>
      </c>
      <c r="C3430" s="2" t="s">
        <v>4030</v>
      </c>
      <c r="D3430" s="2" t="s">
        <v>4031</v>
      </c>
      <c r="E3430" s="1">
        <v>1</v>
      </c>
      <c r="F3430" s="2" t="s">
        <v>4032</v>
      </c>
      <c r="G3430" s="1">
        <v>1</v>
      </c>
      <c r="H3430" s="1" t="str">
        <f t="shared" si="55"/>
        <v>k130_1</v>
      </c>
      <c r="K3430" s="1">
        <f>IF(E3430=0,SUMPRODUCT(($A$2:$A$4734=A3430)*($B$2:$B$4734=B3430)*($D$2:$D$4734=D3430)*($E$2:$E$4734=0)),0)</f>
        <v>0</v>
      </c>
      <c r="L3430" s="1" t="str">
        <f>IF(E3430=0,SUMPRODUCT(MIN($K$2:$K$4734+((($A$2:$A$4734&lt;&gt;A3430)+($E$2:$E$4734&lt;&gt;0))&gt;0)*1000000)),"")</f>
        <v/>
      </c>
      <c r="M3430" s="1">
        <f>IF(AND(E3430=0,COUNTIFS($A$2:A3430,A3430,$E$2:E3430,0)=1),L3430,0)</f>
        <v>0</v>
      </c>
    </row>
    <row r="3431" spans="1:13" ht="15" customHeight="1">
      <c r="A3431" s="1">
        <v>130</v>
      </c>
      <c r="B3431" s="1" t="s">
        <v>16</v>
      </c>
      <c r="C3431" s="2" t="s">
        <v>4030</v>
      </c>
      <c r="D3431" s="2" t="s">
        <v>4031</v>
      </c>
      <c r="E3431" s="1">
        <v>1</v>
      </c>
      <c r="F3431" s="2" t="s">
        <v>4033</v>
      </c>
      <c r="G3431" s="1">
        <v>2</v>
      </c>
      <c r="H3431" s="1" t="str">
        <f t="shared" si="55"/>
        <v>k130_2</v>
      </c>
      <c r="K3431" s="1">
        <f>IF(E3431=0,SUMPRODUCT(($A$2:$A$4734=A3431)*($B$2:$B$4734=B3431)*($D$2:$D$4734=D3431)*($E$2:$E$4734=0)),0)</f>
        <v>0</v>
      </c>
      <c r="L3431" s="1" t="str">
        <f>IF(E3431=0,SUMPRODUCT(MIN($K$2:$K$4734+((($A$2:$A$4734&lt;&gt;A3431)+($E$2:$E$4734&lt;&gt;0))&gt;0)*1000000)),"")</f>
        <v/>
      </c>
      <c r="M3431" s="1">
        <f>IF(AND(E3431=0,COUNTIFS($A$2:A3431,A3431,$E$2:E3431,0)=1),L3431,0)</f>
        <v>0</v>
      </c>
    </row>
    <row r="3432" spans="1:13" ht="15" customHeight="1">
      <c r="A3432" s="1">
        <v>130</v>
      </c>
      <c r="B3432" s="1" t="s">
        <v>16</v>
      </c>
      <c r="C3432" s="2" t="s">
        <v>4030</v>
      </c>
      <c r="D3432" s="2" t="s">
        <v>4031</v>
      </c>
      <c r="E3432" s="1">
        <v>1</v>
      </c>
      <c r="F3432" s="2" t="s">
        <v>4034</v>
      </c>
      <c r="G3432" s="1">
        <v>3</v>
      </c>
      <c r="H3432" s="1" t="str">
        <f t="shared" si="55"/>
        <v>k130_3</v>
      </c>
      <c r="K3432" s="1">
        <f>IF(E3432=0,SUMPRODUCT(($A$2:$A$4734=A3432)*($B$2:$B$4734=B3432)*($D$2:$D$4734=D3432)*($E$2:$E$4734=0)),0)</f>
        <v>0</v>
      </c>
      <c r="L3432" s="1" t="str">
        <f>IF(E3432=0,SUMPRODUCT(MIN($K$2:$K$4734+((($A$2:$A$4734&lt;&gt;A3432)+($E$2:$E$4734&lt;&gt;0))&gt;0)*1000000)),"")</f>
        <v/>
      </c>
      <c r="M3432" s="1">
        <f>IF(AND(E3432=0,COUNTIFS($A$2:A3432,A3432,$E$2:E3432,0)=1),L3432,0)</f>
        <v>0</v>
      </c>
    </row>
    <row r="3433" spans="1:13" ht="15" customHeight="1">
      <c r="A3433" s="1">
        <v>130</v>
      </c>
      <c r="B3433" s="1" t="s">
        <v>16</v>
      </c>
      <c r="C3433" s="2" t="s">
        <v>4030</v>
      </c>
      <c r="D3433" s="2" t="s">
        <v>4031</v>
      </c>
      <c r="E3433" s="1">
        <v>1</v>
      </c>
      <c r="F3433" s="2" t="s">
        <v>4035</v>
      </c>
      <c r="G3433" s="1">
        <v>4</v>
      </c>
      <c r="H3433" s="1" t="str">
        <f t="shared" si="55"/>
        <v>k130_4</v>
      </c>
      <c r="K3433" s="1">
        <f>IF(E3433=0,SUMPRODUCT(($A$2:$A$4734=A3433)*($B$2:$B$4734=B3433)*($D$2:$D$4734=D3433)*($E$2:$E$4734=0)),0)</f>
        <v>0</v>
      </c>
      <c r="L3433" s="1" t="str">
        <f>IF(E3433=0,SUMPRODUCT(MIN($K$2:$K$4734+((($A$2:$A$4734&lt;&gt;A3433)+($E$2:$E$4734&lt;&gt;0))&gt;0)*1000000)),"")</f>
        <v/>
      </c>
      <c r="M3433" s="1">
        <f>IF(AND(E3433=0,COUNTIFS($A$2:A3433,A3433,$E$2:E3433,0)=1),L3433,0)</f>
        <v>0</v>
      </c>
    </row>
    <row r="3434" spans="1:13" ht="15" customHeight="1">
      <c r="A3434" s="1">
        <v>130</v>
      </c>
      <c r="B3434" s="1" t="s">
        <v>16</v>
      </c>
      <c r="C3434" s="2" t="s">
        <v>4030</v>
      </c>
      <c r="D3434" s="2" t="s">
        <v>4031</v>
      </c>
      <c r="E3434" s="1">
        <v>1</v>
      </c>
      <c r="F3434" s="2" t="s">
        <v>4034</v>
      </c>
      <c r="G3434" s="1">
        <v>5</v>
      </c>
      <c r="H3434" s="1" t="str">
        <f t="shared" si="55"/>
        <v>k130_5</v>
      </c>
      <c r="K3434" s="1">
        <f>IF(E3434=0,SUMPRODUCT(($A$2:$A$4734=A3434)*($B$2:$B$4734=B3434)*($D$2:$D$4734=D3434)*($E$2:$E$4734=0)),0)</f>
        <v>0</v>
      </c>
      <c r="L3434" s="1" t="str">
        <f>IF(E3434=0,SUMPRODUCT(MIN($K$2:$K$4734+((($A$2:$A$4734&lt;&gt;A3434)+($E$2:$E$4734&lt;&gt;0))&gt;0)*1000000)),"")</f>
        <v/>
      </c>
      <c r="M3434" s="1">
        <f>IF(AND(E3434=0,COUNTIFS($A$2:A3434,A3434,$E$2:E3434,0)=1),L3434,0)</f>
        <v>0</v>
      </c>
    </row>
    <row r="3435" spans="1:13" ht="15" customHeight="1">
      <c r="A3435" s="1">
        <v>130</v>
      </c>
      <c r="B3435" s="1" t="s">
        <v>16</v>
      </c>
      <c r="C3435" s="2" t="s">
        <v>4030</v>
      </c>
      <c r="D3435" s="2" t="s">
        <v>4031</v>
      </c>
      <c r="E3435" s="1">
        <v>1</v>
      </c>
      <c r="F3435" s="2" t="s">
        <v>4035</v>
      </c>
      <c r="G3435" s="1">
        <v>6</v>
      </c>
      <c r="H3435" s="1" t="str">
        <f t="shared" si="55"/>
        <v>k130_6</v>
      </c>
      <c r="K3435" s="1">
        <f>IF(E3435=0,SUMPRODUCT(($A$2:$A$4734=A3435)*($B$2:$B$4734=B3435)*($D$2:$D$4734=D3435)*($E$2:$E$4734=0)),0)</f>
        <v>0</v>
      </c>
      <c r="L3435" s="1" t="str">
        <f>IF(E3435=0,SUMPRODUCT(MIN($K$2:$K$4734+((($A$2:$A$4734&lt;&gt;A3435)+($E$2:$E$4734&lt;&gt;0))&gt;0)*1000000)),"")</f>
        <v/>
      </c>
      <c r="M3435" s="1">
        <f>IF(AND(E3435=0,COUNTIFS($A$2:A3435,A3435,$E$2:E3435,0)=1),L3435,0)</f>
        <v>0</v>
      </c>
    </row>
    <row r="3436" spans="1:13" ht="15" customHeight="1">
      <c r="A3436" s="1">
        <v>130</v>
      </c>
      <c r="B3436" s="1" t="s">
        <v>16</v>
      </c>
      <c r="C3436" s="2" t="s">
        <v>4030</v>
      </c>
      <c r="D3436" s="2" t="s">
        <v>4036</v>
      </c>
      <c r="E3436" s="1">
        <v>1</v>
      </c>
      <c r="F3436" s="2" t="s">
        <v>4037</v>
      </c>
      <c r="G3436" s="1">
        <v>1</v>
      </c>
      <c r="H3436" s="1" t="str">
        <f t="shared" si="55"/>
        <v>k130_1</v>
      </c>
      <c r="K3436" s="1">
        <f>IF(E3436=0,SUMPRODUCT(($A$2:$A$4734=A3436)*($B$2:$B$4734=B3436)*($D$2:$D$4734=D3436)*($E$2:$E$4734=0)),0)</f>
        <v>0</v>
      </c>
      <c r="L3436" s="1" t="str">
        <f>IF(E3436=0,SUMPRODUCT(MIN($K$2:$K$4734+((($A$2:$A$4734&lt;&gt;A3436)+($E$2:$E$4734&lt;&gt;0))&gt;0)*1000000)),"")</f>
        <v/>
      </c>
      <c r="M3436" s="1">
        <f>IF(AND(E3436=0,COUNTIFS($A$2:A3436,A3436,$E$2:E3436,0)=1),L3436,0)</f>
        <v>0</v>
      </c>
    </row>
    <row r="3437" spans="1:13" ht="15" customHeight="1">
      <c r="A3437" s="1">
        <v>130</v>
      </c>
      <c r="B3437" s="1" t="s">
        <v>16</v>
      </c>
      <c r="C3437" s="2" t="s">
        <v>4030</v>
      </c>
      <c r="D3437" s="2" t="s">
        <v>4036</v>
      </c>
      <c r="E3437" s="1">
        <v>1</v>
      </c>
      <c r="F3437" s="2" t="s">
        <v>4038</v>
      </c>
      <c r="G3437" s="1">
        <v>2</v>
      </c>
      <c r="H3437" s="1" t="str">
        <f t="shared" si="55"/>
        <v>k130_2</v>
      </c>
      <c r="K3437" s="1">
        <f>IF(E3437=0,SUMPRODUCT(($A$2:$A$4734=A3437)*($B$2:$B$4734=B3437)*($D$2:$D$4734=D3437)*($E$2:$E$4734=0)),0)</f>
        <v>0</v>
      </c>
      <c r="L3437" s="1" t="str">
        <f>IF(E3437=0,SUMPRODUCT(MIN($K$2:$K$4734+((($A$2:$A$4734&lt;&gt;A3437)+($E$2:$E$4734&lt;&gt;0))&gt;0)*1000000)),"")</f>
        <v/>
      </c>
      <c r="M3437" s="1">
        <f>IF(AND(E3437=0,COUNTIFS($A$2:A3437,A3437,$E$2:E3437,0)=1),L3437,0)</f>
        <v>0</v>
      </c>
    </row>
    <row r="3438" spans="1:13" ht="15" customHeight="1">
      <c r="A3438" s="1">
        <v>130</v>
      </c>
      <c r="B3438" s="1" t="s">
        <v>16</v>
      </c>
      <c r="C3438" s="2" t="s">
        <v>4030</v>
      </c>
      <c r="D3438" s="2" t="s">
        <v>4036</v>
      </c>
      <c r="E3438" s="1">
        <v>1</v>
      </c>
      <c r="F3438" s="2" t="s">
        <v>4039</v>
      </c>
      <c r="G3438" s="1">
        <v>3</v>
      </c>
      <c r="H3438" s="1" t="str">
        <f t="shared" si="55"/>
        <v>k130_3</v>
      </c>
      <c r="K3438" s="1">
        <f>IF(E3438=0,SUMPRODUCT(($A$2:$A$4734=A3438)*($B$2:$B$4734=B3438)*($D$2:$D$4734=D3438)*($E$2:$E$4734=0)),0)</f>
        <v>0</v>
      </c>
      <c r="L3438" s="1" t="str">
        <f>IF(E3438=0,SUMPRODUCT(MIN($K$2:$K$4734+((($A$2:$A$4734&lt;&gt;A3438)+($E$2:$E$4734&lt;&gt;0))&gt;0)*1000000)),"")</f>
        <v/>
      </c>
      <c r="M3438" s="1">
        <f>IF(AND(E3438=0,COUNTIFS($A$2:A3438,A3438,$E$2:E3438,0)=1),L3438,0)</f>
        <v>0</v>
      </c>
    </row>
    <row r="3439" spans="1:13" ht="15" customHeight="1">
      <c r="A3439" s="1">
        <v>130</v>
      </c>
      <c r="B3439" s="1" t="s">
        <v>16</v>
      </c>
      <c r="C3439" s="2" t="s">
        <v>4030</v>
      </c>
      <c r="D3439" s="2" t="s">
        <v>4036</v>
      </c>
      <c r="E3439" s="1">
        <v>1</v>
      </c>
      <c r="F3439" s="2" t="s">
        <v>4040</v>
      </c>
      <c r="G3439" s="1">
        <v>4</v>
      </c>
      <c r="H3439" s="1" t="str">
        <f t="shared" si="55"/>
        <v>k130_4</v>
      </c>
      <c r="K3439" s="1">
        <f>IF(E3439=0,SUMPRODUCT(($A$2:$A$4734=A3439)*($B$2:$B$4734=B3439)*($D$2:$D$4734=D3439)*($E$2:$E$4734=0)),0)</f>
        <v>0</v>
      </c>
      <c r="L3439" s="1" t="str">
        <f>IF(E3439=0,SUMPRODUCT(MIN($K$2:$K$4734+((($A$2:$A$4734&lt;&gt;A3439)+($E$2:$E$4734&lt;&gt;0))&gt;0)*1000000)),"")</f>
        <v/>
      </c>
      <c r="M3439" s="1">
        <f>IF(AND(E3439=0,COUNTIFS($A$2:A3439,A3439,$E$2:E3439,0)=1),L3439,0)</f>
        <v>0</v>
      </c>
    </row>
    <row r="3440" spans="1:13" ht="15" customHeight="1">
      <c r="A3440" s="1">
        <v>130</v>
      </c>
      <c r="B3440" s="1" t="s">
        <v>16</v>
      </c>
      <c r="C3440" s="2" t="s">
        <v>4030</v>
      </c>
      <c r="D3440" s="2" t="s">
        <v>4036</v>
      </c>
      <c r="E3440" s="1">
        <v>1</v>
      </c>
      <c r="F3440" s="2" t="s">
        <v>4041</v>
      </c>
      <c r="G3440" s="1">
        <v>5</v>
      </c>
      <c r="H3440" s="1" t="str">
        <f t="shared" si="55"/>
        <v>k130_5</v>
      </c>
      <c r="K3440" s="1">
        <f>IF(E3440=0,SUMPRODUCT(($A$2:$A$4734=A3440)*($B$2:$B$4734=B3440)*($D$2:$D$4734=D3440)*($E$2:$E$4734=0)),0)</f>
        <v>0</v>
      </c>
      <c r="L3440" s="1" t="str">
        <f>IF(E3440=0,SUMPRODUCT(MIN($K$2:$K$4734+((($A$2:$A$4734&lt;&gt;A3440)+($E$2:$E$4734&lt;&gt;0))&gt;0)*1000000)),"")</f>
        <v/>
      </c>
      <c r="M3440" s="1">
        <f>IF(AND(E3440=0,COUNTIFS($A$2:A3440,A3440,$E$2:E3440,0)=1),L3440,0)</f>
        <v>0</v>
      </c>
    </row>
    <row r="3441" spans="1:13" ht="15" customHeight="1">
      <c r="A3441" s="1">
        <v>130</v>
      </c>
      <c r="B3441" s="1" t="s">
        <v>16</v>
      </c>
      <c r="C3441" s="2" t="s">
        <v>4030</v>
      </c>
      <c r="D3441" s="2" t="s">
        <v>4036</v>
      </c>
      <c r="E3441" s="1">
        <v>1</v>
      </c>
      <c r="F3441" s="2" t="s">
        <v>4042</v>
      </c>
      <c r="G3441" s="1">
        <v>6</v>
      </c>
      <c r="H3441" s="1" t="str">
        <f t="shared" si="55"/>
        <v>k130_6</v>
      </c>
      <c r="K3441" s="1">
        <f>IF(E3441=0,SUMPRODUCT(($A$2:$A$4734=A3441)*($B$2:$B$4734=B3441)*($D$2:$D$4734=D3441)*($E$2:$E$4734=0)),0)</f>
        <v>0</v>
      </c>
      <c r="L3441" s="1" t="str">
        <f>IF(E3441=0,SUMPRODUCT(MIN($K$2:$K$4734+((($A$2:$A$4734&lt;&gt;A3441)+($E$2:$E$4734&lt;&gt;0))&gt;0)*1000000)),"")</f>
        <v/>
      </c>
      <c r="M3441" s="1">
        <f>IF(AND(E3441=0,COUNTIFS($A$2:A3441,A3441,$E$2:E3441,0)=1),L3441,0)</f>
        <v>0</v>
      </c>
    </row>
    <row r="3442" spans="1:13" ht="15" customHeight="1">
      <c r="A3442" s="1">
        <v>130</v>
      </c>
      <c r="B3442" s="1" t="s">
        <v>16</v>
      </c>
      <c r="C3442" s="2" t="s">
        <v>4030</v>
      </c>
      <c r="D3442" s="2" t="s">
        <v>2147</v>
      </c>
      <c r="E3442" s="1">
        <v>1</v>
      </c>
      <c r="F3442" s="2" t="s">
        <v>4043</v>
      </c>
      <c r="G3442" s="1">
        <v>1</v>
      </c>
      <c r="H3442" s="1" t="str">
        <f t="shared" si="55"/>
        <v>k130_1</v>
      </c>
      <c r="K3442" s="1">
        <f>IF(E3442=0,SUMPRODUCT(($A$2:$A$4734=A3442)*($B$2:$B$4734=B3442)*($D$2:$D$4734=D3442)*($E$2:$E$4734=0)),0)</f>
        <v>0</v>
      </c>
      <c r="L3442" s="1" t="str">
        <f>IF(E3442=0,SUMPRODUCT(MIN($K$2:$K$4734+((($A$2:$A$4734&lt;&gt;A3442)+($E$2:$E$4734&lt;&gt;0))&gt;0)*1000000)),"")</f>
        <v/>
      </c>
      <c r="M3442" s="1">
        <f>IF(AND(E3442=0,COUNTIFS($A$2:A3442,A3442,$E$2:E3442,0)=1),L3442,0)</f>
        <v>0</v>
      </c>
    </row>
    <row r="3443" spans="1:13" ht="15" customHeight="1">
      <c r="A3443" s="1">
        <v>130</v>
      </c>
      <c r="B3443" s="1" t="s">
        <v>16</v>
      </c>
      <c r="C3443" s="2" t="s">
        <v>4030</v>
      </c>
      <c r="D3443" s="2" t="s">
        <v>2147</v>
      </c>
      <c r="E3443" s="1">
        <v>1</v>
      </c>
      <c r="F3443" s="2" t="s">
        <v>4044</v>
      </c>
      <c r="G3443" s="1">
        <v>2</v>
      </c>
      <c r="H3443" s="1" t="str">
        <f t="shared" si="55"/>
        <v>k130_2</v>
      </c>
      <c r="K3443" s="1">
        <f>IF(E3443=0,SUMPRODUCT(($A$2:$A$4734=A3443)*($B$2:$B$4734=B3443)*($D$2:$D$4734=D3443)*($E$2:$E$4734=0)),0)</f>
        <v>0</v>
      </c>
      <c r="L3443" s="1" t="str">
        <f>IF(E3443=0,SUMPRODUCT(MIN($K$2:$K$4734+((($A$2:$A$4734&lt;&gt;A3443)+($E$2:$E$4734&lt;&gt;0))&gt;0)*1000000)),"")</f>
        <v/>
      </c>
      <c r="M3443" s="1">
        <f>IF(AND(E3443=0,COUNTIFS($A$2:A3443,A3443,$E$2:E3443,0)=1),L3443,0)</f>
        <v>0</v>
      </c>
    </row>
    <row r="3444" spans="1:13" ht="15" customHeight="1">
      <c r="A3444" s="1">
        <v>130</v>
      </c>
      <c r="B3444" s="1" t="s">
        <v>16</v>
      </c>
      <c r="C3444" s="2" t="s">
        <v>4030</v>
      </c>
      <c r="D3444" s="2" t="s">
        <v>2147</v>
      </c>
      <c r="E3444" s="1">
        <v>1</v>
      </c>
      <c r="F3444" s="2" t="s">
        <v>4045</v>
      </c>
      <c r="G3444" s="1">
        <v>3</v>
      </c>
      <c r="H3444" s="1" t="str">
        <f t="shared" si="55"/>
        <v>k130_3</v>
      </c>
      <c r="K3444" s="1">
        <f>IF(E3444=0,SUMPRODUCT(($A$2:$A$4734=A3444)*($B$2:$B$4734=B3444)*($D$2:$D$4734=D3444)*($E$2:$E$4734=0)),0)</f>
        <v>0</v>
      </c>
      <c r="L3444" s="1" t="str">
        <f>IF(E3444=0,SUMPRODUCT(MIN($K$2:$K$4734+((($A$2:$A$4734&lt;&gt;A3444)+($E$2:$E$4734&lt;&gt;0))&gt;0)*1000000)),"")</f>
        <v/>
      </c>
      <c r="M3444" s="1">
        <f>IF(AND(E3444=0,COUNTIFS($A$2:A3444,A3444,$E$2:E3444,0)=1),L3444,0)</f>
        <v>0</v>
      </c>
    </row>
    <row r="3445" spans="1:13" ht="15" customHeight="1">
      <c r="A3445" s="1">
        <v>130</v>
      </c>
      <c r="B3445" s="1" t="s">
        <v>16</v>
      </c>
      <c r="C3445" s="2" t="s">
        <v>4030</v>
      </c>
      <c r="D3445" s="2" t="s">
        <v>2147</v>
      </c>
      <c r="E3445" s="1">
        <v>1</v>
      </c>
      <c r="F3445" s="2" t="s">
        <v>4045</v>
      </c>
      <c r="G3445" s="1">
        <v>6</v>
      </c>
      <c r="H3445" s="1" t="str">
        <f t="shared" si="55"/>
        <v>k130_6</v>
      </c>
      <c r="K3445" s="1">
        <f>IF(E3445=0,SUMPRODUCT(($A$2:$A$4734=A3445)*($B$2:$B$4734=B3445)*($D$2:$D$4734=D3445)*($E$2:$E$4734=0)),0)</f>
        <v>0</v>
      </c>
      <c r="L3445" s="1" t="str">
        <f>IF(E3445=0,SUMPRODUCT(MIN($K$2:$K$4734+((($A$2:$A$4734&lt;&gt;A3445)+($E$2:$E$4734&lt;&gt;0))&gt;0)*1000000)),"")</f>
        <v/>
      </c>
      <c r="M3445" s="1">
        <f>IF(AND(E3445=0,COUNTIFS($A$2:A3445,A3445,$E$2:E3445,0)=1),L3445,0)</f>
        <v>0</v>
      </c>
    </row>
    <row r="3446" spans="1:13" ht="15" customHeight="1">
      <c r="A3446" s="1">
        <v>130</v>
      </c>
      <c r="B3446" s="1" t="s">
        <v>16</v>
      </c>
      <c r="C3446" s="2" t="s">
        <v>4030</v>
      </c>
      <c r="D3446" s="2" t="s">
        <v>2147</v>
      </c>
      <c r="E3446" s="1">
        <v>1</v>
      </c>
      <c r="F3446" s="2" t="s">
        <v>4046</v>
      </c>
      <c r="G3446" s="1">
        <v>4</v>
      </c>
      <c r="H3446" s="1" t="str">
        <f t="shared" si="55"/>
        <v>k130_4</v>
      </c>
      <c r="K3446" s="1">
        <f>IF(E3446=0,SUMPRODUCT(($A$2:$A$4734=A3446)*($B$2:$B$4734=B3446)*($D$2:$D$4734=D3446)*($E$2:$E$4734=0)),0)</f>
        <v>0</v>
      </c>
      <c r="L3446" s="1" t="str">
        <f>IF(E3446=0,SUMPRODUCT(MIN($K$2:$K$4734+((($A$2:$A$4734&lt;&gt;A3446)+($E$2:$E$4734&lt;&gt;0))&gt;0)*1000000)),"")</f>
        <v/>
      </c>
      <c r="M3446" s="1">
        <f>IF(AND(E3446=0,COUNTIFS($A$2:A3446,A3446,$E$2:E3446,0)=1),L3446,0)</f>
        <v>0</v>
      </c>
    </row>
    <row r="3447" spans="1:13" ht="15" customHeight="1">
      <c r="A3447" s="1">
        <v>130</v>
      </c>
      <c r="B3447" s="1" t="s">
        <v>16</v>
      </c>
      <c r="C3447" s="2" t="s">
        <v>4030</v>
      </c>
      <c r="D3447" s="2" t="s">
        <v>2147</v>
      </c>
      <c r="E3447" s="1">
        <v>1</v>
      </c>
      <c r="F3447" s="2" t="s">
        <v>4047</v>
      </c>
      <c r="G3447" s="1">
        <v>5</v>
      </c>
      <c r="H3447" s="1" t="str">
        <f t="shared" si="55"/>
        <v>k130_5</v>
      </c>
      <c r="K3447" s="1">
        <f>IF(E3447=0,SUMPRODUCT(($A$2:$A$4734=A3447)*($B$2:$B$4734=B3447)*($D$2:$D$4734=D3447)*($E$2:$E$4734=0)),0)</f>
        <v>0</v>
      </c>
      <c r="L3447" s="1" t="str">
        <f>IF(E3447=0,SUMPRODUCT(MIN($K$2:$K$4734+((($A$2:$A$4734&lt;&gt;A3447)+($E$2:$E$4734&lt;&gt;0))&gt;0)*1000000)),"")</f>
        <v/>
      </c>
      <c r="M3447" s="1">
        <f>IF(AND(E3447=0,COUNTIFS($A$2:A3447,A3447,$E$2:E3447,0)=1),L3447,0)</f>
        <v>0</v>
      </c>
    </row>
    <row r="3448" spans="1:13" ht="15" customHeight="1">
      <c r="A3448" s="1">
        <v>130</v>
      </c>
      <c r="B3448" s="1" t="s">
        <v>167</v>
      </c>
      <c r="C3448" s="2" t="s">
        <v>4030</v>
      </c>
      <c r="D3448" s="1" t="s">
        <v>3655</v>
      </c>
      <c r="E3448" s="1">
        <v>1</v>
      </c>
      <c r="F3448" s="2" t="s">
        <v>3660</v>
      </c>
      <c r="G3448" s="1">
        <v>1</v>
      </c>
      <c r="H3448" s="1" t="str">
        <f t="shared" si="55"/>
        <v>k130_1</v>
      </c>
      <c r="K3448" s="1">
        <f>IF(E3448=0,SUMPRODUCT(($A$2:$A$4734=A3448)*($B$2:$B$4734=B3448)*($D$2:$D$4734=D3448)*($E$2:$E$4734=0)),0)</f>
        <v>0</v>
      </c>
      <c r="L3448" s="1" t="str">
        <f>IF(E3448=0,SUMPRODUCT(MIN($K$2:$K$4734+((($A$2:$A$4734&lt;&gt;A3448)+($E$2:$E$4734&lt;&gt;0))&gt;0)*1000000)),"")</f>
        <v/>
      </c>
      <c r="M3448" s="1">
        <f>IF(AND(E3448=0,COUNTIFS($A$2:A3448,A3448,$E$2:E3448,0)=1),L3448,0)</f>
        <v>0</v>
      </c>
    </row>
    <row r="3449" spans="1:13" ht="15" customHeight="1">
      <c r="A3449" s="1">
        <v>130</v>
      </c>
      <c r="B3449" s="1" t="s">
        <v>167</v>
      </c>
      <c r="C3449" s="2" t="s">
        <v>4030</v>
      </c>
      <c r="D3449" s="1" t="s">
        <v>3655</v>
      </c>
      <c r="E3449" s="1">
        <v>1</v>
      </c>
      <c r="F3449" s="2" t="s">
        <v>4048</v>
      </c>
      <c r="G3449" s="1">
        <v>2</v>
      </c>
      <c r="H3449" s="1" t="str">
        <f t="shared" si="55"/>
        <v>k130_2</v>
      </c>
      <c r="K3449" s="1">
        <f>IF(E3449=0,SUMPRODUCT(($A$2:$A$4734=A3449)*($B$2:$B$4734=B3449)*($D$2:$D$4734=D3449)*($E$2:$E$4734=0)),0)</f>
        <v>0</v>
      </c>
      <c r="L3449" s="1" t="str">
        <f>IF(E3449=0,SUMPRODUCT(MIN($K$2:$K$4734+((($A$2:$A$4734&lt;&gt;A3449)+($E$2:$E$4734&lt;&gt;0))&gt;0)*1000000)),"")</f>
        <v/>
      </c>
      <c r="M3449" s="1">
        <f>IF(AND(E3449=0,COUNTIFS($A$2:A3449,A3449,$E$2:E3449,0)=1),L3449,0)</f>
        <v>0</v>
      </c>
    </row>
    <row r="3450" spans="1:13" ht="15" customHeight="1">
      <c r="A3450" s="1">
        <v>130</v>
      </c>
      <c r="B3450" s="1" t="s">
        <v>167</v>
      </c>
      <c r="C3450" s="2" t="s">
        <v>4030</v>
      </c>
      <c r="D3450" s="1" t="s">
        <v>3655</v>
      </c>
      <c r="E3450" s="1">
        <v>1</v>
      </c>
      <c r="F3450" s="2" t="s">
        <v>4049</v>
      </c>
      <c r="G3450" s="1">
        <v>3</v>
      </c>
      <c r="H3450" s="1" t="str">
        <f t="shared" si="55"/>
        <v>k130_3</v>
      </c>
      <c r="K3450" s="1">
        <f>IF(E3450=0,SUMPRODUCT(($A$2:$A$4734=A3450)*($B$2:$B$4734=B3450)*($D$2:$D$4734=D3450)*($E$2:$E$4734=0)),0)</f>
        <v>0</v>
      </c>
      <c r="L3450" s="1" t="str">
        <f>IF(E3450=0,SUMPRODUCT(MIN($K$2:$K$4734+((($A$2:$A$4734&lt;&gt;A3450)+($E$2:$E$4734&lt;&gt;0))&gt;0)*1000000)),"")</f>
        <v/>
      </c>
      <c r="M3450" s="1">
        <f>IF(AND(E3450=0,COUNTIFS($A$2:A3450,A3450,$E$2:E3450,0)=1),L3450,0)</f>
        <v>0</v>
      </c>
    </row>
    <row r="3451" spans="1:13" ht="15" customHeight="1">
      <c r="A3451" s="1">
        <v>130</v>
      </c>
      <c r="B3451" s="1" t="s">
        <v>167</v>
      </c>
      <c r="C3451" s="2" t="s">
        <v>4030</v>
      </c>
      <c r="D3451" s="1" t="s">
        <v>3655</v>
      </c>
      <c r="E3451" s="1">
        <v>1</v>
      </c>
      <c r="F3451" s="2" t="s">
        <v>3658</v>
      </c>
      <c r="G3451" s="1">
        <v>4</v>
      </c>
      <c r="H3451" s="1" t="str">
        <f t="shared" si="55"/>
        <v>k130_4</v>
      </c>
      <c r="K3451" s="1">
        <f>IF(E3451=0,SUMPRODUCT(($A$2:$A$4734=A3451)*($B$2:$B$4734=B3451)*($D$2:$D$4734=D3451)*($E$2:$E$4734=0)),0)</f>
        <v>0</v>
      </c>
      <c r="L3451" s="1" t="str">
        <f>IF(E3451=0,SUMPRODUCT(MIN($K$2:$K$4734+((($A$2:$A$4734&lt;&gt;A3451)+($E$2:$E$4734&lt;&gt;0))&gt;0)*1000000)),"")</f>
        <v/>
      </c>
      <c r="M3451" s="1">
        <f>IF(AND(E3451=0,COUNTIFS($A$2:A3451,A3451,$E$2:E3451,0)=1),L3451,0)</f>
        <v>0</v>
      </c>
    </row>
    <row r="3452" spans="1:13" ht="15" customHeight="1">
      <c r="A3452" s="1">
        <v>130</v>
      </c>
      <c r="B3452" s="1" t="s">
        <v>167</v>
      </c>
      <c r="C3452" s="2" t="s">
        <v>4030</v>
      </c>
      <c r="D3452" s="1" t="s">
        <v>3655</v>
      </c>
      <c r="E3452" s="1">
        <v>1</v>
      </c>
      <c r="F3452" s="2" t="s">
        <v>3643</v>
      </c>
      <c r="G3452" s="1">
        <v>5</v>
      </c>
      <c r="H3452" s="1" t="str">
        <f t="shared" si="55"/>
        <v>k130_5</v>
      </c>
      <c r="K3452" s="1">
        <f>IF(E3452=0,SUMPRODUCT(($A$2:$A$4734=A3452)*($B$2:$B$4734=B3452)*($D$2:$D$4734=D3452)*($E$2:$E$4734=0)),0)</f>
        <v>0</v>
      </c>
      <c r="L3452" s="1" t="str">
        <f>IF(E3452=0,SUMPRODUCT(MIN($K$2:$K$4734+((($A$2:$A$4734&lt;&gt;A3452)+($E$2:$E$4734&lt;&gt;0))&gt;0)*1000000)),"")</f>
        <v/>
      </c>
      <c r="M3452" s="1">
        <f>IF(AND(E3452=0,COUNTIFS($A$2:A3452,A3452,$E$2:E3452,0)=1),L3452,0)</f>
        <v>0</v>
      </c>
    </row>
    <row r="3453" spans="1:13" ht="15" customHeight="1">
      <c r="A3453" s="1">
        <v>130</v>
      </c>
      <c r="B3453" s="1" t="s">
        <v>167</v>
      </c>
      <c r="C3453" s="2" t="s">
        <v>4030</v>
      </c>
      <c r="D3453" s="1" t="s">
        <v>3655</v>
      </c>
      <c r="E3453" s="1">
        <v>1</v>
      </c>
      <c r="F3453" s="2" t="s">
        <v>4050</v>
      </c>
      <c r="G3453" s="1">
        <v>6</v>
      </c>
      <c r="H3453" s="1" t="str">
        <f t="shared" si="55"/>
        <v>k130_6</v>
      </c>
      <c r="K3453" s="1">
        <f>IF(E3453=0,SUMPRODUCT(($A$2:$A$4734=A3453)*($B$2:$B$4734=B3453)*($D$2:$D$4734=D3453)*($E$2:$E$4734=0)),0)</f>
        <v>0</v>
      </c>
      <c r="L3453" s="1" t="str">
        <f>IF(E3453=0,SUMPRODUCT(MIN($K$2:$K$4734+((($A$2:$A$4734&lt;&gt;A3453)+($E$2:$E$4734&lt;&gt;0))&gt;0)*1000000)),"")</f>
        <v/>
      </c>
      <c r="M3453" s="1">
        <f>IF(AND(E3453=0,COUNTIFS($A$2:A3453,A3453,$E$2:E3453,0)=1),L3453,0)</f>
        <v>0</v>
      </c>
    </row>
    <row r="3454" spans="1:13" ht="15" customHeight="1">
      <c r="A3454" s="1">
        <v>131</v>
      </c>
      <c r="B3454" s="1" t="s">
        <v>16</v>
      </c>
      <c r="C3454" s="2" t="s">
        <v>4051</v>
      </c>
      <c r="D3454" s="2" t="s">
        <v>4052</v>
      </c>
      <c r="E3454" s="1">
        <v>0</v>
      </c>
      <c r="F3454" s="2" t="s">
        <v>4053</v>
      </c>
      <c r="H3454" s="1" t="str">
        <f t="shared" si="55"/>
        <v/>
      </c>
      <c r="K3454" s="1">
        <f>IF(E3454=0,SUMPRODUCT(($A$2:$A$4734=A3454)*($B$2:$B$4734=B3454)*($D$2:$D$4734=D3454)*($E$2:$E$4734=0)),0)</f>
        <v>4</v>
      </c>
      <c r="L3454" s="1">
        <f>IF(E3454=0,SUMPRODUCT(MIN($K$2:$K$4734+((($A$2:$A$4734&lt;&gt;A3454)+($E$2:$E$4734&lt;&gt;0))&gt;0)*1000000)),"")</f>
        <v>4</v>
      </c>
      <c r="M3454" s="1">
        <f>IF(AND(E3454=0,COUNTIFS($A$2:A3454,A3454,$E$2:E3454,0)=1),L3454,0)</f>
        <v>4</v>
      </c>
    </row>
    <row r="3455" spans="1:13" ht="15" customHeight="1">
      <c r="A3455" s="1">
        <v>131</v>
      </c>
      <c r="B3455" s="1" t="s">
        <v>16</v>
      </c>
      <c r="C3455" s="2" t="s">
        <v>4051</v>
      </c>
      <c r="D3455" s="2" t="s">
        <v>4052</v>
      </c>
      <c r="E3455" s="1">
        <v>0</v>
      </c>
      <c r="F3455" s="2" t="s">
        <v>4054</v>
      </c>
      <c r="H3455" s="1" t="str">
        <f t="shared" si="55"/>
        <v/>
      </c>
      <c r="K3455" s="1">
        <f>IF(E3455=0,SUMPRODUCT(($A$2:$A$4734=A3455)*($B$2:$B$4734=B3455)*($D$2:$D$4734=D3455)*($E$2:$E$4734=0)),0)</f>
        <v>4</v>
      </c>
      <c r="L3455" s="1">
        <f>IF(E3455=0,SUMPRODUCT(MIN($K$2:$K$4734+((($A$2:$A$4734&lt;&gt;A3455)+($E$2:$E$4734&lt;&gt;0))&gt;0)*1000000)),"")</f>
        <v>4</v>
      </c>
      <c r="M3455" s="1">
        <f>IF(AND(E3455=0,COUNTIFS($A$2:A3455,A3455,$E$2:E3455,0)=1),L3455,0)</f>
        <v>0</v>
      </c>
    </row>
    <row r="3456" spans="1:13" ht="15" customHeight="1">
      <c r="A3456" s="1">
        <v>131</v>
      </c>
      <c r="B3456" s="1" t="s">
        <v>16</v>
      </c>
      <c r="C3456" s="2" t="s">
        <v>4051</v>
      </c>
      <c r="D3456" s="2" t="s">
        <v>4052</v>
      </c>
      <c r="E3456" s="1">
        <v>0</v>
      </c>
      <c r="F3456" s="2" t="s">
        <v>4055</v>
      </c>
      <c r="H3456" s="1" t="str">
        <f t="shared" si="55"/>
        <v/>
      </c>
      <c r="K3456" s="1">
        <f>IF(E3456=0,SUMPRODUCT(($A$2:$A$4734=A3456)*($B$2:$B$4734=B3456)*($D$2:$D$4734=D3456)*($E$2:$E$4734=0)),0)</f>
        <v>4</v>
      </c>
      <c r="L3456" s="1">
        <f>IF(E3456=0,SUMPRODUCT(MIN($K$2:$K$4734+((($A$2:$A$4734&lt;&gt;A3456)+($E$2:$E$4734&lt;&gt;0))&gt;0)*1000000)),"")</f>
        <v>4</v>
      </c>
      <c r="M3456" s="1">
        <f>IF(AND(E3456=0,COUNTIFS($A$2:A3456,A3456,$E$2:E3456,0)=1),L3456,0)</f>
        <v>0</v>
      </c>
    </row>
    <row r="3457" spans="1:13" ht="15" customHeight="1">
      <c r="A3457" s="1">
        <v>131</v>
      </c>
      <c r="B3457" s="1" t="s">
        <v>16</v>
      </c>
      <c r="C3457" s="2" t="s">
        <v>4051</v>
      </c>
      <c r="D3457" s="2" t="s">
        <v>4052</v>
      </c>
      <c r="E3457" s="1">
        <v>0</v>
      </c>
      <c r="F3457" s="2" t="s">
        <v>4056</v>
      </c>
      <c r="H3457" s="1" t="str">
        <f t="shared" si="55"/>
        <v/>
      </c>
      <c r="K3457" s="1">
        <f>IF(E3457=0,SUMPRODUCT(($A$2:$A$4734=A3457)*($B$2:$B$4734=B3457)*($D$2:$D$4734=D3457)*($E$2:$E$4734=0)),0)</f>
        <v>4</v>
      </c>
      <c r="L3457" s="1">
        <f>IF(E3457=0,SUMPRODUCT(MIN($K$2:$K$4734+((($A$2:$A$4734&lt;&gt;A3457)+($E$2:$E$4734&lt;&gt;0))&gt;0)*1000000)),"")</f>
        <v>4</v>
      </c>
      <c r="M3457" s="1">
        <f>IF(AND(E3457=0,COUNTIFS($A$2:A3457,A3457,$E$2:E3457,0)=1),L3457,0)</f>
        <v>0</v>
      </c>
    </row>
    <row r="3458" spans="1:13" ht="15" customHeight="1">
      <c r="A3458" s="1">
        <v>132</v>
      </c>
      <c r="B3458" s="1" t="s">
        <v>9</v>
      </c>
      <c r="C3458" s="2" t="s">
        <v>4057</v>
      </c>
      <c r="D3458" s="2" t="s">
        <v>4058</v>
      </c>
      <c r="E3458" s="1">
        <v>0</v>
      </c>
      <c r="F3458" s="2" t="s">
        <v>4059</v>
      </c>
      <c r="H3458" s="1" t="str">
        <f t="shared" si="55"/>
        <v/>
      </c>
      <c r="K3458" s="1">
        <f>IF(E3458=0,SUMPRODUCT(($A$2:$A$4734=A3458)*($B$2:$B$4734=B3458)*($D$2:$D$4734=D3458)*($E$2:$E$4734=0)),0)</f>
        <v>4</v>
      </c>
      <c r="L3458" s="1">
        <f>IF(E3458=0,SUMPRODUCT(MIN($K$2:$K$4734+((($A$2:$A$4734&lt;&gt;A3458)+($E$2:$E$4734&lt;&gt;0))&gt;0)*1000000)),"")</f>
        <v>4</v>
      </c>
      <c r="M3458" s="1">
        <f>IF(AND(E3458=0,COUNTIFS($A$2:A3458,A3458,$E$2:E3458,0)=1),L3458,0)</f>
        <v>4</v>
      </c>
    </row>
    <row r="3459" spans="1:13" ht="15" customHeight="1">
      <c r="A3459" s="1">
        <v>132</v>
      </c>
      <c r="B3459" s="1" t="s">
        <v>9</v>
      </c>
      <c r="C3459" s="2" t="s">
        <v>4057</v>
      </c>
      <c r="D3459" s="2" t="s">
        <v>4058</v>
      </c>
      <c r="E3459" s="1">
        <v>0</v>
      </c>
      <c r="F3459" s="2" t="s">
        <v>4060</v>
      </c>
      <c r="H3459" s="1" t="str">
        <f t="shared" si="55"/>
        <v/>
      </c>
      <c r="K3459" s="1">
        <f>IF(E3459=0,SUMPRODUCT(($A$2:$A$4734=A3459)*($B$2:$B$4734=B3459)*($D$2:$D$4734=D3459)*($E$2:$E$4734=0)),0)</f>
        <v>4</v>
      </c>
      <c r="L3459" s="1">
        <f>IF(E3459=0,SUMPRODUCT(MIN($K$2:$K$4734+((($A$2:$A$4734&lt;&gt;A3459)+($E$2:$E$4734&lt;&gt;0))&gt;0)*1000000)),"")</f>
        <v>4</v>
      </c>
      <c r="M3459" s="1">
        <f>IF(AND(E3459=0,COUNTIFS($A$2:A3459,A3459,$E$2:E3459,0)=1),L3459,0)</f>
        <v>0</v>
      </c>
    </row>
    <row r="3460" spans="1:13" ht="15" customHeight="1">
      <c r="A3460" s="1">
        <v>132</v>
      </c>
      <c r="B3460" s="1" t="s">
        <v>9</v>
      </c>
      <c r="C3460" s="2" t="s">
        <v>4057</v>
      </c>
      <c r="D3460" s="2" t="s">
        <v>4058</v>
      </c>
      <c r="E3460" s="1">
        <v>0</v>
      </c>
      <c r="F3460" s="2" t="s">
        <v>4061</v>
      </c>
      <c r="H3460" s="1" t="str">
        <f t="shared" si="55"/>
        <v/>
      </c>
      <c r="K3460" s="1">
        <f>IF(E3460=0,SUMPRODUCT(($A$2:$A$4734=A3460)*($B$2:$B$4734=B3460)*($D$2:$D$4734=D3460)*($E$2:$E$4734=0)),0)</f>
        <v>4</v>
      </c>
      <c r="L3460" s="1">
        <f>IF(E3460=0,SUMPRODUCT(MIN($K$2:$K$4734+((($A$2:$A$4734&lt;&gt;A3460)+($E$2:$E$4734&lt;&gt;0))&gt;0)*1000000)),"")</f>
        <v>4</v>
      </c>
      <c r="M3460" s="1">
        <f>IF(AND(E3460=0,COUNTIFS($A$2:A3460,A3460,$E$2:E3460,0)=1),L3460,0)</f>
        <v>0</v>
      </c>
    </row>
    <row r="3461" spans="1:13" ht="15" customHeight="1">
      <c r="A3461" s="1">
        <v>132</v>
      </c>
      <c r="B3461" s="1" t="s">
        <v>9</v>
      </c>
      <c r="C3461" s="2" t="s">
        <v>4057</v>
      </c>
      <c r="D3461" s="2" t="s">
        <v>4058</v>
      </c>
      <c r="E3461" s="1">
        <v>0</v>
      </c>
      <c r="F3461" s="2" t="s">
        <v>4062</v>
      </c>
      <c r="H3461" s="1" t="str">
        <f t="shared" si="55"/>
        <v/>
      </c>
      <c r="K3461" s="1">
        <f>IF(E3461=0,SUMPRODUCT(($A$2:$A$4734=A3461)*($B$2:$B$4734=B3461)*($D$2:$D$4734=D3461)*($E$2:$E$4734=0)),0)</f>
        <v>4</v>
      </c>
      <c r="L3461" s="1">
        <f>IF(E3461=0,SUMPRODUCT(MIN($K$2:$K$4734+((($A$2:$A$4734&lt;&gt;A3461)+($E$2:$E$4734&lt;&gt;0))&gt;0)*1000000)),"")</f>
        <v>4</v>
      </c>
      <c r="M3461" s="1">
        <f>IF(AND(E3461=0,COUNTIFS($A$2:A3461,A3461,$E$2:E3461,0)=1),L3461,0)</f>
        <v>0</v>
      </c>
    </row>
    <row r="3462" spans="1:13" ht="15" customHeight="1">
      <c r="A3462" s="1">
        <v>133</v>
      </c>
      <c r="B3462" s="1" t="s">
        <v>9</v>
      </c>
      <c r="C3462" s="2" t="s">
        <v>4063</v>
      </c>
      <c r="D3462" s="2" t="s">
        <v>4064</v>
      </c>
      <c r="E3462" s="1">
        <v>0</v>
      </c>
      <c r="F3462" s="2" t="s">
        <v>4065</v>
      </c>
      <c r="H3462" s="1" t="str">
        <f t="shared" si="55"/>
        <v/>
      </c>
      <c r="K3462" s="1">
        <f>IF(E3462=0,SUMPRODUCT(($A$2:$A$4734=A3462)*($B$2:$B$4734=B3462)*($D$2:$D$4734=D3462)*($E$2:$E$4734=0)),0)</f>
        <v>4</v>
      </c>
      <c r="L3462" s="1">
        <f>IF(E3462=0,SUMPRODUCT(MIN($K$2:$K$4734+((($A$2:$A$4734&lt;&gt;A3462)+($E$2:$E$4734&lt;&gt;0))&gt;0)*1000000)),"")</f>
        <v>4</v>
      </c>
      <c r="M3462" s="1">
        <f>IF(AND(E3462=0,COUNTIFS($A$2:A3462,A3462,$E$2:E3462,0)=1),L3462,0)</f>
        <v>4</v>
      </c>
    </row>
    <row r="3463" spans="1:13" ht="15" customHeight="1">
      <c r="A3463" s="1">
        <v>133</v>
      </c>
      <c r="B3463" s="1" t="s">
        <v>9</v>
      </c>
      <c r="C3463" s="2" t="s">
        <v>4063</v>
      </c>
      <c r="D3463" s="2" t="s">
        <v>4064</v>
      </c>
      <c r="E3463" s="1">
        <v>0</v>
      </c>
      <c r="F3463" s="2" t="s">
        <v>4066</v>
      </c>
      <c r="H3463" s="1" t="str">
        <f t="shared" si="55"/>
        <v/>
      </c>
      <c r="K3463" s="1">
        <f>IF(E3463=0,SUMPRODUCT(($A$2:$A$4734=A3463)*($B$2:$B$4734=B3463)*($D$2:$D$4734=D3463)*($E$2:$E$4734=0)),0)</f>
        <v>4</v>
      </c>
      <c r="L3463" s="1">
        <f>IF(E3463=0,SUMPRODUCT(MIN($K$2:$K$4734+((($A$2:$A$4734&lt;&gt;A3463)+($E$2:$E$4734&lt;&gt;0))&gt;0)*1000000)),"")</f>
        <v>4</v>
      </c>
      <c r="M3463" s="1">
        <f>IF(AND(E3463=0,COUNTIFS($A$2:A3463,A3463,$E$2:E3463,0)=1),L3463,0)</f>
        <v>0</v>
      </c>
    </row>
    <row r="3464" spans="1:13" ht="15" customHeight="1">
      <c r="A3464" s="1">
        <v>133</v>
      </c>
      <c r="B3464" s="1" t="s">
        <v>9</v>
      </c>
      <c r="C3464" s="2" t="s">
        <v>4063</v>
      </c>
      <c r="D3464" s="2" t="s">
        <v>4064</v>
      </c>
      <c r="E3464" s="1">
        <v>0</v>
      </c>
      <c r="F3464" s="2" t="s">
        <v>4067</v>
      </c>
      <c r="H3464" s="1" t="str">
        <f t="shared" si="55"/>
        <v/>
      </c>
      <c r="K3464" s="1">
        <f>IF(E3464=0,SUMPRODUCT(($A$2:$A$4734=A3464)*($B$2:$B$4734=B3464)*($D$2:$D$4734=D3464)*($E$2:$E$4734=0)),0)</f>
        <v>4</v>
      </c>
      <c r="L3464" s="1">
        <f>IF(E3464=0,SUMPRODUCT(MIN($K$2:$K$4734+((($A$2:$A$4734&lt;&gt;A3464)+($E$2:$E$4734&lt;&gt;0))&gt;0)*1000000)),"")</f>
        <v>4</v>
      </c>
      <c r="M3464" s="1">
        <f>IF(AND(E3464=0,COUNTIFS($A$2:A3464,A3464,$E$2:E3464,0)=1),L3464,0)</f>
        <v>0</v>
      </c>
    </row>
    <row r="3465" spans="1:13" ht="15" customHeight="1">
      <c r="A3465" s="1">
        <v>133</v>
      </c>
      <c r="B3465" s="1" t="s">
        <v>9</v>
      </c>
      <c r="C3465" s="2" t="s">
        <v>4063</v>
      </c>
      <c r="D3465" s="2" t="s">
        <v>4064</v>
      </c>
      <c r="E3465" s="1">
        <v>0</v>
      </c>
      <c r="F3465" s="2" t="s">
        <v>4068</v>
      </c>
      <c r="H3465" s="1" t="str">
        <f t="shared" si="55"/>
        <v/>
      </c>
      <c r="K3465" s="1">
        <f>IF(E3465=0,SUMPRODUCT(($A$2:$A$4734=A3465)*($B$2:$B$4734=B3465)*($D$2:$D$4734=D3465)*($E$2:$E$4734=0)),0)</f>
        <v>4</v>
      </c>
      <c r="L3465" s="1">
        <f>IF(E3465=0,SUMPRODUCT(MIN($K$2:$K$4734+((($A$2:$A$4734&lt;&gt;A3465)+($E$2:$E$4734&lt;&gt;0))&gt;0)*1000000)),"")</f>
        <v>4</v>
      </c>
      <c r="M3465" s="1">
        <f>IF(AND(E3465=0,COUNTIFS($A$2:A3465,A3465,$E$2:E3465,0)=1),L3465,0)</f>
        <v>0</v>
      </c>
    </row>
    <row r="3466" spans="1:13" ht="15" customHeight="1">
      <c r="A3466" s="1">
        <v>134</v>
      </c>
      <c r="B3466" s="1" t="s">
        <v>9</v>
      </c>
      <c r="C3466" s="2" t="s">
        <v>4069</v>
      </c>
      <c r="D3466" s="2" t="s">
        <v>4070</v>
      </c>
      <c r="E3466" s="1">
        <v>1</v>
      </c>
      <c r="F3466" s="2" t="s">
        <v>4071</v>
      </c>
      <c r="G3466" s="1">
        <v>1</v>
      </c>
      <c r="H3466" s="1" t="str">
        <f t="shared" si="55"/>
        <v>k134_1</v>
      </c>
      <c r="K3466" s="1">
        <f>IF(E3466=0,SUMPRODUCT(($A$2:$A$4734=A3466)*($B$2:$B$4734=B3466)*($D$2:$D$4734=D3466)*($E$2:$E$4734=0)),0)</f>
        <v>0</v>
      </c>
      <c r="L3466" s="1" t="str">
        <f>IF(E3466=0,SUMPRODUCT(MIN($K$2:$K$4734+((($A$2:$A$4734&lt;&gt;A3466)+($E$2:$E$4734&lt;&gt;0))&gt;0)*1000000)),"")</f>
        <v/>
      </c>
      <c r="M3466" s="1">
        <f>IF(AND(E3466=0,COUNTIFS($A$2:A3466,A3466,$E$2:E3466,0)=1),L3466,0)</f>
        <v>0</v>
      </c>
    </row>
    <row r="3467" spans="1:13" ht="15" customHeight="1">
      <c r="A3467" s="1">
        <v>134</v>
      </c>
      <c r="B3467" s="1" t="s">
        <v>9</v>
      </c>
      <c r="C3467" s="2" t="s">
        <v>4069</v>
      </c>
      <c r="D3467" s="2" t="s">
        <v>4070</v>
      </c>
      <c r="E3467" s="1">
        <v>1</v>
      </c>
      <c r="F3467" s="2" t="s">
        <v>4072</v>
      </c>
      <c r="G3467" s="1">
        <v>2</v>
      </c>
      <c r="H3467" s="1" t="str">
        <f t="shared" ref="H3467:H3526" si="56">IF(OR(E3467&lt;&gt;1,G3467=""),"","k"&amp;A3467&amp;"_"&amp;G3467)</f>
        <v>k134_2</v>
      </c>
      <c r="K3467" s="1">
        <f>IF(E3467=0,SUMPRODUCT(($A$2:$A$4734=A3467)*($B$2:$B$4734=B3467)*($D$2:$D$4734=D3467)*($E$2:$E$4734=0)),0)</f>
        <v>0</v>
      </c>
      <c r="L3467" s="1" t="str">
        <f>IF(E3467=0,SUMPRODUCT(MIN($K$2:$K$4734+((($A$2:$A$4734&lt;&gt;A3467)+($E$2:$E$4734&lt;&gt;0))&gt;0)*1000000)),"")</f>
        <v/>
      </c>
      <c r="M3467" s="1">
        <f>IF(AND(E3467=0,COUNTIFS($A$2:A3467,A3467,$E$2:E3467,0)=1),L3467,0)</f>
        <v>0</v>
      </c>
    </row>
    <row r="3468" spans="1:13" ht="15" customHeight="1">
      <c r="A3468" s="1">
        <v>134</v>
      </c>
      <c r="B3468" s="1" t="s">
        <v>9</v>
      </c>
      <c r="C3468" s="2" t="s">
        <v>4069</v>
      </c>
      <c r="D3468" s="2" t="s">
        <v>4070</v>
      </c>
      <c r="E3468" s="1">
        <v>1</v>
      </c>
      <c r="F3468" s="2" t="s">
        <v>4073</v>
      </c>
      <c r="G3468" s="1">
        <v>3</v>
      </c>
      <c r="H3468" s="1" t="str">
        <f t="shared" si="56"/>
        <v>k134_3</v>
      </c>
      <c r="K3468" s="1">
        <f>IF(E3468=0,SUMPRODUCT(($A$2:$A$4734=A3468)*($B$2:$B$4734=B3468)*($D$2:$D$4734=D3468)*($E$2:$E$4734=0)),0)</f>
        <v>0</v>
      </c>
      <c r="L3468" s="1" t="str">
        <f>IF(E3468=0,SUMPRODUCT(MIN($K$2:$K$4734+((($A$2:$A$4734&lt;&gt;A3468)+($E$2:$E$4734&lt;&gt;0))&gt;0)*1000000)),"")</f>
        <v/>
      </c>
      <c r="M3468" s="1">
        <f>IF(AND(E3468=0,COUNTIFS($A$2:A3468,A3468,$E$2:E3468,0)=1),L3468,0)</f>
        <v>0</v>
      </c>
    </row>
    <row r="3469" spans="1:13" ht="15" customHeight="1">
      <c r="A3469" s="1">
        <v>134</v>
      </c>
      <c r="B3469" s="1" t="s">
        <v>16</v>
      </c>
      <c r="C3469" s="2" t="s">
        <v>4069</v>
      </c>
      <c r="D3469" s="2" t="s">
        <v>4074</v>
      </c>
      <c r="E3469" s="1">
        <v>1</v>
      </c>
      <c r="F3469" s="2" t="s">
        <v>4075</v>
      </c>
      <c r="G3469" s="1">
        <v>1</v>
      </c>
      <c r="H3469" s="1" t="str">
        <f t="shared" si="56"/>
        <v>k134_1</v>
      </c>
      <c r="K3469" s="1">
        <f>IF(E3469=0,SUMPRODUCT(($A$2:$A$4734=A3469)*($B$2:$B$4734=B3469)*($D$2:$D$4734=D3469)*($E$2:$E$4734=0)),0)</f>
        <v>0</v>
      </c>
      <c r="L3469" s="1" t="str">
        <f>IF(E3469=0,SUMPRODUCT(MIN($K$2:$K$4734+((($A$2:$A$4734&lt;&gt;A3469)+($E$2:$E$4734&lt;&gt;0))&gt;0)*1000000)),"")</f>
        <v/>
      </c>
      <c r="M3469" s="1">
        <f>IF(AND(E3469=0,COUNTIFS($A$2:A3469,A3469,$E$2:E3469,0)=1),L3469,0)</f>
        <v>0</v>
      </c>
    </row>
    <row r="3470" spans="1:13" ht="15" customHeight="1">
      <c r="A3470" s="1">
        <v>134</v>
      </c>
      <c r="B3470" s="1" t="s">
        <v>16</v>
      </c>
      <c r="C3470" s="2" t="s">
        <v>4069</v>
      </c>
      <c r="D3470" s="2" t="s">
        <v>4074</v>
      </c>
      <c r="E3470" s="1">
        <v>1</v>
      </c>
      <c r="F3470" s="2" t="s">
        <v>4076</v>
      </c>
      <c r="G3470" s="1">
        <v>2</v>
      </c>
      <c r="H3470" s="1" t="str">
        <f t="shared" si="56"/>
        <v>k134_2</v>
      </c>
      <c r="K3470" s="1">
        <f>IF(E3470=0,SUMPRODUCT(($A$2:$A$4734=A3470)*($B$2:$B$4734=B3470)*($D$2:$D$4734=D3470)*($E$2:$E$4734=0)),0)</f>
        <v>0</v>
      </c>
      <c r="L3470" s="1" t="str">
        <f>IF(E3470=0,SUMPRODUCT(MIN($K$2:$K$4734+((($A$2:$A$4734&lt;&gt;A3470)+($E$2:$E$4734&lt;&gt;0))&gt;0)*1000000)),"")</f>
        <v/>
      </c>
      <c r="M3470" s="1">
        <f>IF(AND(E3470=0,COUNTIFS($A$2:A3470,A3470,$E$2:E3470,0)=1),L3470,0)</f>
        <v>0</v>
      </c>
    </row>
    <row r="3471" spans="1:13" ht="15" customHeight="1">
      <c r="A3471" s="1">
        <v>134</v>
      </c>
      <c r="B3471" s="1" t="s">
        <v>16</v>
      </c>
      <c r="C3471" s="2" t="s">
        <v>4069</v>
      </c>
      <c r="D3471" s="2" t="s">
        <v>4074</v>
      </c>
      <c r="E3471" s="1">
        <v>1</v>
      </c>
      <c r="F3471" s="2" t="s">
        <v>4077</v>
      </c>
      <c r="G3471" s="1">
        <v>3</v>
      </c>
      <c r="H3471" s="1" t="str">
        <f t="shared" si="56"/>
        <v>k134_3</v>
      </c>
      <c r="K3471" s="1">
        <f>IF(E3471=0,SUMPRODUCT(($A$2:$A$4734=A3471)*($B$2:$B$4734=B3471)*($D$2:$D$4734=D3471)*($E$2:$E$4734=0)),0)</f>
        <v>0</v>
      </c>
      <c r="L3471" s="1" t="str">
        <f>IF(E3471=0,SUMPRODUCT(MIN($K$2:$K$4734+((($A$2:$A$4734&lt;&gt;A3471)+($E$2:$E$4734&lt;&gt;0))&gt;0)*1000000)),"")</f>
        <v/>
      </c>
      <c r="M3471" s="1">
        <f>IF(AND(E3471=0,COUNTIFS($A$2:A3471,A3471,$E$2:E3471,0)=1),L3471,0)</f>
        <v>0</v>
      </c>
    </row>
    <row r="3472" spans="1:13" ht="15" customHeight="1">
      <c r="A3472" s="1">
        <v>134</v>
      </c>
      <c r="B3472" s="1" t="s">
        <v>161</v>
      </c>
      <c r="C3472" s="2" t="s">
        <v>4069</v>
      </c>
      <c r="D3472" s="2" t="s">
        <v>4078</v>
      </c>
      <c r="E3472" s="1">
        <v>1</v>
      </c>
      <c r="F3472" s="2" t="s">
        <v>4079</v>
      </c>
      <c r="G3472" s="1">
        <v>1</v>
      </c>
      <c r="H3472" s="1" t="str">
        <f t="shared" si="56"/>
        <v>k134_1</v>
      </c>
      <c r="K3472" s="1">
        <f>IF(E3472=0,SUMPRODUCT(($A$2:$A$4734=A3472)*($B$2:$B$4734=B3472)*($D$2:$D$4734=D3472)*($E$2:$E$4734=0)),0)</f>
        <v>0</v>
      </c>
      <c r="L3472" s="1" t="str">
        <f>IF(E3472=0,SUMPRODUCT(MIN($K$2:$K$4734+((($A$2:$A$4734&lt;&gt;A3472)+($E$2:$E$4734&lt;&gt;0))&gt;0)*1000000)),"")</f>
        <v/>
      </c>
      <c r="M3472" s="1">
        <f>IF(AND(E3472=0,COUNTIFS($A$2:A3472,A3472,$E$2:E3472,0)=1),L3472,0)</f>
        <v>0</v>
      </c>
    </row>
    <row r="3473" spans="1:13" ht="15" customHeight="1">
      <c r="A3473" s="1">
        <v>134</v>
      </c>
      <c r="B3473" s="1" t="s">
        <v>161</v>
      </c>
      <c r="C3473" s="2" t="s">
        <v>4069</v>
      </c>
      <c r="D3473" s="2" t="s">
        <v>4078</v>
      </c>
      <c r="E3473" s="1">
        <v>1</v>
      </c>
      <c r="F3473" s="2" t="s">
        <v>4080</v>
      </c>
      <c r="G3473" s="1">
        <v>2</v>
      </c>
      <c r="H3473" s="1" t="str">
        <f t="shared" si="56"/>
        <v>k134_2</v>
      </c>
      <c r="K3473" s="1">
        <f>IF(E3473=0,SUMPRODUCT(($A$2:$A$4734=A3473)*($B$2:$B$4734=B3473)*($D$2:$D$4734=D3473)*($E$2:$E$4734=0)),0)</f>
        <v>0</v>
      </c>
      <c r="L3473" s="1" t="str">
        <f>IF(E3473=0,SUMPRODUCT(MIN($K$2:$K$4734+((($A$2:$A$4734&lt;&gt;A3473)+($E$2:$E$4734&lt;&gt;0))&gt;0)*1000000)),"")</f>
        <v/>
      </c>
      <c r="M3473" s="1">
        <f>IF(AND(E3473=0,COUNTIFS($A$2:A3473,A3473,$E$2:E3473,0)=1),L3473,0)</f>
        <v>0</v>
      </c>
    </row>
    <row r="3474" spans="1:13" ht="15" customHeight="1">
      <c r="A3474" s="1">
        <v>134</v>
      </c>
      <c r="B3474" s="1" t="s">
        <v>161</v>
      </c>
      <c r="C3474" s="2" t="s">
        <v>4069</v>
      </c>
      <c r="D3474" s="2" t="s">
        <v>4078</v>
      </c>
      <c r="E3474" s="1">
        <v>1</v>
      </c>
      <c r="F3474" s="2" t="s">
        <v>4081</v>
      </c>
      <c r="G3474" s="1">
        <v>3</v>
      </c>
      <c r="H3474" s="1" t="str">
        <f t="shared" si="56"/>
        <v>k134_3</v>
      </c>
      <c r="K3474" s="1">
        <f>IF(E3474=0,SUMPRODUCT(($A$2:$A$4734=A3474)*($B$2:$B$4734=B3474)*($D$2:$D$4734=D3474)*($E$2:$E$4734=0)),0)</f>
        <v>0</v>
      </c>
      <c r="L3474" s="1" t="str">
        <f>IF(E3474=0,SUMPRODUCT(MIN($K$2:$K$4734+((($A$2:$A$4734&lt;&gt;A3474)+($E$2:$E$4734&lt;&gt;0))&gt;0)*1000000)),"")</f>
        <v/>
      </c>
      <c r="M3474" s="1">
        <f>IF(AND(E3474=0,COUNTIFS($A$2:A3474,A3474,$E$2:E3474,0)=1),L3474,0)</f>
        <v>0</v>
      </c>
    </row>
    <row r="3475" spans="1:13" ht="15" customHeight="1">
      <c r="A3475" s="1">
        <v>135</v>
      </c>
      <c r="B3475" s="1" t="s">
        <v>16</v>
      </c>
      <c r="C3475" s="2" t="s">
        <v>4082</v>
      </c>
      <c r="D3475" s="2" t="s">
        <v>4083</v>
      </c>
      <c r="E3475" s="1">
        <v>0</v>
      </c>
      <c r="F3475" s="2" t="s">
        <v>4084</v>
      </c>
      <c r="H3475" s="1" t="str">
        <f t="shared" si="56"/>
        <v/>
      </c>
      <c r="K3475" s="1">
        <f>IF(E3475=0,SUMPRODUCT(($A$2:$A$4734=A3475)*($B$2:$B$4734=B3475)*($D$2:$D$4734=D3475)*($E$2:$E$4734=0)),0)</f>
        <v>3</v>
      </c>
      <c r="L3475" s="1">
        <f>IF(E3475=0,SUMPRODUCT(MIN($K$2:$K$4734+((($A$2:$A$4734&lt;&gt;A3475)+($E$2:$E$4734&lt;&gt;0))&gt;0)*1000000)),"")</f>
        <v>3</v>
      </c>
      <c r="M3475" s="1">
        <f>IF(AND(E3475=0,COUNTIFS($A$2:A3475,A3475,$E$2:E3475,0)=1),L3475,0)</f>
        <v>3</v>
      </c>
    </row>
    <row r="3476" spans="1:13" ht="15" customHeight="1">
      <c r="A3476" s="1">
        <v>135</v>
      </c>
      <c r="B3476" s="1" t="s">
        <v>16</v>
      </c>
      <c r="C3476" s="2" t="s">
        <v>4082</v>
      </c>
      <c r="D3476" s="2" t="s">
        <v>4083</v>
      </c>
      <c r="E3476" s="1">
        <v>0</v>
      </c>
      <c r="F3476" s="2" t="s">
        <v>4085</v>
      </c>
      <c r="H3476" s="1" t="str">
        <f t="shared" si="56"/>
        <v/>
      </c>
      <c r="K3476" s="1">
        <f>IF(E3476=0,SUMPRODUCT(($A$2:$A$4734=A3476)*($B$2:$B$4734=B3476)*($D$2:$D$4734=D3476)*($E$2:$E$4734=0)),0)</f>
        <v>3</v>
      </c>
      <c r="L3476" s="1">
        <f>IF(E3476=0,SUMPRODUCT(MIN($K$2:$K$4734+((($A$2:$A$4734&lt;&gt;A3476)+($E$2:$E$4734&lt;&gt;0))&gt;0)*1000000)),"")</f>
        <v>3</v>
      </c>
      <c r="M3476" s="1">
        <f>IF(AND(E3476=0,COUNTIFS($A$2:A3476,A3476,$E$2:E3476,0)=1),L3476,0)</f>
        <v>0</v>
      </c>
    </row>
    <row r="3477" spans="1:13" ht="15" customHeight="1">
      <c r="A3477" s="1">
        <v>135</v>
      </c>
      <c r="B3477" s="1" t="s">
        <v>16</v>
      </c>
      <c r="C3477" s="2" t="s">
        <v>4082</v>
      </c>
      <c r="D3477" s="2" t="s">
        <v>4083</v>
      </c>
      <c r="E3477" s="1">
        <v>0</v>
      </c>
      <c r="F3477" s="2" t="s">
        <v>4086</v>
      </c>
      <c r="H3477" s="1" t="str">
        <f t="shared" si="56"/>
        <v/>
      </c>
      <c r="K3477" s="1">
        <f>IF(E3477=0,SUMPRODUCT(($A$2:$A$4734=A3477)*($B$2:$B$4734=B3477)*($D$2:$D$4734=D3477)*($E$2:$E$4734=0)),0)</f>
        <v>3</v>
      </c>
      <c r="L3477" s="1">
        <f>IF(E3477=0,SUMPRODUCT(MIN($K$2:$K$4734+((($A$2:$A$4734&lt;&gt;A3477)+($E$2:$E$4734&lt;&gt;0))&gt;0)*1000000)),"")</f>
        <v>3</v>
      </c>
      <c r="M3477" s="1">
        <f>IF(AND(E3477=0,COUNTIFS($A$2:A3477,A3477,$E$2:E3477,0)=1),L3477,0)</f>
        <v>0</v>
      </c>
    </row>
    <row r="3478" spans="1:13" ht="15" customHeight="1">
      <c r="A3478" s="1">
        <v>136</v>
      </c>
      <c r="B3478" s="1" t="s">
        <v>9</v>
      </c>
      <c r="C3478" s="2" t="s">
        <v>4087</v>
      </c>
      <c r="D3478" s="2" t="s">
        <v>4088</v>
      </c>
      <c r="E3478" s="1">
        <v>1</v>
      </c>
      <c r="F3478" s="2" t="s">
        <v>4089</v>
      </c>
      <c r="G3478" s="1">
        <v>1</v>
      </c>
      <c r="H3478" s="1" t="str">
        <f t="shared" si="56"/>
        <v>k136_1</v>
      </c>
      <c r="K3478" s="1">
        <f>IF(E3478=0,SUMPRODUCT(($A$2:$A$4734=A3478)*($B$2:$B$4734=B3478)*($D$2:$D$4734=D3478)*($E$2:$E$4734=0)),0)</f>
        <v>0</v>
      </c>
      <c r="L3478" s="1" t="str">
        <f>IF(E3478=0,SUMPRODUCT(MIN($K$2:$K$4734+((($A$2:$A$4734&lt;&gt;A3478)+($E$2:$E$4734&lt;&gt;0))&gt;0)*1000000)),"")</f>
        <v/>
      </c>
      <c r="M3478" s="1">
        <f>IF(AND(E3478=0,COUNTIFS($A$2:A3478,A3478,$E$2:E3478,0)=1),L3478,0)</f>
        <v>0</v>
      </c>
    </row>
    <row r="3479" spans="1:13" ht="15" customHeight="1">
      <c r="A3479" s="1">
        <v>136</v>
      </c>
      <c r="B3479" s="1" t="s">
        <v>9</v>
      </c>
      <c r="C3479" s="2" t="s">
        <v>4087</v>
      </c>
      <c r="D3479" s="2" t="s">
        <v>4088</v>
      </c>
      <c r="E3479" s="1">
        <v>1</v>
      </c>
      <c r="F3479" s="2" t="s">
        <v>4090</v>
      </c>
      <c r="G3479" s="1">
        <v>2</v>
      </c>
      <c r="H3479" s="1" t="str">
        <f t="shared" si="56"/>
        <v>k136_2</v>
      </c>
      <c r="K3479" s="1">
        <f>IF(E3479=0,SUMPRODUCT(($A$2:$A$4734=A3479)*($B$2:$B$4734=B3479)*($D$2:$D$4734=D3479)*($E$2:$E$4734=0)),0)</f>
        <v>0</v>
      </c>
      <c r="L3479" s="1" t="str">
        <f>IF(E3479=0,SUMPRODUCT(MIN($K$2:$K$4734+((($A$2:$A$4734&lt;&gt;A3479)+($E$2:$E$4734&lt;&gt;0))&gt;0)*1000000)),"")</f>
        <v/>
      </c>
      <c r="M3479" s="1">
        <f>IF(AND(E3479=0,COUNTIFS($A$2:A3479,A3479,$E$2:E3479,0)=1),L3479,0)</f>
        <v>0</v>
      </c>
    </row>
    <row r="3480" spans="1:13" ht="15" customHeight="1">
      <c r="A3480" s="1">
        <v>136</v>
      </c>
      <c r="B3480" s="1" t="s">
        <v>9</v>
      </c>
      <c r="C3480" s="2" t="s">
        <v>4087</v>
      </c>
      <c r="D3480" s="2" t="s">
        <v>4088</v>
      </c>
      <c r="E3480" s="1">
        <v>1</v>
      </c>
      <c r="F3480" s="2" t="s">
        <v>4091</v>
      </c>
      <c r="G3480" s="1">
        <v>3</v>
      </c>
      <c r="H3480" s="1" t="str">
        <f t="shared" si="56"/>
        <v>k136_3</v>
      </c>
      <c r="K3480" s="1">
        <f>IF(E3480=0,SUMPRODUCT(($A$2:$A$4734=A3480)*($B$2:$B$4734=B3480)*($D$2:$D$4734=D3480)*($E$2:$E$4734=0)),0)</f>
        <v>0</v>
      </c>
      <c r="L3480" s="1" t="str">
        <f>IF(E3480=0,SUMPRODUCT(MIN($K$2:$K$4734+((($A$2:$A$4734&lt;&gt;A3480)+($E$2:$E$4734&lt;&gt;0))&gt;0)*1000000)),"")</f>
        <v/>
      </c>
      <c r="M3480" s="1">
        <f>IF(AND(E3480=0,COUNTIFS($A$2:A3480,A3480,$E$2:E3480,0)=1),L3480,0)</f>
        <v>0</v>
      </c>
    </row>
    <row r="3481" spans="1:13" ht="15" customHeight="1">
      <c r="A3481" s="1">
        <v>136</v>
      </c>
      <c r="B3481" s="1" t="s">
        <v>9</v>
      </c>
      <c r="C3481" s="2" t="s">
        <v>4087</v>
      </c>
      <c r="D3481" s="2" t="s">
        <v>4088</v>
      </c>
      <c r="E3481" s="1">
        <v>1</v>
      </c>
      <c r="F3481" s="2" t="s">
        <v>4092</v>
      </c>
      <c r="G3481" s="1">
        <v>4</v>
      </c>
      <c r="H3481" s="1" t="str">
        <f t="shared" si="56"/>
        <v>k136_4</v>
      </c>
      <c r="K3481" s="1">
        <f>IF(E3481=0,SUMPRODUCT(($A$2:$A$4734=A3481)*($B$2:$B$4734=B3481)*($D$2:$D$4734=D3481)*($E$2:$E$4734=0)),0)</f>
        <v>0</v>
      </c>
      <c r="L3481" s="1" t="str">
        <f>IF(E3481=0,SUMPRODUCT(MIN($K$2:$K$4734+((($A$2:$A$4734&lt;&gt;A3481)+($E$2:$E$4734&lt;&gt;0))&gt;0)*1000000)),"")</f>
        <v/>
      </c>
      <c r="M3481" s="1">
        <f>IF(AND(E3481=0,COUNTIFS($A$2:A3481,A3481,$E$2:E3481,0)=1),L3481,0)</f>
        <v>0</v>
      </c>
    </row>
    <row r="3482" spans="1:13" ht="15" customHeight="1">
      <c r="A3482" s="1">
        <v>136</v>
      </c>
      <c r="B3482" s="1" t="s">
        <v>9</v>
      </c>
      <c r="C3482" s="2" t="s">
        <v>4087</v>
      </c>
      <c r="D3482" s="2" t="s">
        <v>4088</v>
      </c>
      <c r="E3482" s="1">
        <v>1</v>
      </c>
      <c r="F3482" s="2" t="s">
        <v>4093</v>
      </c>
      <c r="G3482" s="1">
        <v>5</v>
      </c>
      <c r="H3482" s="1" t="str">
        <f t="shared" si="56"/>
        <v>k136_5</v>
      </c>
      <c r="K3482" s="1">
        <f>IF(E3482=0,SUMPRODUCT(($A$2:$A$4734=A3482)*($B$2:$B$4734=B3482)*($D$2:$D$4734=D3482)*($E$2:$E$4734=0)),0)</f>
        <v>0</v>
      </c>
      <c r="L3482" s="1" t="str">
        <f>IF(E3482=0,SUMPRODUCT(MIN($K$2:$K$4734+((($A$2:$A$4734&lt;&gt;A3482)+($E$2:$E$4734&lt;&gt;0))&gt;0)*1000000)),"")</f>
        <v/>
      </c>
      <c r="M3482" s="1">
        <f>IF(AND(E3482=0,COUNTIFS($A$2:A3482,A3482,$E$2:E3482,0)=1),L3482,0)</f>
        <v>0</v>
      </c>
    </row>
    <row r="3483" spans="1:13" ht="15" customHeight="1">
      <c r="A3483" s="1">
        <v>136</v>
      </c>
      <c r="B3483" s="1" t="s">
        <v>9</v>
      </c>
      <c r="C3483" s="2" t="s">
        <v>4087</v>
      </c>
      <c r="D3483" s="2" t="s">
        <v>4088</v>
      </c>
      <c r="E3483" s="1">
        <v>1</v>
      </c>
      <c r="F3483" s="2" t="s">
        <v>4094</v>
      </c>
      <c r="G3483" s="1">
        <v>6</v>
      </c>
      <c r="H3483" s="1" t="str">
        <f t="shared" si="56"/>
        <v>k136_6</v>
      </c>
      <c r="K3483" s="1">
        <f>IF(E3483=0,SUMPRODUCT(($A$2:$A$4734=A3483)*($B$2:$B$4734=B3483)*($D$2:$D$4734=D3483)*($E$2:$E$4734=0)),0)</f>
        <v>0</v>
      </c>
      <c r="L3483" s="1" t="str">
        <f>IF(E3483=0,SUMPRODUCT(MIN($K$2:$K$4734+((($A$2:$A$4734&lt;&gt;A3483)+($E$2:$E$4734&lt;&gt;0))&gt;0)*1000000)),"")</f>
        <v/>
      </c>
      <c r="M3483" s="1">
        <f>IF(AND(E3483=0,COUNTIFS($A$2:A3483,A3483,$E$2:E3483,0)=1),L3483,0)</f>
        <v>0</v>
      </c>
    </row>
    <row r="3484" spans="1:13" ht="15" customHeight="1">
      <c r="A3484" s="1">
        <v>136</v>
      </c>
      <c r="B3484" s="1" t="s">
        <v>16</v>
      </c>
      <c r="C3484" s="2" t="s">
        <v>4087</v>
      </c>
      <c r="D3484" s="2" t="s">
        <v>4095</v>
      </c>
      <c r="E3484" s="1">
        <v>1</v>
      </c>
      <c r="F3484" s="2" t="s">
        <v>4096</v>
      </c>
      <c r="G3484" s="1">
        <v>1</v>
      </c>
      <c r="H3484" s="1" t="str">
        <f t="shared" si="56"/>
        <v>k136_1</v>
      </c>
      <c r="K3484" s="1">
        <f>IF(E3484=0,SUMPRODUCT(($A$2:$A$4734=A3484)*($B$2:$B$4734=B3484)*($D$2:$D$4734=D3484)*($E$2:$E$4734=0)),0)</f>
        <v>0</v>
      </c>
      <c r="L3484" s="1" t="str">
        <f>IF(E3484=0,SUMPRODUCT(MIN($K$2:$K$4734+((($A$2:$A$4734&lt;&gt;A3484)+($E$2:$E$4734&lt;&gt;0))&gt;0)*1000000)),"")</f>
        <v/>
      </c>
      <c r="M3484" s="1">
        <f>IF(AND(E3484=0,COUNTIFS($A$2:A3484,A3484,$E$2:E3484,0)=1),L3484,0)</f>
        <v>0</v>
      </c>
    </row>
    <row r="3485" spans="1:13" ht="15" customHeight="1">
      <c r="A3485" s="1">
        <v>136</v>
      </c>
      <c r="B3485" s="1" t="s">
        <v>16</v>
      </c>
      <c r="C3485" s="2" t="s">
        <v>4087</v>
      </c>
      <c r="D3485" s="2" t="s">
        <v>4095</v>
      </c>
      <c r="E3485" s="1">
        <v>1</v>
      </c>
      <c r="F3485" s="2" t="s">
        <v>4097</v>
      </c>
      <c r="G3485" s="1">
        <v>2</v>
      </c>
      <c r="H3485" s="1" t="str">
        <f t="shared" si="56"/>
        <v>k136_2</v>
      </c>
      <c r="K3485" s="1">
        <f>IF(E3485=0,SUMPRODUCT(($A$2:$A$4734=A3485)*($B$2:$B$4734=B3485)*($D$2:$D$4734=D3485)*($E$2:$E$4734=0)),0)</f>
        <v>0</v>
      </c>
      <c r="L3485" s="1" t="str">
        <f>IF(E3485=0,SUMPRODUCT(MIN($K$2:$K$4734+((($A$2:$A$4734&lt;&gt;A3485)+($E$2:$E$4734&lt;&gt;0))&gt;0)*1000000)),"")</f>
        <v/>
      </c>
      <c r="M3485" s="1">
        <f>IF(AND(E3485=0,COUNTIFS($A$2:A3485,A3485,$E$2:E3485,0)=1),L3485,0)</f>
        <v>0</v>
      </c>
    </row>
    <row r="3486" spans="1:13" ht="15" customHeight="1">
      <c r="A3486" s="1">
        <v>136</v>
      </c>
      <c r="B3486" s="1" t="s">
        <v>16</v>
      </c>
      <c r="C3486" s="2" t="s">
        <v>4087</v>
      </c>
      <c r="D3486" s="2" t="s">
        <v>4095</v>
      </c>
      <c r="E3486" s="1">
        <v>1</v>
      </c>
      <c r="F3486" s="2" t="s">
        <v>4098</v>
      </c>
      <c r="G3486" s="1">
        <v>3</v>
      </c>
      <c r="H3486" s="1" t="str">
        <f t="shared" si="56"/>
        <v>k136_3</v>
      </c>
      <c r="K3486" s="1">
        <f>IF(E3486=0,SUMPRODUCT(($A$2:$A$4734=A3486)*($B$2:$B$4734=B3486)*($D$2:$D$4734=D3486)*($E$2:$E$4734=0)),0)</f>
        <v>0</v>
      </c>
      <c r="L3486" s="1" t="str">
        <f>IF(E3486=0,SUMPRODUCT(MIN($K$2:$K$4734+((($A$2:$A$4734&lt;&gt;A3486)+($E$2:$E$4734&lt;&gt;0))&gt;0)*1000000)),"")</f>
        <v/>
      </c>
      <c r="M3486" s="1">
        <f>IF(AND(E3486=0,COUNTIFS($A$2:A3486,A3486,$E$2:E3486,0)=1),L3486,0)</f>
        <v>0</v>
      </c>
    </row>
    <row r="3487" spans="1:13" ht="15" customHeight="1">
      <c r="A3487" s="1">
        <v>136</v>
      </c>
      <c r="B3487" s="1" t="s">
        <v>16</v>
      </c>
      <c r="C3487" s="2" t="s">
        <v>4087</v>
      </c>
      <c r="D3487" s="2" t="s">
        <v>4095</v>
      </c>
      <c r="E3487" s="1">
        <v>1</v>
      </c>
      <c r="F3487" s="2" t="s">
        <v>4099</v>
      </c>
      <c r="G3487" s="1">
        <v>4</v>
      </c>
      <c r="H3487" s="1" t="str">
        <f t="shared" si="56"/>
        <v>k136_4</v>
      </c>
      <c r="K3487" s="1">
        <f>IF(E3487=0,SUMPRODUCT(($A$2:$A$4734=A3487)*($B$2:$B$4734=B3487)*($D$2:$D$4734=D3487)*($E$2:$E$4734=0)),0)</f>
        <v>0</v>
      </c>
      <c r="L3487" s="1" t="str">
        <f>IF(E3487=0,SUMPRODUCT(MIN($K$2:$K$4734+((($A$2:$A$4734&lt;&gt;A3487)+($E$2:$E$4734&lt;&gt;0))&gt;0)*1000000)),"")</f>
        <v/>
      </c>
      <c r="M3487" s="1">
        <f>IF(AND(E3487=0,COUNTIFS($A$2:A3487,A3487,$E$2:E3487,0)=1),L3487,0)</f>
        <v>0</v>
      </c>
    </row>
    <row r="3488" spans="1:13" ht="15" customHeight="1">
      <c r="A3488" s="1">
        <v>136</v>
      </c>
      <c r="B3488" s="1" t="s">
        <v>16</v>
      </c>
      <c r="C3488" s="2" t="s">
        <v>4087</v>
      </c>
      <c r="D3488" s="2" t="s">
        <v>4095</v>
      </c>
      <c r="E3488" s="1">
        <v>1</v>
      </c>
      <c r="F3488" s="2" t="s">
        <v>4100</v>
      </c>
      <c r="G3488" s="1">
        <v>5</v>
      </c>
      <c r="H3488" s="1" t="str">
        <f t="shared" si="56"/>
        <v>k136_5</v>
      </c>
      <c r="K3488" s="1">
        <f>IF(E3488=0,SUMPRODUCT(($A$2:$A$4734=A3488)*($B$2:$B$4734=B3488)*($D$2:$D$4734=D3488)*($E$2:$E$4734=0)),0)</f>
        <v>0</v>
      </c>
      <c r="L3488" s="1" t="str">
        <f>IF(E3488=0,SUMPRODUCT(MIN($K$2:$K$4734+((($A$2:$A$4734&lt;&gt;A3488)+($E$2:$E$4734&lt;&gt;0))&gt;0)*1000000)),"")</f>
        <v/>
      </c>
      <c r="M3488" s="1">
        <f>IF(AND(E3488=0,COUNTIFS($A$2:A3488,A3488,$E$2:E3488,0)=1),L3488,0)</f>
        <v>0</v>
      </c>
    </row>
    <row r="3489" spans="1:13" ht="15" customHeight="1">
      <c r="A3489" s="1">
        <v>136</v>
      </c>
      <c r="B3489" s="1" t="s">
        <v>16</v>
      </c>
      <c r="C3489" s="2" t="s">
        <v>4087</v>
      </c>
      <c r="D3489" s="2" t="s">
        <v>4095</v>
      </c>
      <c r="E3489" s="1">
        <v>1</v>
      </c>
      <c r="F3489" s="2" t="s">
        <v>4100</v>
      </c>
      <c r="G3489" s="1">
        <v>6</v>
      </c>
      <c r="H3489" s="1" t="str">
        <f t="shared" si="56"/>
        <v>k136_6</v>
      </c>
      <c r="K3489" s="1">
        <f>IF(E3489=0,SUMPRODUCT(($A$2:$A$4734=A3489)*($B$2:$B$4734=B3489)*($D$2:$D$4734=D3489)*($E$2:$E$4734=0)),0)</f>
        <v>0</v>
      </c>
      <c r="L3489" s="1" t="str">
        <f>IF(E3489=0,SUMPRODUCT(MIN($K$2:$K$4734+((($A$2:$A$4734&lt;&gt;A3489)+($E$2:$E$4734&lt;&gt;0))&gt;0)*1000000)),"")</f>
        <v/>
      </c>
      <c r="M3489" s="1">
        <f>IF(AND(E3489=0,COUNTIFS($A$2:A3489,A3489,$E$2:E3489,0)=1),L3489,0)</f>
        <v>0</v>
      </c>
    </row>
    <row r="3490" spans="1:13" ht="15" customHeight="1">
      <c r="A3490" s="1">
        <v>136</v>
      </c>
      <c r="B3490" s="1" t="s">
        <v>16</v>
      </c>
      <c r="C3490" s="2" t="s">
        <v>4087</v>
      </c>
      <c r="D3490" s="2" t="s">
        <v>4101</v>
      </c>
      <c r="E3490" s="1">
        <v>1</v>
      </c>
      <c r="F3490" s="2" t="s">
        <v>4102</v>
      </c>
      <c r="G3490" s="1">
        <v>1</v>
      </c>
      <c r="H3490" s="1" t="str">
        <f t="shared" si="56"/>
        <v>k136_1</v>
      </c>
      <c r="K3490" s="1">
        <f>IF(E3490=0,SUMPRODUCT(($A$2:$A$4734=A3490)*($B$2:$B$4734=B3490)*($D$2:$D$4734=D3490)*($E$2:$E$4734=0)),0)</f>
        <v>0</v>
      </c>
      <c r="L3490" s="1" t="str">
        <f>IF(E3490=0,SUMPRODUCT(MIN($K$2:$K$4734+((($A$2:$A$4734&lt;&gt;A3490)+($E$2:$E$4734&lt;&gt;0))&gt;0)*1000000)),"")</f>
        <v/>
      </c>
      <c r="M3490" s="1">
        <f>IF(AND(E3490=0,COUNTIFS($A$2:A3490,A3490,$E$2:E3490,0)=1),L3490,0)</f>
        <v>0</v>
      </c>
    </row>
    <row r="3491" spans="1:13" ht="15" customHeight="1">
      <c r="A3491" s="1">
        <v>136</v>
      </c>
      <c r="B3491" s="1" t="s">
        <v>16</v>
      </c>
      <c r="C3491" s="2" t="s">
        <v>4087</v>
      </c>
      <c r="D3491" s="2" t="s">
        <v>4101</v>
      </c>
      <c r="E3491" s="1">
        <v>1</v>
      </c>
      <c r="F3491" s="2" t="s">
        <v>4103</v>
      </c>
      <c r="G3491" s="1">
        <v>2</v>
      </c>
      <c r="H3491" s="1" t="str">
        <f t="shared" si="56"/>
        <v>k136_2</v>
      </c>
      <c r="K3491" s="1">
        <f>IF(E3491=0,SUMPRODUCT(($A$2:$A$4734=A3491)*($B$2:$B$4734=B3491)*($D$2:$D$4734=D3491)*($E$2:$E$4734=0)),0)</f>
        <v>0</v>
      </c>
      <c r="L3491" s="1" t="str">
        <f>IF(E3491=0,SUMPRODUCT(MIN($K$2:$K$4734+((($A$2:$A$4734&lt;&gt;A3491)+($E$2:$E$4734&lt;&gt;0))&gt;0)*1000000)),"")</f>
        <v/>
      </c>
      <c r="M3491" s="1">
        <f>IF(AND(E3491=0,COUNTIFS($A$2:A3491,A3491,$E$2:E3491,0)=1),L3491,0)</f>
        <v>0</v>
      </c>
    </row>
    <row r="3492" spans="1:13" ht="15" customHeight="1">
      <c r="A3492" s="1">
        <v>136</v>
      </c>
      <c r="B3492" s="1" t="s">
        <v>16</v>
      </c>
      <c r="C3492" s="2" t="s">
        <v>4087</v>
      </c>
      <c r="D3492" s="2" t="s">
        <v>4101</v>
      </c>
      <c r="E3492" s="1">
        <v>1</v>
      </c>
      <c r="F3492" s="2" t="s">
        <v>4104</v>
      </c>
      <c r="G3492" s="1">
        <v>3</v>
      </c>
      <c r="H3492" s="1" t="str">
        <f t="shared" si="56"/>
        <v>k136_3</v>
      </c>
      <c r="K3492" s="1">
        <f>IF(E3492=0,SUMPRODUCT(($A$2:$A$4734=A3492)*($B$2:$B$4734=B3492)*($D$2:$D$4734=D3492)*($E$2:$E$4734=0)),0)</f>
        <v>0</v>
      </c>
      <c r="L3492" s="1" t="str">
        <f>IF(E3492=0,SUMPRODUCT(MIN($K$2:$K$4734+((($A$2:$A$4734&lt;&gt;A3492)+($E$2:$E$4734&lt;&gt;0))&gt;0)*1000000)),"")</f>
        <v/>
      </c>
      <c r="M3492" s="1">
        <f>IF(AND(E3492=0,COUNTIFS($A$2:A3492,A3492,$E$2:E3492,0)=1),L3492,0)</f>
        <v>0</v>
      </c>
    </row>
    <row r="3493" spans="1:13" ht="15" customHeight="1">
      <c r="A3493" s="1">
        <v>136</v>
      </c>
      <c r="B3493" s="1" t="s">
        <v>16</v>
      </c>
      <c r="C3493" s="2" t="s">
        <v>4087</v>
      </c>
      <c r="D3493" s="2" t="s">
        <v>4101</v>
      </c>
      <c r="E3493" s="1">
        <v>1</v>
      </c>
      <c r="F3493" s="2" t="s">
        <v>4105</v>
      </c>
      <c r="G3493" s="1">
        <v>4</v>
      </c>
      <c r="H3493" s="1" t="str">
        <f t="shared" si="56"/>
        <v>k136_4</v>
      </c>
      <c r="K3493" s="1">
        <f>IF(E3493=0,SUMPRODUCT(($A$2:$A$4734=A3493)*($B$2:$B$4734=B3493)*($D$2:$D$4734=D3493)*($E$2:$E$4734=0)),0)</f>
        <v>0</v>
      </c>
      <c r="L3493" s="1" t="str">
        <f>IF(E3493=0,SUMPRODUCT(MIN($K$2:$K$4734+((($A$2:$A$4734&lt;&gt;A3493)+($E$2:$E$4734&lt;&gt;0))&gt;0)*1000000)),"")</f>
        <v/>
      </c>
      <c r="M3493" s="1">
        <f>IF(AND(E3493=0,COUNTIFS($A$2:A3493,A3493,$E$2:E3493,0)=1),L3493,0)</f>
        <v>0</v>
      </c>
    </row>
    <row r="3494" spans="1:13" ht="15" customHeight="1">
      <c r="A3494" s="1">
        <v>136</v>
      </c>
      <c r="B3494" s="1" t="s">
        <v>16</v>
      </c>
      <c r="C3494" s="2" t="s">
        <v>4087</v>
      </c>
      <c r="D3494" s="2" t="s">
        <v>4101</v>
      </c>
      <c r="E3494" s="1">
        <v>1</v>
      </c>
      <c r="F3494" s="2" t="s">
        <v>4106</v>
      </c>
      <c r="G3494" s="1">
        <v>5</v>
      </c>
      <c r="H3494" s="1" t="str">
        <f t="shared" si="56"/>
        <v>k136_5</v>
      </c>
      <c r="K3494" s="1">
        <f>IF(E3494=0,SUMPRODUCT(($A$2:$A$4734=A3494)*($B$2:$B$4734=B3494)*($D$2:$D$4734=D3494)*($E$2:$E$4734=0)),0)</f>
        <v>0</v>
      </c>
      <c r="L3494" s="1" t="str">
        <f>IF(E3494=0,SUMPRODUCT(MIN($K$2:$K$4734+((($A$2:$A$4734&lt;&gt;A3494)+($E$2:$E$4734&lt;&gt;0))&gt;0)*1000000)),"")</f>
        <v/>
      </c>
      <c r="M3494" s="1">
        <f>IF(AND(E3494=0,COUNTIFS($A$2:A3494,A3494,$E$2:E3494,0)=1),L3494,0)</f>
        <v>0</v>
      </c>
    </row>
    <row r="3495" spans="1:13" ht="15" customHeight="1">
      <c r="A3495" s="1">
        <v>136</v>
      </c>
      <c r="B3495" s="1" t="s">
        <v>16</v>
      </c>
      <c r="C3495" s="2" t="s">
        <v>4087</v>
      </c>
      <c r="D3495" s="2" t="s">
        <v>4101</v>
      </c>
      <c r="E3495" s="1">
        <v>1</v>
      </c>
      <c r="F3495" s="2" t="s">
        <v>4107</v>
      </c>
      <c r="G3495" s="1">
        <v>6</v>
      </c>
      <c r="H3495" s="1" t="str">
        <f t="shared" si="56"/>
        <v>k136_6</v>
      </c>
      <c r="K3495" s="1">
        <f>IF(E3495=0,SUMPRODUCT(($A$2:$A$4734=A3495)*($B$2:$B$4734=B3495)*($D$2:$D$4734=D3495)*($E$2:$E$4734=0)),0)</f>
        <v>0</v>
      </c>
      <c r="L3495" s="1" t="str">
        <f>IF(E3495=0,SUMPRODUCT(MIN($K$2:$K$4734+((($A$2:$A$4734&lt;&gt;A3495)+($E$2:$E$4734&lt;&gt;0))&gt;0)*1000000)),"")</f>
        <v/>
      </c>
      <c r="M3495" s="1">
        <f>IF(AND(E3495=0,COUNTIFS($A$2:A3495,A3495,$E$2:E3495,0)=1),L3495,0)</f>
        <v>0</v>
      </c>
    </row>
    <row r="3496" spans="1:13" ht="15" customHeight="1">
      <c r="A3496" s="1">
        <v>136</v>
      </c>
      <c r="B3496" s="1" t="s">
        <v>167</v>
      </c>
      <c r="C3496" s="2" t="s">
        <v>4087</v>
      </c>
      <c r="D3496" s="1" t="s">
        <v>4108</v>
      </c>
      <c r="E3496" s="1">
        <v>1</v>
      </c>
      <c r="F3496" s="2" t="s">
        <v>4109</v>
      </c>
      <c r="G3496" s="1">
        <v>1</v>
      </c>
      <c r="H3496" s="1" t="str">
        <f t="shared" si="56"/>
        <v>k136_1</v>
      </c>
      <c r="K3496" s="1">
        <f>IF(E3496=0,SUMPRODUCT(($A$2:$A$4734=A3496)*($B$2:$B$4734=B3496)*($D$2:$D$4734=D3496)*($E$2:$E$4734=0)),0)</f>
        <v>0</v>
      </c>
      <c r="L3496" s="1" t="str">
        <f>IF(E3496=0,SUMPRODUCT(MIN($K$2:$K$4734+((($A$2:$A$4734&lt;&gt;A3496)+($E$2:$E$4734&lt;&gt;0))&gt;0)*1000000)),"")</f>
        <v/>
      </c>
      <c r="M3496" s="1">
        <f>IF(AND(E3496=0,COUNTIFS($A$2:A3496,A3496,$E$2:E3496,0)=1),L3496,0)</f>
        <v>0</v>
      </c>
    </row>
    <row r="3497" spans="1:13" ht="15" customHeight="1">
      <c r="A3497" s="1">
        <v>136</v>
      </c>
      <c r="B3497" s="1" t="s">
        <v>167</v>
      </c>
      <c r="C3497" s="2" t="s">
        <v>4087</v>
      </c>
      <c r="D3497" s="1" t="s">
        <v>4108</v>
      </c>
      <c r="E3497" s="1">
        <v>1</v>
      </c>
      <c r="F3497" s="2" t="s">
        <v>4110</v>
      </c>
      <c r="G3497" s="1">
        <v>2</v>
      </c>
      <c r="H3497" s="1" t="str">
        <f t="shared" si="56"/>
        <v>k136_2</v>
      </c>
      <c r="K3497" s="1">
        <f>IF(E3497=0,SUMPRODUCT(($A$2:$A$4734=A3497)*($B$2:$B$4734=B3497)*($D$2:$D$4734=D3497)*($E$2:$E$4734=0)),0)</f>
        <v>0</v>
      </c>
      <c r="L3497" s="1" t="str">
        <f>IF(E3497=0,SUMPRODUCT(MIN($K$2:$K$4734+((($A$2:$A$4734&lt;&gt;A3497)+($E$2:$E$4734&lt;&gt;0))&gt;0)*1000000)),"")</f>
        <v/>
      </c>
      <c r="M3497" s="1">
        <f>IF(AND(E3497=0,COUNTIFS($A$2:A3497,A3497,$E$2:E3497,0)=1),L3497,0)</f>
        <v>0</v>
      </c>
    </row>
    <row r="3498" spans="1:13" ht="15" customHeight="1">
      <c r="A3498" s="1">
        <v>136</v>
      </c>
      <c r="B3498" s="1" t="s">
        <v>167</v>
      </c>
      <c r="C3498" s="2" t="s">
        <v>4087</v>
      </c>
      <c r="D3498" s="1" t="s">
        <v>4108</v>
      </c>
      <c r="E3498" s="1">
        <v>1</v>
      </c>
      <c r="F3498" s="2" t="s">
        <v>4111</v>
      </c>
      <c r="G3498" s="1">
        <v>3</v>
      </c>
      <c r="H3498" s="1" t="str">
        <f t="shared" si="56"/>
        <v>k136_3</v>
      </c>
      <c r="K3498" s="1">
        <f>IF(E3498=0,SUMPRODUCT(($A$2:$A$4734=A3498)*($B$2:$B$4734=B3498)*($D$2:$D$4734=D3498)*($E$2:$E$4734=0)),0)</f>
        <v>0</v>
      </c>
      <c r="L3498" s="1" t="str">
        <f>IF(E3498=0,SUMPRODUCT(MIN($K$2:$K$4734+((($A$2:$A$4734&lt;&gt;A3498)+($E$2:$E$4734&lt;&gt;0))&gt;0)*1000000)),"")</f>
        <v/>
      </c>
      <c r="M3498" s="1">
        <f>IF(AND(E3498=0,COUNTIFS($A$2:A3498,A3498,$E$2:E3498,0)=1),L3498,0)</f>
        <v>0</v>
      </c>
    </row>
    <row r="3499" spans="1:13" ht="15" customHeight="1">
      <c r="A3499" s="1">
        <v>136</v>
      </c>
      <c r="B3499" s="1" t="s">
        <v>167</v>
      </c>
      <c r="C3499" s="2" t="s">
        <v>4087</v>
      </c>
      <c r="D3499" s="1" t="s">
        <v>4108</v>
      </c>
      <c r="E3499" s="1">
        <v>1</v>
      </c>
      <c r="F3499" s="2" t="s">
        <v>4112</v>
      </c>
      <c r="G3499" s="1">
        <v>4</v>
      </c>
      <c r="H3499" s="1" t="str">
        <f t="shared" si="56"/>
        <v>k136_4</v>
      </c>
      <c r="K3499" s="1">
        <f>IF(E3499=0,SUMPRODUCT(($A$2:$A$4734=A3499)*($B$2:$B$4734=B3499)*($D$2:$D$4734=D3499)*($E$2:$E$4734=0)),0)</f>
        <v>0</v>
      </c>
      <c r="L3499" s="1" t="str">
        <f>IF(E3499=0,SUMPRODUCT(MIN($K$2:$K$4734+((($A$2:$A$4734&lt;&gt;A3499)+($E$2:$E$4734&lt;&gt;0))&gt;0)*1000000)),"")</f>
        <v/>
      </c>
      <c r="M3499" s="1">
        <f>IF(AND(E3499=0,COUNTIFS($A$2:A3499,A3499,$E$2:E3499,0)=1),L3499,0)</f>
        <v>0</v>
      </c>
    </row>
    <row r="3500" spans="1:13" ht="15" customHeight="1">
      <c r="A3500" s="1">
        <v>136</v>
      </c>
      <c r="B3500" s="1" t="s">
        <v>167</v>
      </c>
      <c r="C3500" s="2" t="s">
        <v>4087</v>
      </c>
      <c r="D3500" s="1" t="s">
        <v>4108</v>
      </c>
      <c r="E3500" s="1">
        <v>1</v>
      </c>
      <c r="F3500" s="2" t="s">
        <v>4113</v>
      </c>
      <c r="G3500" s="1">
        <v>5</v>
      </c>
      <c r="H3500" s="1" t="str">
        <f t="shared" si="56"/>
        <v>k136_5</v>
      </c>
      <c r="K3500" s="1">
        <f>IF(E3500=0,SUMPRODUCT(($A$2:$A$4734=A3500)*($B$2:$B$4734=B3500)*($D$2:$D$4734=D3500)*($E$2:$E$4734=0)),0)</f>
        <v>0</v>
      </c>
      <c r="L3500" s="1" t="str">
        <f>IF(E3500=0,SUMPRODUCT(MIN($K$2:$K$4734+((($A$2:$A$4734&lt;&gt;A3500)+($E$2:$E$4734&lt;&gt;0))&gt;0)*1000000)),"")</f>
        <v/>
      </c>
      <c r="M3500" s="1">
        <f>IF(AND(E3500=0,COUNTIFS($A$2:A3500,A3500,$E$2:E3500,0)=1),L3500,0)</f>
        <v>0</v>
      </c>
    </row>
    <row r="3501" spans="1:13" ht="15" customHeight="1">
      <c r="A3501" s="1">
        <v>136</v>
      </c>
      <c r="B3501" s="1" t="s">
        <v>167</v>
      </c>
      <c r="C3501" s="2" t="s">
        <v>4087</v>
      </c>
      <c r="D3501" s="1" t="s">
        <v>4108</v>
      </c>
      <c r="E3501" s="1">
        <v>1</v>
      </c>
      <c r="F3501" s="2" t="s">
        <v>4114</v>
      </c>
      <c r="G3501" s="1">
        <v>6</v>
      </c>
      <c r="H3501" s="1" t="str">
        <f t="shared" si="56"/>
        <v>k136_6</v>
      </c>
      <c r="K3501" s="1">
        <f>IF(E3501=0,SUMPRODUCT(($A$2:$A$4734=A3501)*($B$2:$B$4734=B3501)*($D$2:$D$4734=D3501)*($E$2:$E$4734=0)),0)</f>
        <v>0</v>
      </c>
      <c r="L3501" s="1" t="str">
        <f>IF(E3501=0,SUMPRODUCT(MIN($K$2:$K$4734+((($A$2:$A$4734&lt;&gt;A3501)+($E$2:$E$4734&lt;&gt;0))&gt;0)*1000000)),"")</f>
        <v/>
      </c>
      <c r="M3501" s="1">
        <f>IF(AND(E3501=0,COUNTIFS($A$2:A3501,A3501,$E$2:E3501,0)=1),L3501,0)</f>
        <v>0</v>
      </c>
    </row>
    <row r="3502" spans="1:13" ht="15" customHeight="1">
      <c r="A3502" s="1">
        <v>137</v>
      </c>
      <c r="B3502" s="1" t="s">
        <v>9</v>
      </c>
      <c r="C3502" s="2" t="s">
        <v>4115</v>
      </c>
      <c r="D3502" s="2" t="s">
        <v>4116</v>
      </c>
      <c r="E3502" s="1">
        <v>0</v>
      </c>
      <c r="F3502" s="2" t="s">
        <v>4117</v>
      </c>
      <c r="H3502" s="1" t="str">
        <f t="shared" si="56"/>
        <v/>
      </c>
      <c r="K3502" s="1">
        <f>IF(E3502=0,SUMPRODUCT(($A$2:$A$4734=A3502)*($B$2:$B$4734=B3502)*($D$2:$D$4734=D3502)*($E$2:$E$4734=0)),0)</f>
        <v>6</v>
      </c>
      <c r="L3502" s="1">
        <f>IF(E3502=0,SUMPRODUCT(MIN($K$2:$K$4734+((($A$2:$A$4734&lt;&gt;A3502)+($E$2:$E$4734&lt;&gt;0))&gt;0)*1000000)),"")</f>
        <v>3</v>
      </c>
      <c r="M3502" s="1">
        <f>IF(AND(E3502=0,COUNTIFS($A$2:A3502,A3502,$E$2:E3502,0)=1),L3502,0)</f>
        <v>3</v>
      </c>
    </row>
    <row r="3503" spans="1:13" ht="15" customHeight="1">
      <c r="A3503" s="1">
        <v>137</v>
      </c>
      <c r="B3503" s="1" t="s">
        <v>9</v>
      </c>
      <c r="C3503" s="2" t="s">
        <v>4115</v>
      </c>
      <c r="D3503" s="2" t="s">
        <v>4116</v>
      </c>
      <c r="E3503" s="1">
        <v>0</v>
      </c>
      <c r="F3503" s="2" t="s">
        <v>4118</v>
      </c>
      <c r="H3503" s="1" t="str">
        <f t="shared" si="56"/>
        <v/>
      </c>
      <c r="K3503" s="1">
        <f>IF(E3503=0,SUMPRODUCT(($A$2:$A$4734=A3503)*($B$2:$B$4734=B3503)*($D$2:$D$4734=D3503)*($E$2:$E$4734=0)),0)</f>
        <v>6</v>
      </c>
      <c r="L3503" s="1">
        <f>IF(E3503=0,SUMPRODUCT(MIN($K$2:$K$4734+((($A$2:$A$4734&lt;&gt;A3503)+($E$2:$E$4734&lt;&gt;0))&gt;0)*1000000)),"")</f>
        <v>3</v>
      </c>
      <c r="M3503" s="1">
        <f>IF(AND(E3503=0,COUNTIFS($A$2:A3503,A3503,$E$2:E3503,0)=1),L3503,0)</f>
        <v>0</v>
      </c>
    </row>
    <row r="3504" spans="1:13" ht="15" customHeight="1">
      <c r="A3504" s="1">
        <v>137</v>
      </c>
      <c r="B3504" s="1" t="s">
        <v>9</v>
      </c>
      <c r="C3504" s="2" t="s">
        <v>4115</v>
      </c>
      <c r="D3504" s="2" t="s">
        <v>4116</v>
      </c>
      <c r="E3504" s="1">
        <v>0</v>
      </c>
      <c r="F3504" s="2" t="s">
        <v>4119</v>
      </c>
      <c r="H3504" s="1" t="str">
        <f t="shared" si="56"/>
        <v/>
      </c>
      <c r="K3504" s="1">
        <f>IF(E3504=0,SUMPRODUCT(($A$2:$A$4734=A3504)*($B$2:$B$4734=B3504)*($D$2:$D$4734=D3504)*($E$2:$E$4734=0)),0)</f>
        <v>6</v>
      </c>
      <c r="L3504" s="1">
        <f>IF(E3504=0,SUMPRODUCT(MIN($K$2:$K$4734+((($A$2:$A$4734&lt;&gt;A3504)+($E$2:$E$4734&lt;&gt;0))&gt;0)*1000000)),"")</f>
        <v>3</v>
      </c>
      <c r="M3504" s="1">
        <f>IF(AND(E3504=0,COUNTIFS($A$2:A3504,A3504,$E$2:E3504,0)=1),L3504,0)</f>
        <v>0</v>
      </c>
    </row>
    <row r="3505" spans="1:13" ht="15" customHeight="1">
      <c r="A3505" s="1">
        <v>137</v>
      </c>
      <c r="B3505" s="1" t="s">
        <v>9</v>
      </c>
      <c r="C3505" s="2" t="s">
        <v>4115</v>
      </c>
      <c r="D3505" s="2" t="s">
        <v>4116</v>
      </c>
      <c r="E3505" s="1">
        <v>0</v>
      </c>
      <c r="F3505" s="2" t="s">
        <v>4120</v>
      </c>
      <c r="H3505" s="1" t="str">
        <f t="shared" si="56"/>
        <v/>
      </c>
      <c r="K3505" s="1">
        <f>IF(E3505=0,SUMPRODUCT(($A$2:$A$4734=A3505)*($B$2:$B$4734=B3505)*($D$2:$D$4734=D3505)*($E$2:$E$4734=0)),0)</f>
        <v>6</v>
      </c>
      <c r="L3505" s="1">
        <f>IF(E3505=0,SUMPRODUCT(MIN($K$2:$K$4734+((($A$2:$A$4734&lt;&gt;A3505)+($E$2:$E$4734&lt;&gt;0))&gt;0)*1000000)),"")</f>
        <v>3</v>
      </c>
      <c r="M3505" s="1">
        <f>IF(AND(E3505=0,COUNTIFS($A$2:A3505,A3505,$E$2:E3505,0)=1),L3505,0)</f>
        <v>0</v>
      </c>
    </row>
    <row r="3506" spans="1:13" ht="15" customHeight="1">
      <c r="A3506" s="1">
        <v>137</v>
      </c>
      <c r="B3506" s="1" t="s">
        <v>9</v>
      </c>
      <c r="C3506" s="2" t="s">
        <v>4115</v>
      </c>
      <c r="D3506" s="2" t="s">
        <v>4116</v>
      </c>
      <c r="E3506" s="1">
        <v>0</v>
      </c>
      <c r="F3506" s="2" t="s">
        <v>4121</v>
      </c>
      <c r="H3506" s="1" t="str">
        <f t="shared" si="56"/>
        <v/>
      </c>
      <c r="K3506" s="1">
        <f>IF(E3506=0,SUMPRODUCT(($A$2:$A$4734=A3506)*($B$2:$B$4734=B3506)*($D$2:$D$4734=D3506)*($E$2:$E$4734=0)),0)</f>
        <v>6</v>
      </c>
      <c r="L3506" s="1">
        <f>IF(E3506=0,SUMPRODUCT(MIN($K$2:$K$4734+((($A$2:$A$4734&lt;&gt;A3506)+($E$2:$E$4734&lt;&gt;0))&gt;0)*1000000)),"")</f>
        <v>3</v>
      </c>
      <c r="M3506" s="1">
        <f>IF(AND(E3506=0,COUNTIFS($A$2:A3506,A3506,$E$2:E3506,0)=1),L3506,0)</f>
        <v>0</v>
      </c>
    </row>
    <row r="3507" spans="1:13" ht="15" customHeight="1">
      <c r="A3507" s="1">
        <v>137</v>
      </c>
      <c r="B3507" s="1" t="s">
        <v>9</v>
      </c>
      <c r="C3507" s="2" t="s">
        <v>4115</v>
      </c>
      <c r="D3507" s="2" t="s">
        <v>4116</v>
      </c>
      <c r="E3507" s="1">
        <v>0</v>
      </c>
      <c r="F3507" s="2" t="s">
        <v>4122</v>
      </c>
      <c r="H3507" s="1" t="str">
        <f t="shared" si="56"/>
        <v/>
      </c>
      <c r="K3507" s="1">
        <f>IF(E3507=0,SUMPRODUCT(($A$2:$A$4734=A3507)*($B$2:$B$4734=B3507)*($D$2:$D$4734=D3507)*($E$2:$E$4734=0)),0)</f>
        <v>6</v>
      </c>
      <c r="L3507" s="1">
        <f>IF(E3507=0,SUMPRODUCT(MIN($K$2:$K$4734+((($A$2:$A$4734&lt;&gt;A3507)+($E$2:$E$4734&lt;&gt;0))&gt;0)*1000000)),"")</f>
        <v>3</v>
      </c>
      <c r="M3507" s="1">
        <f>IF(AND(E3507=0,COUNTIFS($A$2:A3507,A3507,$E$2:E3507,0)=1),L3507,0)</f>
        <v>0</v>
      </c>
    </row>
    <row r="3508" spans="1:13" ht="15" customHeight="1">
      <c r="A3508" s="1">
        <v>137</v>
      </c>
      <c r="B3508" s="1" t="s">
        <v>16</v>
      </c>
      <c r="C3508" s="2" t="s">
        <v>4115</v>
      </c>
      <c r="D3508" s="2" t="s">
        <v>4123</v>
      </c>
      <c r="E3508" s="1">
        <v>0</v>
      </c>
      <c r="F3508" s="2" t="s">
        <v>4124</v>
      </c>
      <c r="H3508" s="1" t="str">
        <f t="shared" si="56"/>
        <v/>
      </c>
      <c r="K3508" s="1">
        <f>IF(E3508=0,SUMPRODUCT(($A$2:$A$4734=A3508)*($B$2:$B$4734=B3508)*($D$2:$D$4734=D3508)*($E$2:$E$4734=0)),0)</f>
        <v>3</v>
      </c>
      <c r="L3508" s="1">
        <f>IF(E3508=0,SUMPRODUCT(MIN($K$2:$K$4734+((($A$2:$A$4734&lt;&gt;A3508)+($E$2:$E$4734&lt;&gt;0))&gt;0)*1000000)),"")</f>
        <v>3</v>
      </c>
      <c r="M3508" s="1">
        <f>IF(AND(E3508=0,COUNTIFS($A$2:A3508,A3508,$E$2:E3508,0)=1),L3508,0)</f>
        <v>0</v>
      </c>
    </row>
    <row r="3509" spans="1:13" ht="15" customHeight="1">
      <c r="A3509" s="1">
        <v>137</v>
      </c>
      <c r="B3509" s="1" t="s">
        <v>16</v>
      </c>
      <c r="C3509" s="2" t="s">
        <v>4115</v>
      </c>
      <c r="D3509" s="2" t="s">
        <v>4123</v>
      </c>
      <c r="E3509" s="1">
        <v>0</v>
      </c>
      <c r="F3509" s="2" t="s">
        <v>4125</v>
      </c>
      <c r="H3509" s="1" t="str">
        <f t="shared" si="56"/>
        <v/>
      </c>
      <c r="K3509" s="1">
        <f>IF(E3509=0,SUMPRODUCT(($A$2:$A$4734=A3509)*($B$2:$B$4734=B3509)*($D$2:$D$4734=D3509)*($E$2:$E$4734=0)),0)</f>
        <v>3</v>
      </c>
      <c r="L3509" s="1">
        <f>IF(E3509=0,SUMPRODUCT(MIN($K$2:$K$4734+((($A$2:$A$4734&lt;&gt;A3509)+($E$2:$E$4734&lt;&gt;0))&gt;0)*1000000)),"")</f>
        <v>3</v>
      </c>
      <c r="M3509" s="1">
        <f>IF(AND(E3509=0,COUNTIFS($A$2:A3509,A3509,$E$2:E3509,0)=1),L3509,0)</f>
        <v>0</v>
      </c>
    </row>
    <row r="3510" spans="1:13" ht="15" customHeight="1">
      <c r="A3510" s="1">
        <v>137</v>
      </c>
      <c r="B3510" s="1" t="s">
        <v>16</v>
      </c>
      <c r="C3510" s="2" t="s">
        <v>4115</v>
      </c>
      <c r="D3510" s="2" t="s">
        <v>4123</v>
      </c>
      <c r="E3510" s="1">
        <v>0</v>
      </c>
      <c r="F3510" s="2" t="s">
        <v>4126</v>
      </c>
      <c r="H3510" s="1" t="str">
        <f t="shared" si="56"/>
        <v/>
      </c>
      <c r="K3510" s="1">
        <f>IF(E3510=0,SUMPRODUCT(($A$2:$A$4734=A3510)*($B$2:$B$4734=B3510)*($D$2:$D$4734=D3510)*($E$2:$E$4734=0)),0)</f>
        <v>3</v>
      </c>
      <c r="L3510" s="1">
        <f>IF(E3510=0,SUMPRODUCT(MIN($K$2:$K$4734+((($A$2:$A$4734&lt;&gt;A3510)+($E$2:$E$4734&lt;&gt;0))&gt;0)*1000000)),"")</f>
        <v>3</v>
      </c>
      <c r="M3510" s="1">
        <f>IF(AND(E3510=0,COUNTIFS($A$2:A3510,A3510,$E$2:E3510,0)=1),L3510,0)</f>
        <v>0</v>
      </c>
    </row>
    <row r="3511" spans="1:13" ht="15" customHeight="1">
      <c r="A3511" s="1">
        <v>138</v>
      </c>
      <c r="B3511" s="1" t="s">
        <v>16</v>
      </c>
      <c r="C3511" s="2" t="s">
        <v>4127</v>
      </c>
      <c r="D3511" s="1" t="s">
        <v>4128</v>
      </c>
      <c r="E3511" s="1">
        <v>0</v>
      </c>
      <c r="F3511" s="2" t="s">
        <v>4129</v>
      </c>
      <c r="H3511" s="1" t="str">
        <f t="shared" si="56"/>
        <v/>
      </c>
      <c r="K3511" s="1">
        <f>IF(E3511=0,SUMPRODUCT(($A$2:$A$4734=A3511)*($B$2:$B$4734=B3511)*($D$2:$D$4734=D3511)*($E$2:$E$4734=0)),0)</f>
        <v>3</v>
      </c>
      <c r="L3511" s="1">
        <f>IF(E3511=0,SUMPRODUCT(MIN($K$2:$K$4734+((($A$2:$A$4734&lt;&gt;A3511)+($E$2:$E$4734&lt;&gt;0))&gt;0)*1000000)),"")</f>
        <v>3</v>
      </c>
      <c r="M3511" s="1">
        <f>IF(AND(E3511=0,COUNTIFS($A$2:A3511,A3511,$E$2:E3511,0)=1),L3511,0)</f>
        <v>3</v>
      </c>
    </row>
    <row r="3512" spans="1:13" ht="15" customHeight="1">
      <c r="A3512" s="1">
        <v>138</v>
      </c>
      <c r="B3512" s="1" t="s">
        <v>16</v>
      </c>
      <c r="C3512" s="2" t="s">
        <v>4127</v>
      </c>
      <c r="D3512" s="1" t="s">
        <v>4128</v>
      </c>
      <c r="E3512" s="1">
        <v>0</v>
      </c>
      <c r="F3512" s="2" t="s">
        <v>4130</v>
      </c>
      <c r="H3512" s="1" t="str">
        <f t="shared" si="56"/>
        <v/>
      </c>
      <c r="K3512" s="1">
        <f>IF(E3512=0,SUMPRODUCT(($A$2:$A$4734=A3512)*($B$2:$B$4734=B3512)*($D$2:$D$4734=D3512)*($E$2:$E$4734=0)),0)</f>
        <v>3</v>
      </c>
      <c r="L3512" s="1">
        <f>IF(E3512=0,SUMPRODUCT(MIN($K$2:$K$4734+((($A$2:$A$4734&lt;&gt;A3512)+($E$2:$E$4734&lt;&gt;0))&gt;0)*1000000)),"")</f>
        <v>3</v>
      </c>
      <c r="M3512" s="1">
        <f>IF(AND(E3512=0,COUNTIFS($A$2:A3512,A3512,$E$2:E3512,0)=1),L3512,0)</f>
        <v>0</v>
      </c>
    </row>
    <row r="3513" spans="1:13" ht="15" customHeight="1">
      <c r="A3513" s="1">
        <v>138</v>
      </c>
      <c r="B3513" s="1" t="s">
        <v>16</v>
      </c>
      <c r="C3513" s="2" t="s">
        <v>4127</v>
      </c>
      <c r="D3513" s="1" t="s">
        <v>4128</v>
      </c>
      <c r="E3513" s="1">
        <v>0</v>
      </c>
      <c r="F3513" s="2" t="s">
        <v>4131</v>
      </c>
      <c r="H3513" s="1" t="str">
        <f t="shared" si="56"/>
        <v/>
      </c>
      <c r="K3513" s="1">
        <f>IF(E3513=0,SUMPRODUCT(($A$2:$A$4734=A3513)*($B$2:$B$4734=B3513)*($D$2:$D$4734=D3513)*($E$2:$E$4734=0)),0)</f>
        <v>3</v>
      </c>
      <c r="L3513" s="1">
        <f>IF(E3513=0,SUMPRODUCT(MIN($K$2:$K$4734+((($A$2:$A$4734&lt;&gt;A3513)+($E$2:$E$4734&lt;&gt;0))&gt;0)*1000000)),"")</f>
        <v>3</v>
      </c>
      <c r="M3513" s="1">
        <f>IF(AND(E3513=0,COUNTIFS($A$2:A3513,A3513,$E$2:E3513,0)=1),L3513,0)</f>
        <v>0</v>
      </c>
    </row>
    <row r="3514" spans="1:13" ht="15" customHeight="1">
      <c r="A3514" s="1">
        <v>139</v>
      </c>
      <c r="B3514" s="1" t="s">
        <v>16</v>
      </c>
      <c r="C3514" s="2" t="s">
        <v>4132</v>
      </c>
      <c r="D3514" s="2" t="s">
        <v>4133</v>
      </c>
      <c r="E3514" s="1">
        <v>1</v>
      </c>
      <c r="F3514" s="2" t="s">
        <v>4134</v>
      </c>
      <c r="G3514" s="1">
        <v>1</v>
      </c>
      <c r="H3514" s="1" t="str">
        <f t="shared" si="56"/>
        <v>k139_1</v>
      </c>
      <c r="K3514" s="1">
        <f>IF(E3514=0,SUMPRODUCT(($A$2:$A$4734=A3514)*($B$2:$B$4734=B3514)*($D$2:$D$4734=D3514)*($E$2:$E$4734=0)),0)</f>
        <v>0</v>
      </c>
      <c r="L3514" s="1" t="str">
        <f>IF(E3514=0,SUMPRODUCT(MIN($K$2:$K$4734+((($A$2:$A$4734&lt;&gt;A3514)+($E$2:$E$4734&lt;&gt;0))&gt;0)*1000000)),"")</f>
        <v/>
      </c>
      <c r="M3514" s="1">
        <f>IF(AND(E3514=0,COUNTIFS($A$2:A3514,A3514,$E$2:E3514,0)=1),L3514,0)</f>
        <v>0</v>
      </c>
    </row>
    <row r="3515" spans="1:13" ht="15" customHeight="1">
      <c r="A3515" s="1">
        <v>139</v>
      </c>
      <c r="B3515" s="1" t="s">
        <v>16</v>
      </c>
      <c r="C3515" s="2" t="s">
        <v>4132</v>
      </c>
      <c r="D3515" s="2" t="s">
        <v>4133</v>
      </c>
      <c r="E3515" s="1">
        <v>1</v>
      </c>
      <c r="F3515" s="2" t="s">
        <v>4135</v>
      </c>
      <c r="G3515" s="1">
        <v>2</v>
      </c>
      <c r="H3515" s="1" t="str">
        <f t="shared" si="56"/>
        <v>k139_2</v>
      </c>
      <c r="K3515" s="1">
        <f>IF(E3515=0,SUMPRODUCT(($A$2:$A$4734=A3515)*($B$2:$B$4734=B3515)*($D$2:$D$4734=D3515)*($E$2:$E$4734=0)),0)</f>
        <v>0</v>
      </c>
      <c r="L3515" s="1" t="str">
        <f>IF(E3515=0,SUMPRODUCT(MIN($K$2:$K$4734+((($A$2:$A$4734&lt;&gt;A3515)+($E$2:$E$4734&lt;&gt;0))&gt;0)*1000000)),"")</f>
        <v/>
      </c>
      <c r="M3515" s="1">
        <f>IF(AND(E3515=0,COUNTIFS($A$2:A3515,A3515,$E$2:E3515,0)=1),L3515,0)</f>
        <v>0</v>
      </c>
    </row>
    <row r="3516" spans="1:13" ht="15" customHeight="1">
      <c r="A3516" s="1">
        <v>139</v>
      </c>
      <c r="B3516" s="1" t="s">
        <v>16</v>
      </c>
      <c r="C3516" s="2" t="s">
        <v>4132</v>
      </c>
      <c r="D3516" s="2" t="s">
        <v>4133</v>
      </c>
      <c r="E3516" s="1">
        <v>1</v>
      </c>
      <c r="F3516" s="2" t="s">
        <v>4136</v>
      </c>
      <c r="G3516" s="1">
        <v>3</v>
      </c>
      <c r="H3516" s="1" t="str">
        <f t="shared" si="56"/>
        <v>k139_3</v>
      </c>
      <c r="K3516" s="1">
        <f>IF(E3516=0,SUMPRODUCT(($A$2:$A$4734=A3516)*($B$2:$B$4734=B3516)*($D$2:$D$4734=D3516)*($E$2:$E$4734=0)),0)</f>
        <v>0</v>
      </c>
      <c r="L3516" s="1" t="str">
        <f>IF(E3516=0,SUMPRODUCT(MIN($K$2:$K$4734+((($A$2:$A$4734&lt;&gt;A3516)+($E$2:$E$4734&lt;&gt;0))&gt;0)*1000000)),"")</f>
        <v/>
      </c>
      <c r="M3516" s="1">
        <f>IF(AND(E3516=0,COUNTIFS($A$2:A3516,A3516,$E$2:E3516,0)=1),L3516,0)</f>
        <v>0</v>
      </c>
    </row>
    <row r="3517" spans="1:13" ht="15" customHeight="1">
      <c r="A3517" s="1">
        <v>139</v>
      </c>
      <c r="B3517" s="1" t="s">
        <v>16</v>
      </c>
      <c r="C3517" s="2" t="s">
        <v>4132</v>
      </c>
      <c r="D3517" s="2" t="s">
        <v>4133</v>
      </c>
      <c r="E3517" s="1">
        <v>1</v>
      </c>
      <c r="F3517" s="2" t="s">
        <v>4137</v>
      </c>
      <c r="G3517" s="1">
        <v>4</v>
      </c>
      <c r="H3517" s="1" t="str">
        <f t="shared" si="56"/>
        <v>k139_4</v>
      </c>
      <c r="K3517" s="1">
        <f>IF(E3517=0,SUMPRODUCT(($A$2:$A$4734=A3517)*($B$2:$B$4734=B3517)*($D$2:$D$4734=D3517)*($E$2:$E$4734=0)),0)</f>
        <v>0</v>
      </c>
      <c r="L3517" s="1" t="str">
        <f>IF(E3517=0,SUMPRODUCT(MIN($K$2:$K$4734+((($A$2:$A$4734&lt;&gt;A3517)+($E$2:$E$4734&lt;&gt;0))&gt;0)*1000000)),"")</f>
        <v/>
      </c>
      <c r="M3517" s="1">
        <f>IF(AND(E3517=0,COUNTIFS($A$2:A3517,A3517,$E$2:E3517,0)=1),L3517,0)</f>
        <v>0</v>
      </c>
    </row>
    <row r="3518" spans="1:13" ht="15" customHeight="1">
      <c r="A3518" s="1">
        <v>139</v>
      </c>
      <c r="B3518" s="1" t="s">
        <v>16</v>
      </c>
      <c r="C3518" s="2" t="s">
        <v>4132</v>
      </c>
      <c r="D3518" s="2" t="s">
        <v>4133</v>
      </c>
      <c r="E3518" s="1">
        <v>1</v>
      </c>
      <c r="F3518" s="2" t="s">
        <v>4138</v>
      </c>
      <c r="G3518" s="1">
        <v>5</v>
      </c>
      <c r="H3518" s="1" t="str">
        <f t="shared" si="56"/>
        <v>k139_5</v>
      </c>
      <c r="K3518" s="1">
        <f>IF(E3518=0,SUMPRODUCT(($A$2:$A$4734=A3518)*($B$2:$B$4734=B3518)*($D$2:$D$4734=D3518)*($E$2:$E$4734=0)),0)</f>
        <v>0</v>
      </c>
      <c r="L3518" s="1" t="str">
        <f>IF(E3518=0,SUMPRODUCT(MIN($K$2:$K$4734+((($A$2:$A$4734&lt;&gt;A3518)+($E$2:$E$4734&lt;&gt;0))&gt;0)*1000000)),"")</f>
        <v/>
      </c>
      <c r="M3518" s="1">
        <f>IF(AND(E3518=0,COUNTIFS($A$2:A3518,A3518,$E$2:E3518,0)=1),L3518,0)</f>
        <v>0</v>
      </c>
    </row>
    <row r="3519" spans="1:13" ht="15" customHeight="1">
      <c r="A3519" s="1">
        <v>139</v>
      </c>
      <c r="B3519" s="1" t="s">
        <v>16</v>
      </c>
      <c r="C3519" s="2" t="s">
        <v>4132</v>
      </c>
      <c r="D3519" s="2" t="s">
        <v>4139</v>
      </c>
      <c r="E3519" s="1">
        <v>1</v>
      </c>
      <c r="F3519" s="2" t="s">
        <v>4140</v>
      </c>
      <c r="G3519" s="1">
        <v>1</v>
      </c>
      <c r="H3519" s="1" t="str">
        <f t="shared" si="56"/>
        <v>k139_1</v>
      </c>
      <c r="K3519" s="1">
        <f>IF(E3519=0,SUMPRODUCT(($A$2:$A$4734=A3519)*($B$2:$B$4734=B3519)*($D$2:$D$4734=D3519)*($E$2:$E$4734=0)),0)</f>
        <v>0</v>
      </c>
      <c r="L3519" s="1" t="str">
        <f>IF(E3519=0,SUMPRODUCT(MIN($K$2:$K$4734+((($A$2:$A$4734&lt;&gt;A3519)+($E$2:$E$4734&lt;&gt;0))&gt;0)*1000000)),"")</f>
        <v/>
      </c>
      <c r="M3519" s="1">
        <f>IF(AND(E3519=0,COUNTIFS($A$2:A3519,A3519,$E$2:E3519,0)=1),L3519,0)</f>
        <v>0</v>
      </c>
    </row>
    <row r="3520" spans="1:13" ht="15" customHeight="1">
      <c r="A3520" s="1">
        <v>139</v>
      </c>
      <c r="B3520" s="1" t="s">
        <v>16</v>
      </c>
      <c r="C3520" s="2" t="s">
        <v>4132</v>
      </c>
      <c r="D3520" s="2" t="s">
        <v>4139</v>
      </c>
      <c r="E3520" s="1">
        <v>1</v>
      </c>
      <c r="F3520" s="2" t="s">
        <v>4141</v>
      </c>
      <c r="G3520" s="1">
        <v>2</v>
      </c>
      <c r="H3520" s="1" t="str">
        <f t="shared" si="56"/>
        <v>k139_2</v>
      </c>
      <c r="K3520" s="1">
        <f>IF(E3520=0,SUMPRODUCT(($A$2:$A$4734=A3520)*($B$2:$B$4734=B3520)*($D$2:$D$4734=D3520)*($E$2:$E$4734=0)),0)</f>
        <v>0</v>
      </c>
      <c r="L3520" s="1" t="str">
        <f>IF(E3520=0,SUMPRODUCT(MIN($K$2:$K$4734+((($A$2:$A$4734&lt;&gt;A3520)+($E$2:$E$4734&lt;&gt;0))&gt;0)*1000000)),"")</f>
        <v/>
      </c>
      <c r="M3520" s="1">
        <f>IF(AND(E3520=0,COUNTIFS($A$2:A3520,A3520,$E$2:E3520,0)=1),L3520,0)</f>
        <v>0</v>
      </c>
    </row>
    <row r="3521" spans="1:13" ht="15" customHeight="1">
      <c r="A3521" s="1">
        <v>139</v>
      </c>
      <c r="B3521" s="1" t="s">
        <v>16</v>
      </c>
      <c r="C3521" s="2" t="s">
        <v>4132</v>
      </c>
      <c r="D3521" s="2" t="s">
        <v>4139</v>
      </c>
      <c r="E3521" s="1">
        <v>1</v>
      </c>
      <c r="F3521" s="2" t="s">
        <v>4142</v>
      </c>
      <c r="G3521" s="1">
        <v>3</v>
      </c>
      <c r="H3521" s="1" t="str">
        <f t="shared" si="56"/>
        <v>k139_3</v>
      </c>
      <c r="K3521" s="1">
        <f>IF(E3521=0,SUMPRODUCT(($A$2:$A$4734=A3521)*($B$2:$B$4734=B3521)*($D$2:$D$4734=D3521)*($E$2:$E$4734=0)),0)</f>
        <v>0</v>
      </c>
      <c r="L3521" s="1" t="str">
        <f>IF(E3521=0,SUMPRODUCT(MIN($K$2:$K$4734+((($A$2:$A$4734&lt;&gt;A3521)+($E$2:$E$4734&lt;&gt;0))&gt;0)*1000000)),"")</f>
        <v/>
      </c>
      <c r="M3521" s="1">
        <f>IF(AND(E3521=0,COUNTIFS($A$2:A3521,A3521,$E$2:E3521,0)=1),L3521,0)</f>
        <v>0</v>
      </c>
    </row>
    <row r="3522" spans="1:13" ht="15" customHeight="1">
      <c r="A3522" s="1">
        <v>139</v>
      </c>
      <c r="B3522" s="1" t="s">
        <v>16</v>
      </c>
      <c r="C3522" s="2" t="s">
        <v>4132</v>
      </c>
      <c r="D3522" s="2" t="s">
        <v>4139</v>
      </c>
      <c r="E3522" s="1">
        <v>1</v>
      </c>
      <c r="F3522" s="2" t="s">
        <v>4143</v>
      </c>
      <c r="G3522" s="1">
        <v>4</v>
      </c>
      <c r="H3522" s="1" t="str">
        <f t="shared" si="56"/>
        <v>k139_4</v>
      </c>
      <c r="K3522" s="1">
        <f>IF(E3522=0,SUMPRODUCT(($A$2:$A$4734=A3522)*($B$2:$B$4734=B3522)*($D$2:$D$4734=D3522)*($E$2:$E$4734=0)),0)</f>
        <v>0</v>
      </c>
      <c r="L3522" s="1" t="str">
        <f>IF(E3522=0,SUMPRODUCT(MIN($K$2:$K$4734+((($A$2:$A$4734&lt;&gt;A3522)+($E$2:$E$4734&lt;&gt;0))&gt;0)*1000000)),"")</f>
        <v/>
      </c>
      <c r="M3522" s="1">
        <f>IF(AND(E3522=0,COUNTIFS($A$2:A3522,A3522,$E$2:E3522,0)=1),L3522,0)</f>
        <v>0</v>
      </c>
    </row>
    <row r="3523" spans="1:13" ht="15" customHeight="1">
      <c r="A3523" s="1">
        <v>139</v>
      </c>
      <c r="B3523" s="1" t="s">
        <v>16</v>
      </c>
      <c r="C3523" s="2" t="s">
        <v>4132</v>
      </c>
      <c r="D3523" s="2" t="s">
        <v>4139</v>
      </c>
      <c r="E3523" s="1">
        <v>1</v>
      </c>
      <c r="F3523" s="2" t="s">
        <v>4143</v>
      </c>
      <c r="G3523" s="1">
        <v>5</v>
      </c>
      <c r="H3523" s="1" t="str">
        <f t="shared" si="56"/>
        <v>k139_5</v>
      </c>
      <c r="K3523" s="1">
        <f>IF(E3523=0,SUMPRODUCT(($A$2:$A$4734=A3523)*($B$2:$B$4734=B3523)*($D$2:$D$4734=D3523)*($E$2:$E$4734=0)),0)</f>
        <v>0</v>
      </c>
      <c r="L3523" s="1" t="str">
        <f>IF(E3523=0,SUMPRODUCT(MIN($K$2:$K$4734+((($A$2:$A$4734&lt;&gt;A3523)+($E$2:$E$4734&lt;&gt;0))&gt;0)*1000000)),"")</f>
        <v/>
      </c>
      <c r="M3523" s="1">
        <f>IF(AND(E3523=0,COUNTIFS($A$2:A3523,A3523,$E$2:E3523,0)=1),L3523,0)</f>
        <v>0</v>
      </c>
    </row>
    <row r="3524" spans="1:13" ht="15" customHeight="1">
      <c r="A3524" s="1">
        <v>139</v>
      </c>
      <c r="B3524" s="1" t="s">
        <v>167</v>
      </c>
      <c r="C3524" s="2" t="s">
        <v>4132</v>
      </c>
      <c r="D3524" s="1" t="s">
        <v>3435</v>
      </c>
      <c r="E3524" s="1">
        <v>1</v>
      </c>
      <c r="F3524" s="2" t="s">
        <v>4144</v>
      </c>
      <c r="G3524" s="1">
        <v>1</v>
      </c>
      <c r="H3524" s="1" t="str">
        <f t="shared" si="56"/>
        <v>k139_1</v>
      </c>
      <c r="K3524" s="1">
        <f>IF(E3524=0,SUMPRODUCT(($A$2:$A$4734=A3524)*($B$2:$B$4734=B3524)*($D$2:$D$4734=D3524)*($E$2:$E$4734=0)),0)</f>
        <v>0</v>
      </c>
      <c r="L3524" s="1" t="str">
        <f>IF(E3524=0,SUMPRODUCT(MIN($K$2:$K$4734+((($A$2:$A$4734&lt;&gt;A3524)+($E$2:$E$4734&lt;&gt;0))&gt;0)*1000000)),"")</f>
        <v/>
      </c>
      <c r="M3524" s="1">
        <f>IF(AND(E3524=0,COUNTIFS($A$2:A3524,A3524,$E$2:E3524,0)=1),L3524,0)</f>
        <v>0</v>
      </c>
    </row>
    <row r="3525" spans="1:13" ht="15" customHeight="1">
      <c r="A3525" s="1">
        <v>139</v>
      </c>
      <c r="B3525" s="1" t="s">
        <v>167</v>
      </c>
      <c r="C3525" s="2" t="s">
        <v>4132</v>
      </c>
      <c r="D3525" s="1" t="s">
        <v>3435</v>
      </c>
      <c r="E3525" s="1">
        <v>1</v>
      </c>
      <c r="F3525" s="2" t="s">
        <v>4145</v>
      </c>
      <c r="G3525" s="1">
        <v>2</v>
      </c>
      <c r="H3525" s="1" t="str">
        <f t="shared" si="56"/>
        <v>k139_2</v>
      </c>
      <c r="K3525" s="1">
        <f>IF(E3525=0,SUMPRODUCT(($A$2:$A$4734=A3525)*($B$2:$B$4734=B3525)*($D$2:$D$4734=D3525)*($E$2:$E$4734=0)),0)</f>
        <v>0</v>
      </c>
      <c r="L3525" s="1" t="str">
        <f>IF(E3525=0,SUMPRODUCT(MIN($K$2:$K$4734+((($A$2:$A$4734&lt;&gt;A3525)+($E$2:$E$4734&lt;&gt;0))&gt;0)*1000000)),"")</f>
        <v/>
      </c>
      <c r="M3525" s="1">
        <f>IF(AND(E3525=0,COUNTIFS($A$2:A3525,A3525,$E$2:E3525,0)=1),L3525,0)</f>
        <v>0</v>
      </c>
    </row>
    <row r="3526" spans="1:13" ht="15" customHeight="1">
      <c r="A3526" s="1">
        <v>139</v>
      </c>
      <c r="B3526" s="1" t="s">
        <v>167</v>
      </c>
      <c r="C3526" s="2" t="s">
        <v>4132</v>
      </c>
      <c r="D3526" s="1" t="s">
        <v>3435</v>
      </c>
      <c r="E3526" s="1">
        <v>1</v>
      </c>
      <c r="F3526" s="2" t="s">
        <v>4146</v>
      </c>
      <c r="G3526" s="1">
        <v>3</v>
      </c>
      <c r="H3526" s="1" t="str">
        <f t="shared" si="56"/>
        <v>k139_3</v>
      </c>
      <c r="K3526" s="1">
        <f>IF(E3526=0,SUMPRODUCT(($A$2:$A$4734=A3526)*($B$2:$B$4734=B3526)*($D$2:$D$4734=D3526)*($E$2:$E$4734=0)),0)</f>
        <v>0</v>
      </c>
      <c r="L3526" s="1" t="str">
        <f>IF(E3526=0,SUMPRODUCT(MIN($K$2:$K$4734+((($A$2:$A$4734&lt;&gt;A3526)+($E$2:$E$4734&lt;&gt;0))&gt;0)*1000000)),"")</f>
        <v/>
      </c>
      <c r="M3526" s="1">
        <f>IF(AND(E3526=0,COUNTIFS($A$2:A3526,A3526,$E$2:E3526,0)=1),L3526,0)</f>
        <v>0</v>
      </c>
    </row>
    <row r="3527" spans="1:13" ht="15" customHeight="1">
      <c r="A3527" s="1">
        <v>139</v>
      </c>
      <c r="B3527" s="1" t="s">
        <v>167</v>
      </c>
      <c r="C3527" s="2" t="s">
        <v>4132</v>
      </c>
      <c r="D3527" s="1" t="s">
        <v>3435</v>
      </c>
      <c r="E3527" s="1">
        <v>1</v>
      </c>
      <c r="F3527" s="2" t="s">
        <v>4147</v>
      </c>
      <c r="G3527" s="1">
        <v>4</v>
      </c>
      <c r="H3527" s="1" t="str">
        <f t="shared" ref="H3527:H3579" si="57">IF(OR(E3527&lt;&gt;1,G3527=""),"","k"&amp;A3527&amp;"_"&amp;G3527)</f>
        <v>k139_4</v>
      </c>
      <c r="K3527" s="1">
        <f>IF(E3527=0,SUMPRODUCT(($A$2:$A$4734=A3527)*($B$2:$B$4734=B3527)*($D$2:$D$4734=D3527)*($E$2:$E$4734=0)),0)</f>
        <v>0</v>
      </c>
      <c r="L3527" s="1" t="str">
        <f>IF(E3527=0,SUMPRODUCT(MIN($K$2:$K$4734+((($A$2:$A$4734&lt;&gt;A3527)+($E$2:$E$4734&lt;&gt;0))&gt;0)*1000000)),"")</f>
        <v/>
      </c>
      <c r="M3527" s="1">
        <f>IF(AND(E3527=0,COUNTIFS($A$2:A3527,A3527,$E$2:E3527,0)=1),L3527,0)</f>
        <v>0</v>
      </c>
    </row>
    <row r="3528" spans="1:13" ht="15" customHeight="1">
      <c r="A3528" s="1">
        <v>139</v>
      </c>
      <c r="B3528" s="1" t="s">
        <v>167</v>
      </c>
      <c r="C3528" s="2" t="s">
        <v>4132</v>
      </c>
      <c r="D3528" s="1" t="s">
        <v>3435</v>
      </c>
      <c r="E3528" s="1">
        <v>1</v>
      </c>
      <c r="F3528" s="2" t="s">
        <v>4148</v>
      </c>
      <c r="G3528" s="1">
        <v>5</v>
      </c>
      <c r="H3528" s="1" t="str">
        <f t="shared" si="57"/>
        <v>k139_5</v>
      </c>
      <c r="K3528" s="1">
        <f>IF(E3528=0,SUMPRODUCT(($A$2:$A$4734=A3528)*($B$2:$B$4734=B3528)*($D$2:$D$4734=D3528)*($E$2:$E$4734=0)),0)</f>
        <v>0</v>
      </c>
      <c r="L3528" s="1" t="str">
        <f>IF(E3528=0,SUMPRODUCT(MIN($K$2:$K$4734+((($A$2:$A$4734&lt;&gt;A3528)+($E$2:$E$4734&lt;&gt;0))&gt;0)*1000000)),"")</f>
        <v/>
      </c>
      <c r="M3528" s="1">
        <f>IF(AND(E3528=0,COUNTIFS($A$2:A3528,A3528,$E$2:E3528,0)=1),L3528,0)</f>
        <v>0</v>
      </c>
    </row>
    <row r="3529" spans="1:13" ht="15" customHeight="1">
      <c r="A3529" s="1">
        <v>139</v>
      </c>
      <c r="B3529" s="1" t="s">
        <v>144</v>
      </c>
      <c r="C3529" s="2" t="s">
        <v>4132</v>
      </c>
      <c r="D3529" s="2" t="s">
        <v>4149</v>
      </c>
      <c r="E3529" s="1">
        <v>1</v>
      </c>
      <c r="F3529" s="2" t="s">
        <v>4150</v>
      </c>
      <c r="G3529" s="1">
        <v>1</v>
      </c>
      <c r="H3529" s="1" t="str">
        <f t="shared" si="57"/>
        <v>k139_1</v>
      </c>
      <c r="K3529" s="1">
        <f>IF(E3529=0,SUMPRODUCT(($A$2:$A$4734=A3529)*($B$2:$B$4734=B3529)*($D$2:$D$4734=D3529)*($E$2:$E$4734=0)),0)</f>
        <v>0</v>
      </c>
      <c r="L3529" s="1" t="str">
        <f>IF(E3529=0,SUMPRODUCT(MIN($K$2:$K$4734+((($A$2:$A$4734&lt;&gt;A3529)+($E$2:$E$4734&lt;&gt;0))&gt;0)*1000000)),"")</f>
        <v/>
      </c>
      <c r="M3529" s="1">
        <f>IF(AND(E3529=0,COUNTIFS($A$2:A3529,A3529,$E$2:E3529,0)=1),L3529,0)</f>
        <v>0</v>
      </c>
    </row>
    <row r="3530" spans="1:13" ht="15" customHeight="1">
      <c r="A3530" s="1">
        <v>139</v>
      </c>
      <c r="B3530" s="1" t="s">
        <v>144</v>
      </c>
      <c r="C3530" s="2" t="s">
        <v>4132</v>
      </c>
      <c r="D3530" s="2" t="s">
        <v>4149</v>
      </c>
      <c r="E3530" s="1">
        <v>1</v>
      </c>
      <c r="F3530" s="2" t="s">
        <v>4151</v>
      </c>
      <c r="G3530" s="1">
        <v>2</v>
      </c>
      <c r="H3530" s="1" t="str">
        <f t="shared" si="57"/>
        <v>k139_2</v>
      </c>
      <c r="K3530" s="1">
        <f>IF(E3530=0,SUMPRODUCT(($A$2:$A$4734=A3530)*($B$2:$B$4734=B3530)*($D$2:$D$4734=D3530)*($E$2:$E$4734=0)),0)</f>
        <v>0</v>
      </c>
      <c r="L3530" s="1" t="str">
        <f>IF(E3530=0,SUMPRODUCT(MIN($K$2:$K$4734+((($A$2:$A$4734&lt;&gt;A3530)+($E$2:$E$4734&lt;&gt;0))&gt;0)*1000000)),"")</f>
        <v/>
      </c>
      <c r="M3530" s="1">
        <f>IF(AND(E3530=0,COUNTIFS($A$2:A3530,A3530,$E$2:E3530,0)=1),L3530,0)</f>
        <v>0</v>
      </c>
    </row>
    <row r="3531" spans="1:13" ht="15" customHeight="1">
      <c r="A3531" s="1">
        <v>139</v>
      </c>
      <c r="B3531" s="1" t="s">
        <v>144</v>
      </c>
      <c r="C3531" s="2" t="s">
        <v>4132</v>
      </c>
      <c r="D3531" s="2" t="s">
        <v>4149</v>
      </c>
      <c r="E3531" s="1">
        <v>1</v>
      </c>
      <c r="F3531" s="2" t="s">
        <v>4152</v>
      </c>
      <c r="G3531" s="1">
        <v>3</v>
      </c>
      <c r="H3531" s="1" t="str">
        <f t="shared" si="57"/>
        <v>k139_3</v>
      </c>
      <c r="K3531" s="1">
        <f>IF(E3531=0,SUMPRODUCT(($A$2:$A$4734=A3531)*($B$2:$B$4734=B3531)*($D$2:$D$4734=D3531)*($E$2:$E$4734=0)),0)</f>
        <v>0</v>
      </c>
      <c r="L3531" s="1" t="str">
        <f>IF(E3531=0,SUMPRODUCT(MIN($K$2:$K$4734+((($A$2:$A$4734&lt;&gt;A3531)+($E$2:$E$4734&lt;&gt;0))&gt;0)*1000000)),"")</f>
        <v/>
      </c>
      <c r="M3531" s="1">
        <f>IF(AND(E3531=0,COUNTIFS($A$2:A3531,A3531,$E$2:E3531,0)=1),L3531,0)</f>
        <v>0</v>
      </c>
    </row>
    <row r="3532" spans="1:13" ht="15" customHeight="1">
      <c r="A3532" s="1">
        <v>139</v>
      </c>
      <c r="B3532" s="1" t="s">
        <v>144</v>
      </c>
      <c r="C3532" s="2" t="s">
        <v>4132</v>
      </c>
      <c r="D3532" s="2" t="s">
        <v>4149</v>
      </c>
      <c r="E3532" s="1">
        <v>1</v>
      </c>
      <c r="F3532" s="2" t="s">
        <v>4152</v>
      </c>
      <c r="G3532" s="1">
        <v>4</v>
      </c>
      <c r="H3532" s="1" t="str">
        <f t="shared" si="57"/>
        <v>k139_4</v>
      </c>
      <c r="K3532" s="1">
        <f>IF(E3532=0,SUMPRODUCT(($A$2:$A$4734=A3532)*($B$2:$B$4734=B3532)*($D$2:$D$4734=D3532)*($E$2:$E$4734=0)),0)</f>
        <v>0</v>
      </c>
      <c r="L3532" s="1" t="str">
        <f>IF(E3532=0,SUMPRODUCT(MIN($K$2:$K$4734+((($A$2:$A$4734&lt;&gt;A3532)+($E$2:$E$4734&lt;&gt;0))&gt;0)*1000000)),"")</f>
        <v/>
      </c>
      <c r="M3532" s="1">
        <f>IF(AND(E3532=0,COUNTIFS($A$2:A3532,A3532,$E$2:E3532,0)=1),L3532,0)</f>
        <v>0</v>
      </c>
    </row>
    <row r="3533" spans="1:13" ht="15" customHeight="1">
      <c r="A3533" s="1">
        <v>139</v>
      </c>
      <c r="B3533" s="1" t="s">
        <v>144</v>
      </c>
      <c r="C3533" s="2" t="s">
        <v>4132</v>
      </c>
      <c r="D3533" s="2" t="s">
        <v>4149</v>
      </c>
      <c r="E3533" s="1">
        <v>1</v>
      </c>
      <c r="F3533" s="2" t="s">
        <v>4153</v>
      </c>
      <c r="G3533" s="1">
        <v>5</v>
      </c>
      <c r="H3533" s="1" t="str">
        <f t="shared" si="57"/>
        <v>k139_5</v>
      </c>
      <c r="K3533" s="1">
        <f>IF(E3533=0,SUMPRODUCT(($A$2:$A$4734=A3533)*($B$2:$B$4734=B3533)*($D$2:$D$4734=D3533)*($E$2:$E$4734=0)),0)</f>
        <v>0</v>
      </c>
      <c r="L3533" s="1" t="str">
        <f>IF(E3533=0,SUMPRODUCT(MIN($K$2:$K$4734+((($A$2:$A$4734&lt;&gt;A3533)+($E$2:$E$4734&lt;&gt;0))&gt;0)*1000000)),"")</f>
        <v/>
      </c>
      <c r="M3533" s="1">
        <f>IF(AND(E3533=0,COUNTIFS($A$2:A3533,A3533,$E$2:E3533,0)=1),L3533,0)</f>
        <v>0</v>
      </c>
    </row>
    <row r="3534" spans="1:13" ht="15" customHeight="1">
      <c r="A3534" s="1">
        <v>140</v>
      </c>
      <c r="B3534" s="1" t="s">
        <v>16</v>
      </c>
      <c r="C3534" s="2" t="s">
        <v>4155</v>
      </c>
      <c r="D3534" s="2" t="s">
        <v>4154</v>
      </c>
      <c r="E3534" s="1">
        <v>0</v>
      </c>
      <c r="F3534" s="2" t="s">
        <v>4156</v>
      </c>
      <c r="H3534" s="1" t="str">
        <f t="shared" si="57"/>
        <v/>
      </c>
      <c r="K3534" s="1">
        <f>IF(E3534=0,SUMPRODUCT(($A$2:$A$4734=A3534)*($B$2:$B$4734=B3534)*($D$2:$D$4734=D3534)*($E$2:$E$4734=0)),0)</f>
        <v>3</v>
      </c>
      <c r="L3534" s="1">
        <f>IF(E3534=0,SUMPRODUCT(MIN($K$2:$K$4734+((($A$2:$A$4734&lt;&gt;A3534)+($E$2:$E$4734&lt;&gt;0))&gt;0)*1000000)),"")</f>
        <v>3</v>
      </c>
      <c r="M3534" s="1">
        <f>IF(AND(E3534=0,COUNTIFS($A$2:A3534,A3534,$E$2:E3534,0)=1),L3534,0)</f>
        <v>3</v>
      </c>
    </row>
    <row r="3535" spans="1:13" ht="15" customHeight="1">
      <c r="A3535" s="1">
        <v>140</v>
      </c>
      <c r="B3535" s="1" t="s">
        <v>16</v>
      </c>
      <c r="C3535" s="2" t="s">
        <v>4157</v>
      </c>
      <c r="D3535" s="2" t="s">
        <v>4154</v>
      </c>
      <c r="E3535" s="1">
        <v>0</v>
      </c>
      <c r="F3535" s="2" t="s">
        <v>4158</v>
      </c>
      <c r="H3535" s="1" t="str">
        <f t="shared" si="57"/>
        <v/>
      </c>
      <c r="K3535" s="1">
        <f>IF(E3535=0,SUMPRODUCT(($A$2:$A$4734=A3535)*($B$2:$B$4734=B3535)*($D$2:$D$4734=D3535)*($E$2:$E$4734=0)),0)</f>
        <v>3</v>
      </c>
      <c r="L3535" s="1">
        <f>IF(E3535=0,SUMPRODUCT(MIN($K$2:$K$4734+((($A$2:$A$4734&lt;&gt;A3535)+($E$2:$E$4734&lt;&gt;0))&gt;0)*1000000)),"")</f>
        <v>3</v>
      </c>
      <c r="M3535" s="1">
        <f>IF(AND(E3535=0,COUNTIFS($A$2:A3535,A3535,$E$2:E3535,0)=1),L3535,0)</f>
        <v>0</v>
      </c>
    </row>
    <row r="3536" spans="1:13" ht="15" customHeight="1">
      <c r="A3536" s="1">
        <v>140</v>
      </c>
      <c r="B3536" s="1" t="s">
        <v>16</v>
      </c>
      <c r="C3536" s="2" t="s">
        <v>4159</v>
      </c>
      <c r="D3536" s="2" t="s">
        <v>4154</v>
      </c>
      <c r="E3536" s="1">
        <v>0</v>
      </c>
      <c r="F3536" s="2" t="s">
        <v>4160</v>
      </c>
      <c r="H3536" s="1" t="str">
        <f t="shared" si="57"/>
        <v/>
      </c>
      <c r="K3536" s="1">
        <f>IF(E3536=0,SUMPRODUCT(($A$2:$A$4734=A3536)*($B$2:$B$4734=B3536)*($D$2:$D$4734=D3536)*($E$2:$E$4734=0)),0)</f>
        <v>3</v>
      </c>
      <c r="L3536" s="1">
        <f>IF(E3536=0,SUMPRODUCT(MIN($K$2:$K$4734+((($A$2:$A$4734&lt;&gt;A3536)+($E$2:$E$4734&lt;&gt;0))&gt;0)*1000000)),"")</f>
        <v>3</v>
      </c>
      <c r="M3536" s="1">
        <f>IF(AND(E3536=0,COUNTIFS($A$2:A3536,A3536,$E$2:E3536,0)=1),L3536,0)</f>
        <v>0</v>
      </c>
    </row>
    <row r="3537" spans="1:13" ht="15" customHeight="1">
      <c r="A3537" s="1">
        <v>140</v>
      </c>
      <c r="B3537" s="1" t="s">
        <v>9</v>
      </c>
      <c r="C3537" s="2" t="s">
        <v>4161</v>
      </c>
      <c r="D3537" s="2" t="s">
        <v>3771</v>
      </c>
      <c r="E3537" s="1">
        <v>0</v>
      </c>
      <c r="F3537" s="2" t="s">
        <v>2219</v>
      </c>
      <c r="H3537" s="1" t="str">
        <f t="shared" si="57"/>
        <v/>
      </c>
      <c r="K3537" s="1">
        <f>IF(E3537=0,SUMPRODUCT(($A$2:$A$4734=A3537)*($B$2:$B$4734=B3537)*($D$2:$D$4734=D3537)*($E$2:$E$4734=0)),0)</f>
        <v>4</v>
      </c>
      <c r="L3537" s="1">
        <f>IF(E3537=0,SUMPRODUCT(MIN($K$2:$K$4734+((($A$2:$A$4734&lt;&gt;A3537)+($E$2:$E$4734&lt;&gt;0))&gt;0)*1000000)),"")</f>
        <v>3</v>
      </c>
      <c r="M3537" s="1">
        <f>IF(AND(E3537=0,COUNTIFS($A$2:A3537,A3537,$E$2:E3537,0)=1),L3537,0)</f>
        <v>0</v>
      </c>
    </row>
    <row r="3538" spans="1:13" ht="15" customHeight="1">
      <c r="A3538" s="1">
        <v>140</v>
      </c>
      <c r="B3538" s="1" t="s">
        <v>9</v>
      </c>
      <c r="C3538" s="2" t="s">
        <v>4162</v>
      </c>
      <c r="D3538" s="2" t="s">
        <v>3771</v>
      </c>
      <c r="E3538" s="1">
        <v>0</v>
      </c>
      <c r="F3538" s="2" t="s">
        <v>4163</v>
      </c>
      <c r="H3538" s="1" t="str">
        <f t="shared" si="57"/>
        <v/>
      </c>
      <c r="K3538" s="1">
        <f>IF(E3538=0,SUMPRODUCT(($A$2:$A$4734=A3538)*($B$2:$B$4734=B3538)*($D$2:$D$4734=D3538)*($E$2:$E$4734=0)),0)</f>
        <v>4</v>
      </c>
      <c r="L3538" s="1">
        <f>IF(E3538=0,SUMPRODUCT(MIN($K$2:$K$4734+((($A$2:$A$4734&lt;&gt;A3538)+($E$2:$E$4734&lt;&gt;0))&gt;0)*1000000)),"")</f>
        <v>3</v>
      </c>
      <c r="M3538" s="1">
        <f>IF(AND(E3538=0,COUNTIFS($A$2:A3538,A3538,$E$2:E3538,0)=1),L3538,0)</f>
        <v>0</v>
      </c>
    </row>
    <row r="3539" spans="1:13" ht="15" customHeight="1">
      <c r="A3539" s="1">
        <v>140</v>
      </c>
      <c r="B3539" s="1" t="s">
        <v>9</v>
      </c>
      <c r="C3539" s="2" t="s">
        <v>4164</v>
      </c>
      <c r="D3539" s="2" t="s">
        <v>3771</v>
      </c>
      <c r="E3539" s="1">
        <v>0</v>
      </c>
      <c r="F3539" s="2" t="s">
        <v>4165</v>
      </c>
      <c r="H3539" s="1" t="str">
        <f t="shared" si="57"/>
        <v/>
      </c>
      <c r="K3539" s="1">
        <f>IF(E3539=0,SUMPRODUCT(($A$2:$A$4734=A3539)*($B$2:$B$4734=B3539)*($D$2:$D$4734=D3539)*($E$2:$E$4734=0)),0)</f>
        <v>4</v>
      </c>
      <c r="L3539" s="1">
        <f>IF(E3539=0,SUMPRODUCT(MIN($K$2:$K$4734+((($A$2:$A$4734&lt;&gt;A3539)+($E$2:$E$4734&lt;&gt;0))&gt;0)*1000000)),"")</f>
        <v>3</v>
      </c>
      <c r="M3539" s="1">
        <f>IF(AND(E3539=0,COUNTIFS($A$2:A3539,A3539,$E$2:E3539,0)=1),L3539,0)</f>
        <v>0</v>
      </c>
    </row>
    <row r="3540" spans="1:13" ht="15" customHeight="1">
      <c r="A3540" s="1">
        <v>140</v>
      </c>
      <c r="B3540" s="1" t="s">
        <v>9</v>
      </c>
      <c r="C3540" s="2" t="s">
        <v>4166</v>
      </c>
      <c r="D3540" s="2" t="s">
        <v>3771</v>
      </c>
      <c r="E3540" s="1">
        <v>0</v>
      </c>
      <c r="F3540" s="2" t="s">
        <v>4167</v>
      </c>
      <c r="H3540" s="1" t="str">
        <f t="shared" si="57"/>
        <v/>
      </c>
      <c r="K3540" s="1">
        <f>IF(E3540=0,SUMPRODUCT(($A$2:$A$4734=A3540)*($B$2:$B$4734=B3540)*($D$2:$D$4734=D3540)*($E$2:$E$4734=0)),0)</f>
        <v>4</v>
      </c>
      <c r="L3540" s="1">
        <f>IF(E3540=0,SUMPRODUCT(MIN($K$2:$K$4734+((($A$2:$A$4734&lt;&gt;A3540)+($E$2:$E$4734&lt;&gt;0))&gt;0)*1000000)),"")</f>
        <v>3</v>
      </c>
      <c r="M3540" s="1">
        <f>IF(AND(E3540=0,COUNTIFS($A$2:A3540,A3540,$E$2:E3540,0)=1),L3540,0)</f>
        <v>0</v>
      </c>
    </row>
    <row r="3541" spans="1:13" ht="15" customHeight="1">
      <c r="A3541" s="1">
        <v>141</v>
      </c>
      <c r="B3541" s="1" t="s">
        <v>16</v>
      </c>
      <c r="C3541" s="2" t="s">
        <v>4168</v>
      </c>
      <c r="D3541" s="2" t="s">
        <v>4169</v>
      </c>
      <c r="E3541" s="1">
        <v>0</v>
      </c>
      <c r="F3541" s="2" t="s">
        <v>4170</v>
      </c>
      <c r="H3541" s="1" t="str">
        <f t="shared" si="57"/>
        <v/>
      </c>
      <c r="K3541" s="1">
        <f>IF(E3541=0,SUMPRODUCT(($A$2:$A$4734=A3541)*($B$2:$B$4734=B3541)*($D$2:$D$4734=D3541)*($E$2:$E$4734=0)),0)</f>
        <v>3</v>
      </c>
      <c r="L3541" s="1">
        <f>IF(E3541=0,SUMPRODUCT(MIN($K$2:$K$4734+((($A$2:$A$4734&lt;&gt;A3541)+($E$2:$E$4734&lt;&gt;0))&gt;0)*1000000)),"")</f>
        <v>3</v>
      </c>
      <c r="M3541" s="1">
        <f>IF(AND(E3541=0,COUNTIFS($A$2:A3541,A3541,$E$2:E3541,0)=1),L3541,0)</f>
        <v>3</v>
      </c>
    </row>
    <row r="3542" spans="1:13" ht="15" customHeight="1">
      <c r="A3542" s="1">
        <v>141</v>
      </c>
      <c r="B3542" s="1" t="s">
        <v>16</v>
      </c>
      <c r="C3542" s="2" t="s">
        <v>4168</v>
      </c>
      <c r="D3542" s="2" t="s">
        <v>4169</v>
      </c>
      <c r="E3542" s="1">
        <v>0</v>
      </c>
      <c r="F3542" s="2" t="s">
        <v>4171</v>
      </c>
      <c r="H3542" s="1" t="str">
        <f t="shared" si="57"/>
        <v/>
      </c>
      <c r="K3542" s="1">
        <f>IF(E3542=0,SUMPRODUCT(($A$2:$A$4734=A3542)*($B$2:$B$4734=B3542)*($D$2:$D$4734=D3542)*($E$2:$E$4734=0)),0)</f>
        <v>3</v>
      </c>
      <c r="L3542" s="1">
        <f>IF(E3542=0,SUMPRODUCT(MIN($K$2:$K$4734+((($A$2:$A$4734&lt;&gt;A3542)+($E$2:$E$4734&lt;&gt;0))&gt;0)*1000000)),"")</f>
        <v>3</v>
      </c>
      <c r="M3542" s="1">
        <f>IF(AND(E3542=0,COUNTIFS($A$2:A3542,A3542,$E$2:E3542,0)=1),L3542,0)</f>
        <v>0</v>
      </c>
    </row>
    <row r="3543" spans="1:13" ht="15" customHeight="1">
      <c r="A3543" s="1">
        <v>141</v>
      </c>
      <c r="B3543" s="1" t="s">
        <v>16</v>
      </c>
      <c r="C3543" s="2" t="s">
        <v>4168</v>
      </c>
      <c r="D3543" s="2" t="s">
        <v>4169</v>
      </c>
      <c r="E3543" s="1">
        <v>0</v>
      </c>
      <c r="F3543" s="2" t="s">
        <v>4172</v>
      </c>
      <c r="H3543" s="1" t="str">
        <f t="shared" si="57"/>
        <v/>
      </c>
      <c r="K3543" s="1">
        <f>IF(E3543=0,SUMPRODUCT(($A$2:$A$4734=A3543)*($B$2:$B$4734=B3543)*($D$2:$D$4734=D3543)*($E$2:$E$4734=0)),0)</f>
        <v>3</v>
      </c>
      <c r="L3543" s="1">
        <f>IF(E3543=0,SUMPRODUCT(MIN($K$2:$K$4734+((($A$2:$A$4734&lt;&gt;A3543)+($E$2:$E$4734&lt;&gt;0))&gt;0)*1000000)),"")</f>
        <v>3</v>
      </c>
      <c r="M3543" s="1">
        <f>IF(AND(E3543=0,COUNTIFS($A$2:A3543,A3543,$E$2:E3543,0)=1),L3543,0)</f>
        <v>0</v>
      </c>
    </row>
    <row r="3544" spans="1:13" ht="15" customHeight="1">
      <c r="A3544" s="1">
        <v>142</v>
      </c>
      <c r="B3544" s="1" t="s">
        <v>16</v>
      </c>
      <c r="C3544" s="2" t="s">
        <v>4173</v>
      </c>
      <c r="D3544" s="2" t="s">
        <v>4174</v>
      </c>
      <c r="E3544" s="1">
        <v>0</v>
      </c>
      <c r="F3544" s="2" t="s">
        <v>4175</v>
      </c>
      <c r="H3544" s="1" t="str">
        <f t="shared" si="57"/>
        <v/>
      </c>
      <c r="K3544" s="1">
        <f>IF(E3544=0,SUMPRODUCT(($A$2:$A$4734=A3544)*($B$2:$B$4734=B3544)*($D$2:$D$4734=D3544)*($E$2:$E$4734=0)),0)</f>
        <v>3</v>
      </c>
      <c r="L3544" s="1">
        <f>IF(E3544=0,SUMPRODUCT(MIN($K$2:$K$4734+((($A$2:$A$4734&lt;&gt;A3544)+($E$2:$E$4734&lt;&gt;0))&gt;0)*1000000)),"")</f>
        <v>3</v>
      </c>
      <c r="M3544" s="1">
        <f>IF(AND(E3544=0,COUNTIFS($A$2:A3544,A3544,$E$2:E3544,0)=1),L3544,0)</f>
        <v>3</v>
      </c>
    </row>
    <row r="3545" spans="1:13" ht="15" customHeight="1">
      <c r="A3545" s="1">
        <v>142</v>
      </c>
      <c r="B3545" s="1" t="s">
        <v>16</v>
      </c>
      <c r="C3545" s="2" t="s">
        <v>4173</v>
      </c>
      <c r="D3545" s="2" t="s">
        <v>4174</v>
      </c>
      <c r="E3545" s="1">
        <v>0</v>
      </c>
      <c r="F3545" s="2" t="s">
        <v>4176</v>
      </c>
      <c r="H3545" s="1" t="str">
        <f t="shared" si="57"/>
        <v/>
      </c>
      <c r="K3545" s="1">
        <f>IF(E3545=0,SUMPRODUCT(($A$2:$A$4734=A3545)*($B$2:$B$4734=B3545)*($D$2:$D$4734=D3545)*($E$2:$E$4734=0)),0)</f>
        <v>3</v>
      </c>
      <c r="L3545" s="1">
        <f>IF(E3545=0,SUMPRODUCT(MIN($K$2:$K$4734+((($A$2:$A$4734&lt;&gt;A3545)+($E$2:$E$4734&lt;&gt;0))&gt;0)*1000000)),"")</f>
        <v>3</v>
      </c>
      <c r="M3545" s="1">
        <f>IF(AND(E3545=0,COUNTIFS($A$2:A3545,A3545,$E$2:E3545,0)=1),L3545,0)</f>
        <v>0</v>
      </c>
    </row>
    <row r="3546" spans="1:13" ht="15" customHeight="1">
      <c r="A3546" s="1">
        <v>142</v>
      </c>
      <c r="B3546" s="1" t="s">
        <v>16</v>
      </c>
      <c r="C3546" s="2" t="s">
        <v>4173</v>
      </c>
      <c r="D3546" s="2" t="s">
        <v>4174</v>
      </c>
      <c r="E3546" s="1">
        <v>0</v>
      </c>
      <c r="F3546" s="2" t="s">
        <v>4177</v>
      </c>
      <c r="H3546" s="1" t="str">
        <f t="shared" si="57"/>
        <v/>
      </c>
      <c r="K3546" s="1">
        <f>IF(E3546=0,SUMPRODUCT(($A$2:$A$4734=A3546)*($B$2:$B$4734=B3546)*($D$2:$D$4734=D3546)*($E$2:$E$4734=0)),0)</f>
        <v>3</v>
      </c>
      <c r="L3546" s="1">
        <f>IF(E3546=0,SUMPRODUCT(MIN($K$2:$K$4734+((($A$2:$A$4734&lt;&gt;A3546)+($E$2:$E$4734&lt;&gt;0))&gt;0)*1000000)),"")</f>
        <v>3</v>
      </c>
      <c r="M3546" s="1">
        <f>IF(AND(E3546=0,COUNTIFS($A$2:A3546,A3546,$E$2:E3546,0)=1),L3546,0)</f>
        <v>0</v>
      </c>
    </row>
    <row r="3547" spans="1:13" ht="15" customHeight="1">
      <c r="A3547" s="1">
        <v>143</v>
      </c>
      <c r="B3547" s="1" t="s">
        <v>358</v>
      </c>
      <c r="C3547" s="2" t="s">
        <v>4178</v>
      </c>
      <c r="D3547" s="2" t="s">
        <v>4179</v>
      </c>
      <c r="E3547" s="1">
        <v>1</v>
      </c>
      <c r="F3547" s="2" t="s">
        <v>4180</v>
      </c>
      <c r="G3547" s="1">
        <v>1</v>
      </c>
      <c r="H3547" s="1" t="str">
        <f t="shared" si="57"/>
        <v>k143_1</v>
      </c>
      <c r="K3547" s="1">
        <f>IF(E3547=0,SUMPRODUCT(($A$2:$A$4734=A3547)*($B$2:$B$4734=B3547)*($D$2:$D$4734=D3547)*($E$2:$E$4734=0)),0)</f>
        <v>0</v>
      </c>
      <c r="L3547" s="1" t="str">
        <f>IF(E3547=0,SUMPRODUCT(MIN($K$2:$K$4734+((($A$2:$A$4734&lt;&gt;A3547)+($E$2:$E$4734&lt;&gt;0))&gt;0)*1000000)),"")</f>
        <v/>
      </c>
      <c r="M3547" s="1">
        <f>IF(AND(E3547=0,COUNTIFS($A$2:A3547,A3547,$E$2:E3547,0)=1),L3547,0)</f>
        <v>0</v>
      </c>
    </row>
    <row r="3548" spans="1:13" ht="15" customHeight="1">
      <c r="A3548" s="1">
        <v>143</v>
      </c>
      <c r="B3548" s="1" t="s">
        <v>358</v>
      </c>
      <c r="C3548" s="2" t="s">
        <v>4178</v>
      </c>
      <c r="D3548" s="2" t="s">
        <v>4179</v>
      </c>
      <c r="E3548" s="1">
        <v>1</v>
      </c>
      <c r="F3548" s="2" t="s">
        <v>4181</v>
      </c>
      <c r="G3548" s="1">
        <v>2</v>
      </c>
      <c r="H3548" s="1" t="str">
        <f t="shared" si="57"/>
        <v>k143_2</v>
      </c>
      <c r="K3548" s="1">
        <f>IF(E3548=0,SUMPRODUCT(($A$2:$A$4734=A3548)*($B$2:$B$4734=B3548)*($D$2:$D$4734=D3548)*($E$2:$E$4734=0)),0)</f>
        <v>0</v>
      </c>
      <c r="L3548" s="1" t="str">
        <f>IF(E3548=0,SUMPRODUCT(MIN($K$2:$K$4734+((($A$2:$A$4734&lt;&gt;A3548)+($E$2:$E$4734&lt;&gt;0))&gt;0)*1000000)),"")</f>
        <v/>
      </c>
      <c r="M3548" s="1">
        <f>IF(AND(E3548=0,COUNTIFS($A$2:A3548,A3548,$E$2:E3548,0)=1),L3548,0)</f>
        <v>0</v>
      </c>
    </row>
    <row r="3549" spans="1:13" ht="15" customHeight="1">
      <c r="A3549" s="1">
        <v>143</v>
      </c>
      <c r="B3549" s="1" t="s">
        <v>358</v>
      </c>
      <c r="C3549" s="2" t="s">
        <v>4178</v>
      </c>
      <c r="D3549" s="2" t="s">
        <v>4179</v>
      </c>
      <c r="E3549" s="1">
        <v>1</v>
      </c>
      <c r="F3549" s="2" t="s">
        <v>4182</v>
      </c>
      <c r="G3549" s="1">
        <v>3</v>
      </c>
      <c r="H3549" s="1" t="str">
        <f t="shared" si="57"/>
        <v>k143_3</v>
      </c>
      <c r="K3549" s="1">
        <f>IF(E3549=0,SUMPRODUCT(($A$2:$A$4734=A3549)*($B$2:$B$4734=B3549)*($D$2:$D$4734=D3549)*($E$2:$E$4734=0)),0)</f>
        <v>0</v>
      </c>
      <c r="L3549" s="1" t="str">
        <f>IF(E3549=0,SUMPRODUCT(MIN($K$2:$K$4734+((($A$2:$A$4734&lt;&gt;A3549)+($E$2:$E$4734&lt;&gt;0))&gt;0)*1000000)),"")</f>
        <v/>
      </c>
      <c r="M3549" s="1">
        <f>IF(AND(E3549=0,COUNTIFS($A$2:A3549,A3549,$E$2:E3549,0)=1),L3549,0)</f>
        <v>0</v>
      </c>
    </row>
    <row r="3550" spans="1:13" ht="15" customHeight="1">
      <c r="A3550" s="1">
        <v>143</v>
      </c>
      <c r="B3550" s="1" t="s">
        <v>358</v>
      </c>
      <c r="C3550" s="2" t="s">
        <v>4178</v>
      </c>
      <c r="D3550" s="2" t="s">
        <v>4179</v>
      </c>
      <c r="E3550" s="1">
        <v>1</v>
      </c>
      <c r="F3550" s="2" t="s">
        <v>4183</v>
      </c>
      <c r="G3550" s="1">
        <v>4</v>
      </c>
      <c r="H3550" s="1" t="str">
        <f t="shared" si="57"/>
        <v>k143_4</v>
      </c>
      <c r="K3550" s="1">
        <f>IF(E3550=0,SUMPRODUCT(($A$2:$A$4734=A3550)*($B$2:$B$4734=B3550)*($D$2:$D$4734=D3550)*($E$2:$E$4734=0)),0)</f>
        <v>0</v>
      </c>
      <c r="L3550" s="1" t="str">
        <f>IF(E3550=0,SUMPRODUCT(MIN($K$2:$K$4734+((($A$2:$A$4734&lt;&gt;A3550)+($E$2:$E$4734&lt;&gt;0))&gt;0)*1000000)),"")</f>
        <v/>
      </c>
      <c r="M3550" s="1">
        <f>IF(AND(E3550=0,COUNTIFS($A$2:A3550,A3550,$E$2:E3550,0)=1),L3550,0)</f>
        <v>0</v>
      </c>
    </row>
    <row r="3551" spans="1:13" ht="15" customHeight="1">
      <c r="A3551" s="1">
        <v>144</v>
      </c>
      <c r="B3551" s="1" t="s">
        <v>161</v>
      </c>
      <c r="C3551" s="2" t="s">
        <v>4184</v>
      </c>
      <c r="D3551" s="2" t="s">
        <v>4185</v>
      </c>
      <c r="E3551" s="1">
        <v>1</v>
      </c>
      <c r="F3551" s="2" t="s">
        <v>4186</v>
      </c>
      <c r="G3551" s="1">
        <v>1</v>
      </c>
      <c r="H3551" s="1" t="str">
        <f t="shared" si="57"/>
        <v>k144_1</v>
      </c>
      <c r="K3551" s="1">
        <f>IF(E3551=0,SUMPRODUCT(($A$2:$A$4734=A3551)*($B$2:$B$4734=B3551)*($D$2:$D$4734=D3551)*($E$2:$E$4734=0)),0)</f>
        <v>0</v>
      </c>
      <c r="L3551" s="1" t="str">
        <f>IF(E3551=0,SUMPRODUCT(MIN($K$2:$K$4734+((($A$2:$A$4734&lt;&gt;A3551)+($E$2:$E$4734&lt;&gt;0))&gt;0)*1000000)),"")</f>
        <v/>
      </c>
      <c r="M3551" s="1">
        <f>IF(AND(E3551=0,COUNTIFS($A$2:A3551,A3551,$E$2:E3551,0)=1),L3551,0)</f>
        <v>0</v>
      </c>
    </row>
    <row r="3552" spans="1:13" ht="15" customHeight="1">
      <c r="A3552" s="1">
        <v>144</v>
      </c>
      <c r="B3552" s="1" t="s">
        <v>161</v>
      </c>
      <c r="C3552" s="2" t="s">
        <v>4184</v>
      </c>
      <c r="D3552" s="2" t="s">
        <v>4185</v>
      </c>
      <c r="E3552" s="1">
        <v>1</v>
      </c>
      <c r="F3552" s="2" t="s">
        <v>4187</v>
      </c>
      <c r="G3552" s="1">
        <v>2</v>
      </c>
      <c r="H3552" s="1" t="str">
        <f t="shared" si="57"/>
        <v>k144_2</v>
      </c>
      <c r="K3552" s="1">
        <f>IF(E3552=0,SUMPRODUCT(($A$2:$A$4734=A3552)*($B$2:$B$4734=B3552)*($D$2:$D$4734=D3552)*($E$2:$E$4734=0)),0)</f>
        <v>0</v>
      </c>
      <c r="L3552" s="1" t="str">
        <f>IF(E3552=0,SUMPRODUCT(MIN($K$2:$K$4734+((($A$2:$A$4734&lt;&gt;A3552)+($E$2:$E$4734&lt;&gt;0))&gt;0)*1000000)),"")</f>
        <v/>
      </c>
      <c r="M3552" s="1">
        <f>IF(AND(E3552=0,COUNTIFS($A$2:A3552,A3552,$E$2:E3552,0)=1),L3552,0)</f>
        <v>0</v>
      </c>
    </row>
    <row r="3553" spans="1:13" ht="15" customHeight="1">
      <c r="A3553" s="1">
        <v>144</v>
      </c>
      <c r="B3553" s="1" t="s">
        <v>161</v>
      </c>
      <c r="C3553" s="2" t="s">
        <v>4184</v>
      </c>
      <c r="D3553" s="2" t="s">
        <v>4185</v>
      </c>
      <c r="E3553" s="1">
        <v>1</v>
      </c>
      <c r="F3553" s="2" t="s">
        <v>4188</v>
      </c>
      <c r="G3553" s="1">
        <v>3</v>
      </c>
      <c r="H3553" s="1" t="str">
        <f t="shared" si="57"/>
        <v>k144_3</v>
      </c>
      <c r="K3553" s="1">
        <f>IF(E3553=0,SUMPRODUCT(($A$2:$A$4734=A3553)*($B$2:$B$4734=B3553)*($D$2:$D$4734=D3553)*($E$2:$E$4734=0)),0)</f>
        <v>0</v>
      </c>
      <c r="L3553" s="1" t="str">
        <f>IF(E3553=0,SUMPRODUCT(MIN($K$2:$K$4734+((($A$2:$A$4734&lt;&gt;A3553)+($E$2:$E$4734&lt;&gt;0))&gt;0)*1000000)),"")</f>
        <v/>
      </c>
      <c r="M3553" s="1">
        <f>IF(AND(E3553=0,COUNTIFS($A$2:A3553,A3553,$E$2:E3553,0)=1),L3553,0)</f>
        <v>0</v>
      </c>
    </row>
    <row r="3554" spans="1:13" ht="15" customHeight="1">
      <c r="A3554" s="1">
        <v>144</v>
      </c>
      <c r="B3554" s="1" t="s">
        <v>161</v>
      </c>
      <c r="C3554" s="2" t="s">
        <v>4184</v>
      </c>
      <c r="D3554" s="2" t="s">
        <v>4185</v>
      </c>
      <c r="E3554" s="1">
        <v>1</v>
      </c>
      <c r="F3554" s="2" t="s">
        <v>4189</v>
      </c>
      <c r="G3554" s="1">
        <v>4</v>
      </c>
      <c r="H3554" s="1" t="str">
        <f t="shared" si="57"/>
        <v>k144_4</v>
      </c>
      <c r="K3554" s="1">
        <f>IF(E3554=0,SUMPRODUCT(($A$2:$A$4734=A3554)*($B$2:$B$4734=B3554)*($D$2:$D$4734=D3554)*($E$2:$E$4734=0)),0)</f>
        <v>0</v>
      </c>
      <c r="L3554" s="1" t="str">
        <f>IF(E3554=0,SUMPRODUCT(MIN($K$2:$K$4734+((($A$2:$A$4734&lt;&gt;A3554)+($E$2:$E$4734&lt;&gt;0))&gt;0)*1000000)),"")</f>
        <v/>
      </c>
      <c r="M3554" s="1">
        <f>IF(AND(E3554=0,COUNTIFS($A$2:A3554,A3554,$E$2:E3554,0)=1),L3554,0)</f>
        <v>0</v>
      </c>
    </row>
    <row r="3555" spans="1:13" ht="15" customHeight="1">
      <c r="A3555" s="1">
        <v>145</v>
      </c>
      <c r="B3555" s="1" t="s">
        <v>9</v>
      </c>
      <c r="C3555" s="2" t="s">
        <v>4190</v>
      </c>
      <c r="D3555" s="2" t="s">
        <v>4191</v>
      </c>
      <c r="E3555" s="1">
        <v>0</v>
      </c>
      <c r="F3555" s="2" t="s">
        <v>4192</v>
      </c>
      <c r="H3555" s="1" t="str">
        <f t="shared" si="57"/>
        <v/>
      </c>
      <c r="K3555" s="1">
        <f>IF(E3555=0,SUMPRODUCT(($A$2:$A$4734=A3555)*($B$2:$B$4734=B3555)*($D$2:$D$4734=D3555)*($E$2:$E$4734=0)),0)</f>
        <v>4</v>
      </c>
      <c r="L3555" s="1">
        <f>IF(E3555=0,SUMPRODUCT(MIN($K$2:$K$4734+((($A$2:$A$4734&lt;&gt;A3555)+($E$2:$E$4734&lt;&gt;0))&gt;0)*1000000)),"")</f>
        <v>4</v>
      </c>
      <c r="M3555" s="1">
        <f>IF(AND(E3555=0,COUNTIFS($A$2:A3555,A3555,$E$2:E3555,0)=1),L3555,0)</f>
        <v>4</v>
      </c>
    </row>
    <row r="3556" spans="1:13" ht="15" customHeight="1">
      <c r="A3556" s="1">
        <v>145</v>
      </c>
      <c r="B3556" s="1" t="s">
        <v>9</v>
      </c>
      <c r="C3556" s="2" t="s">
        <v>4190</v>
      </c>
      <c r="D3556" s="2" t="s">
        <v>4191</v>
      </c>
      <c r="E3556" s="1">
        <v>0</v>
      </c>
      <c r="F3556" s="2" t="s">
        <v>4193</v>
      </c>
      <c r="H3556" s="1" t="str">
        <f t="shared" si="57"/>
        <v/>
      </c>
      <c r="K3556" s="1">
        <f>IF(E3556=0,SUMPRODUCT(($A$2:$A$4734=A3556)*($B$2:$B$4734=B3556)*($D$2:$D$4734=D3556)*($E$2:$E$4734=0)),0)</f>
        <v>4</v>
      </c>
      <c r="L3556" s="1">
        <f>IF(E3556=0,SUMPRODUCT(MIN($K$2:$K$4734+((($A$2:$A$4734&lt;&gt;A3556)+($E$2:$E$4734&lt;&gt;0))&gt;0)*1000000)),"")</f>
        <v>4</v>
      </c>
      <c r="M3556" s="1">
        <f>IF(AND(E3556=0,COUNTIFS($A$2:A3556,A3556,$E$2:E3556,0)=1),L3556,0)</f>
        <v>0</v>
      </c>
    </row>
    <row r="3557" spans="1:13" ht="15" customHeight="1">
      <c r="A3557" s="1">
        <v>145</v>
      </c>
      <c r="B3557" s="1" t="s">
        <v>9</v>
      </c>
      <c r="C3557" s="2" t="s">
        <v>4190</v>
      </c>
      <c r="D3557" s="2" t="s">
        <v>4191</v>
      </c>
      <c r="E3557" s="1">
        <v>0</v>
      </c>
      <c r="F3557" s="2" t="s">
        <v>4194</v>
      </c>
      <c r="H3557" s="1" t="str">
        <f t="shared" si="57"/>
        <v/>
      </c>
      <c r="K3557" s="1">
        <f>IF(E3557=0,SUMPRODUCT(($A$2:$A$4734=A3557)*($B$2:$B$4734=B3557)*($D$2:$D$4734=D3557)*($E$2:$E$4734=0)),0)</f>
        <v>4</v>
      </c>
      <c r="L3557" s="1">
        <f>IF(E3557=0,SUMPRODUCT(MIN($K$2:$K$4734+((($A$2:$A$4734&lt;&gt;A3557)+($E$2:$E$4734&lt;&gt;0))&gt;0)*1000000)),"")</f>
        <v>4</v>
      </c>
      <c r="M3557" s="1">
        <f>IF(AND(E3557=0,COUNTIFS($A$2:A3557,A3557,$E$2:E3557,0)=1),L3557,0)</f>
        <v>0</v>
      </c>
    </row>
    <row r="3558" spans="1:13" ht="15" customHeight="1">
      <c r="A3558" s="1">
        <v>145</v>
      </c>
      <c r="B3558" s="1" t="s">
        <v>9</v>
      </c>
      <c r="C3558" s="2" t="s">
        <v>4190</v>
      </c>
      <c r="D3558" s="2" t="s">
        <v>4191</v>
      </c>
      <c r="E3558" s="1">
        <v>0</v>
      </c>
      <c r="F3558" s="2" t="s">
        <v>4195</v>
      </c>
      <c r="H3558" s="1" t="str">
        <f t="shared" si="57"/>
        <v/>
      </c>
      <c r="K3558" s="1">
        <f>IF(E3558=0,SUMPRODUCT(($A$2:$A$4734=A3558)*($B$2:$B$4734=B3558)*($D$2:$D$4734=D3558)*($E$2:$E$4734=0)),0)</f>
        <v>4</v>
      </c>
      <c r="L3558" s="1">
        <f>IF(E3558=0,SUMPRODUCT(MIN($K$2:$K$4734+((($A$2:$A$4734&lt;&gt;A3558)+($E$2:$E$4734&lt;&gt;0))&gt;0)*1000000)),"")</f>
        <v>4</v>
      </c>
      <c r="M3558" s="1">
        <f>IF(AND(E3558=0,COUNTIFS($A$2:A3558,A3558,$E$2:E3558,0)=1),L3558,0)</f>
        <v>0</v>
      </c>
    </row>
    <row r="3559" spans="1:13" ht="15" customHeight="1">
      <c r="A3559" s="1">
        <v>146</v>
      </c>
      <c r="B3559" s="1" t="s">
        <v>95</v>
      </c>
      <c r="C3559" s="2" t="s">
        <v>4196</v>
      </c>
      <c r="D3559" s="2" t="s">
        <v>4197</v>
      </c>
      <c r="E3559" s="1">
        <v>1</v>
      </c>
      <c r="F3559" s="2" t="s">
        <v>4198</v>
      </c>
      <c r="G3559" s="1">
        <v>1</v>
      </c>
      <c r="H3559" s="1" t="str">
        <f t="shared" si="57"/>
        <v>k146_1</v>
      </c>
      <c r="K3559" s="1">
        <f>IF(E3559=0,SUMPRODUCT(($A$2:$A$4734=A3559)*($B$2:$B$4734=B3559)*($D$2:$D$4734=D3559)*($E$2:$E$4734=0)),0)</f>
        <v>0</v>
      </c>
      <c r="L3559" s="1" t="str">
        <f>IF(E3559=0,SUMPRODUCT(MIN($K$2:$K$4734+((($A$2:$A$4734&lt;&gt;A3559)+($E$2:$E$4734&lt;&gt;0))&gt;0)*1000000)),"")</f>
        <v/>
      </c>
      <c r="M3559" s="1">
        <f>IF(AND(E3559=0,COUNTIFS($A$2:A3559,A3559,$E$2:E3559,0)=1),L3559,0)</f>
        <v>0</v>
      </c>
    </row>
    <row r="3560" spans="1:13" ht="15" customHeight="1">
      <c r="A3560" s="1">
        <v>146</v>
      </c>
      <c r="B3560" s="1" t="s">
        <v>95</v>
      </c>
      <c r="C3560" s="2" t="s">
        <v>4196</v>
      </c>
      <c r="D3560" s="2" t="s">
        <v>4197</v>
      </c>
      <c r="E3560" s="1">
        <v>1</v>
      </c>
      <c r="F3560" s="2" t="s">
        <v>4199</v>
      </c>
      <c r="G3560" s="1">
        <v>2</v>
      </c>
      <c r="H3560" s="1" t="str">
        <f t="shared" si="57"/>
        <v>k146_2</v>
      </c>
      <c r="K3560" s="1">
        <f>IF(E3560=0,SUMPRODUCT(($A$2:$A$4734=A3560)*($B$2:$B$4734=B3560)*($D$2:$D$4734=D3560)*($E$2:$E$4734=0)),0)</f>
        <v>0</v>
      </c>
      <c r="L3560" s="1" t="str">
        <f>IF(E3560=0,SUMPRODUCT(MIN($K$2:$K$4734+((($A$2:$A$4734&lt;&gt;A3560)+($E$2:$E$4734&lt;&gt;0))&gt;0)*1000000)),"")</f>
        <v/>
      </c>
      <c r="M3560" s="1">
        <f>IF(AND(E3560=0,COUNTIFS($A$2:A3560,A3560,$E$2:E3560,0)=1),L3560,0)</f>
        <v>0</v>
      </c>
    </row>
    <row r="3561" spans="1:13" ht="15" customHeight="1">
      <c r="A3561" s="1">
        <v>146</v>
      </c>
      <c r="B3561" s="1" t="s">
        <v>95</v>
      </c>
      <c r="C3561" s="2" t="s">
        <v>4196</v>
      </c>
      <c r="D3561" s="2" t="s">
        <v>4197</v>
      </c>
      <c r="E3561" s="1">
        <v>1</v>
      </c>
      <c r="F3561" s="2" t="s">
        <v>4200</v>
      </c>
      <c r="G3561" s="1">
        <v>3</v>
      </c>
      <c r="H3561" s="1" t="str">
        <f t="shared" si="57"/>
        <v>k146_3</v>
      </c>
      <c r="K3561" s="1">
        <f>IF(E3561=0,SUMPRODUCT(($A$2:$A$4734=A3561)*($B$2:$B$4734=B3561)*($D$2:$D$4734=D3561)*($E$2:$E$4734=0)),0)</f>
        <v>0</v>
      </c>
      <c r="L3561" s="1" t="str">
        <f>IF(E3561=0,SUMPRODUCT(MIN($K$2:$K$4734+((($A$2:$A$4734&lt;&gt;A3561)+($E$2:$E$4734&lt;&gt;0))&gt;0)*1000000)),"")</f>
        <v/>
      </c>
      <c r="M3561" s="1">
        <f>IF(AND(E3561=0,COUNTIFS($A$2:A3561,A3561,$E$2:E3561,0)=1),L3561,0)</f>
        <v>0</v>
      </c>
    </row>
    <row r="3562" spans="1:13" ht="15" customHeight="1">
      <c r="A3562" s="1">
        <v>146</v>
      </c>
      <c r="B3562" s="1" t="s">
        <v>95</v>
      </c>
      <c r="C3562" s="2" t="s">
        <v>4196</v>
      </c>
      <c r="D3562" s="2" t="s">
        <v>4197</v>
      </c>
      <c r="E3562" s="1">
        <v>1</v>
      </c>
      <c r="F3562" s="2" t="s">
        <v>4201</v>
      </c>
      <c r="G3562" s="1">
        <v>4</v>
      </c>
      <c r="H3562" s="1" t="str">
        <f t="shared" si="57"/>
        <v>k146_4</v>
      </c>
      <c r="K3562" s="1">
        <f>IF(E3562=0,SUMPRODUCT(($A$2:$A$4734=A3562)*($B$2:$B$4734=B3562)*($D$2:$D$4734=D3562)*($E$2:$E$4734=0)),0)</f>
        <v>0</v>
      </c>
      <c r="L3562" s="1" t="str">
        <f>IF(E3562=0,SUMPRODUCT(MIN($K$2:$K$4734+((($A$2:$A$4734&lt;&gt;A3562)+($E$2:$E$4734&lt;&gt;0))&gt;0)*1000000)),"")</f>
        <v/>
      </c>
      <c r="M3562" s="1">
        <f>IF(AND(E3562=0,COUNTIFS($A$2:A3562,A3562,$E$2:E3562,0)=1),L3562,0)</f>
        <v>0</v>
      </c>
    </row>
    <row r="3563" spans="1:13" ht="15" customHeight="1">
      <c r="A3563" s="1">
        <v>147</v>
      </c>
      <c r="B3563" s="1" t="s">
        <v>16</v>
      </c>
      <c r="C3563" s="2" t="s">
        <v>4202</v>
      </c>
      <c r="D3563" s="2" t="s">
        <v>993</v>
      </c>
      <c r="E3563" s="1">
        <v>0</v>
      </c>
      <c r="F3563" s="2" t="s">
        <v>4203</v>
      </c>
      <c r="H3563" s="1" t="str">
        <f t="shared" si="57"/>
        <v/>
      </c>
      <c r="K3563" s="1">
        <f>IF(E3563=0,SUMPRODUCT(($A$2:$A$4734=A3563)*($B$2:$B$4734=B3563)*($D$2:$D$4734=D3563)*($E$2:$E$4734=0)),0)</f>
        <v>4</v>
      </c>
      <c r="L3563" s="1">
        <f>IF(E3563=0,SUMPRODUCT(MIN($K$2:$K$4734+((($A$2:$A$4734&lt;&gt;A3563)+($E$2:$E$4734&lt;&gt;0))&gt;0)*1000000)),"")</f>
        <v>4</v>
      </c>
      <c r="M3563" s="1">
        <f>IF(AND(E3563=0,COUNTIFS($A$2:A3563,A3563,$E$2:E3563,0)=1),L3563,0)</f>
        <v>4</v>
      </c>
    </row>
    <row r="3564" spans="1:13" ht="15" customHeight="1">
      <c r="A3564" s="1">
        <v>147</v>
      </c>
      <c r="B3564" s="1" t="s">
        <v>16</v>
      </c>
      <c r="C3564" s="2" t="s">
        <v>4204</v>
      </c>
      <c r="D3564" s="2" t="s">
        <v>993</v>
      </c>
      <c r="E3564" s="1">
        <v>0</v>
      </c>
      <c r="F3564" s="2" t="s">
        <v>997</v>
      </c>
      <c r="H3564" s="1" t="str">
        <f t="shared" si="57"/>
        <v/>
      </c>
      <c r="K3564" s="1">
        <f>IF(E3564=0,SUMPRODUCT(($A$2:$A$4734=A3564)*($B$2:$B$4734=B3564)*($D$2:$D$4734=D3564)*($E$2:$E$4734=0)),0)</f>
        <v>4</v>
      </c>
      <c r="L3564" s="1">
        <f>IF(E3564=0,SUMPRODUCT(MIN($K$2:$K$4734+((($A$2:$A$4734&lt;&gt;A3564)+($E$2:$E$4734&lt;&gt;0))&gt;0)*1000000)),"")</f>
        <v>4</v>
      </c>
      <c r="M3564" s="1">
        <f>IF(AND(E3564=0,COUNTIFS($A$2:A3564,A3564,$E$2:E3564,0)=1),L3564,0)</f>
        <v>0</v>
      </c>
    </row>
    <row r="3565" spans="1:13" ht="15" customHeight="1">
      <c r="A3565" s="1">
        <v>147</v>
      </c>
      <c r="B3565" s="1" t="s">
        <v>16</v>
      </c>
      <c r="C3565" s="2" t="s">
        <v>4205</v>
      </c>
      <c r="D3565" s="2" t="s">
        <v>993</v>
      </c>
      <c r="E3565" s="1">
        <v>0</v>
      </c>
      <c r="F3565" s="2" t="s">
        <v>995</v>
      </c>
      <c r="H3565" s="1" t="str">
        <f t="shared" si="57"/>
        <v/>
      </c>
      <c r="K3565" s="1">
        <f>IF(E3565=0,SUMPRODUCT(($A$2:$A$4734=A3565)*($B$2:$B$4734=B3565)*($D$2:$D$4734=D3565)*($E$2:$E$4734=0)),0)</f>
        <v>4</v>
      </c>
      <c r="L3565" s="1">
        <f>IF(E3565=0,SUMPRODUCT(MIN($K$2:$K$4734+((($A$2:$A$4734&lt;&gt;A3565)+($E$2:$E$4734&lt;&gt;0))&gt;0)*1000000)),"")</f>
        <v>4</v>
      </c>
      <c r="M3565" s="1">
        <f>IF(AND(E3565=0,COUNTIFS($A$2:A3565,A3565,$E$2:E3565,0)=1),L3565,0)</f>
        <v>0</v>
      </c>
    </row>
    <row r="3566" spans="1:13" ht="15" customHeight="1">
      <c r="A3566" s="1">
        <v>147</v>
      </c>
      <c r="B3566" s="1" t="s">
        <v>16</v>
      </c>
      <c r="C3566" s="2" t="s">
        <v>4206</v>
      </c>
      <c r="D3566" s="2" t="s">
        <v>993</v>
      </c>
      <c r="E3566" s="1">
        <v>0</v>
      </c>
      <c r="F3566" s="2" t="s">
        <v>3411</v>
      </c>
      <c r="H3566" s="1" t="str">
        <f t="shared" si="57"/>
        <v/>
      </c>
      <c r="K3566" s="1">
        <f>IF(E3566=0,SUMPRODUCT(($A$2:$A$4734=A3566)*($B$2:$B$4734=B3566)*($D$2:$D$4734=D3566)*($E$2:$E$4734=0)),0)</f>
        <v>4</v>
      </c>
      <c r="L3566" s="1">
        <f>IF(E3566=0,SUMPRODUCT(MIN($K$2:$K$4734+((($A$2:$A$4734&lt;&gt;A3566)+($E$2:$E$4734&lt;&gt;0))&gt;0)*1000000)),"")</f>
        <v>4</v>
      </c>
      <c r="M3566" s="1">
        <f>IF(AND(E3566=0,COUNTIFS($A$2:A3566,A3566,$E$2:E3566,0)=1),L3566,0)</f>
        <v>0</v>
      </c>
    </row>
    <row r="3567" spans="1:13" ht="15" customHeight="1">
      <c r="A3567" s="1">
        <v>148</v>
      </c>
      <c r="B3567" s="1" t="s">
        <v>9</v>
      </c>
      <c r="C3567" s="2" t="s">
        <v>4207</v>
      </c>
      <c r="D3567" s="2" t="s">
        <v>4208</v>
      </c>
      <c r="E3567" s="1">
        <v>0</v>
      </c>
      <c r="F3567" s="2" t="s">
        <v>4209</v>
      </c>
      <c r="H3567" s="1" t="str">
        <f t="shared" si="57"/>
        <v/>
      </c>
      <c r="K3567" s="1">
        <f>IF(E3567=0,SUMPRODUCT(($A$2:$A$4734=A3567)*($B$2:$B$4734=B3567)*($D$2:$D$4734=D3567)*($E$2:$E$4734=0)),0)</f>
        <v>4</v>
      </c>
      <c r="L3567" s="1">
        <f>IF(E3567=0,SUMPRODUCT(MIN($K$2:$K$4734+((($A$2:$A$4734&lt;&gt;A3567)+($E$2:$E$4734&lt;&gt;0))&gt;0)*1000000)),"")</f>
        <v>4</v>
      </c>
      <c r="M3567" s="1">
        <f>IF(AND(E3567=0,COUNTIFS($A$2:A3567,A3567,$E$2:E3567,0)=1),L3567,0)</f>
        <v>4</v>
      </c>
    </row>
    <row r="3568" spans="1:13" ht="15" customHeight="1">
      <c r="A3568" s="1">
        <v>148</v>
      </c>
      <c r="B3568" s="1" t="s">
        <v>9</v>
      </c>
      <c r="C3568" s="2" t="s">
        <v>4207</v>
      </c>
      <c r="D3568" s="2" t="s">
        <v>4208</v>
      </c>
      <c r="E3568" s="1">
        <v>0</v>
      </c>
      <c r="F3568" s="2" t="s">
        <v>4210</v>
      </c>
      <c r="H3568" s="1" t="str">
        <f t="shared" si="57"/>
        <v/>
      </c>
      <c r="K3568" s="1">
        <f>IF(E3568=0,SUMPRODUCT(($A$2:$A$4734=A3568)*($B$2:$B$4734=B3568)*($D$2:$D$4734=D3568)*($E$2:$E$4734=0)),0)</f>
        <v>4</v>
      </c>
      <c r="L3568" s="1">
        <f>IF(E3568=0,SUMPRODUCT(MIN($K$2:$K$4734+((($A$2:$A$4734&lt;&gt;A3568)+($E$2:$E$4734&lt;&gt;0))&gt;0)*1000000)),"")</f>
        <v>4</v>
      </c>
      <c r="M3568" s="1">
        <f>IF(AND(E3568=0,COUNTIFS($A$2:A3568,A3568,$E$2:E3568,0)=1),L3568,0)</f>
        <v>0</v>
      </c>
    </row>
    <row r="3569" spans="1:13" ht="15" customHeight="1">
      <c r="A3569" s="1">
        <v>148</v>
      </c>
      <c r="B3569" s="1" t="s">
        <v>9</v>
      </c>
      <c r="C3569" s="2" t="s">
        <v>4207</v>
      </c>
      <c r="D3569" s="2" t="s">
        <v>4208</v>
      </c>
      <c r="E3569" s="1">
        <v>0</v>
      </c>
      <c r="F3569" s="2" t="s">
        <v>4211</v>
      </c>
      <c r="H3569" s="1" t="str">
        <f t="shared" si="57"/>
        <v/>
      </c>
      <c r="K3569" s="1">
        <f>IF(E3569=0,SUMPRODUCT(($A$2:$A$4734=A3569)*($B$2:$B$4734=B3569)*($D$2:$D$4734=D3569)*($E$2:$E$4734=0)),0)</f>
        <v>4</v>
      </c>
      <c r="L3569" s="1">
        <f>IF(E3569=0,SUMPRODUCT(MIN($K$2:$K$4734+((($A$2:$A$4734&lt;&gt;A3569)+($E$2:$E$4734&lt;&gt;0))&gt;0)*1000000)),"")</f>
        <v>4</v>
      </c>
      <c r="M3569" s="1">
        <f>IF(AND(E3569=0,COUNTIFS($A$2:A3569,A3569,$E$2:E3569,0)=1),L3569,0)</f>
        <v>0</v>
      </c>
    </row>
    <row r="3570" spans="1:13" ht="15" customHeight="1">
      <c r="A3570" s="1">
        <v>148</v>
      </c>
      <c r="B3570" s="1" t="s">
        <v>9</v>
      </c>
      <c r="C3570" s="2" t="s">
        <v>4207</v>
      </c>
      <c r="D3570" s="2" t="s">
        <v>4208</v>
      </c>
      <c r="E3570" s="1">
        <v>0</v>
      </c>
      <c r="F3570" s="2" t="s">
        <v>4212</v>
      </c>
      <c r="H3570" s="1" t="str">
        <f t="shared" si="57"/>
        <v/>
      </c>
      <c r="K3570" s="1">
        <f>IF(E3570=0,SUMPRODUCT(($A$2:$A$4734=A3570)*($B$2:$B$4734=B3570)*($D$2:$D$4734=D3570)*($E$2:$E$4734=0)),0)</f>
        <v>4</v>
      </c>
      <c r="L3570" s="1">
        <f>IF(E3570=0,SUMPRODUCT(MIN($K$2:$K$4734+((($A$2:$A$4734&lt;&gt;A3570)+($E$2:$E$4734&lt;&gt;0))&gt;0)*1000000)),"")</f>
        <v>4</v>
      </c>
      <c r="M3570" s="1">
        <f>IF(AND(E3570=0,COUNTIFS($A$2:A3570,A3570,$E$2:E3570,0)=1),L3570,0)</f>
        <v>0</v>
      </c>
    </row>
    <row r="3571" spans="1:13" ht="15" customHeight="1">
      <c r="A3571" s="1">
        <v>149</v>
      </c>
      <c r="B3571" s="1" t="s">
        <v>9</v>
      </c>
      <c r="C3571" s="2" t="s">
        <v>4213</v>
      </c>
      <c r="D3571" s="2" t="s">
        <v>4214</v>
      </c>
      <c r="E3571" s="1">
        <v>0</v>
      </c>
      <c r="F3571" s="2" t="s">
        <v>4215</v>
      </c>
      <c r="H3571" s="1" t="str">
        <f t="shared" si="57"/>
        <v/>
      </c>
      <c r="K3571" s="1">
        <f>IF(E3571=0,SUMPRODUCT(($A$2:$A$4734=A3571)*($B$2:$B$4734=B3571)*($D$2:$D$4734=D3571)*($E$2:$E$4734=0)),0)</f>
        <v>6</v>
      </c>
      <c r="L3571" s="1">
        <f>IF(E3571=0,SUMPRODUCT(MIN($K$2:$K$4734+((($A$2:$A$4734&lt;&gt;A3571)+($E$2:$E$4734&lt;&gt;0))&gt;0)*1000000)),"")</f>
        <v>4</v>
      </c>
      <c r="M3571" s="1">
        <f>IF(AND(E3571=0,COUNTIFS($A$2:A3571,A3571,$E$2:E3571,0)=1),L3571,0)</f>
        <v>4</v>
      </c>
    </row>
    <row r="3572" spans="1:13" ht="15" customHeight="1">
      <c r="A3572" s="1">
        <v>149</v>
      </c>
      <c r="B3572" s="1" t="s">
        <v>9</v>
      </c>
      <c r="C3572" s="2" t="s">
        <v>4213</v>
      </c>
      <c r="D3572" s="2" t="s">
        <v>4214</v>
      </c>
      <c r="E3572" s="1">
        <v>0</v>
      </c>
      <c r="F3572" s="2" t="s">
        <v>4216</v>
      </c>
      <c r="H3572" s="1" t="str">
        <f t="shared" si="57"/>
        <v/>
      </c>
      <c r="K3572" s="1">
        <f>IF(E3572=0,SUMPRODUCT(($A$2:$A$4734=A3572)*($B$2:$B$4734=B3572)*($D$2:$D$4734=D3572)*($E$2:$E$4734=0)),0)</f>
        <v>6</v>
      </c>
      <c r="L3572" s="1">
        <f>IF(E3572=0,SUMPRODUCT(MIN($K$2:$K$4734+((($A$2:$A$4734&lt;&gt;A3572)+($E$2:$E$4734&lt;&gt;0))&gt;0)*1000000)),"")</f>
        <v>4</v>
      </c>
      <c r="M3572" s="1">
        <f>IF(AND(E3572=0,COUNTIFS($A$2:A3572,A3572,$E$2:E3572,0)=1),L3572,0)</f>
        <v>0</v>
      </c>
    </row>
    <row r="3573" spans="1:13" ht="15" customHeight="1">
      <c r="A3573" s="1">
        <v>149</v>
      </c>
      <c r="B3573" s="1" t="s">
        <v>9</v>
      </c>
      <c r="C3573" s="2" t="s">
        <v>4213</v>
      </c>
      <c r="D3573" s="2" t="s">
        <v>4214</v>
      </c>
      <c r="E3573" s="1">
        <v>0</v>
      </c>
      <c r="F3573" s="2" t="s">
        <v>4217</v>
      </c>
      <c r="H3573" s="1" t="str">
        <f t="shared" si="57"/>
        <v/>
      </c>
      <c r="K3573" s="1">
        <f>IF(E3573=0,SUMPRODUCT(($A$2:$A$4734=A3573)*($B$2:$B$4734=B3573)*($D$2:$D$4734=D3573)*($E$2:$E$4734=0)),0)</f>
        <v>6</v>
      </c>
      <c r="L3573" s="1">
        <f>IF(E3573=0,SUMPRODUCT(MIN($K$2:$K$4734+((($A$2:$A$4734&lt;&gt;A3573)+($E$2:$E$4734&lt;&gt;0))&gt;0)*1000000)),"")</f>
        <v>4</v>
      </c>
      <c r="M3573" s="1">
        <f>IF(AND(E3573=0,COUNTIFS($A$2:A3573,A3573,$E$2:E3573,0)=1),L3573,0)</f>
        <v>0</v>
      </c>
    </row>
    <row r="3574" spans="1:13" ht="15" customHeight="1">
      <c r="A3574" s="1">
        <v>149</v>
      </c>
      <c r="B3574" s="1" t="s">
        <v>9</v>
      </c>
      <c r="C3574" s="2" t="s">
        <v>4213</v>
      </c>
      <c r="D3574" s="2" t="s">
        <v>4214</v>
      </c>
      <c r="E3574" s="1">
        <v>0</v>
      </c>
      <c r="F3574" s="2" t="s">
        <v>4218</v>
      </c>
      <c r="H3574" s="1" t="str">
        <f t="shared" si="57"/>
        <v/>
      </c>
      <c r="K3574" s="1">
        <f>IF(E3574=0,SUMPRODUCT(($A$2:$A$4734=A3574)*($B$2:$B$4734=B3574)*($D$2:$D$4734=D3574)*($E$2:$E$4734=0)),0)</f>
        <v>6</v>
      </c>
      <c r="L3574" s="1">
        <f>IF(E3574=0,SUMPRODUCT(MIN($K$2:$K$4734+((($A$2:$A$4734&lt;&gt;A3574)+($E$2:$E$4734&lt;&gt;0))&gt;0)*1000000)),"")</f>
        <v>4</v>
      </c>
      <c r="M3574" s="1">
        <f>IF(AND(E3574=0,COUNTIFS($A$2:A3574,A3574,$E$2:E3574,0)=1),L3574,0)</f>
        <v>0</v>
      </c>
    </row>
    <row r="3575" spans="1:13" ht="15" customHeight="1">
      <c r="A3575" s="1">
        <v>149</v>
      </c>
      <c r="B3575" s="1" t="s">
        <v>9</v>
      </c>
      <c r="C3575" s="2" t="s">
        <v>4213</v>
      </c>
      <c r="D3575" s="2" t="s">
        <v>4214</v>
      </c>
      <c r="E3575" s="1">
        <v>0</v>
      </c>
      <c r="F3575" s="2" t="s">
        <v>4219</v>
      </c>
      <c r="H3575" s="1" t="str">
        <f t="shared" si="57"/>
        <v/>
      </c>
      <c r="K3575" s="1">
        <f>IF(E3575=0,SUMPRODUCT(($A$2:$A$4734=A3575)*($B$2:$B$4734=B3575)*($D$2:$D$4734=D3575)*($E$2:$E$4734=0)),0)</f>
        <v>6</v>
      </c>
      <c r="L3575" s="1">
        <f>IF(E3575=0,SUMPRODUCT(MIN($K$2:$K$4734+((($A$2:$A$4734&lt;&gt;A3575)+($E$2:$E$4734&lt;&gt;0))&gt;0)*1000000)),"")</f>
        <v>4</v>
      </c>
      <c r="M3575" s="1">
        <f>IF(AND(E3575=0,COUNTIFS($A$2:A3575,A3575,$E$2:E3575,0)=1),L3575,0)</f>
        <v>0</v>
      </c>
    </row>
    <row r="3576" spans="1:13" ht="15" customHeight="1">
      <c r="A3576" s="1">
        <v>149</v>
      </c>
      <c r="B3576" s="1" t="s">
        <v>9</v>
      </c>
      <c r="C3576" s="2" t="s">
        <v>4213</v>
      </c>
      <c r="D3576" s="2" t="s">
        <v>4214</v>
      </c>
      <c r="E3576" s="1">
        <v>0</v>
      </c>
      <c r="F3576" s="2" t="s">
        <v>4220</v>
      </c>
      <c r="H3576" s="1" t="str">
        <f t="shared" si="57"/>
        <v/>
      </c>
      <c r="K3576" s="1">
        <f>IF(E3576=0,SUMPRODUCT(($A$2:$A$4734=A3576)*($B$2:$B$4734=B3576)*($D$2:$D$4734=D3576)*($E$2:$E$4734=0)),0)</f>
        <v>6</v>
      </c>
      <c r="L3576" s="1">
        <f>IF(E3576=0,SUMPRODUCT(MIN($K$2:$K$4734+((($A$2:$A$4734&lt;&gt;A3576)+($E$2:$E$4734&lt;&gt;0))&gt;0)*1000000)),"")</f>
        <v>4</v>
      </c>
      <c r="M3576" s="1">
        <f>IF(AND(E3576=0,COUNTIFS($A$2:A3576,A3576,$E$2:E3576,0)=1),L3576,0)</f>
        <v>0</v>
      </c>
    </row>
    <row r="3577" spans="1:13" ht="15" customHeight="1">
      <c r="A3577" s="1">
        <v>149</v>
      </c>
      <c r="B3577" s="1" t="s">
        <v>16</v>
      </c>
      <c r="C3577" s="2" t="s">
        <v>4213</v>
      </c>
      <c r="D3577" s="2" t="s">
        <v>4221</v>
      </c>
      <c r="E3577" s="1">
        <v>0</v>
      </c>
      <c r="F3577" s="2" t="s">
        <v>4222</v>
      </c>
      <c r="H3577" s="1" t="str">
        <f t="shared" si="57"/>
        <v/>
      </c>
      <c r="K3577" s="1">
        <f>IF(E3577=0,SUMPRODUCT(($A$2:$A$4734=A3577)*($B$2:$B$4734=B3577)*($D$2:$D$4734=D3577)*($E$2:$E$4734=0)),0)</f>
        <v>4</v>
      </c>
      <c r="L3577" s="1">
        <f>IF(E3577=0,SUMPRODUCT(MIN($K$2:$K$4734+((($A$2:$A$4734&lt;&gt;A3577)+($E$2:$E$4734&lt;&gt;0))&gt;0)*1000000)),"")</f>
        <v>4</v>
      </c>
      <c r="M3577" s="1">
        <f>IF(AND(E3577=0,COUNTIFS($A$2:A3577,A3577,$E$2:E3577,0)=1),L3577,0)</f>
        <v>0</v>
      </c>
    </row>
    <row r="3578" spans="1:13" ht="15" customHeight="1">
      <c r="A3578" s="1">
        <v>149</v>
      </c>
      <c r="B3578" s="1" t="s">
        <v>16</v>
      </c>
      <c r="C3578" s="2" t="s">
        <v>4213</v>
      </c>
      <c r="D3578" s="2" t="s">
        <v>4221</v>
      </c>
      <c r="E3578" s="1">
        <v>0</v>
      </c>
      <c r="F3578" s="2" t="s">
        <v>4223</v>
      </c>
      <c r="H3578" s="1" t="str">
        <f t="shared" si="57"/>
        <v/>
      </c>
      <c r="K3578" s="1">
        <f>IF(E3578=0,SUMPRODUCT(($A$2:$A$4734=A3578)*($B$2:$B$4734=B3578)*($D$2:$D$4734=D3578)*($E$2:$E$4734=0)),0)</f>
        <v>4</v>
      </c>
      <c r="L3578" s="1">
        <f>IF(E3578=0,SUMPRODUCT(MIN($K$2:$K$4734+((($A$2:$A$4734&lt;&gt;A3578)+($E$2:$E$4734&lt;&gt;0))&gt;0)*1000000)),"")</f>
        <v>4</v>
      </c>
      <c r="M3578" s="1">
        <f>IF(AND(E3578=0,COUNTIFS($A$2:A3578,A3578,$E$2:E3578,0)=1),L3578,0)</f>
        <v>0</v>
      </c>
    </row>
    <row r="3579" spans="1:13" ht="15" customHeight="1">
      <c r="A3579" s="1">
        <v>149</v>
      </c>
      <c r="B3579" s="1" t="s">
        <v>16</v>
      </c>
      <c r="C3579" s="2" t="s">
        <v>4213</v>
      </c>
      <c r="D3579" s="2" t="s">
        <v>4221</v>
      </c>
      <c r="E3579" s="1">
        <v>0</v>
      </c>
      <c r="F3579" s="2" t="s">
        <v>4224</v>
      </c>
      <c r="H3579" s="1" t="str">
        <f t="shared" si="57"/>
        <v/>
      </c>
      <c r="K3579" s="1">
        <f>IF(E3579=0,SUMPRODUCT(($A$2:$A$4734=A3579)*($B$2:$B$4734=B3579)*($D$2:$D$4734=D3579)*($E$2:$E$4734=0)),0)</f>
        <v>4</v>
      </c>
      <c r="L3579" s="1">
        <f>IF(E3579=0,SUMPRODUCT(MIN($K$2:$K$4734+((($A$2:$A$4734&lt;&gt;A3579)+($E$2:$E$4734&lt;&gt;0))&gt;0)*1000000)),"")</f>
        <v>4</v>
      </c>
      <c r="M3579" s="1">
        <f>IF(AND(E3579=0,COUNTIFS($A$2:A3579,A3579,$E$2:E3579,0)=1),L3579,0)</f>
        <v>0</v>
      </c>
    </row>
    <row r="3580" spans="1:13" ht="15" customHeight="1">
      <c r="A3580" s="1">
        <v>149</v>
      </c>
      <c r="B3580" s="1" t="s">
        <v>16</v>
      </c>
      <c r="C3580" s="2" t="s">
        <v>4213</v>
      </c>
      <c r="D3580" s="2" t="s">
        <v>4221</v>
      </c>
      <c r="E3580" s="1">
        <v>0</v>
      </c>
      <c r="F3580" s="2" t="s">
        <v>4225</v>
      </c>
      <c r="H3580" s="1" t="str">
        <f t="shared" ref="H3580:H3637" si="58">IF(OR(E3580&lt;&gt;1,G3580=""),"","k"&amp;A3580&amp;"_"&amp;G3580)</f>
        <v/>
      </c>
      <c r="K3580" s="1">
        <f>IF(E3580=0,SUMPRODUCT(($A$2:$A$4734=A3580)*($B$2:$B$4734=B3580)*($D$2:$D$4734=D3580)*($E$2:$E$4734=0)),0)</f>
        <v>4</v>
      </c>
      <c r="L3580" s="1">
        <f>IF(E3580=0,SUMPRODUCT(MIN($K$2:$K$4734+((($A$2:$A$4734&lt;&gt;A3580)+($E$2:$E$4734&lt;&gt;0))&gt;0)*1000000)),"")</f>
        <v>4</v>
      </c>
      <c r="M3580" s="1">
        <f>IF(AND(E3580=0,COUNTIFS($A$2:A3580,A3580,$E$2:E3580,0)=1),L3580,0)</f>
        <v>0</v>
      </c>
    </row>
    <row r="3581" spans="1:13" ht="15" customHeight="1">
      <c r="A3581" s="1">
        <v>150</v>
      </c>
      <c r="B3581" s="1" t="s">
        <v>393</v>
      </c>
      <c r="C3581" s="2" t="s">
        <v>4226</v>
      </c>
      <c r="D3581" s="2" t="s">
        <v>4227</v>
      </c>
      <c r="E3581" s="1">
        <v>1</v>
      </c>
      <c r="F3581" s="2" t="s">
        <v>4228</v>
      </c>
      <c r="G3581" s="1">
        <v>1</v>
      </c>
      <c r="H3581" s="1" t="str">
        <f t="shared" si="58"/>
        <v>k150_1</v>
      </c>
      <c r="K3581" s="1">
        <f>IF(E3581=0,SUMPRODUCT(($A$2:$A$4734=A3581)*($B$2:$B$4734=B3581)*($D$2:$D$4734=D3581)*($E$2:$E$4734=0)),0)</f>
        <v>0</v>
      </c>
      <c r="L3581" s="1" t="str">
        <f>IF(E3581=0,SUMPRODUCT(MIN($K$2:$K$4734+((($A$2:$A$4734&lt;&gt;A3581)+($E$2:$E$4734&lt;&gt;0))&gt;0)*1000000)),"")</f>
        <v/>
      </c>
      <c r="M3581" s="1">
        <f>IF(AND(E3581=0,COUNTIFS($A$2:A3581,A3581,$E$2:E3581,0)=1),L3581,0)</f>
        <v>0</v>
      </c>
    </row>
    <row r="3582" spans="1:13" ht="15" customHeight="1">
      <c r="A3582" s="1">
        <v>150</v>
      </c>
      <c r="B3582" s="1" t="s">
        <v>393</v>
      </c>
      <c r="C3582" s="2" t="s">
        <v>4226</v>
      </c>
      <c r="D3582" s="2" t="s">
        <v>4227</v>
      </c>
      <c r="E3582" s="1">
        <v>1</v>
      </c>
      <c r="F3582" s="2" t="s">
        <v>4229</v>
      </c>
      <c r="G3582" s="1">
        <v>2</v>
      </c>
      <c r="H3582" s="1" t="str">
        <f t="shared" si="58"/>
        <v>k150_2</v>
      </c>
      <c r="K3582" s="1">
        <f>IF(E3582=0,SUMPRODUCT(($A$2:$A$4734=A3582)*($B$2:$B$4734=B3582)*($D$2:$D$4734=D3582)*($E$2:$E$4734=0)),0)</f>
        <v>0</v>
      </c>
      <c r="L3582" s="1" t="str">
        <f>IF(E3582=0,SUMPRODUCT(MIN($K$2:$K$4734+((($A$2:$A$4734&lt;&gt;A3582)+($E$2:$E$4734&lt;&gt;0))&gt;0)*1000000)),"")</f>
        <v/>
      </c>
      <c r="M3582" s="1">
        <f>IF(AND(E3582=0,COUNTIFS($A$2:A3582,A3582,$E$2:E3582,0)=1),L3582,0)</f>
        <v>0</v>
      </c>
    </row>
    <row r="3583" spans="1:13" ht="15" customHeight="1">
      <c r="A3583" s="1">
        <v>150</v>
      </c>
      <c r="B3583" s="1" t="s">
        <v>393</v>
      </c>
      <c r="C3583" s="2" t="s">
        <v>4226</v>
      </c>
      <c r="D3583" s="2" t="s">
        <v>4227</v>
      </c>
      <c r="E3583" s="1">
        <v>1</v>
      </c>
      <c r="F3583" s="2" t="s">
        <v>4230</v>
      </c>
      <c r="G3583" s="1">
        <v>3</v>
      </c>
      <c r="H3583" s="1" t="str">
        <f t="shared" si="58"/>
        <v>k150_3</v>
      </c>
      <c r="K3583" s="1">
        <f>IF(E3583=0,SUMPRODUCT(($A$2:$A$4734=A3583)*($B$2:$B$4734=B3583)*($D$2:$D$4734=D3583)*($E$2:$E$4734=0)),0)</f>
        <v>0</v>
      </c>
      <c r="L3583" s="1" t="str">
        <f>IF(E3583=0,SUMPRODUCT(MIN($K$2:$K$4734+((($A$2:$A$4734&lt;&gt;A3583)+($E$2:$E$4734&lt;&gt;0))&gt;0)*1000000)),"")</f>
        <v/>
      </c>
      <c r="M3583" s="1">
        <f>IF(AND(E3583=0,COUNTIFS($A$2:A3583,A3583,$E$2:E3583,0)=1),L3583,0)</f>
        <v>0</v>
      </c>
    </row>
    <row r="3584" spans="1:13" ht="15" customHeight="1">
      <c r="A3584" s="1">
        <v>150</v>
      </c>
      <c r="B3584" s="1" t="s">
        <v>393</v>
      </c>
      <c r="C3584" s="2" t="s">
        <v>4226</v>
      </c>
      <c r="D3584" s="2" t="s">
        <v>4227</v>
      </c>
      <c r="E3584" s="1">
        <v>1</v>
      </c>
      <c r="F3584" s="2" t="s">
        <v>4231</v>
      </c>
      <c r="G3584" s="1">
        <v>4</v>
      </c>
      <c r="H3584" s="1" t="str">
        <f t="shared" si="58"/>
        <v>k150_4</v>
      </c>
      <c r="K3584" s="1">
        <f>IF(E3584=0,SUMPRODUCT(($A$2:$A$4734=A3584)*($B$2:$B$4734=B3584)*($D$2:$D$4734=D3584)*($E$2:$E$4734=0)),0)</f>
        <v>0</v>
      </c>
      <c r="L3584" s="1" t="str">
        <f>IF(E3584=0,SUMPRODUCT(MIN($K$2:$K$4734+((($A$2:$A$4734&lt;&gt;A3584)+($E$2:$E$4734&lt;&gt;0))&gt;0)*1000000)),"")</f>
        <v/>
      </c>
      <c r="M3584" s="1">
        <f>IF(AND(E3584=0,COUNTIFS($A$2:A3584,A3584,$E$2:E3584,0)=1),L3584,0)</f>
        <v>0</v>
      </c>
    </row>
    <row r="3585" spans="1:13" ht="15" customHeight="1">
      <c r="A3585" s="1">
        <v>150</v>
      </c>
      <c r="B3585" s="1" t="s">
        <v>393</v>
      </c>
      <c r="C3585" s="2" t="s">
        <v>4226</v>
      </c>
      <c r="D3585" s="2" t="s">
        <v>4227</v>
      </c>
      <c r="E3585" s="1">
        <v>1</v>
      </c>
      <c r="F3585" s="2" t="s">
        <v>4232</v>
      </c>
      <c r="G3585" s="1">
        <v>5</v>
      </c>
      <c r="H3585" s="1" t="str">
        <f t="shared" si="58"/>
        <v>k150_5</v>
      </c>
      <c r="K3585" s="1">
        <f>IF(E3585=0,SUMPRODUCT(($A$2:$A$4734=A3585)*($B$2:$B$4734=B3585)*($D$2:$D$4734=D3585)*($E$2:$E$4734=0)),0)</f>
        <v>0</v>
      </c>
      <c r="L3585" s="1" t="str">
        <f>IF(E3585=0,SUMPRODUCT(MIN($K$2:$K$4734+((($A$2:$A$4734&lt;&gt;A3585)+($E$2:$E$4734&lt;&gt;0))&gt;0)*1000000)),"")</f>
        <v/>
      </c>
      <c r="M3585" s="1">
        <f>IF(AND(E3585=0,COUNTIFS($A$2:A3585,A3585,$E$2:E3585,0)=1),L3585,0)</f>
        <v>0</v>
      </c>
    </row>
    <row r="3586" spans="1:13" ht="15" customHeight="1">
      <c r="A3586" s="1">
        <v>151</v>
      </c>
      <c r="B3586" s="1" t="s">
        <v>16</v>
      </c>
      <c r="C3586" s="2" t="s">
        <v>4233</v>
      </c>
      <c r="D3586" s="2" t="s">
        <v>4052</v>
      </c>
      <c r="E3586" s="1">
        <v>0</v>
      </c>
      <c r="F3586" s="2" t="s">
        <v>4234</v>
      </c>
      <c r="H3586" s="1" t="str">
        <f t="shared" si="58"/>
        <v/>
      </c>
      <c r="K3586" s="1">
        <f>IF(E3586=0,SUMPRODUCT(($A$2:$A$4734=A3586)*($B$2:$B$4734=B3586)*($D$2:$D$4734=D3586)*($E$2:$E$4734=0)),0)</f>
        <v>3</v>
      </c>
      <c r="L3586" s="1">
        <f>IF(E3586=0,SUMPRODUCT(MIN($K$2:$K$4734+((($A$2:$A$4734&lt;&gt;A3586)+($E$2:$E$4734&lt;&gt;0))&gt;0)*1000000)),"")</f>
        <v>3</v>
      </c>
      <c r="M3586" s="1">
        <f>IF(AND(E3586=0,COUNTIFS($A$2:A3586,A3586,$E$2:E3586,0)=1),L3586,0)</f>
        <v>3</v>
      </c>
    </row>
    <row r="3587" spans="1:13" ht="15" customHeight="1">
      <c r="A3587" s="1">
        <v>151</v>
      </c>
      <c r="B3587" s="1" t="s">
        <v>16</v>
      </c>
      <c r="C3587" s="2" t="s">
        <v>4233</v>
      </c>
      <c r="D3587" s="2" t="s">
        <v>4052</v>
      </c>
      <c r="E3587" s="1">
        <v>0</v>
      </c>
      <c r="F3587" s="2" t="s">
        <v>4142</v>
      </c>
      <c r="H3587" s="1" t="str">
        <f t="shared" si="58"/>
        <v/>
      </c>
      <c r="K3587" s="1">
        <f>IF(E3587=0,SUMPRODUCT(($A$2:$A$4734=A3587)*($B$2:$B$4734=B3587)*($D$2:$D$4734=D3587)*($E$2:$E$4734=0)),0)</f>
        <v>3</v>
      </c>
      <c r="L3587" s="1">
        <f>IF(E3587=0,SUMPRODUCT(MIN($K$2:$K$4734+((($A$2:$A$4734&lt;&gt;A3587)+($E$2:$E$4734&lt;&gt;0))&gt;0)*1000000)),"")</f>
        <v>3</v>
      </c>
      <c r="M3587" s="1">
        <f>IF(AND(E3587=0,COUNTIFS($A$2:A3587,A3587,$E$2:E3587,0)=1),L3587,0)</f>
        <v>0</v>
      </c>
    </row>
    <row r="3588" spans="1:13" ht="15" customHeight="1">
      <c r="A3588" s="1">
        <v>151</v>
      </c>
      <c r="B3588" s="1" t="s">
        <v>16</v>
      </c>
      <c r="C3588" s="2" t="s">
        <v>4233</v>
      </c>
      <c r="D3588" s="2" t="s">
        <v>4052</v>
      </c>
      <c r="E3588" s="1">
        <v>0</v>
      </c>
      <c r="F3588" s="2" t="s">
        <v>4235</v>
      </c>
      <c r="H3588" s="1" t="str">
        <f t="shared" si="58"/>
        <v/>
      </c>
      <c r="K3588" s="1">
        <f>IF(E3588=0,SUMPRODUCT(($A$2:$A$4734=A3588)*($B$2:$B$4734=B3588)*($D$2:$D$4734=D3588)*($E$2:$E$4734=0)),0)</f>
        <v>3</v>
      </c>
      <c r="L3588" s="1">
        <f>IF(E3588=0,SUMPRODUCT(MIN($K$2:$K$4734+((($A$2:$A$4734&lt;&gt;A3588)+($E$2:$E$4734&lt;&gt;0))&gt;0)*1000000)),"")</f>
        <v>3</v>
      </c>
      <c r="M3588" s="1">
        <f>IF(AND(E3588=0,COUNTIFS($A$2:A3588,A3588,$E$2:E3588,0)=1),L3588,0)</f>
        <v>0</v>
      </c>
    </row>
    <row r="3589" spans="1:13" ht="15" customHeight="1">
      <c r="A3589" s="1">
        <v>152</v>
      </c>
      <c r="B3589" s="1" t="s">
        <v>9</v>
      </c>
      <c r="C3589" s="2" t="s">
        <v>4236</v>
      </c>
      <c r="D3589" s="2" t="s">
        <v>4237</v>
      </c>
      <c r="E3589" s="1">
        <v>0</v>
      </c>
      <c r="F3589" s="2" t="s">
        <v>4238</v>
      </c>
      <c r="H3589" s="1" t="str">
        <f t="shared" si="58"/>
        <v/>
      </c>
      <c r="K3589" s="1">
        <f>IF(E3589=0,SUMPRODUCT(($A$2:$A$4734=A3589)*($B$2:$B$4734=B3589)*($D$2:$D$4734=D3589)*($E$2:$E$4734=0)),0)</f>
        <v>4</v>
      </c>
      <c r="L3589" s="1">
        <f>IF(E3589=0,SUMPRODUCT(MIN($K$2:$K$4734+((($A$2:$A$4734&lt;&gt;A3589)+($E$2:$E$4734&lt;&gt;0))&gt;0)*1000000)),"")</f>
        <v>4</v>
      </c>
      <c r="M3589" s="1">
        <f>IF(AND(E3589=0,COUNTIFS($A$2:A3589,A3589,$E$2:E3589,0)=1),L3589,0)</f>
        <v>4</v>
      </c>
    </row>
    <row r="3590" spans="1:13" ht="15" customHeight="1">
      <c r="A3590" s="1">
        <v>152</v>
      </c>
      <c r="B3590" s="1" t="s">
        <v>9</v>
      </c>
      <c r="C3590" s="2" t="s">
        <v>4236</v>
      </c>
      <c r="D3590" s="2" t="s">
        <v>4237</v>
      </c>
      <c r="E3590" s="1">
        <v>0</v>
      </c>
      <c r="F3590" s="2" t="s">
        <v>4239</v>
      </c>
      <c r="H3590" s="1" t="str">
        <f t="shared" si="58"/>
        <v/>
      </c>
      <c r="K3590" s="1">
        <f>IF(E3590=0,SUMPRODUCT(($A$2:$A$4734=A3590)*($B$2:$B$4734=B3590)*($D$2:$D$4734=D3590)*($E$2:$E$4734=0)),0)</f>
        <v>4</v>
      </c>
      <c r="L3590" s="1">
        <f>IF(E3590=0,SUMPRODUCT(MIN($K$2:$K$4734+((($A$2:$A$4734&lt;&gt;A3590)+($E$2:$E$4734&lt;&gt;0))&gt;0)*1000000)),"")</f>
        <v>4</v>
      </c>
      <c r="M3590" s="1">
        <f>IF(AND(E3590=0,COUNTIFS($A$2:A3590,A3590,$E$2:E3590,0)=1),L3590,0)</f>
        <v>0</v>
      </c>
    </row>
    <row r="3591" spans="1:13" ht="15" customHeight="1">
      <c r="A3591" s="1">
        <v>152</v>
      </c>
      <c r="B3591" s="1" t="s">
        <v>9</v>
      </c>
      <c r="C3591" s="2" t="s">
        <v>4236</v>
      </c>
      <c r="D3591" s="2" t="s">
        <v>4237</v>
      </c>
      <c r="E3591" s="1">
        <v>0</v>
      </c>
      <c r="F3591" s="2" t="s">
        <v>4240</v>
      </c>
      <c r="H3591" s="1" t="str">
        <f t="shared" si="58"/>
        <v/>
      </c>
      <c r="K3591" s="1">
        <f>IF(E3591=0,SUMPRODUCT(($A$2:$A$4734=A3591)*($B$2:$B$4734=B3591)*($D$2:$D$4734=D3591)*($E$2:$E$4734=0)),0)</f>
        <v>4</v>
      </c>
      <c r="L3591" s="1">
        <f>IF(E3591=0,SUMPRODUCT(MIN($K$2:$K$4734+((($A$2:$A$4734&lt;&gt;A3591)+($E$2:$E$4734&lt;&gt;0))&gt;0)*1000000)),"")</f>
        <v>4</v>
      </c>
      <c r="M3591" s="1">
        <f>IF(AND(E3591=0,COUNTIFS($A$2:A3591,A3591,$E$2:E3591,0)=1),L3591,0)</f>
        <v>0</v>
      </c>
    </row>
    <row r="3592" spans="1:13" ht="15" customHeight="1">
      <c r="A3592" s="1">
        <v>152</v>
      </c>
      <c r="B3592" s="1" t="s">
        <v>9</v>
      </c>
      <c r="C3592" s="2" t="s">
        <v>4236</v>
      </c>
      <c r="D3592" s="2" t="s">
        <v>4237</v>
      </c>
      <c r="E3592" s="1">
        <v>0</v>
      </c>
      <c r="F3592" s="2" t="s">
        <v>4241</v>
      </c>
      <c r="H3592" s="1" t="str">
        <f t="shared" si="58"/>
        <v/>
      </c>
      <c r="K3592" s="1">
        <f>IF(E3592=0,SUMPRODUCT(($A$2:$A$4734=A3592)*($B$2:$B$4734=B3592)*($D$2:$D$4734=D3592)*($E$2:$E$4734=0)),0)</f>
        <v>4</v>
      </c>
      <c r="L3592" s="1">
        <f>IF(E3592=0,SUMPRODUCT(MIN($K$2:$K$4734+((($A$2:$A$4734&lt;&gt;A3592)+($E$2:$E$4734&lt;&gt;0))&gt;0)*1000000)),"")</f>
        <v>4</v>
      </c>
      <c r="M3592" s="1">
        <f>IF(AND(E3592=0,COUNTIFS($A$2:A3592,A3592,$E$2:E3592,0)=1),L3592,0)</f>
        <v>0</v>
      </c>
    </row>
    <row r="3593" spans="1:13" ht="15" customHeight="1">
      <c r="A3593" s="1">
        <v>153</v>
      </c>
      <c r="B3593" s="1" t="s">
        <v>9</v>
      </c>
      <c r="C3593" s="2" t="s">
        <v>4242</v>
      </c>
      <c r="D3593" s="2" t="s">
        <v>4243</v>
      </c>
      <c r="E3593" s="1">
        <v>0</v>
      </c>
      <c r="F3593" s="2" t="s">
        <v>4244</v>
      </c>
      <c r="H3593" s="1" t="str">
        <f t="shared" si="58"/>
        <v/>
      </c>
      <c r="K3593" s="1">
        <f>IF(E3593=0,SUMPRODUCT(($A$2:$A$4734=A3593)*($B$2:$B$4734=B3593)*($D$2:$D$4734=D3593)*($E$2:$E$4734=0)),0)</f>
        <v>4</v>
      </c>
      <c r="L3593" s="1">
        <f>IF(E3593=0,SUMPRODUCT(MIN($K$2:$K$4734+((($A$2:$A$4734&lt;&gt;A3593)+($E$2:$E$4734&lt;&gt;0))&gt;0)*1000000)),"")</f>
        <v>4</v>
      </c>
      <c r="M3593" s="1">
        <f>IF(AND(E3593=0,COUNTIFS($A$2:A3593,A3593,$E$2:E3593,0)=1),L3593,0)</f>
        <v>4</v>
      </c>
    </row>
    <row r="3594" spans="1:13" ht="15" customHeight="1">
      <c r="A3594" s="1">
        <v>153</v>
      </c>
      <c r="B3594" s="1" t="s">
        <v>9</v>
      </c>
      <c r="C3594" s="2" t="s">
        <v>4242</v>
      </c>
      <c r="D3594" s="2" t="s">
        <v>4243</v>
      </c>
      <c r="E3594" s="1">
        <v>0</v>
      </c>
      <c r="F3594" s="2" t="s">
        <v>4245</v>
      </c>
      <c r="H3594" s="1" t="str">
        <f t="shared" si="58"/>
        <v/>
      </c>
      <c r="K3594" s="1">
        <f>IF(E3594=0,SUMPRODUCT(($A$2:$A$4734=A3594)*($B$2:$B$4734=B3594)*($D$2:$D$4734=D3594)*($E$2:$E$4734=0)),0)</f>
        <v>4</v>
      </c>
      <c r="L3594" s="1">
        <f>IF(E3594=0,SUMPRODUCT(MIN($K$2:$K$4734+((($A$2:$A$4734&lt;&gt;A3594)+($E$2:$E$4734&lt;&gt;0))&gt;0)*1000000)),"")</f>
        <v>4</v>
      </c>
      <c r="M3594" s="1">
        <f>IF(AND(E3594=0,COUNTIFS($A$2:A3594,A3594,$E$2:E3594,0)=1),L3594,0)</f>
        <v>0</v>
      </c>
    </row>
    <row r="3595" spans="1:13" ht="15" customHeight="1">
      <c r="A3595" s="1">
        <v>153</v>
      </c>
      <c r="B3595" s="1" t="s">
        <v>9</v>
      </c>
      <c r="C3595" s="2" t="s">
        <v>4242</v>
      </c>
      <c r="D3595" s="2" t="s">
        <v>4243</v>
      </c>
      <c r="E3595" s="1">
        <v>0</v>
      </c>
      <c r="F3595" s="2" t="s">
        <v>4246</v>
      </c>
      <c r="H3595" s="1" t="str">
        <f t="shared" si="58"/>
        <v/>
      </c>
      <c r="K3595" s="1">
        <f>IF(E3595=0,SUMPRODUCT(($A$2:$A$4734=A3595)*($B$2:$B$4734=B3595)*($D$2:$D$4734=D3595)*($E$2:$E$4734=0)),0)</f>
        <v>4</v>
      </c>
      <c r="L3595" s="1">
        <f>IF(E3595=0,SUMPRODUCT(MIN($K$2:$K$4734+((($A$2:$A$4734&lt;&gt;A3595)+($E$2:$E$4734&lt;&gt;0))&gt;0)*1000000)),"")</f>
        <v>4</v>
      </c>
      <c r="M3595" s="1">
        <f>IF(AND(E3595=0,COUNTIFS($A$2:A3595,A3595,$E$2:E3595,0)=1),L3595,0)</f>
        <v>0</v>
      </c>
    </row>
    <row r="3596" spans="1:13" ht="15" customHeight="1">
      <c r="A3596" s="1">
        <v>153</v>
      </c>
      <c r="B3596" s="1" t="s">
        <v>9</v>
      </c>
      <c r="C3596" s="2" t="s">
        <v>4242</v>
      </c>
      <c r="D3596" s="2" t="s">
        <v>4243</v>
      </c>
      <c r="E3596" s="1">
        <v>0</v>
      </c>
      <c r="F3596" s="2" t="s">
        <v>4247</v>
      </c>
      <c r="H3596" s="1" t="str">
        <f t="shared" si="58"/>
        <v/>
      </c>
      <c r="K3596" s="1">
        <f>IF(E3596=0,SUMPRODUCT(($A$2:$A$4734=A3596)*($B$2:$B$4734=B3596)*($D$2:$D$4734=D3596)*($E$2:$E$4734=0)),0)</f>
        <v>4</v>
      </c>
      <c r="L3596" s="1">
        <f>IF(E3596=0,SUMPRODUCT(MIN($K$2:$K$4734+((($A$2:$A$4734&lt;&gt;A3596)+($E$2:$E$4734&lt;&gt;0))&gt;0)*1000000)),"")</f>
        <v>4</v>
      </c>
      <c r="M3596" s="1">
        <f>IF(AND(E3596=0,COUNTIFS($A$2:A3596,A3596,$E$2:E3596,0)=1),L3596,0)</f>
        <v>0</v>
      </c>
    </row>
    <row r="3597" spans="1:13" ht="15" customHeight="1">
      <c r="A3597" s="1">
        <v>154</v>
      </c>
      <c r="B3597" s="1" t="s">
        <v>16</v>
      </c>
      <c r="C3597" s="2" t="s">
        <v>4248</v>
      </c>
      <c r="D3597" s="2" t="s">
        <v>2147</v>
      </c>
      <c r="E3597" s="1">
        <v>1</v>
      </c>
      <c r="F3597" s="2" t="s">
        <v>4249</v>
      </c>
      <c r="G3597" s="1">
        <v>1</v>
      </c>
      <c r="H3597" s="1" t="str">
        <f t="shared" si="58"/>
        <v>k154_1</v>
      </c>
      <c r="K3597" s="1">
        <f>IF(E3597=0,SUMPRODUCT(($A$2:$A$4734=A3597)*($B$2:$B$4734=B3597)*($D$2:$D$4734=D3597)*($E$2:$E$4734=0)),0)</f>
        <v>0</v>
      </c>
      <c r="L3597" s="1" t="str">
        <f>IF(E3597=0,SUMPRODUCT(MIN($K$2:$K$4734+((($A$2:$A$4734&lt;&gt;A3597)+($E$2:$E$4734&lt;&gt;0))&gt;0)*1000000)),"")</f>
        <v/>
      </c>
      <c r="M3597" s="1">
        <f>IF(AND(E3597=0,COUNTIFS($A$2:A3597,A3597,$E$2:E3597,0)=1),L3597,0)</f>
        <v>0</v>
      </c>
    </row>
    <row r="3598" spans="1:13" ht="15" customHeight="1">
      <c r="A3598" s="1">
        <v>154</v>
      </c>
      <c r="B3598" s="1" t="s">
        <v>16</v>
      </c>
      <c r="C3598" s="2" t="s">
        <v>4248</v>
      </c>
      <c r="D3598" s="2" t="s">
        <v>2147</v>
      </c>
      <c r="E3598" s="1">
        <v>1</v>
      </c>
      <c r="F3598" s="2" t="s">
        <v>4249</v>
      </c>
      <c r="G3598" s="1">
        <v>4</v>
      </c>
      <c r="H3598" s="1" t="str">
        <f t="shared" si="58"/>
        <v>k154_4</v>
      </c>
      <c r="K3598" s="1">
        <f>IF(E3598=0,SUMPRODUCT(($A$2:$A$4734=A3598)*($B$2:$B$4734=B3598)*($D$2:$D$4734=D3598)*($E$2:$E$4734=0)),0)</f>
        <v>0</v>
      </c>
      <c r="L3598" s="1" t="str">
        <f>IF(E3598=0,SUMPRODUCT(MIN($K$2:$K$4734+((($A$2:$A$4734&lt;&gt;A3598)+($E$2:$E$4734&lt;&gt;0))&gt;0)*1000000)),"")</f>
        <v/>
      </c>
      <c r="M3598" s="1">
        <f>IF(AND(E3598=0,COUNTIFS($A$2:A3598,A3598,$E$2:E3598,0)=1),L3598,0)</f>
        <v>0</v>
      </c>
    </row>
    <row r="3599" spans="1:13" ht="15" customHeight="1">
      <c r="A3599" s="1">
        <v>154</v>
      </c>
      <c r="B3599" s="1" t="s">
        <v>16</v>
      </c>
      <c r="C3599" s="2" t="s">
        <v>4248</v>
      </c>
      <c r="D3599" s="2" t="s">
        <v>2147</v>
      </c>
      <c r="E3599" s="1">
        <v>1</v>
      </c>
      <c r="F3599" s="2" t="s">
        <v>4250</v>
      </c>
      <c r="G3599" s="1">
        <v>2</v>
      </c>
      <c r="H3599" s="1" t="str">
        <f t="shared" si="58"/>
        <v>k154_2</v>
      </c>
      <c r="K3599" s="1">
        <f>IF(E3599=0,SUMPRODUCT(($A$2:$A$4734=A3599)*($B$2:$B$4734=B3599)*($D$2:$D$4734=D3599)*($E$2:$E$4734=0)),0)</f>
        <v>0</v>
      </c>
      <c r="L3599" s="1" t="str">
        <f>IF(E3599=0,SUMPRODUCT(MIN($K$2:$K$4734+((($A$2:$A$4734&lt;&gt;A3599)+($E$2:$E$4734&lt;&gt;0))&gt;0)*1000000)),"")</f>
        <v/>
      </c>
      <c r="M3599" s="1">
        <f>IF(AND(E3599=0,COUNTIFS($A$2:A3599,A3599,$E$2:E3599,0)=1),L3599,0)</f>
        <v>0</v>
      </c>
    </row>
    <row r="3600" spans="1:13" ht="15" customHeight="1">
      <c r="A3600" s="1">
        <v>154</v>
      </c>
      <c r="B3600" s="1" t="s">
        <v>16</v>
      </c>
      <c r="C3600" s="2" t="s">
        <v>4248</v>
      </c>
      <c r="D3600" s="2" t="s">
        <v>2147</v>
      </c>
      <c r="E3600" s="1">
        <v>1</v>
      </c>
      <c r="F3600" s="2" t="s">
        <v>2150</v>
      </c>
      <c r="G3600" s="1">
        <v>3</v>
      </c>
      <c r="H3600" s="1" t="str">
        <f t="shared" si="58"/>
        <v>k154_3</v>
      </c>
      <c r="K3600" s="1">
        <f>IF(E3600=0,SUMPRODUCT(($A$2:$A$4734=A3600)*($B$2:$B$4734=B3600)*($D$2:$D$4734=D3600)*($E$2:$E$4734=0)),0)</f>
        <v>0</v>
      </c>
      <c r="L3600" s="1" t="str">
        <f>IF(E3600=0,SUMPRODUCT(MIN($K$2:$K$4734+((($A$2:$A$4734&lt;&gt;A3600)+($E$2:$E$4734&lt;&gt;0))&gt;0)*1000000)),"")</f>
        <v/>
      </c>
      <c r="M3600" s="1">
        <f>IF(AND(E3600=0,COUNTIFS($A$2:A3600,A3600,$E$2:E3600,0)=1),L3600,0)</f>
        <v>0</v>
      </c>
    </row>
    <row r="3601" spans="1:13" ht="15" customHeight="1">
      <c r="A3601" s="1">
        <v>154</v>
      </c>
      <c r="B3601" s="1" t="s">
        <v>9</v>
      </c>
      <c r="C3601" s="2" t="s">
        <v>4248</v>
      </c>
      <c r="D3601" s="2" t="s">
        <v>4251</v>
      </c>
      <c r="E3601" s="1">
        <v>1</v>
      </c>
      <c r="F3601" s="2" t="s">
        <v>4252</v>
      </c>
      <c r="G3601" s="1">
        <v>1</v>
      </c>
      <c r="H3601" s="1" t="str">
        <f t="shared" si="58"/>
        <v>k154_1</v>
      </c>
      <c r="K3601" s="1">
        <f>IF(E3601=0,SUMPRODUCT(($A$2:$A$4734=A3601)*($B$2:$B$4734=B3601)*($D$2:$D$4734=D3601)*($E$2:$E$4734=0)),0)</f>
        <v>0</v>
      </c>
      <c r="L3601" s="1" t="str">
        <f>IF(E3601=0,SUMPRODUCT(MIN($K$2:$K$4734+((($A$2:$A$4734&lt;&gt;A3601)+($E$2:$E$4734&lt;&gt;0))&gt;0)*1000000)),"")</f>
        <v/>
      </c>
      <c r="M3601" s="1">
        <f>IF(AND(E3601=0,COUNTIFS($A$2:A3601,A3601,$E$2:E3601,0)=1),L3601,0)</f>
        <v>0</v>
      </c>
    </row>
    <row r="3602" spans="1:13" ht="15" customHeight="1">
      <c r="A3602" s="1">
        <v>154</v>
      </c>
      <c r="B3602" s="1" t="s">
        <v>9</v>
      </c>
      <c r="C3602" s="2" t="s">
        <v>4248</v>
      </c>
      <c r="D3602" s="2" t="s">
        <v>4251</v>
      </c>
      <c r="E3602" s="1">
        <v>1</v>
      </c>
      <c r="F3602" s="2" t="s">
        <v>4253</v>
      </c>
      <c r="G3602" s="1">
        <v>2</v>
      </c>
      <c r="H3602" s="1" t="str">
        <f t="shared" si="58"/>
        <v>k154_2</v>
      </c>
      <c r="K3602" s="1">
        <f>IF(E3602=0,SUMPRODUCT(($A$2:$A$4734=A3602)*($B$2:$B$4734=B3602)*($D$2:$D$4734=D3602)*($E$2:$E$4734=0)),0)</f>
        <v>0</v>
      </c>
      <c r="L3602" s="1" t="str">
        <f>IF(E3602=0,SUMPRODUCT(MIN($K$2:$K$4734+((($A$2:$A$4734&lt;&gt;A3602)+($E$2:$E$4734&lt;&gt;0))&gt;0)*1000000)),"")</f>
        <v/>
      </c>
      <c r="M3602" s="1">
        <f>IF(AND(E3602=0,COUNTIFS($A$2:A3602,A3602,$E$2:E3602,0)=1),L3602,0)</f>
        <v>0</v>
      </c>
    </row>
    <row r="3603" spans="1:13" ht="15" customHeight="1">
      <c r="A3603" s="1">
        <v>154</v>
      </c>
      <c r="B3603" s="1" t="s">
        <v>9</v>
      </c>
      <c r="C3603" s="2" t="s">
        <v>4248</v>
      </c>
      <c r="D3603" s="2" t="s">
        <v>4251</v>
      </c>
      <c r="E3603" s="1">
        <v>1</v>
      </c>
      <c r="F3603" s="2" t="s">
        <v>4254</v>
      </c>
      <c r="G3603" s="1">
        <v>3</v>
      </c>
      <c r="H3603" s="1" t="str">
        <f t="shared" si="58"/>
        <v>k154_3</v>
      </c>
      <c r="K3603" s="1">
        <f>IF(E3603=0,SUMPRODUCT(($A$2:$A$4734=A3603)*($B$2:$B$4734=B3603)*($D$2:$D$4734=D3603)*($E$2:$E$4734=0)),0)</f>
        <v>0</v>
      </c>
      <c r="L3603" s="1" t="str">
        <f>IF(E3603=0,SUMPRODUCT(MIN($K$2:$K$4734+((($A$2:$A$4734&lt;&gt;A3603)+($E$2:$E$4734&lt;&gt;0))&gt;0)*1000000)),"")</f>
        <v/>
      </c>
      <c r="M3603" s="1">
        <f>IF(AND(E3603=0,COUNTIFS($A$2:A3603,A3603,$E$2:E3603,0)=1),L3603,0)</f>
        <v>0</v>
      </c>
    </row>
    <row r="3604" spans="1:13" ht="15" customHeight="1">
      <c r="A3604" s="1">
        <v>154</v>
      </c>
      <c r="B3604" s="1" t="s">
        <v>9</v>
      </c>
      <c r="C3604" s="2" t="s">
        <v>4248</v>
      </c>
      <c r="D3604" s="2" t="s">
        <v>4251</v>
      </c>
      <c r="E3604" s="1">
        <v>1</v>
      </c>
      <c r="F3604" s="2" t="s">
        <v>4255</v>
      </c>
      <c r="G3604" s="1">
        <v>4</v>
      </c>
      <c r="H3604" s="1" t="str">
        <f t="shared" si="58"/>
        <v>k154_4</v>
      </c>
      <c r="K3604" s="1">
        <f>IF(E3604=0,SUMPRODUCT(($A$2:$A$4734=A3604)*($B$2:$B$4734=B3604)*($D$2:$D$4734=D3604)*($E$2:$E$4734=0)),0)</f>
        <v>0</v>
      </c>
      <c r="L3604" s="1" t="str">
        <f>IF(E3604=0,SUMPRODUCT(MIN($K$2:$K$4734+((($A$2:$A$4734&lt;&gt;A3604)+($E$2:$E$4734&lt;&gt;0))&gt;0)*1000000)),"")</f>
        <v/>
      </c>
      <c r="M3604" s="1">
        <f>IF(AND(E3604=0,COUNTIFS($A$2:A3604,A3604,$E$2:E3604,0)=1),L3604,0)</f>
        <v>0</v>
      </c>
    </row>
    <row r="3605" spans="1:13" ht="15" customHeight="1">
      <c r="A3605" s="1">
        <v>154</v>
      </c>
      <c r="B3605" s="1" t="s">
        <v>167</v>
      </c>
      <c r="C3605" s="2" t="s">
        <v>4248</v>
      </c>
      <c r="D3605" s="1" t="s">
        <v>4256</v>
      </c>
      <c r="E3605" s="1">
        <v>1</v>
      </c>
      <c r="F3605" s="2" t="s">
        <v>4257</v>
      </c>
      <c r="G3605" s="1">
        <v>1</v>
      </c>
      <c r="H3605" s="1" t="str">
        <f t="shared" si="58"/>
        <v>k154_1</v>
      </c>
      <c r="K3605" s="1">
        <f>IF(E3605=0,SUMPRODUCT(($A$2:$A$4734=A3605)*($B$2:$B$4734=B3605)*($D$2:$D$4734=D3605)*($E$2:$E$4734=0)),0)</f>
        <v>0</v>
      </c>
      <c r="L3605" s="1" t="str">
        <f>IF(E3605=0,SUMPRODUCT(MIN($K$2:$K$4734+((($A$2:$A$4734&lt;&gt;A3605)+($E$2:$E$4734&lt;&gt;0))&gt;0)*1000000)),"")</f>
        <v/>
      </c>
      <c r="M3605" s="1">
        <f>IF(AND(E3605=0,COUNTIFS($A$2:A3605,A3605,$E$2:E3605,0)=1),L3605,0)</f>
        <v>0</v>
      </c>
    </row>
    <row r="3606" spans="1:13" ht="15" customHeight="1">
      <c r="A3606" s="1">
        <v>154</v>
      </c>
      <c r="B3606" s="1" t="s">
        <v>167</v>
      </c>
      <c r="C3606" s="2" t="s">
        <v>4248</v>
      </c>
      <c r="D3606" s="1" t="s">
        <v>4256</v>
      </c>
      <c r="E3606" s="1">
        <v>1</v>
      </c>
      <c r="F3606" s="2" t="s">
        <v>4258</v>
      </c>
      <c r="G3606" s="1">
        <v>2</v>
      </c>
      <c r="H3606" s="1" t="str">
        <f t="shared" si="58"/>
        <v>k154_2</v>
      </c>
      <c r="K3606" s="1">
        <f>IF(E3606=0,SUMPRODUCT(($A$2:$A$4734=A3606)*($B$2:$B$4734=B3606)*($D$2:$D$4734=D3606)*($E$2:$E$4734=0)),0)</f>
        <v>0</v>
      </c>
      <c r="L3606" s="1" t="str">
        <f>IF(E3606=0,SUMPRODUCT(MIN($K$2:$K$4734+((($A$2:$A$4734&lt;&gt;A3606)+($E$2:$E$4734&lt;&gt;0))&gt;0)*1000000)),"")</f>
        <v/>
      </c>
      <c r="M3606" s="1">
        <f>IF(AND(E3606=0,COUNTIFS($A$2:A3606,A3606,$E$2:E3606,0)=1),L3606,0)</f>
        <v>0</v>
      </c>
    </row>
    <row r="3607" spans="1:13" ht="15" customHeight="1">
      <c r="A3607" s="1">
        <v>154</v>
      </c>
      <c r="B3607" s="1" t="s">
        <v>167</v>
      </c>
      <c r="C3607" s="2" t="s">
        <v>4248</v>
      </c>
      <c r="D3607" s="1" t="s">
        <v>4256</v>
      </c>
      <c r="E3607" s="1">
        <v>1</v>
      </c>
      <c r="F3607" s="2" t="s">
        <v>4259</v>
      </c>
      <c r="G3607" s="1">
        <v>3</v>
      </c>
      <c r="H3607" s="1" t="str">
        <f t="shared" si="58"/>
        <v>k154_3</v>
      </c>
      <c r="K3607" s="1">
        <f>IF(E3607=0,SUMPRODUCT(($A$2:$A$4734=A3607)*($B$2:$B$4734=B3607)*($D$2:$D$4734=D3607)*($E$2:$E$4734=0)),0)</f>
        <v>0</v>
      </c>
      <c r="L3607" s="1" t="str">
        <f>IF(E3607=0,SUMPRODUCT(MIN($K$2:$K$4734+((($A$2:$A$4734&lt;&gt;A3607)+($E$2:$E$4734&lt;&gt;0))&gt;0)*1000000)),"")</f>
        <v/>
      </c>
      <c r="M3607" s="1">
        <f>IF(AND(E3607=0,COUNTIFS($A$2:A3607,A3607,$E$2:E3607,0)=1),L3607,0)</f>
        <v>0</v>
      </c>
    </row>
    <row r="3608" spans="1:13" ht="15" customHeight="1">
      <c r="A3608" s="1">
        <v>154</v>
      </c>
      <c r="B3608" s="1" t="s">
        <v>167</v>
      </c>
      <c r="C3608" s="2" t="s">
        <v>4248</v>
      </c>
      <c r="D3608" s="1" t="s">
        <v>4256</v>
      </c>
      <c r="E3608" s="1">
        <v>1</v>
      </c>
      <c r="F3608" s="2" t="s">
        <v>4260</v>
      </c>
      <c r="G3608" s="1">
        <v>4</v>
      </c>
      <c r="H3608" s="1" t="str">
        <f t="shared" si="58"/>
        <v>k154_4</v>
      </c>
      <c r="K3608" s="1">
        <f>IF(E3608=0,SUMPRODUCT(($A$2:$A$4734=A3608)*($B$2:$B$4734=B3608)*($D$2:$D$4734=D3608)*($E$2:$E$4734=0)),0)</f>
        <v>0</v>
      </c>
      <c r="L3608" s="1" t="str">
        <f>IF(E3608=0,SUMPRODUCT(MIN($K$2:$K$4734+((($A$2:$A$4734&lt;&gt;A3608)+($E$2:$E$4734&lt;&gt;0))&gt;0)*1000000)),"")</f>
        <v/>
      </c>
      <c r="M3608" s="1">
        <f>IF(AND(E3608=0,COUNTIFS($A$2:A3608,A3608,$E$2:E3608,0)=1),L3608,0)</f>
        <v>0</v>
      </c>
    </row>
    <row r="3609" spans="1:13" ht="15" customHeight="1">
      <c r="A3609" s="1">
        <v>155</v>
      </c>
      <c r="B3609" s="1" t="s">
        <v>16</v>
      </c>
      <c r="C3609" s="2" t="s">
        <v>4261</v>
      </c>
      <c r="D3609" s="2" t="s">
        <v>4262</v>
      </c>
      <c r="E3609" s="1">
        <v>0</v>
      </c>
      <c r="F3609" s="2" t="s">
        <v>4263</v>
      </c>
      <c r="H3609" s="1" t="str">
        <f t="shared" si="58"/>
        <v/>
      </c>
      <c r="K3609" s="1">
        <f>IF(E3609=0,SUMPRODUCT(($A$2:$A$4734=A3609)*($B$2:$B$4734=B3609)*($D$2:$D$4734=D3609)*($E$2:$E$4734=0)),0)</f>
        <v>3</v>
      </c>
      <c r="L3609" s="1">
        <f>IF(E3609=0,SUMPRODUCT(MIN($K$2:$K$4734+((($A$2:$A$4734&lt;&gt;A3609)+($E$2:$E$4734&lt;&gt;0))&gt;0)*1000000)),"")</f>
        <v>3</v>
      </c>
      <c r="M3609" s="1">
        <f>IF(AND(E3609=0,COUNTIFS($A$2:A3609,A3609,$E$2:E3609,0)=1),L3609,0)</f>
        <v>3</v>
      </c>
    </row>
    <row r="3610" spans="1:13" ht="15" customHeight="1">
      <c r="A3610" s="1">
        <v>155</v>
      </c>
      <c r="B3610" s="1" t="s">
        <v>16</v>
      </c>
      <c r="C3610" s="2" t="s">
        <v>4261</v>
      </c>
      <c r="D3610" s="2" t="s">
        <v>4262</v>
      </c>
      <c r="E3610" s="1">
        <v>0</v>
      </c>
      <c r="F3610" s="2" t="s">
        <v>4264</v>
      </c>
      <c r="H3610" s="1" t="str">
        <f t="shared" si="58"/>
        <v/>
      </c>
      <c r="K3610" s="1">
        <f>IF(E3610=0,SUMPRODUCT(($A$2:$A$4734=A3610)*($B$2:$B$4734=B3610)*($D$2:$D$4734=D3610)*($E$2:$E$4734=0)),0)</f>
        <v>3</v>
      </c>
      <c r="L3610" s="1">
        <f>IF(E3610=0,SUMPRODUCT(MIN($K$2:$K$4734+((($A$2:$A$4734&lt;&gt;A3610)+($E$2:$E$4734&lt;&gt;0))&gt;0)*1000000)),"")</f>
        <v>3</v>
      </c>
      <c r="M3610" s="1">
        <f>IF(AND(E3610=0,COUNTIFS($A$2:A3610,A3610,$E$2:E3610,0)=1),L3610,0)</f>
        <v>0</v>
      </c>
    </row>
    <row r="3611" spans="1:13" ht="15" customHeight="1">
      <c r="A3611" s="1">
        <v>155</v>
      </c>
      <c r="B3611" s="1" t="s">
        <v>16</v>
      </c>
      <c r="C3611" s="2" t="s">
        <v>4261</v>
      </c>
      <c r="D3611" s="2" t="s">
        <v>4262</v>
      </c>
      <c r="E3611" s="1">
        <v>0</v>
      </c>
      <c r="F3611" s="2" t="s">
        <v>4265</v>
      </c>
      <c r="H3611" s="1" t="str">
        <f t="shared" si="58"/>
        <v/>
      </c>
      <c r="K3611" s="1">
        <f>IF(E3611=0,SUMPRODUCT(($A$2:$A$4734=A3611)*($B$2:$B$4734=B3611)*($D$2:$D$4734=D3611)*($E$2:$E$4734=0)),0)</f>
        <v>3</v>
      </c>
      <c r="L3611" s="1">
        <f>IF(E3611=0,SUMPRODUCT(MIN($K$2:$K$4734+((($A$2:$A$4734&lt;&gt;A3611)+($E$2:$E$4734&lt;&gt;0))&gt;0)*1000000)),"")</f>
        <v>3</v>
      </c>
      <c r="M3611" s="1">
        <f>IF(AND(E3611=0,COUNTIFS($A$2:A3611,A3611,$E$2:E3611,0)=1),L3611,0)</f>
        <v>0</v>
      </c>
    </row>
    <row r="3612" spans="1:13" ht="15" customHeight="1">
      <c r="A3612" s="1">
        <v>156</v>
      </c>
      <c r="B3612" s="1" t="s">
        <v>16</v>
      </c>
      <c r="C3612" s="2" t="s">
        <v>4266</v>
      </c>
      <c r="D3612" s="2" t="s">
        <v>4267</v>
      </c>
      <c r="E3612" s="1">
        <v>0</v>
      </c>
      <c r="F3612" s="2" t="s">
        <v>4268</v>
      </c>
      <c r="H3612" s="1" t="str">
        <f t="shared" si="58"/>
        <v/>
      </c>
      <c r="K3612" s="1">
        <f>IF(E3612=0,SUMPRODUCT(($A$2:$A$4734=A3612)*($B$2:$B$4734=B3612)*($D$2:$D$4734=D3612)*($E$2:$E$4734=0)),0)</f>
        <v>5</v>
      </c>
      <c r="L3612" s="1">
        <f>IF(E3612=0,SUMPRODUCT(MIN($K$2:$K$4734+((($A$2:$A$4734&lt;&gt;A3612)+($E$2:$E$4734&lt;&gt;0))&gt;0)*1000000)),"")</f>
        <v>5</v>
      </c>
      <c r="M3612" s="1">
        <f>IF(AND(E3612=0,COUNTIFS($A$2:A3612,A3612,$E$2:E3612,0)=1),L3612,0)</f>
        <v>5</v>
      </c>
    </row>
    <row r="3613" spans="1:13" ht="15" customHeight="1">
      <c r="A3613" s="1">
        <v>156</v>
      </c>
      <c r="B3613" s="1" t="s">
        <v>16</v>
      </c>
      <c r="C3613" s="2" t="s">
        <v>4266</v>
      </c>
      <c r="D3613" s="2" t="s">
        <v>4267</v>
      </c>
      <c r="E3613" s="1">
        <v>0</v>
      </c>
      <c r="F3613" s="2" t="s">
        <v>4269</v>
      </c>
      <c r="H3613" s="1" t="str">
        <f t="shared" si="58"/>
        <v/>
      </c>
      <c r="K3613" s="1">
        <f>IF(E3613=0,SUMPRODUCT(($A$2:$A$4734=A3613)*($B$2:$B$4734=B3613)*($D$2:$D$4734=D3613)*($E$2:$E$4734=0)),0)</f>
        <v>5</v>
      </c>
      <c r="L3613" s="1">
        <f>IF(E3613=0,SUMPRODUCT(MIN($K$2:$K$4734+((($A$2:$A$4734&lt;&gt;A3613)+($E$2:$E$4734&lt;&gt;0))&gt;0)*1000000)),"")</f>
        <v>5</v>
      </c>
      <c r="M3613" s="1">
        <f>IF(AND(E3613=0,COUNTIFS($A$2:A3613,A3613,$E$2:E3613,0)=1),L3613,0)</f>
        <v>0</v>
      </c>
    </row>
    <row r="3614" spans="1:13" ht="15" customHeight="1">
      <c r="A3614" s="1">
        <v>156</v>
      </c>
      <c r="B3614" s="1" t="s">
        <v>16</v>
      </c>
      <c r="C3614" s="2" t="s">
        <v>4266</v>
      </c>
      <c r="D3614" s="2" t="s">
        <v>4267</v>
      </c>
      <c r="E3614" s="1">
        <v>0</v>
      </c>
      <c r="F3614" s="2" t="s">
        <v>4270</v>
      </c>
      <c r="H3614" s="1" t="str">
        <f t="shared" si="58"/>
        <v/>
      </c>
      <c r="K3614" s="1">
        <f>IF(E3614=0,SUMPRODUCT(($A$2:$A$4734=A3614)*($B$2:$B$4734=B3614)*($D$2:$D$4734=D3614)*($E$2:$E$4734=0)),0)</f>
        <v>5</v>
      </c>
      <c r="L3614" s="1">
        <f>IF(E3614=0,SUMPRODUCT(MIN($K$2:$K$4734+((($A$2:$A$4734&lt;&gt;A3614)+($E$2:$E$4734&lt;&gt;0))&gt;0)*1000000)),"")</f>
        <v>5</v>
      </c>
      <c r="M3614" s="1">
        <f>IF(AND(E3614=0,COUNTIFS($A$2:A3614,A3614,$E$2:E3614,0)=1),L3614,0)</f>
        <v>0</v>
      </c>
    </row>
    <row r="3615" spans="1:13" ht="15" customHeight="1">
      <c r="A3615" s="1">
        <v>156</v>
      </c>
      <c r="B3615" s="1" t="s">
        <v>16</v>
      </c>
      <c r="C3615" s="2" t="s">
        <v>4266</v>
      </c>
      <c r="D3615" s="2" t="s">
        <v>4267</v>
      </c>
      <c r="E3615" s="1">
        <v>0</v>
      </c>
      <c r="F3615" s="2" t="s">
        <v>4271</v>
      </c>
      <c r="H3615" s="1" t="str">
        <f t="shared" si="58"/>
        <v/>
      </c>
      <c r="K3615" s="1">
        <f>IF(E3615=0,SUMPRODUCT(($A$2:$A$4734=A3615)*($B$2:$B$4734=B3615)*($D$2:$D$4734=D3615)*($E$2:$E$4734=0)),0)</f>
        <v>5</v>
      </c>
      <c r="L3615" s="1">
        <f>IF(E3615=0,SUMPRODUCT(MIN($K$2:$K$4734+((($A$2:$A$4734&lt;&gt;A3615)+($E$2:$E$4734&lt;&gt;0))&gt;0)*1000000)),"")</f>
        <v>5</v>
      </c>
      <c r="M3615" s="1">
        <f>IF(AND(E3615=0,COUNTIFS($A$2:A3615,A3615,$E$2:E3615,0)=1),L3615,0)</f>
        <v>0</v>
      </c>
    </row>
    <row r="3616" spans="1:13" ht="15" customHeight="1">
      <c r="A3616" s="1">
        <v>156</v>
      </c>
      <c r="B3616" s="1" t="s">
        <v>16</v>
      </c>
      <c r="C3616" s="2" t="s">
        <v>4266</v>
      </c>
      <c r="D3616" s="2" t="s">
        <v>4267</v>
      </c>
      <c r="E3616" s="1">
        <v>0</v>
      </c>
      <c r="F3616" s="2" t="s">
        <v>4272</v>
      </c>
      <c r="H3616" s="1" t="str">
        <f t="shared" si="58"/>
        <v/>
      </c>
      <c r="K3616" s="1">
        <f>IF(E3616=0,SUMPRODUCT(($A$2:$A$4734=A3616)*($B$2:$B$4734=B3616)*($D$2:$D$4734=D3616)*($E$2:$E$4734=0)),0)</f>
        <v>5</v>
      </c>
      <c r="L3616" s="1">
        <f>IF(E3616=0,SUMPRODUCT(MIN($K$2:$K$4734+((($A$2:$A$4734&lt;&gt;A3616)+($E$2:$E$4734&lt;&gt;0))&gt;0)*1000000)),"")</f>
        <v>5</v>
      </c>
      <c r="M3616" s="1">
        <f>IF(AND(E3616=0,COUNTIFS($A$2:A3616,A3616,$E$2:E3616,0)=1),L3616,0)</f>
        <v>0</v>
      </c>
    </row>
    <row r="3617" spans="1:13" ht="15" customHeight="1">
      <c r="A3617" s="1">
        <v>157</v>
      </c>
      <c r="B3617" s="1" t="s">
        <v>9</v>
      </c>
      <c r="C3617" s="2" t="s">
        <v>4273</v>
      </c>
      <c r="D3617" s="2" t="s">
        <v>4274</v>
      </c>
      <c r="E3617" s="1">
        <v>0</v>
      </c>
      <c r="F3617" s="2" t="s">
        <v>4275</v>
      </c>
      <c r="H3617" s="1" t="str">
        <f t="shared" si="58"/>
        <v/>
      </c>
      <c r="K3617" s="1">
        <f>IF(E3617=0,SUMPRODUCT(($A$2:$A$4734=A3617)*($B$2:$B$4734=B3617)*($D$2:$D$4734=D3617)*($E$2:$E$4734=0)),0)</f>
        <v>5</v>
      </c>
      <c r="L3617" s="1">
        <f>IF(E3617=0,SUMPRODUCT(MIN($K$2:$K$4734+((($A$2:$A$4734&lt;&gt;A3617)+($E$2:$E$4734&lt;&gt;0))&gt;0)*1000000)),"")</f>
        <v>5</v>
      </c>
      <c r="M3617" s="1">
        <f>IF(AND(E3617=0,COUNTIFS($A$2:A3617,A3617,$E$2:E3617,0)=1),L3617,0)</f>
        <v>5</v>
      </c>
    </row>
    <row r="3618" spans="1:13" ht="15" customHeight="1">
      <c r="A3618" s="1">
        <v>157</v>
      </c>
      <c r="B3618" s="1" t="s">
        <v>9</v>
      </c>
      <c r="C3618" s="2" t="s">
        <v>4273</v>
      </c>
      <c r="D3618" s="2" t="s">
        <v>4274</v>
      </c>
      <c r="E3618" s="1">
        <v>0</v>
      </c>
      <c r="F3618" s="2" t="s">
        <v>4276</v>
      </c>
      <c r="H3618" s="1" t="str">
        <f t="shared" si="58"/>
        <v/>
      </c>
      <c r="K3618" s="1">
        <f>IF(E3618=0,SUMPRODUCT(($A$2:$A$4734=A3618)*($B$2:$B$4734=B3618)*($D$2:$D$4734=D3618)*($E$2:$E$4734=0)),0)</f>
        <v>5</v>
      </c>
      <c r="L3618" s="1">
        <f>IF(E3618=0,SUMPRODUCT(MIN($K$2:$K$4734+((($A$2:$A$4734&lt;&gt;A3618)+($E$2:$E$4734&lt;&gt;0))&gt;0)*1000000)),"")</f>
        <v>5</v>
      </c>
      <c r="M3618" s="1">
        <f>IF(AND(E3618=0,COUNTIFS($A$2:A3618,A3618,$E$2:E3618,0)=1),L3618,0)</f>
        <v>0</v>
      </c>
    </row>
    <row r="3619" spans="1:13" ht="15" customHeight="1">
      <c r="A3619" s="1">
        <v>157</v>
      </c>
      <c r="B3619" s="1" t="s">
        <v>9</v>
      </c>
      <c r="C3619" s="2" t="s">
        <v>4273</v>
      </c>
      <c r="D3619" s="2" t="s">
        <v>4274</v>
      </c>
      <c r="E3619" s="1">
        <v>0</v>
      </c>
      <c r="F3619" s="2" t="s">
        <v>4277</v>
      </c>
      <c r="H3619" s="1" t="str">
        <f t="shared" si="58"/>
        <v/>
      </c>
      <c r="K3619" s="1">
        <f>IF(E3619=0,SUMPRODUCT(($A$2:$A$4734=A3619)*($B$2:$B$4734=B3619)*($D$2:$D$4734=D3619)*($E$2:$E$4734=0)),0)</f>
        <v>5</v>
      </c>
      <c r="L3619" s="1">
        <f>IF(E3619=0,SUMPRODUCT(MIN($K$2:$K$4734+((($A$2:$A$4734&lt;&gt;A3619)+($E$2:$E$4734&lt;&gt;0))&gt;0)*1000000)),"")</f>
        <v>5</v>
      </c>
      <c r="M3619" s="1">
        <f>IF(AND(E3619=0,COUNTIFS($A$2:A3619,A3619,$E$2:E3619,0)=1),L3619,0)</f>
        <v>0</v>
      </c>
    </row>
    <row r="3620" spans="1:13" ht="15" customHeight="1">
      <c r="A3620" s="1">
        <v>157</v>
      </c>
      <c r="B3620" s="1" t="s">
        <v>9</v>
      </c>
      <c r="C3620" s="2" t="s">
        <v>4273</v>
      </c>
      <c r="D3620" s="2" t="s">
        <v>4274</v>
      </c>
      <c r="E3620" s="1">
        <v>0</v>
      </c>
      <c r="F3620" s="2" t="s">
        <v>4278</v>
      </c>
      <c r="H3620" s="1" t="str">
        <f t="shared" si="58"/>
        <v/>
      </c>
      <c r="K3620" s="1">
        <f>IF(E3620=0,SUMPRODUCT(($A$2:$A$4734=A3620)*($B$2:$B$4734=B3620)*($D$2:$D$4734=D3620)*($E$2:$E$4734=0)),0)</f>
        <v>5</v>
      </c>
      <c r="L3620" s="1">
        <f>IF(E3620=0,SUMPRODUCT(MIN($K$2:$K$4734+((($A$2:$A$4734&lt;&gt;A3620)+($E$2:$E$4734&lt;&gt;0))&gt;0)*1000000)),"")</f>
        <v>5</v>
      </c>
      <c r="M3620" s="1">
        <f>IF(AND(E3620=0,COUNTIFS($A$2:A3620,A3620,$E$2:E3620,0)=1),L3620,0)</f>
        <v>0</v>
      </c>
    </row>
    <row r="3621" spans="1:13" ht="15" customHeight="1">
      <c r="A3621" s="1">
        <v>157</v>
      </c>
      <c r="B3621" s="1" t="s">
        <v>9</v>
      </c>
      <c r="C3621" s="2" t="s">
        <v>4273</v>
      </c>
      <c r="D3621" s="2" t="s">
        <v>4274</v>
      </c>
      <c r="E3621" s="1">
        <v>0</v>
      </c>
      <c r="F3621" s="2" t="s">
        <v>4279</v>
      </c>
      <c r="H3621" s="1" t="str">
        <f t="shared" si="58"/>
        <v/>
      </c>
      <c r="K3621" s="1">
        <f>IF(E3621=0,SUMPRODUCT(($A$2:$A$4734=A3621)*($B$2:$B$4734=B3621)*($D$2:$D$4734=D3621)*($E$2:$E$4734=0)),0)</f>
        <v>5</v>
      </c>
      <c r="L3621" s="1">
        <f>IF(E3621=0,SUMPRODUCT(MIN($K$2:$K$4734+((($A$2:$A$4734&lt;&gt;A3621)+($E$2:$E$4734&lt;&gt;0))&gt;0)*1000000)),"")</f>
        <v>5</v>
      </c>
      <c r="M3621" s="1">
        <f>IF(AND(E3621=0,COUNTIFS($A$2:A3621,A3621,$E$2:E3621,0)=1),L3621,0)</f>
        <v>0</v>
      </c>
    </row>
    <row r="3622" spans="1:13" ht="15" customHeight="1">
      <c r="A3622" s="1">
        <v>158</v>
      </c>
      <c r="B3622" s="1" t="s">
        <v>9</v>
      </c>
      <c r="C3622" s="2" t="s">
        <v>4280</v>
      </c>
      <c r="D3622" s="2" t="s">
        <v>4281</v>
      </c>
      <c r="E3622" s="1">
        <v>1</v>
      </c>
      <c r="F3622" s="2" t="s">
        <v>4282</v>
      </c>
      <c r="G3622" s="1">
        <v>1</v>
      </c>
      <c r="H3622" s="1" t="str">
        <f t="shared" si="58"/>
        <v>k158_1</v>
      </c>
      <c r="K3622" s="1">
        <f>IF(E3622=0,SUMPRODUCT(($A$2:$A$4734=A3622)*($B$2:$B$4734=B3622)*($D$2:$D$4734=D3622)*($E$2:$E$4734=0)),0)</f>
        <v>0</v>
      </c>
      <c r="L3622" s="1" t="str">
        <f>IF(E3622=0,SUMPRODUCT(MIN($K$2:$K$4734+((($A$2:$A$4734&lt;&gt;A3622)+($E$2:$E$4734&lt;&gt;0))&gt;0)*1000000)),"")</f>
        <v/>
      </c>
      <c r="M3622" s="1">
        <f>IF(AND(E3622=0,COUNTIFS($A$2:A3622,A3622,$E$2:E3622,0)=1),L3622,0)</f>
        <v>0</v>
      </c>
    </row>
    <row r="3623" spans="1:13" ht="15" customHeight="1">
      <c r="A3623" s="1">
        <v>158</v>
      </c>
      <c r="B3623" s="1" t="s">
        <v>9</v>
      </c>
      <c r="C3623" s="2" t="s">
        <v>4280</v>
      </c>
      <c r="D3623" s="2" t="s">
        <v>4281</v>
      </c>
      <c r="E3623" s="1">
        <v>1</v>
      </c>
      <c r="F3623" s="2" t="s">
        <v>4283</v>
      </c>
      <c r="G3623" s="1">
        <v>7</v>
      </c>
      <c r="H3623" s="1" t="str">
        <f t="shared" si="58"/>
        <v>k158_7</v>
      </c>
      <c r="K3623" s="1">
        <f>IF(E3623=0,SUMPRODUCT(($A$2:$A$4734=A3623)*($B$2:$B$4734=B3623)*($D$2:$D$4734=D3623)*($E$2:$E$4734=0)),0)</f>
        <v>0</v>
      </c>
      <c r="L3623" s="1" t="str">
        <f>IF(E3623=0,SUMPRODUCT(MIN($K$2:$K$4734+((($A$2:$A$4734&lt;&gt;A3623)+($E$2:$E$4734&lt;&gt;0))&gt;0)*1000000)),"")</f>
        <v/>
      </c>
      <c r="M3623" s="1">
        <f>IF(AND(E3623=0,COUNTIFS($A$2:A3623,A3623,$E$2:E3623,0)=1),L3623,0)</f>
        <v>0</v>
      </c>
    </row>
    <row r="3624" spans="1:13" ht="15" customHeight="1">
      <c r="A3624" s="1">
        <v>158</v>
      </c>
      <c r="B3624" s="1" t="s">
        <v>9</v>
      </c>
      <c r="C3624" s="2" t="s">
        <v>4280</v>
      </c>
      <c r="D3624" s="2" t="s">
        <v>4281</v>
      </c>
      <c r="E3624" s="1">
        <v>1</v>
      </c>
      <c r="F3624" s="2" t="s">
        <v>4284</v>
      </c>
      <c r="G3624" s="1">
        <v>5</v>
      </c>
      <c r="H3624" s="1" t="str">
        <f t="shared" si="58"/>
        <v>k158_5</v>
      </c>
      <c r="K3624" s="1">
        <f>IF(E3624=0,SUMPRODUCT(($A$2:$A$4734=A3624)*($B$2:$B$4734=B3624)*($D$2:$D$4734=D3624)*($E$2:$E$4734=0)),0)</f>
        <v>0</v>
      </c>
      <c r="L3624" s="1" t="str">
        <f>IF(E3624=0,SUMPRODUCT(MIN($K$2:$K$4734+((($A$2:$A$4734&lt;&gt;A3624)+($E$2:$E$4734&lt;&gt;0))&gt;0)*1000000)),"")</f>
        <v/>
      </c>
      <c r="M3624" s="1">
        <f>IF(AND(E3624=0,COUNTIFS($A$2:A3624,A3624,$E$2:E3624,0)=1),L3624,0)</f>
        <v>0</v>
      </c>
    </row>
    <row r="3625" spans="1:13" ht="15" customHeight="1">
      <c r="A3625" s="1">
        <v>158</v>
      </c>
      <c r="B3625" s="1" t="s">
        <v>9</v>
      </c>
      <c r="C3625" s="2" t="s">
        <v>4280</v>
      </c>
      <c r="D3625" s="2" t="s">
        <v>4281</v>
      </c>
      <c r="E3625" s="1">
        <v>1</v>
      </c>
      <c r="F3625" s="2" t="s">
        <v>4282</v>
      </c>
      <c r="G3625" s="1">
        <v>2</v>
      </c>
      <c r="H3625" s="1" t="str">
        <f t="shared" si="58"/>
        <v>k158_2</v>
      </c>
      <c r="K3625" s="1">
        <f>IF(E3625=0,SUMPRODUCT(($A$2:$A$4734=A3625)*($B$2:$B$4734=B3625)*($D$2:$D$4734=D3625)*($E$2:$E$4734=0)),0)</f>
        <v>0</v>
      </c>
      <c r="L3625" s="1" t="str">
        <f>IF(E3625=0,SUMPRODUCT(MIN($K$2:$K$4734+((($A$2:$A$4734&lt;&gt;A3625)+($E$2:$E$4734&lt;&gt;0))&gt;0)*1000000)),"")</f>
        <v/>
      </c>
      <c r="M3625" s="1">
        <f>IF(AND(E3625=0,COUNTIFS($A$2:A3625,A3625,$E$2:E3625,0)=1),L3625,0)</f>
        <v>0</v>
      </c>
    </row>
    <row r="3626" spans="1:13" ht="15" customHeight="1">
      <c r="A3626" s="1">
        <v>158</v>
      </c>
      <c r="B3626" s="1" t="s">
        <v>9</v>
      </c>
      <c r="C3626" s="2" t="s">
        <v>4280</v>
      </c>
      <c r="D3626" s="2" t="s">
        <v>4281</v>
      </c>
      <c r="E3626" s="1">
        <v>1</v>
      </c>
      <c r="F3626" s="2" t="s">
        <v>4283</v>
      </c>
      <c r="G3626" s="1">
        <v>3</v>
      </c>
      <c r="H3626" s="1" t="str">
        <f t="shared" si="58"/>
        <v>k158_3</v>
      </c>
      <c r="K3626" s="1">
        <f>IF(E3626=0,SUMPRODUCT(($A$2:$A$4734=A3626)*($B$2:$B$4734=B3626)*($D$2:$D$4734=D3626)*($E$2:$E$4734=0)),0)</f>
        <v>0</v>
      </c>
      <c r="L3626" s="1" t="str">
        <f>IF(E3626=0,SUMPRODUCT(MIN($K$2:$K$4734+((($A$2:$A$4734&lt;&gt;A3626)+($E$2:$E$4734&lt;&gt;0))&gt;0)*1000000)),"")</f>
        <v/>
      </c>
      <c r="M3626" s="1">
        <f>IF(AND(E3626=0,COUNTIFS($A$2:A3626,A3626,$E$2:E3626,0)=1),L3626,0)</f>
        <v>0</v>
      </c>
    </row>
    <row r="3627" spans="1:13" ht="15" customHeight="1">
      <c r="A3627" s="1">
        <v>158</v>
      </c>
      <c r="B3627" s="1" t="s">
        <v>9</v>
      </c>
      <c r="C3627" s="2" t="s">
        <v>4280</v>
      </c>
      <c r="D3627" s="2" t="s">
        <v>4281</v>
      </c>
      <c r="E3627" s="1">
        <v>1</v>
      </c>
      <c r="F3627" s="2" t="s">
        <v>4284</v>
      </c>
      <c r="G3627" s="1">
        <v>4</v>
      </c>
      <c r="H3627" s="1" t="str">
        <f t="shared" si="58"/>
        <v>k158_4</v>
      </c>
      <c r="K3627" s="1">
        <f>IF(E3627=0,SUMPRODUCT(($A$2:$A$4734=A3627)*($B$2:$B$4734=B3627)*($D$2:$D$4734=D3627)*($E$2:$E$4734=0)),0)</f>
        <v>0</v>
      </c>
      <c r="L3627" s="1" t="str">
        <f>IF(E3627=0,SUMPRODUCT(MIN($K$2:$K$4734+((($A$2:$A$4734&lt;&gt;A3627)+($E$2:$E$4734&lt;&gt;0))&gt;0)*1000000)),"")</f>
        <v/>
      </c>
      <c r="M3627" s="1">
        <f>IF(AND(E3627=0,COUNTIFS($A$2:A3627,A3627,$E$2:E3627,0)=1),L3627,0)</f>
        <v>0</v>
      </c>
    </row>
    <row r="3628" spans="1:13" ht="15" customHeight="1">
      <c r="A3628" s="1">
        <v>158</v>
      </c>
      <c r="B3628" s="1" t="s">
        <v>9</v>
      </c>
      <c r="C3628" s="2" t="s">
        <v>4280</v>
      </c>
      <c r="D3628" s="2" t="s">
        <v>4281</v>
      </c>
      <c r="E3628" s="1">
        <v>1</v>
      </c>
      <c r="F3628" s="2" t="s">
        <v>4284</v>
      </c>
      <c r="G3628" s="1">
        <v>6</v>
      </c>
      <c r="H3628" s="1" t="str">
        <f t="shared" si="58"/>
        <v>k158_6</v>
      </c>
      <c r="K3628" s="1">
        <f>IF(E3628=0,SUMPRODUCT(($A$2:$A$4734=A3628)*($B$2:$B$4734=B3628)*($D$2:$D$4734=D3628)*($E$2:$E$4734=0)),0)</f>
        <v>0</v>
      </c>
      <c r="L3628" s="1" t="str">
        <f>IF(E3628=0,SUMPRODUCT(MIN($K$2:$K$4734+((($A$2:$A$4734&lt;&gt;A3628)+($E$2:$E$4734&lt;&gt;0))&gt;0)*1000000)),"")</f>
        <v/>
      </c>
      <c r="M3628" s="1">
        <f>IF(AND(E3628=0,COUNTIFS($A$2:A3628,A3628,$E$2:E3628,0)=1),L3628,0)</f>
        <v>0</v>
      </c>
    </row>
    <row r="3629" spans="1:13" ht="15" customHeight="1">
      <c r="A3629" s="1">
        <v>158</v>
      </c>
      <c r="B3629" s="1" t="s">
        <v>144</v>
      </c>
      <c r="C3629" s="2" t="s">
        <v>4280</v>
      </c>
      <c r="D3629" s="2" t="s">
        <v>4285</v>
      </c>
      <c r="E3629" s="1">
        <v>1</v>
      </c>
      <c r="F3629" s="2" t="s">
        <v>4286</v>
      </c>
      <c r="G3629" s="1">
        <v>1</v>
      </c>
      <c r="H3629" s="1" t="str">
        <f t="shared" si="58"/>
        <v>k158_1</v>
      </c>
      <c r="K3629" s="1">
        <f>IF(E3629=0,SUMPRODUCT(($A$2:$A$4734=A3629)*($B$2:$B$4734=B3629)*($D$2:$D$4734=D3629)*($E$2:$E$4734=0)),0)</f>
        <v>0</v>
      </c>
      <c r="L3629" s="1" t="str">
        <f>IF(E3629=0,SUMPRODUCT(MIN($K$2:$K$4734+((($A$2:$A$4734&lt;&gt;A3629)+($E$2:$E$4734&lt;&gt;0))&gt;0)*1000000)),"")</f>
        <v/>
      </c>
      <c r="M3629" s="1">
        <f>IF(AND(E3629=0,COUNTIFS($A$2:A3629,A3629,$E$2:E3629,0)=1),L3629,0)</f>
        <v>0</v>
      </c>
    </row>
    <row r="3630" spans="1:13" ht="15" customHeight="1">
      <c r="A3630" s="1">
        <v>158</v>
      </c>
      <c r="B3630" s="1" t="s">
        <v>144</v>
      </c>
      <c r="C3630" s="2" t="s">
        <v>4280</v>
      </c>
      <c r="D3630" s="2" t="s">
        <v>4285</v>
      </c>
      <c r="E3630" s="1">
        <v>1</v>
      </c>
      <c r="F3630" s="2" t="s">
        <v>4287</v>
      </c>
      <c r="G3630" s="1">
        <v>2</v>
      </c>
      <c r="H3630" s="1" t="str">
        <f t="shared" si="58"/>
        <v>k158_2</v>
      </c>
      <c r="K3630" s="1">
        <f>IF(E3630=0,SUMPRODUCT(($A$2:$A$4734=A3630)*($B$2:$B$4734=B3630)*($D$2:$D$4734=D3630)*($E$2:$E$4734=0)),0)</f>
        <v>0</v>
      </c>
      <c r="L3630" s="1" t="str">
        <f>IF(E3630=0,SUMPRODUCT(MIN($K$2:$K$4734+((($A$2:$A$4734&lt;&gt;A3630)+($E$2:$E$4734&lt;&gt;0))&gt;0)*1000000)),"")</f>
        <v/>
      </c>
      <c r="M3630" s="1">
        <f>IF(AND(E3630=0,COUNTIFS($A$2:A3630,A3630,$E$2:E3630,0)=1),L3630,0)</f>
        <v>0</v>
      </c>
    </row>
    <row r="3631" spans="1:13" ht="15" customHeight="1">
      <c r="A3631" s="1">
        <v>158</v>
      </c>
      <c r="B3631" s="1" t="s">
        <v>144</v>
      </c>
      <c r="C3631" s="2" t="s">
        <v>4280</v>
      </c>
      <c r="D3631" s="2" t="s">
        <v>4285</v>
      </c>
      <c r="E3631" s="1">
        <v>1</v>
      </c>
      <c r="F3631" s="2" t="s">
        <v>4288</v>
      </c>
      <c r="G3631" s="1">
        <v>3</v>
      </c>
      <c r="H3631" s="1" t="str">
        <f t="shared" si="58"/>
        <v>k158_3</v>
      </c>
      <c r="K3631" s="1">
        <f>IF(E3631=0,SUMPRODUCT(($A$2:$A$4734=A3631)*($B$2:$B$4734=B3631)*($D$2:$D$4734=D3631)*($E$2:$E$4734=0)),0)</f>
        <v>0</v>
      </c>
      <c r="L3631" s="1" t="str">
        <f>IF(E3631=0,SUMPRODUCT(MIN($K$2:$K$4734+((($A$2:$A$4734&lt;&gt;A3631)+($E$2:$E$4734&lt;&gt;0))&gt;0)*1000000)),"")</f>
        <v/>
      </c>
      <c r="M3631" s="1">
        <f>IF(AND(E3631=0,COUNTIFS($A$2:A3631,A3631,$E$2:E3631,0)=1),L3631,0)</f>
        <v>0</v>
      </c>
    </row>
    <row r="3632" spans="1:13" ht="15" customHeight="1">
      <c r="A3632" s="1">
        <v>158</v>
      </c>
      <c r="B3632" s="1" t="s">
        <v>144</v>
      </c>
      <c r="C3632" s="2" t="s">
        <v>4280</v>
      </c>
      <c r="D3632" s="2" t="s">
        <v>4285</v>
      </c>
      <c r="E3632" s="1">
        <v>1</v>
      </c>
      <c r="F3632" s="2" t="s">
        <v>4289</v>
      </c>
      <c r="G3632" s="1">
        <v>4</v>
      </c>
      <c r="H3632" s="1" t="str">
        <f t="shared" si="58"/>
        <v>k158_4</v>
      </c>
      <c r="K3632" s="1">
        <f>IF(E3632=0,SUMPRODUCT(($A$2:$A$4734=A3632)*($B$2:$B$4734=B3632)*($D$2:$D$4734=D3632)*($E$2:$E$4734=0)),0)</f>
        <v>0</v>
      </c>
      <c r="L3632" s="1" t="str">
        <f>IF(E3632=0,SUMPRODUCT(MIN($K$2:$K$4734+((($A$2:$A$4734&lt;&gt;A3632)+($E$2:$E$4734&lt;&gt;0))&gt;0)*1000000)),"")</f>
        <v/>
      </c>
      <c r="M3632" s="1">
        <f>IF(AND(E3632=0,COUNTIFS($A$2:A3632,A3632,$E$2:E3632,0)=1),L3632,0)</f>
        <v>0</v>
      </c>
    </row>
    <row r="3633" spans="1:13" ht="15" customHeight="1">
      <c r="A3633" s="1">
        <v>158</v>
      </c>
      <c r="B3633" s="1" t="s">
        <v>144</v>
      </c>
      <c r="C3633" s="2" t="s">
        <v>4280</v>
      </c>
      <c r="D3633" s="2" t="s">
        <v>4285</v>
      </c>
      <c r="E3633" s="1">
        <v>1</v>
      </c>
      <c r="F3633" s="2" t="s">
        <v>4289</v>
      </c>
      <c r="G3633" s="1">
        <v>5</v>
      </c>
      <c r="H3633" s="1" t="str">
        <f t="shared" si="58"/>
        <v>k158_5</v>
      </c>
      <c r="K3633" s="1">
        <f>IF(E3633=0,SUMPRODUCT(($A$2:$A$4734=A3633)*($B$2:$B$4734=B3633)*($D$2:$D$4734=D3633)*($E$2:$E$4734=0)),0)</f>
        <v>0</v>
      </c>
      <c r="L3633" s="1" t="str">
        <f>IF(E3633=0,SUMPRODUCT(MIN($K$2:$K$4734+((($A$2:$A$4734&lt;&gt;A3633)+($E$2:$E$4734&lt;&gt;0))&gt;0)*1000000)),"")</f>
        <v/>
      </c>
      <c r="M3633" s="1">
        <f>IF(AND(E3633=0,COUNTIFS($A$2:A3633,A3633,$E$2:E3633,0)=1),L3633,0)</f>
        <v>0</v>
      </c>
    </row>
    <row r="3634" spans="1:13" ht="15" customHeight="1">
      <c r="A3634" s="1">
        <v>158</v>
      </c>
      <c r="B3634" s="1" t="s">
        <v>144</v>
      </c>
      <c r="C3634" s="2" t="s">
        <v>4280</v>
      </c>
      <c r="D3634" s="2" t="s">
        <v>4285</v>
      </c>
      <c r="E3634" s="1">
        <v>1</v>
      </c>
      <c r="F3634" s="2" t="s">
        <v>4290</v>
      </c>
      <c r="G3634" s="1">
        <v>6</v>
      </c>
      <c r="H3634" s="1" t="str">
        <f t="shared" si="58"/>
        <v>k158_6</v>
      </c>
      <c r="K3634" s="1">
        <f>IF(E3634=0,SUMPRODUCT(($A$2:$A$4734=A3634)*($B$2:$B$4734=B3634)*($D$2:$D$4734=D3634)*($E$2:$E$4734=0)),0)</f>
        <v>0</v>
      </c>
      <c r="L3634" s="1" t="str">
        <f>IF(E3634=0,SUMPRODUCT(MIN($K$2:$K$4734+((($A$2:$A$4734&lt;&gt;A3634)+($E$2:$E$4734&lt;&gt;0))&gt;0)*1000000)),"")</f>
        <v/>
      </c>
      <c r="M3634" s="1">
        <f>IF(AND(E3634=0,COUNTIFS($A$2:A3634,A3634,$E$2:E3634,0)=1),L3634,0)</f>
        <v>0</v>
      </c>
    </row>
    <row r="3635" spans="1:13" ht="15" customHeight="1">
      <c r="A3635" s="1">
        <v>158</v>
      </c>
      <c r="B3635" s="1" t="s">
        <v>144</v>
      </c>
      <c r="C3635" s="2" t="s">
        <v>4280</v>
      </c>
      <c r="D3635" s="2" t="s">
        <v>4285</v>
      </c>
      <c r="E3635" s="1">
        <v>1</v>
      </c>
      <c r="F3635" s="2" t="s">
        <v>4291</v>
      </c>
      <c r="G3635" s="1">
        <v>7</v>
      </c>
      <c r="H3635" s="1" t="str">
        <f t="shared" si="58"/>
        <v>k158_7</v>
      </c>
      <c r="K3635" s="1">
        <f>IF(E3635=0,SUMPRODUCT(($A$2:$A$4734=A3635)*($B$2:$B$4734=B3635)*($D$2:$D$4734=D3635)*($E$2:$E$4734=0)),0)</f>
        <v>0</v>
      </c>
      <c r="L3635" s="1" t="str">
        <f>IF(E3635=0,SUMPRODUCT(MIN($K$2:$K$4734+((($A$2:$A$4734&lt;&gt;A3635)+($E$2:$E$4734&lt;&gt;0))&gt;0)*1000000)),"")</f>
        <v/>
      </c>
      <c r="M3635" s="1">
        <f>IF(AND(E3635=0,COUNTIFS($A$2:A3635,A3635,$E$2:E3635,0)=1),L3635,0)</f>
        <v>0</v>
      </c>
    </row>
    <row r="3636" spans="1:13" ht="15" customHeight="1">
      <c r="A3636" s="1">
        <v>159</v>
      </c>
      <c r="B3636" s="1" t="s">
        <v>16</v>
      </c>
      <c r="C3636" s="2" t="s">
        <v>4292</v>
      </c>
      <c r="D3636" s="2" t="s">
        <v>4293</v>
      </c>
      <c r="E3636" s="1">
        <v>0</v>
      </c>
      <c r="F3636" s="2" t="s">
        <v>4294</v>
      </c>
      <c r="H3636" s="1" t="str">
        <f t="shared" si="58"/>
        <v/>
      </c>
      <c r="K3636" s="1">
        <f>IF(E3636=0,SUMPRODUCT(($A$2:$A$4734=A3636)*($B$2:$B$4734=B3636)*($D$2:$D$4734=D3636)*($E$2:$E$4734=0)),0)</f>
        <v>6</v>
      </c>
      <c r="L3636" s="1">
        <f>IF(E3636=0,SUMPRODUCT(MIN($K$2:$K$4734+((($A$2:$A$4734&lt;&gt;A3636)+($E$2:$E$4734&lt;&gt;0))&gt;0)*1000000)),"")</f>
        <v>2</v>
      </c>
      <c r="M3636" s="1">
        <f>IF(AND(E3636=0,COUNTIFS($A$2:A3636,A3636,$E$2:E3636,0)=1),L3636,0)</f>
        <v>2</v>
      </c>
    </row>
    <row r="3637" spans="1:13" ht="15" customHeight="1">
      <c r="A3637" s="1">
        <v>159</v>
      </c>
      <c r="B3637" s="1" t="s">
        <v>16</v>
      </c>
      <c r="C3637" s="2" t="s">
        <v>4292</v>
      </c>
      <c r="D3637" s="2" t="s">
        <v>4293</v>
      </c>
      <c r="E3637" s="1">
        <v>0</v>
      </c>
      <c r="F3637" s="2" t="s">
        <v>4295</v>
      </c>
      <c r="H3637" s="1" t="str">
        <f t="shared" si="58"/>
        <v/>
      </c>
      <c r="K3637" s="1">
        <f>IF(E3637=0,SUMPRODUCT(($A$2:$A$4734=A3637)*($B$2:$B$4734=B3637)*($D$2:$D$4734=D3637)*($E$2:$E$4734=0)),0)</f>
        <v>6</v>
      </c>
      <c r="L3637" s="1">
        <f>IF(E3637=0,SUMPRODUCT(MIN($K$2:$K$4734+((($A$2:$A$4734&lt;&gt;A3637)+($E$2:$E$4734&lt;&gt;0))&gt;0)*1000000)),"")</f>
        <v>2</v>
      </c>
      <c r="M3637" s="1">
        <f>IF(AND(E3637=0,COUNTIFS($A$2:A3637,A3637,$E$2:E3637,0)=1),L3637,0)</f>
        <v>0</v>
      </c>
    </row>
    <row r="3638" spans="1:13" ht="15" customHeight="1">
      <c r="A3638" s="1">
        <v>159</v>
      </c>
      <c r="B3638" s="1" t="s">
        <v>16</v>
      </c>
      <c r="C3638" s="2" t="s">
        <v>4292</v>
      </c>
      <c r="D3638" s="2" t="s">
        <v>4293</v>
      </c>
      <c r="E3638" s="1">
        <v>0</v>
      </c>
      <c r="F3638" s="2" t="s">
        <v>4296</v>
      </c>
      <c r="H3638" s="1" t="str">
        <f t="shared" ref="H3638:H3700" si="59">IF(OR(E3638&lt;&gt;1,G3638=""),"","k"&amp;A3638&amp;"_"&amp;G3638)</f>
        <v/>
      </c>
      <c r="K3638" s="1">
        <f>IF(E3638=0,SUMPRODUCT(($A$2:$A$4734=A3638)*($B$2:$B$4734=B3638)*($D$2:$D$4734=D3638)*($E$2:$E$4734=0)),0)</f>
        <v>6</v>
      </c>
      <c r="L3638" s="1">
        <f>IF(E3638=0,SUMPRODUCT(MIN($K$2:$K$4734+((($A$2:$A$4734&lt;&gt;A3638)+($E$2:$E$4734&lt;&gt;0))&gt;0)*1000000)),"")</f>
        <v>2</v>
      </c>
      <c r="M3638" s="1">
        <f>IF(AND(E3638=0,COUNTIFS($A$2:A3638,A3638,$E$2:E3638,0)=1),L3638,0)</f>
        <v>0</v>
      </c>
    </row>
    <row r="3639" spans="1:13" ht="15" customHeight="1">
      <c r="A3639" s="1">
        <v>159</v>
      </c>
      <c r="B3639" s="1" t="s">
        <v>16</v>
      </c>
      <c r="C3639" s="2" t="s">
        <v>4292</v>
      </c>
      <c r="D3639" s="2" t="s">
        <v>4293</v>
      </c>
      <c r="E3639" s="1">
        <v>0</v>
      </c>
      <c r="F3639" s="2" t="s">
        <v>4297</v>
      </c>
      <c r="H3639" s="1" t="str">
        <f t="shared" si="59"/>
        <v/>
      </c>
      <c r="K3639" s="1">
        <f>IF(E3639=0,SUMPRODUCT(($A$2:$A$4734=A3639)*($B$2:$B$4734=B3639)*($D$2:$D$4734=D3639)*($E$2:$E$4734=0)),0)</f>
        <v>6</v>
      </c>
      <c r="L3639" s="1">
        <f>IF(E3639=0,SUMPRODUCT(MIN($K$2:$K$4734+((($A$2:$A$4734&lt;&gt;A3639)+($E$2:$E$4734&lt;&gt;0))&gt;0)*1000000)),"")</f>
        <v>2</v>
      </c>
      <c r="M3639" s="1">
        <f>IF(AND(E3639=0,COUNTIFS($A$2:A3639,A3639,$E$2:E3639,0)=1),L3639,0)</f>
        <v>0</v>
      </c>
    </row>
    <row r="3640" spans="1:13" ht="15" customHeight="1">
      <c r="A3640" s="1">
        <v>159</v>
      </c>
      <c r="B3640" s="1" t="s">
        <v>16</v>
      </c>
      <c r="C3640" s="2" t="s">
        <v>4292</v>
      </c>
      <c r="D3640" s="2" t="s">
        <v>4293</v>
      </c>
      <c r="E3640" s="1">
        <v>0</v>
      </c>
      <c r="F3640" s="2" t="s">
        <v>4298</v>
      </c>
      <c r="H3640" s="1" t="str">
        <f t="shared" si="59"/>
        <v/>
      </c>
      <c r="K3640" s="1">
        <f>IF(E3640=0,SUMPRODUCT(($A$2:$A$4734=A3640)*($B$2:$B$4734=B3640)*($D$2:$D$4734=D3640)*($E$2:$E$4734=0)),0)</f>
        <v>6</v>
      </c>
      <c r="L3640" s="1">
        <f>IF(E3640=0,SUMPRODUCT(MIN($K$2:$K$4734+((($A$2:$A$4734&lt;&gt;A3640)+($E$2:$E$4734&lt;&gt;0))&gt;0)*1000000)),"")</f>
        <v>2</v>
      </c>
      <c r="M3640" s="1">
        <f>IF(AND(E3640=0,COUNTIFS($A$2:A3640,A3640,$E$2:E3640,0)=1),L3640,0)</f>
        <v>0</v>
      </c>
    </row>
    <row r="3641" spans="1:13" ht="15" customHeight="1">
      <c r="A3641" s="1">
        <v>159</v>
      </c>
      <c r="B3641" s="1" t="s">
        <v>16</v>
      </c>
      <c r="C3641" s="2" t="s">
        <v>4292</v>
      </c>
      <c r="D3641" s="2" t="s">
        <v>4293</v>
      </c>
      <c r="E3641" s="1">
        <v>0</v>
      </c>
      <c r="F3641" s="2" t="s">
        <v>4299</v>
      </c>
      <c r="H3641" s="1" t="str">
        <f t="shared" si="59"/>
        <v/>
      </c>
      <c r="K3641" s="1">
        <f>IF(E3641=0,SUMPRODUCT(($A$2:$A$4734=A3641)*($B$2:$B$4734=B3641)*($D$2:$D$4734=D3641)*($E$2:$E$4734=0)),0)</f>
        <v>6</v>
      </c>
      <c r="L3641" s="1">
        <f>IF(E3641=0,SUMPRODUCT(MIN($K$2:$K$4734+((($A$2:$A$4734&lt;&gt;A3641)+($E$2:$E$4734&lt;&gt;0))&gt;0)*1000000)),"")</f>
        <v>2</v>
      </c>
      <c r="M3641" s="1">
        <f>IF(AND(E3641=0,COUNTIFS($A$2:A3641,A3641,$E$2:E3641,0)=1),L3641,0)</f>
        <v>0</v>
      </c>
    </row>
    <row r="3642" spans="1:13" ht="15" customHeight="1">
      <c r="A3642" s="1">
        <v>159</v>
      </c>
      <c r="B3642" s="1" t="s">
        <v>9</v>
      </c>
      <c r="C3642" s="2" t="s">
        <v>4292</v>
      </c>
      <c r="D3642" s="2" t="s">
        <v>4300</v>
      </c>
      <c r="E3642" s="1">
        <v>0</v>
      </c>
      <c r="F3642" s="2" t="s">
        <v>4301</v>
      </c>
      <c r="H3642" s="1" t="str">
        <f t="shared" si="59"/>
        <v/>
      </c>
      <c r="K3642" s="1">
        <f>IF(E3642=0,SUMPRODUCT(($A$2:$A$4734=A3642)*($B$2:$B$4734=B3642)*($D$2:$D$4734=D3642)*($E$2:$E$4734=0)),0)</f>
        <v>2</v>
      </c>
      <c r="L3642" s="1">
        <f>IF(E3642=0,SUMPRODUCT(MIN($K$2:$K$4734+((($A$2:$A$4734&lt;&gt;A3642)+($E$2:$E$4734&lt;&gt;0))&gt;0)*1000000)),"")</f>
        <v>2</v>
      </c>
      <c r="M3642" s="1">
        <f>IF(AND(E3642=0,COUNTIFS($A$2:A3642,A3642,$E$2:E3642,0)=1),L3642,0)</f>
        <v>0</v>
      </c>
    </row>
    <row r="3643" spans="1:13" ht="15" customHeight="1">
      <c r="A3643" s="1">
        <v>159</v>
      </c>
      <c r="B3643" s="1" t="s">
        <v>9</v>
      </c>
      <c r="C3643" s="2" t="s">
        <v>4292</v>
      </c>
      <c r="D3643" s="2" t="s">
        <v>4300</v>
      </c>
      <c r="E3643" s="1">
        <v>0</v>
      </c>
      <c r="F3643" s="2" t="s">
        <v>2798</v>
      </c>
      <c r="H3643" s="1" t="str">
        <f t="shared" si="59"/>
        <v/>
      </c>
      <c r="K3643" s="1">
        <f>IF(E3643=0,SUMPRODUCT(($A$2:$A$4734=A3643)*($B$2:$B$4734=B3643)*($D$2:$D$4734=D3643)*($E$2:$E$4734=0)),0)</f>
        <v>2</v>
      </c>
      <c r="L3643" s="1">
        <f>IF(E3643=0,SUMPRODUCT(MIN($K$2:$K$4734+((($A$2:$A$4734&lt;&gt;A3643)+($E$2:$E$4734&lt;&gt;0))&gt;0)*1000000)),"")</f>
        <v>2</v>
      </c>
      <c r="M3643" s="1">
        <f>IF(AND(E3643=0,COUNTIFS($A$2:A3643,A3643,$E$2:E3643,0)=1),L3643,0)</f>
        <v>0</v>
      </c>
    </row>
    <row r="3644" spans="1:13" ht="15" customHeight="1">
      <c r="A3644" s="1">
        <v>159</v>
      </c>
      <c r="B3644" s="1" t="s">
        <v>9</v>
      </c>
      <c r="C3644" s="2" t="s">
        <v>4292</v>
      </c>
      <c r="D3644" s="2" t="s">
        <v>4302</v>
      </c>
      <c r="E3644" s="1">
        <v>0</v>
      </c>
      <c r="F3644" s="2" t="s">
        <v>4303</v>
      </c>
      <c r="H3644" s="1" t="str">
        <f t="shared" si="59"/>
        <v/>
      </c>
      <c r="K3644" s="1">
        <f>IF(E3644=0,SUMPRODUCT(($A$2:$A$4734=A3644)*($B$2:$B$4734=B3644)*($D$2:$D$4734=D3644)*($E$2:$E$4734=0)),0)</f>
        <v>6</v>
      </c>
      <c r="L3644" s="1">
        <f>IF(E3644=0,SUMPRODUCT(MIN($K$2:$K$4734+((($A$2:$A$4734&lt;&gt;A3644)+($E$2:$E$4734&lt;&gt;0))&gt;0)*1000000)),"")</f>
        <v>2</v>
      </c>
      <c r="M3644" s="1">
        <f>IF(AND(E3644=0,COUNTIFS($A$2:A3644,A3644,$E$2:E3644,0)=1),L3644,0)</f>
        <v>0</v>
      </c>
    </row>
    <row r="3645" spans="1:13" ht="15" customHeight="1">
      <c r="A3645" s="1">
        <v>159</v>
      </c>
      <c r="B3645" s="1" t="s">
        <v>9</v>
      </c>
      <c r="C3645" s="2" t="s">
        <v>4292</v>
      </c>
      <c r="D3645" s="2" t="s">
        <v>4302</v>
      </c>
      <c r="E3645" s="1">
        <v>0</v>
      </c>
      <c r="F3645" s="2" t="s">
        <v>4304</v>
      </c>
      <c r="H3645" s="1" t="str">
        <f t="shared" si="59"/>
        <v/>
      </c>
      <c r="K3645" s="1">
        <f>IF(E3645=0,SUMPRODUCT(($A$2:$A$4734=A3645)*($B$2:$B$4734=B3645)*($D$2:$D$4734=D3645)*($E$2:$E$4734=0)),0)</f>
        <v>6</v>
      </c>
      <c r="L3645" s="1">
        <f>IF(E3645=0,SUMPRODUCT(MIN($K$2:$K$4734+((($A$2:$A$4734&lt;&gt;A3645)+($E$2:$E$4734&lt;&gt;0))&gt;0)*1000000)),"")</f>
        <v>2</v>
      </c>
      <c r="M3645" s="1">
        <f>IF(AND(E3645=0,COUNTIFS($A$2:A3645,A3645,$E$2:E3645,0)=1),L3645,0)</f>
        <v>0</v>
      </c>
    </row>
    <row r="3646" spans="1:13" ht="15" customHeight="1">
      <c r="A3646" s="1">
        <v>159</v>
      </c>
      <c r="B3646" s="1" t="s">
        <v>9</v>
      </c>
      <c r="C3646" s="2" t="s">
        <v>4292</v>
      </c>
      <c r="D3646" s="2" t="s">
        <v>4302</v>
      </c>
      <c r="E3646" s="1">
        <v>0</v>
      </c>
      <c r="F3646" s="2" t="s">
        <v>4305</v>
      </c>
      <c r="H3646" s="1" t="str">
        <f t="shared" si="59"/>
        <v/>
      </c>
      <c r="K3646" s="1">
        <f>IF(E3646=0,SUMPRODUCT(($A$2:$A$4734=A3646)*($B$2:$B$4734=B3646)*($D$2:$D$4734=D3646)*($E$2:$E$4734=0)),0)</f>
        <v>6</v>
      </c>
      <c r="L3646" s="1">
        <f>IF(E3646=0,SUMPRODUCT(MIN($K$2:$K$4734+((($A$2:$A$4734&lt;&gt;A3646)+($E$2:$E$4734&lt;&gt;0))&gt;0)*1000000)),"")</f>
        <v>2</v>
      </c>
      <c r="M3646" s="1">
        <f>IF(AND(E3646=0,COUNTIFS($A$2:A3646,A3646,$E$2:E3646,0)=1),L3646,0)</f>
        <v>0</v>
      </c>
    </row>
    <row r="3647" spans="1:13" ht="15" customHeight="1">
      <c r="A3647" s="1">
        <v>159</v>
      </c>
      <c r="B3647" s="1" t="s">
        <v>9</v>
      </c>
      <c r="C3647" s="2" t="s">
        <v>4292</v>
      </c>
      <c r="D3647" s="2" t="s">
        <v>4302</v>
      </c>
      <c r="E3647" s="1">
        <v>0</v>
      </c>
      <c r="F3647" s="2" t="s">
        <v>4306</v>
      </c>
      <c r="H3647" s="1" t="str">
        <f t="shared" si="59"/>
        <v/>
      </c>
      <c r="K3647" s="1">
        <f>IF(E3647=0,SUMPRODUCT(($A$2:$A$4734=A3647)*($B$2:$B$4734=B3647)*($D$2:$D$4734=D3647)*($E$2:$E$4734=0)),0)</f>
        <v>6</v>
      </c>
      <c r="L3647" s="1">
        <f>IF(E3647=0,SUMPRODUCT(MIN($K$2:$K$4734+((($A$2:$A$4734&lt;&gt;A3647)+($E$2:$E$4734&lt;&gt;0))&gt;0)*1000000)),"")</f>
        <v>2</v>
      </c>
      <c r="M3647" s="1">
        <f>IF(AND(E3647=0,COUNTIFS($A$2:A3647,A3647,$E$2:E3647,0)=1),L3647,0)</f>
        <v>0</v>
      </c>
    </row>
    <row r="3648" spans="1:13" ht="15" customHeight="1">
      <c r="A3648" s="1">
        <v>159</v>
      </c>
      <c r="B3648" s="1" t="s">
        <v>9</v>
      </c>
      <c r="C3648" s="2" t="s">
        <v>4292</v>
      </c>
      <c r="D3648" s="2" t="s">
        <v>4302</v>
      </c>
      <c r="E3648" s="1">
        <v>0</v>
      </c>
      <c r="F3648" s="2" t="s">
        <v>4307</v>
      </c>
      <c r="H3648" s="1" t="str">
        <f t="shared" si="59"/>
        <v/>
      </c>
      <c r="K3648" s="1">
        <f>IF(E3648=0,SUMPRODUCT(($A$2:$A$4734=A3648)*($B$2:$B$4734=B3648)*($D$2:$D$4734=D3648)*($E$2:$E$4734=0)),0)</f>
        <v>6</v>
      </c>
      <c r="L3648" s="1">
        <f>IF(E3648=0,SUMPRODUCT(MIN($K$2:$K$4734+((($A$2:$A$4734&lt;&gt;A3648)+($E$2:$E$4734&lt;&gt;0))&gt;0)*1000000)),"")</f>
        <v>2</v>
      </c>
      <c r="M3648" s="1">
        <f>IF(AND(E3648=0,COUNTIFS($A$2:A3648,A3648,$E$2:E3648,0)=1),L3648,0)</f>
        <v>0</v>
      </c>
    </row>
    <row r="3649" spans="1:13" ht="15" customHeight="1">
      <c r="A3649" s="1">
        <v>159</v>
      </c>
      <c r="B3649" s="1" t="s">
        <v>9</v>
      </c>
      <c r="C3649" s="2" t="s">
        <v>4292</v>
      </c>
      <c r="D3649" s="2" t="s">
        <v>4302</v>
      </c>
      <c r="E3649" s="1">
        <v>0</v>
      </c>
      <c r="F3649" s="2" t="s">
        <v>4308</v>
      </c>
      <c r="H3649" s="1" t="str">
        <f t="shared" si="59"/>
        <v/>
      </c>
      <c r="K3649" s="1">
        <f>IF(E3649=0,SUMPRODUCT(($A$2:$A$4734=A3649)*($B$2:$B$4734=B3649)*($D$2:$D$4734=D3649)*($E$2:$E$4734=0)),0)</f>
        <v>6</v>
      </c>
      <c r="L3649" s="1">
        <f>IF(E3649=0,SUMPRODUCT(MIN($K$2:$K$4734+((($A$2:$A$4734&lt;&gt;A3649)+($E$2:$E$4734&lt;&gt;0))&gt;0)*1000000)),"")</f>
        <v>2</v>
      </c>
      <c r="M3649" s="1">
        <f>IF(AND(E3649=0,COUNTIFS($A$2:A3649,A3649,$E$2:E3649,0)=1),L3649,0)</f>
        <v>0</v>
      </c>
    </row>
    <row r="3650" spans="1:13" ht="15" customHeight="1">
      <c r="A3650" s="1">
        <v>160</v>
      </c>
      <c r="B3650" s="1" t="s">
        <v>161</v>
      </c>
      <c r="C3650" s="2" t="s">
        <v>4309</v>
      </c>
      <c r="D3650" s="2" t="s">
        <v>4310</v>
      </c>
      <c r="E3650" s="1">
        <v>1</v>
      </c>
      <c r="F3650" s="2" t="s">
        <v>4311</v>
      </c>
      <c r="G3650" s="1">
        <v>1</v>
      </c>
      <c r="H3650" s="1" t="str">
        <f t="shared" si="59"/>
        <v>k160_1</v>
      </c>
      <c r="K3650" s="1">
        <f>IF(E3650=0,SUMPRODUCT(($A$2:$A$4734=A3650)*($B$2:$B$4734=B3650)*($D$2:$D$4734=D3650)*($E$2:$E$4734=0)),0)</f>
        <v>0</v>
      </c>
      <c r="L3650" s="1" t="str">
        <f>IF(E3650=0,SUMPRODUCT(MIN($K$2:$K$4734+((($A$2:$A$4734&lt;&gt;A3650)+($E$2:$E$4734&lt;&gt;0))&gt;0)*1000000)),"")</f>
        <v/>
      </c>
      <c r="M3650" s="1">
        <f>IF(AND(E3650=0,COUNTIFS($A$2:A3650,A3650,$E$2:E3650,0)=1),L3650,0)</f>
        <v>0</v>
      </c>
    </row>
    <row r="3651" spans="1:13" ht="15" customHeight="1">
      <c r="A3651" s="1">
        <v>160</v>
      </c>
      <c r="B3651" s="1" t="s">
        <v>161</v>
      </c>
      <c r="C3651" s="2" t="s">
        <v>4309</v>
      </c>
      <c r="D3651" s="2" t="s">
        <v>4310</v>
      </c>
      <c r="E3651" s="1">
        <v>1</v>
      </c>
      <c r="F3651" s="2" t="s">
        <v>4312</v>
      </c>
      <c r="G3651" s="1">
        <v>2</v>
      </c>
      <c r="H3651" s="1" t="str">
        <f t="shared" si="59"/>
        <v>k160_2</v>
      </c>
      <c r="K3651" s="1">
        <f>IF(E3651=0,SUMPRODUCT(($A$2:$A$4734=A3651)*($B$2:$B$4734=B3651)*($D$2:$D$4734=D3651)*($E$2:$E$4734=0)),0)</f>
        <v>0</v>
      </c>
      <c r="L3651" s="1" t="str">
        <f>IF(E3651=0,SUMPRODUCT(MIN($K$2:$K$4734+((($A$2:$A$4734&lt;&gt;A3651)+($E$2:$E$4734&lt;&gt;0))&gt;0)*1000000)),"")</f>
        <v/>
      </c>
      <c r="M3651" s="1">
        <f>IF(AND(E3651=0,COUNTIFS($A$2:A3651,A3651,$E$2:E3651,0)=1),L3651,0)</f>
        <v>0</v>
      </c>
    </row>
    <row r="3652" spans="1:13" ht="15" customHeight="1">
      <c r="A3652" s="1">
        <v>160</v>
      </c>
      <c r="B3652" s="1" t="s">
        <v>161</v>
      </c>
      <c r="C3652" s="2" t="s">
        <v>4309</v>
      </c>
      <c r="D3652" s="2" t="s">
        <v>4310</v>
      </c>
      <c r="E3652" s="1">
        <v>1</v>
      </c>
      <c r="F3652" s="2" t="s">
        <v>4313</v>
      </c>
      <c r="G3652" s="1">
        <v>3</v>
      </c>
      <c r="H3652" s="1" t="str">
        <f t="shared" si="59"/>
        <v>k160_3</v>
      </c>
      <c r="K3652" s="1">
        <f>IF(E3652=0,SUMPRODUCT(($A$2:$A$4734=A3652)*($B$2:$B$4734=B3652)*($D$2:$D$4734=D3652)*($E$2:$E$4734=0)),0)</f>
        <v>0</v>
      </c>
      <c r="L3652" s="1" t="str">
        <f>IF(E3652=0,SUMPRODUCT(MIN($K$2:$K$4734+((($A$2:$A$4734&lt;&gt;A3652)+($E$2:$E$4734&lt;&gt;0))&gt;0)*1000000)),"")</f>
        <v/>
      </c>
      <c r="M3652" s="1">
        <f>IF(AND(E3652=0,COUNTIFS($A$2:A3652,A3652,$E$2:E3652,0)=1),L3652,0)</f>
        <v>0</v>
      </c>
    </row>
    <row r="3653" spans="1:13" ht="15" customHeight="1">
      <c r="A3653" s="1">
        <v>160</v>
      </c>
      <c r="B3653" s="1" t="s">
        <v>161</v>
      </c>
      <c r="C3653" s="2" t="s">
        <v>4309</v>
      </c>
      <c r="D3653" s="2" t="s">
        <v>4310</v>
      </c>
      <c r="E3653" s="1">
        <v>1</v>
      </c>
      <c r="F3653" s="2" t="s">
        <v>4314</v>
      </c>
      <c r="G3653" s="1">
        <v>4</v>
      </c>
      <c r="H3653" s="1" t="str">
        <f t="shared" si="59"/>
        <v>k160_4</v>
      </c>
      <c r="K3653" s="1">
        <f>IF(E3653=0,SUMPRODUCT(($A$2:$A$4734=A3653)*($B$2:$B$4734=B3653)*($D$2:$D$4734=D3653)*($E$2:$E$4734=0)),0)</f>
        <v>0</v>
      </c>
      <c r="L3653" s="1" t="str">
        <f>IF(E3653=0,SUMPRODUCT(MIN($K$2:$K$4734+((($A$2:$A$4734&lt;&gt;A3653)+($E$2:$E$4734&lt;&gt;0))&gt;0)*1000000)),"")</f>
        <v/>
      </c>
      <c r="M3653" s="1">
        <f>IF(AND(E3653=0,COUNTIFS($A$2:A3653,A3653,$E$2:E3653,0)=1),L3653,0)</f>
        <v>0</v>
      </c>
    </row>
    <row r="3654" spans="1:13" ht="15" customHeight="1">
      <c r="A3654" s="1">
        <v>160</v>
      </c>
      <c r="B3654" s="1" t="s">
        <v>9</v>
      </c>
      <c r="C3654" s="2" t="s">
        <v>4309</v>
      </c>
      <c r="D3654" s="2" t="s">
        <v>4315</v>
      </c>
      <c r="E3654" s="1">
        <v>1</v>
      </c>
      <c r="F3654" s="2" t="s">
        <v>4316</v>
      </c>
      <c r="G3654" s="1">
        <v>1</v>
      </c>
      <c r="H3654" s="1" t="str">
        <f t="shared" si="59"/>
        <v>k160_1</v>
      </c>
      <c r="K3654" s="1">
        <f>IF(E3654=0,SUMPRODUCT(($A$2:$A$4734=A3654)*($B$2:$B$4734=B3654)*($D$2:$D$4734=D3654)*($E$2:$E$4734=0)),0)</f>
        <v>0</v>
      </c>
      <c r="L3654" s="1" t="str">
        <f>IF(E3654=0,SUMPRODUCT(MIN($K$2:$K$4734+((($A$2:$A$4734&lt;&gt;A3654)+($E$2:$E$4734&lt;&gt;0))&gt;0)*1000000)),"")</f>
        <v/>
      </c>
      <c r="M3654" s="1">
        <f>IF(AND(E3654=0,COUNTIFS($A$2:A3654,A3654,$E$2:E3654,0)=1),L3654,0)</f>
        <v>0</v>
      </c>
    </row>
    <row r="3655" spans="1:13" ht="15" customHeight="1">
      <c r="A3655" s="1">
        <v>160</v>
      </c>
      <c r="B3655" s="1" t="s">
        <v>9</v>
      </c>
      <c r="C3655" s="2" t="s">
        <v>4309</v>
      </c>
      <c r="D3655" s="2" t="s">
        <v>4315</v>
      </c>
      <c r="E3655" s="1">
        <v>1</v>
      </c>
      <c r="F3655" s="2" t="s">
        <v>4316</v>
      </c>
      <c r="G3655" s="1">
        <v>4</v>
      </c>
      <c r="H3655" s="1" t="str">
        <f t="shared" si="59"/>
        <v>k160_4</v>
      </c>
      <c r="K3655" s="1">
        <f>IF(E3655=0,SUMPRODUCT(($A$2:$A$4734=A3655)*($B$2:$B$4734=B3655)*($D$2:$D$4734=D3655)*($E$2:$E$4734=0)),0)</f>
        <v>0</v>
      </c>
      <c r="L3655" s="1" t="str">
        <f>IF(E3655=0,SUMPRODUCT(MIN($K$2:$K$4734+((($A$2:$A$4734&lt;&gt;A3655)+($E$2:$E$4734&lt;&gt;0))&gt;0)*1000000)),"")</f>
        <v/>
      </c>
      <c r="M3655" s="1">
        <f>IF(AND(E3655=0,COUNTIFS($A$2:A3655,A3655,$E$2:E3655,0)=1),L3655,0)</f>
        <v>0</v>
      </c>
    </row>
    <row r="3656" spans="1:13" ht="15" customHeight="1">
      <c r="A3656" s="1">
        <v>160</v>
      </c>
      <c r="B3656" s="1" t="s">
        <v>9</v>
      </c>
      <c r="C3656" s="2" t="s">
        <v>4309</v>
      </c>
      <c r="D3656" s="2" t="s">
        <v>4315</v>
      </c>
      <c r="E3656" s="1">
        <v>1</v>
      </c>
      <c r="F3656" s="2" t="s">
        <v>4317</v>
      </c>
      <c r="G3656" s="1">
        <v>3</v>
      </c>
      <c r="H3656" s="1" t="str">
        <f t="shared" si="59"/>
        <v>k160_3</v>
      </c>
      <c r="K3656" s="1">
        <f>IF(E3656=0,SUMPRODUCT(($A$2:$A$4734=A3656)*($B$2:$B$4734=B3656)*($D$2:$D$4734=D3656)*($E$2:$E$4734=0)),0)</f>
        <v>0</v>
      </c>
      <c r="L3656" s="1" t="str">
        <f>IF(E3656=0,SUMPRODUCT(MIN($K$2:$K$4734+((($A$2:$A$4734&lt;&gt;A3656)+($E$2:$E$4734&lt;&gt;0))&gt;0)*1000000)),"")</f>
        <v/>
      </c>
      <c r="M3656" s="1">
        <f>IF(AND(E3656=0,COUNTIFS($A$2:A3656,A3656,$E$2:E3656,0)=1),L3656,0)</f>
        <v>0</v>
      </c>
    </row>
    <row r="3657" spans="1:13" ht="15" customHeight="1">
      <c r="A3657" s="1">
        <v>160</v>
      </c>
      <c r="B3657" s="1" t="s">
        <v>9</v>
      </c>
      <c r="C3657" s="2" t="s">
        <v>4309</v>
      </c>
      <c r="D3657" s="2" t="s">
        <v>4315</v>
      </c>
      <c r="E3657" s="1">
        <v>1</v>
      </c>
      <c r="F3657" s="2" t="s">
        <v>4318</v>
      </c>
      <c r="G3657" s="1">
        <v>2</v>
      </c>
      <c r="H3657" s="1" t="str">
        <f t="shared" si="59"/>
        <v>k160_2</v>
      </c>
      <c r="K3657" s="1">
        <f>IF(E3657=0,SUMPRODUCT(($A$2:$A$4734=A3657)*($B$2:$B$4734=B3657)*($D$2:$D$4734=D3657)*($E$2:$E$4734=0)),0)</f>
        <v>0</v>
      </c>
      <c r="L3657" s="1" t="str">
        <f>IF(E3657=0,SUMPRODUCT(MIN($K$2:$K$4734+((($A$2:$A$4734&lt;&gt;A3657)+($E$2:$E$4734&lt;&gt;0))&gt;0)*1000000)),"")</f>
        <v/>
      </c>
      <c r="M3657" s="1">
        <f>IF(AND(E3657=0,COUNTIFS($A$2:A3657,A3657,$E$2:E3657,0)=1),L3657,0)</f>
        <v>0</v>
      </c>
    </row>
    <row r="3658" spans="1:13" ht="15" customHeight="1">
      <c r="A3658" s="1">
        <v>160</v>
      </c>
      <c r="B3658" s="1" t="s">
        <v>9</v>
      </c>
      <c r="C3658" s="2" t="s">
        <v>4309</v>
      </c>
      <c r="D3658" s="2" t="s">
        <v>4319</v>
      </c>
      <c r="E3658" s="1">
        <v>1</v>
      </c>
      <c r="F3658" s="2" t="s">
        <v>1623</v>
      </c>
      <c r="G3658" s="1">
        <v>3</v>
      </c>
      <c r="H3658" s="1" t="str">
        <f t="shared" si="59"/>
        <v>k160_3</v>
      </c>
      <c r="K3658" s="1">
        <f>IF(E3658=0,SUMPRODUCT(($A$2:$A$4734=A3658)*($B$2:$B$4734=B3658)*($D$2:$D$4734=D3658)*($E$2:$E$4734=0)),0)</f>
        <v>0</v>
      </c>
      <c r="L3658" s="1" t="str">
        <f>IF(E3658=0,SUMPRODUCT(MIN($K$2:$K$4734+((($A$2:$A$4734&lt;&gt;A3658)+($E$2:$E$4734&lt;&gt;0))&gt;0)*1000000)),"")</f>
        <v/>
      </c>
      <c r="M3658" s="1">
        <f>IF(AND(E3658=0,COUNTIFS($A$2:A3658,A3658,$E$2:E3658,0)=1),L3658,0)</f>
        <v>0</v>
      </c>
    </row>
    <row r="3659" spans="1:13" ht="15" customHeight="1">
      <c r="A3659" s="1">
        <v>160</v>
      </c>
      <c r="B3659" s="1" t="s">
        <v>9</v>
      </c>
      <c r="C3659" s="2" t="s">
        <v>4309</v>
      </c>
      <c r="D3659" s="2" t="s">
        <v>4319</v>
      </c>
      <c r="E3659" s="1">
        <v>1</v>
      </c>
      <c r="F3659" s="2" t="s">
        <v>4320</v>
      </c>
      <c r="G3659" s="1">
        <v>1</v>
      </c>
      <c r="H3659" s="1" t="str">
        <f t="shared" si="59"/>
        <v>k160_1</v>
      </c>
      <c r="K3659" s="1">
        <f>IF(E3659=0,SUMPRODUCT(($A$2:$A$4734=A3659)*($B$2:$B$4734=B3659)*($D$2:$D$4734=D3659)*($E$2:$E$4734=0)),0)</f>
        <v>0</v>
      </c>
      <c r="L3659" s="1" t="str">
        <f>IF(E3659=0,SUMPRODUCT(MIN($K$2:$K$4734+((($A$2:$A$4734&lt;&gt;A3659)+($E$2:$E$4734&lt;&gt;0))&gt;0)*1000000)),"")</f>
        <v/>
      </c>
      <c r="M3659" s="1">
        <f>IF(AND(E3659=0,COUNTIFS($A$2:A3659,A3659,$E$2:E3659,0)=1),L3659,0)</f>
        <v>0</v>
      </c>
    </row>
    <row r="3660" spans="1:13" ht="15" customHeight="1">
      <c r="A3660" s="1">
        <v>160</v>
      </c>
      <c r="B3660" s="1" t="s">
        <v>9</v>
      </c>
      <c r="C3660" s="2" t="s">
        <v>4309</v>
      </c>
      <c r="D3660" s="2" t="s">
        <v>4319</v>
      </c>
      <c r="E3660" s="1">
        <v>1</v>
      </c>
      <c r="F3660" s="2" t="s">
        <v>4321</v>
      </c>
      <c r="G3660" s="1">
        <v>2</v>
      </c>
      <c r="H3660" s="1" t="str">
        <f t="shared" si="59"/>
        <v>k160_2</v>
      </c>
      <c r="K3660" s="1">
        <f>IF(E3660=0,SUMPRODUCT(($A$2:$A$4734=A3660)*($B$2:$B$4734=B3660)*($D$2:$D$4734=D3660)*($E$2:$E$4734=0)),0)</f>
        <v>0</v>
      </c>
      <c r="L3660" s="1" t="str">
        <f>IF(E3660=0,SUMPRODUCT(MIN($K$2:$K$4734+((($A$2:$A$4734&lt;&gt;A3660)+($E$2:$E$4734&lt;&gt;0))&gt;0)*1000000)),"")</f>
        <v/>
      </c>
      <c r="M3660" s="1">
        <f>IF(AND(E3660=0,COUNTIFS($A$2:A3660,A3660,$E$2:E3660,0)=1),L3660,0)</f>
        <v>0</v>
      </c>
    </row>
    <row r="3661" spans="1:13" ht="15" customHeight="1">
      <c r="A3661" s="1">
        <v>160</v>
      </c>
      <c r="B3661" s="1" t="s">
        <v>9</v>
      </c>
      <c r="C3661" s="2" t="s">
        <v>4309</v>
      </c>
      <c r="D3661" s="2" t="s">
        <v>4319</v>
      </c>
      <c r="E3661" s="1">
        <v>1</v>
      </c>
      <c r="F3661" s="2" t="s">
        <v>3407</v>
      </c>
      <c r="G3661" s="1">
        <v>4</v>
      </c>
      <c r="H3661" s="1" t="str">
        <f t="shared" si="59"/>
        <v>k160_4</v>
      </c>
      <c r="K3661" s="1">
        <f>IF(E3661=0,SUMPRODUCT(($A$2:$A$4734=A3661)*($B$2:$B$4734=B3661)*($D$2:$D$4734=D3661)*($E$2:$E$4734=0)),0)</f>
        <v>0</v>
      </c>
      <c r="L3661" s="1" t="str">
        <f>IF(E3661=0,SUMPRODUCT(MIN($K$2:$K$4734+((($A$2:$A$4734&lt;&gt;A3661)+($E$2:$E$4734&lt;&gt;0))&gt;0)*1000000)),"")</f>
        <v/>
      </c>
      <c r="M3661" s="1">
        <f>IF(AND(E3661=0,COUNTIFS($A$2:A3661,A3661,$E$2:E3661,0)=1),L3661,0)</f>
        <v>0</v>
      </c>
    </row>
    <row r="3662" spans="1:13" ht="15" customHeight="1">
      <c r="A3662" s="1">
        <v>161</v>
      </c>
      <c r="B3662" s="1" t="s">
        <v>16</v>
      </c>
      <c r="C3662" s="2" t="s">
        <v>4322</v>
      </c>
      <c r="D3662" s="2" t="s">
        <v>4323</v>
      </c>
      <c r="E3662" s="1">
        <v>1</v>
      </c>
      <c r="F3662" s="2" t="s">
        <v>2152</v>
      </c>
      <c r="G3662" s="1">
        <v>1</v>
      </c>
      <c r="H3662" s="1" t="str">
        <f t="shared" si="59"/>
        <v>k161_1</v>
      </c>
      <c r="K3662" s="1">
        <f>IF(E3662=0,SUMPRODUCT(($A$2:$A$4734=A3662)*($B$2:$B$4734=B3662)*($D$2:$D$4734=D3662)*($E$2:$E$4734=0)),0)</f>
        <v>0</v>
      </c>
      <c r="L3662" s="1" t="str">
        <f>IF(E3662=0,SUMPRODUCT(MIN($K$2:$K$4734+((($A$2:$A$4734&lt;&gt;A3662)+($E$2:$E$4734&lt;&gt;0))&gt;0)*1000000)),"")</f>
        <v/>
      </c>
      <c r="M3662" s="1">
        <f>IF(AND(E3662=0,COUNTIFS($A$2:A3662,A3662,$E$2:E3662,0)=1),L3662,0)</f>
        <v>0</v>
      </c>
    </row>
    <row r="3663" spans="1:13" ht="15" customHeight="1">
      <c r="A3663" s="1">
        <v>161</v>
      </c>
      <c r="B3663" s="1" t="s">
        <v>16</v>
      </c>
      <c r="C3663" s="2" t="s">
        <v>4324</v>
      </c>
      <c r="D3663" s="2" t="s">
        <v>4323</v>
      </c>
      <c r="E3663" s="1">
        <v>1</v>
      </c>
      <c r="F3663" s="2" t="s">
        <v>2151</v>
      </c>
      <c r="G3663" s="1">
        <v>2</v>
      </c>
      <c r="H3663" s="1" t="str">
        <f t="shared" si="59"/>
        <v>k161_2</v>
      </c>
      <c r="K3663" s="1">
        <f>IF(E3663=0,SUMPRODUCT(($A$2:$A$4734=A3663)*($B$2:$B$4734=B3663)*($D$2:$D$4734=D3663)*($E$2:$E$4734=0)),0)</f>
        <v>0</v>
      </c>
      <c r="L3663" s="1" t="str">
        <f>IF(E3663=0,SUMPRODUCT(MIN($K$2:$K$4734+((($A$2:$A$4734&lt;&gt;A3663)+($E$2:$E$4734&lt;&gt;0))&gt;0)*1000000)),"")</f>
        <v/>
      </c>
      <c r="M3663" s="1">
        <f>IF(AND(E3663=0,COUNTIFS($A$2:A3663,A3663,$E$2:E3663,0)=1),L3663,0)</f>
        <v>0</v>
      </c>
    </row>
    <row r="3664" spans="1:13" ht="15" customHeight="1">
      <c r="A3664" s="1">
        <v>161</v>
      </c>
      <c r="B3664" s="1" t="s">
        <v>16</v>
      </c>
      <c r="C3664" s="2" t="s">
        <v>4325</v>
      </c>
      <c r="D3664" s="2" t="s">
        <v>4323</v>
      </c>
      <c r="E3664" s="1">
        <v>1</v>
      </c>
      <c r="F3664" s="2" t="s">
        <v>2150</v>
      </c>
      <c r="G3664" s="1">
        <v>3</v>
      </c>
      <c r="H3664" s="1" t="str">
        <f t="shared" si="59"/>
        <v>k161_3</v>
      </c>
      <c r="K3664" s="1">
        <f>IF(E3664=0,SUMPRODUCT(($A$2:$A$4734=A3664)*($B$2:$B$4734=B3664)*($D$2:$D$4734=D3664)*($E$2:$E$4734=0)),0)</f>
        <v>0</v>
      </c>
      <c r="L3664" s="1" t="str">
        <f>IF(E3664=0,SUMPRODUCT(MIN($K$2:$K$4734+((($A$2:$A$4734&lt;&gt;A3664)+($E$2:$E$4734&lt;&gt;0))&gt;0)*1000000)),"")</f>
        <v/>
      </c>
      <c r="M3664" s="1">
        <f>IF(AND(E3664=0,COUNTIFS($A$2:A3664,A3664,$E$2:E3664,0)=1),L3664,0)</f>
        <v>0</v>
      </c>
    </row>
    <row r="3665" spans="1:13" ht="15" customHeight="1">
      <c r="A3665" s="1">
        <v>161</v>
      </c>
      <c r="B3665" s="1" t="s">
        <v>16</v>
      </c>
      <c r="C3665" s="2" t="s">
        <v>4326</v>
      </c>
      <c r="D3665" s="2" t="s">
        <v>4323</v>
      </c>
      <c r="E3665" s="1">
        <v>1</v>
      </c>
      <c r="F3665" s="2" t="s">
        <v>4045</v>
      </c>
      <c r="G3665" s="1">
        <v>4</v>
      </c>
      <c r="H3665" s="1" t="str">
        <f t="shared" si="59"/>
        <v>k161_4</v>
      </c>
      <c r="K3665" s="1">
        <f>IF(E3665=0,SUMPRODUCT(($A$2:$A$4734=A3665)*($B$2:$B$4734=B3665)*($D$2:$D$4734=D3665)*($E$2:$E$4734=0)),0)</f>
        <v>0</v>
      </c>
      <c r="L3665" s="1" t="str">
        <f>IF(E3665=0,SUMPRODUCT(MIN($K$2:$K$4734+((($A$2:$A$4734&lt;&gt;A3665)+($E$2:$E$4734&lt;&gt;0))&gt;0)*1000000)),"")</f>
        <v/>
      </c>
      <c r="M3665" s="1">
        <f>IF(AND(E3665=0,COUNTIFS($A$2:A3665,A3665,$E$2:E3665,0)=1),L3665,0)</f>
        <v>0</v>
      </c>
    </row>
    <row r="3666" spans="1:13" ht="15" customHeight="1">
      <c r="A3666" s="1">
        <v>161</v>
      </c>
      <c r="B3666" s="1" t="s">
        <v>173</v>
      </c>
      <c r="C3666" s="2" t="s">
        <v>4327</v>
      </c>
      <c r="D3666" s="2" t="s">
        <v>4328</v>
      </c>
      <c r="E3666" s="1">
        <v>1</v>
      </c>
      <c r="F3666" s="2" t="s">
        <v>4329</v>
      </c>
      <c r="G3666" s="1">
        <v>1</v>
      </c>
      <c r="H3666" s="1" t="str">
        <f t="shared" si="59"/>
        <v>k161_1</v>
      </c>
      <c r="K3666" s="1">
        <f>IF(E3666=0,SUMPRODUCT(($A$2:$A$4734=A3666)*($B$2:$B$4734=B3666)*($D$2:$D$4734=D3666)*($E$2:$E$4734=0)),0)</f>
        <v>0</v>
      </c>
      <c r="L3666" s="1" t="str">
        <f>IF(E3666=0,SUMPRODUCT(MIN($K$2:$K$4734+((($A$2:$A$4734&lt;&gt;A3666)+($E$2:$E$4734&lt;&gt;0))&gt;0)*1000000)),"")</f>
        <v/>
      </c>
      <c r="M3666" s="1">
        <f>IF(AND(E3666=0,COUNTIFS($A$2:A3666,A3666,$E$2:E3666,0)=1),L3666,0)</f>
        <v>0</v>
      </c>
    </row>
    <row r="3667" spans="1:13" ht="15" customHeight="1">
      <c r="A3667" s="1">
        <v>161</v>
      </c>
      <c r="B3667" s="1" t="s">
        <v>173</v>
      </c>
      <c r="C3667" s="2" t="s">
        <v>4330</v>
      </c>
      <c r="D3667" s="2" t="s">
        <v>4328</v>
      </c>
      <c r="E3667" s="1">
        <v>1</v>
      </c>
      <c r="F3667" s="2" t="s">
        <v>4331</v>
      </c>
      <c r="G3667" s="1">
        <v>2</v>
      </c>
      <c r="H3667" s="1" t="str">
        <f t="shared" si="59"/>
        <v>k161_2</v>
      </c>
      <c r="K3667" s="1">
        <f>IF(E3667=0,SUMPRODUCT(($A$2:$A$4734=A3667)*($B$2:$B$4734=B3667)*($D$2:$D$4734=D3667)*($E$2:$E$4734=0)),0)</f>
        <v>0</v>
      </c>
      <c r="L3667" s="1" t="str">
        <f>IF(E3667=0,SUMPRODUCT(MIN($K$2:$K$4734+((($A$2:$A$4734&lt;&gt;A3667)+($E$2:$E$4734&lt;&gt;0))&gt;0)*1000000)),"")</f>
        <v/>
      </c>
      <c r="M3667" s="1">
        <f>IF(AND(E3667=0,COUNTIFS($A$2:A3667,A3667,$E$2:E3667,0)=1),L3667,0)</f>
        <v>0</v>
      </c>
    </row>
    <row r="3668" spans="1:13" ht="15" customHeight="1">
      <c r="A3668" s="1">
        <v>161</v>
      </c>
      <c r="B3668" s="1" t="s">
        <v>173</v>
      </c>
      <c r="C3668" s="2" t="s">
        <v>4332</v>
      </c>
      <c r="D3668" s="2" t="s">
        <v>4328</v>
      </c>
      <c r="E3668" s="1">
        <v>1</v>
      </c>
      <c r="F3668" s="2" t="s">
        <v>4333</v>
      </c>
      <c r="G3668" s="1">
        <v>3</v>
      </c>
      <c r="H3668" s="1" t="str">
        <f t="shared" si="59"/>
        <v>k161_3</v>
      </c>
      <c r="K3668" s="1">
        <f>IF(E3668=0,SUMPRODUCT(($A$2:$A$4734=A3668)*($B$2:$B$4734=B3668)*($D$2:$D$4734=D3668)*($E$2:$E$4734=0)),0)</f>
        <v>0</v>
      </c>
      <c r="L3668" s="1" t="str">
        <f>IF(E3668=0,SUMPRODUCT(MIN($K$2:$K$4734+((($A$2:$A$4734&lt;&gt;A3668)+($E$2:$E$4734&lt;&gt;0))&gt;0)*1000000)),"")</f>
        <v/>
      </c>
      <c r="M3668" s="1">
        <f>IF(AND(E3668=0,COUNTIFS($A$2:A3668,A3668,$E$2:E3668,0)=1),L3668,0)</f>
        <v>0</v>
      </c>
    </row>
    <row r="3669" spans="1:13" ht="15" customHeight="1">
      <c r="A3669" s="1">
        <v>161</v>
      </c>
      <c r="B3669" s="1" t="s">
        <v>173</v>
      </c>
      <c r="C3669" s="2" t="s">
        <v>4334</v>
      </c>
      <c r="D3669" s="2" t="s">
        <v>4328</v>
      </c>
      <c r="E3669" s="1">
        <v>1</v>
      </c>
      <c r="F3669" s="2" t="s">
        <v>4335</v>
      </c>
      <c r="G3669" s="1">
        <v>4</v>
      </c>
      <c r="H3669" s="1" t="str">
        <f t="shared" si="59"/>
        <v>k161_4</v>
      </c>
      <c r="K3669" s="1">
        <f>IF(E3669=0,SUMPRODUCT(($A$2:$A$4734=A3669)*($B$2:$B$4734=B3669)*($D$2:$D$4734=D3669)*($E$2:$E$4734=0)),0)</f>
        <v>0</v>
      </c>
      <c r="L3669" s="1" t="str">
        <f>IF(E3669=0,SUMPRODUCT(MIN($K$2:$K$4734+((($A$2:$A$4734&lt;&gt;A3669)+($E$2:$E$4734&lt;&gt;0))&gt;0)*1000000)),"")</f>
        <v/>
      </c>
      <c r="M3669" s="1">
        <f>IF(AND(E3669=0,COUNTIFS($A$2:A3669,A3669,$E$2:E3669,0)=1),L3669,0)</f>
        <v>0</v>
      </c>
    </row>
    <row r="3670" spans="1:13" ht="15" customHeight="1">
      <c r="A3670" s="1">
        <v>162</v>
      </c>
      <c r="B3670" s="1" t="s">
        <v>9</v>
      </c>
      <c r="C3670" s="2" t="s">
        <v>4336</v>
      </c>
      <c r="D3670" s="2" t="s">
        <v>4337</v>
      </c>
      <c r="E3670" s="1">
        <v>0</v>
      </c>
      <c r="F3670" s="2" t="s">
        <v>4338</v>
      </c>
      <c r="H3670" s="1" t="str">
        <f t="shared" si="59"/>
        <v/>
      </c>
      <c r="K3670" s="1">
        <f>IF(E3670=0,SUMPRODUCT(($A$2:$A$4734=A3670)*($B$2:$B$4734=B3670)*($D$2:$D$4734=D3670)*($E$2:$E$4734=0)),0)</f>
        <v>2</v>
      </c>
      <c r="L3670" s="1">
        <f>IF(E3670=0,SUMPRODUCT(MIN($K$2:$K$4734+((($A$2:$A$4734&lt;&gt;A3670)+($E$2:$E$4734&lt;&gt;0))&gt;0)*1000000)),"")</f>
        <v>2</v>
      </c>
      <c r="M3670" s="1">
        <f>IF(AND(E3670=0,COUNTIFS($A$2:A3670,A3670,$E$2:E3670,0)=1),L3670,0)</f>
        <v>2</v>
      </c>
    </row>
    <row r="3671" spans="1:13" ht="15" customHeight="1">
      <c r="A3671" s="1">
        <v>162</v>
      </c>
      <c r="B3671" s="1" t="s">
        <v>9</v>
      </c>
      <c r="C3671" s="2" t="s">
        <v>4339</v>
      </c>
      <c r="D3671" s="2" t="s">
        <v>4337</v>
      </c>
      <c r="E3671" s="1">
        <v>0</v>
      </c>
      <c r="F3671" s="2" t="s">
        <v>4340</v>
      </c>
      <c r="H3671" s="1" t="str">
        <f t="shared" si="59"/>
        <v/>
      </c>
      <c r="K3671" s="1">
        <f>IF(E3671=0,SUMPRODUCT(($A$2:$A$4734=A3671)*($B$2:$B$4734=B3671)*($D$2:$D$4734=D3671)*($E$2:$E$4734=0)),0)</f>
        <v>2</v>
      </c>
      <c r="L3671" s="1">
        <f>IF(E3671=0,SUMPRODUCT(MIN($K$2:$K$4734+((($A$2:$A$4734&lt;&gt;A3671)+($E$2:$E$4734&lt;&gt;0))&gt;0)*1000000)),"")</f>
        <v>2</v>
      </c>
      <c r="M3671" s="1">
        <f>IF(AND(E3671=0,COUNTIFS($A$2:A3671,A3671,$E$2:E3671,0)=1),L3671,0)</f>
        <v>0</v>
      </c>
    </row>
    <row r="3672" spans="1:13" ht="15" customHeight="1">
      <c r="A3672" s="1">
        <v>163</v>
      </c>
      <c r="B3672" s="1" t="s">
        <v>16</v>
      </c>
      <c r="C3672" s="2" t="s">
        <v>4341</v>
      </c>
      <c r="D3672" s="2" t="s">
        <v>4342</v>
      </c>
      <c r="E3672" s="1">
        <v>1</v>
      </c>
      <c r="F3672" s="2" t="s">
        <v>4343</v>
      </c>
      <c r="G3672" s="1">
        <v>1</v>
      </c>
      <c r="H3672" s="1" t="str">
        <f t="shared" si="59"/>
        <v>k163_1</v>
      </c>
      <c r="K3672" s="1">
        <f>IF(E3672=0,SUMPRODUCT(($A$2:$A$4734=A3672)*($B$2:$B$4734=B3672)*($D$2:$D$4734=D3672)*($E$2:$E$4734=0)),0)</f>
        <v>0</v>
      </c>
      <c r="L3672" s="1" t="str">
        <f>IF(E3672=0,SUMPRODUCT(MIN($K$2:$K$4734+((($A$2:$A$4734&lt;&gt;A3672)+($E$2:$E$4734&lt;&gt;0))&gt;0)*1000000)),"")</f>
        <v/>
      </c>
      <c r="M3672" s="1">
        <f>IF(AND(E3672=0,COUNTIFS($A$2:A3672,A3672,$E$2:E3672,0)=1),L3672,0)</f>
        <v>0</v>
      </c>
    </row>
    <row r="3673" spans="1:13" ht="15" customHeight="1">
      <c r="A3673" s="1">
        <v>163</v>
      </c>
      <c r="B3673" s="1" t="s">
        <v>16</v>
      </c>
      <c r="C3673" s="2" t="s">
        <v>4341</v>
      </c>
      <c r="D3673" s="2" t="s">
        <v>4342</v>
      </c>
      <c r="E3673" s="1">
        <v>1</v>
      </c>
      <c r="F3673" s="2" t="s">
        <v>4344</v>
      </c>
      <c r="G3673" s="1">
        <v>2</v>
      </c>
      <c r="H3673" s="1" t="str">
        <f t="shared" si="59"/>
        <v>k163_2</v>
      </c>
      <c r="K3673" s="1">
        <f>IF(E3673=0,SUMPRODUCT(($A$2:$A$4734=A3673)*($B$2:$B$4734=B3673)*($D$2:$D$4734=D3673)*($E$2:$E$4734=0)),0)</f>
        <v>0</v>
      </c>
      <c r="L3673" s="1" t="str">
        <f>IF(E3673=0,SUMPRODUCT(MIN($K$2:$K$4734+((($A$2:$A$4734&lt;&gt;A3673)+($E$2:$E$4734&lt;&gt;0))&gt;0)*1000000)),"")</f>
        <v/>
      </c>
      <c r="M3673" s="1">
        <f>IF(AND(E3673=0,COUNTIFS($A$2:A3673,A3673,$E$2:E3673,0)=1),L3673,0)</f>
        <v>0</v>
      </c>
    </row>
    <row r="3674" spans="1:13" ht="15" customHeight="1">
      <c r="A3674" s="1">
        <v>163</v>
      </c>
      <c r="B3674" s="1" t="s">
        <v>16</v>
      </c>
      <c r="C3674" s="2" t="s">
        <v>4341</v>
      </c>
      <c r="D3674" s="2" t="s">
        <v>4342</v>
      </c>
      <c r="E3674" s="1">
        <v>1</v>
      </c>
      <c r="F3674" s="2" t="s">
        <v>4344</v>
      </c>
      <c r="G3674" s="1">
        <v>6</v>
      </c>
      <c r="H3674" s="1" t="str">
        <f t="shared" si="59"/>
        <v>k163_6</v>
      </c>
      <c r="K3674" s="1">
        <f>IF(E3674=0,SUMPRODUCT(($A$2:$A$4734=A3674)*($B$2:$B$4734=B3674)*($D$2:$D$4734=D3674)*($E$2:$E$4734=0)),0)</f>
        <v>0</v>
      </c>
      <c r="L3674" s="1" t="str">
        <f>IF(E3674=0,SUMPRODUCT(MIN($K$2:$K$4734+((($A$2:$A$4734&lt;&gt;A3674)+($E$2:$E$4734&lt;&gt;0))&gt;0)*1000000)),"")</f>
        <v/>
      </c>
      <c r="M3674" s="1">
        <f>IF(AND(E3674=0,COUNTIFS($A$2:A3674,A3674,$E$2:E3674,0)=1),L3674,0)</f>
        <v>0</v>
      </c>
    </row>
    <row r="3675" spans="1:13" ht="15" customHeight="1">
      <c r="A3675" s="1">
        <v>163</v>
      </c>
      <c r="B3675" s="1" t="s">
        <v>16</v>
      </c>
      <c r="C3675" s="2" t="s">
        <v>4341</v>
      </c>
      <c r="D3675" s="2" t="s">
        <v>4342</v>
      </c>
      <c r="E3675" s="1">
        <v>1</v>
      </c>
      <c r="F3675" s="2" t="s">
        <v>4345</v>
      </c>
      <c r="G3675" s="1">
        <v>3</v>
      </c>
      <c r="H3675" s="1" t="str">
        <f t="shared" si="59"/>
        <v>k163_3</v>
      </c>
      <c r="K3675" s="1">
        <f>IF(E3675=0,SUMPRODUCT(($A$2:$A$4734=A3675)*($B$2:$B$4734=B3675)*($D$2:$D$4734=D3675)*($E$2:$E$4734=0)),0)</f>
        <v>0</v>
      </c>
      <c r="L3675" s="1" t="str">
        <f>IF(E3675=0,SUMPRODUCT(MIN($K$2:$K$4734+((($A$2:$A$4734&lt;&gt;A3675)+($E$2:$E$4734&lt;&gt;0))&gt;0)*1000000)),"")</f>
        <v/>
      </c>
      <c r="M3675" s="1">
        <f>IF(AND(E3675=0,COUNTIFS($A$2:A3675,A3675,$E$2:E3675,0)=1),L3675,0)</f>
        <v>0</v>
      </c>
    </row>
    <row r="3676" spans="1:13" ht="15" customHeight="1">
      <c r="A3676" s="1">
        <v>163</v>
      </c>
      <c r="B3676" s="1" t="s">
        <v>16</v>
      </c>
      <c r="C3676" s="2" t="s">
        <v>4341</v>
      </c>
      <c r="D3676" s="2" t="s">
        <v>4342</v>
      </c>
      <c r="E3676" s="1">
        <v>1</v>
      </c>
      <c r="F3676" s="2" t="s">
        <v>4346</v>
      </c>
      <c r="G3676" s="1">
        <v>4</v>
      </c>
      <c r="H3676" s="1" t="str">
        <f t="shared" si="59"/>
        <v>k163_4</v>
      </c>
      <c r="K3676" s="1">
        <f>IF(E3676=0,SUMPRODUCT(($A$2:$A$4734=A3676)*($B$2:$B$4734=B3676)*($D$2:$D$4734=D3676)*($E$2:$E$4734=0)),0)</f>
        <v>0</v>
      </c>
      <c r="L3676" s="1" t="str">
        <f>IF(E3676=0,SUMPRODUCT(MIN($K$2:$K$4734+((($A$2:$A$4734&lt;&gt;A3676)+($E$2:$E$4734&lt;&gt;0))&gt;0)*1000000)),"")</f>
        <v/>
      </c>
      <c r="M3676" s="1">
        <f>IF(AND(E3676=0,COUNTIFS($A$2:A3676,A3676,$E$2:E3676,0)=1),L3676,0)</f>
        <v>0</v>
      </c>
    </row>
    <row r="3677" spans="1:13" ht="15" customHeight="1">
      <c r="A3677" s="1">
        <v>163</v>
      </c>
      <c r="B3677" s="1" t="s">
        <v>16</v>
      </c>
      <c r="C3677" s="2" t="s">
        <v>4341</v>
      </c>
      <c r="D3677" s="2" t="s">
        <v>4342</v>
      </c>
      <c r="E3677" s="1">
        <v>1</v>
      </c>
      <c r="F3677" s="2" t="s">
        <v>4347</v>
      </c>
      <c r="G3677" s="1">
        <v>5</v>
      </c>
      <c r="H3677" s="1" t="str">
        <f t="shared" si="59"/>
        <v>k163_5</v>
      </c>
      <c r="K3677" s="1">
        <f>IF(E3677=0,SUMPRODUCT(($A$2:$A$4734=A3677)*($B$2:$B$4734=B3677)*($D$2:$D$4734=D3677)*($E$2:$E$4734=0)),0)</f>
        <v>0</v>
      </c>
      <c r="L3677" s="1" t="str">
        <f>IF(E3677=0,SUMPRODUCT(MIN($K$2:$K$4734+((($A$2:$A$4734&lt;&gt;A3677)+($E$2:$E$4734&lt;&gt;0))&gt;0)*1000000)),"")</f>
        <v/>
      </c>
      <c r="M3677" s="1">
        <f>IF(AND(E3677=0,COUNTIFS($A$2:A3677,A3677,$E$2:E3677,0)=1),L3677,0)</f>
        <v>0</v>
      </c>
    </row>
    <row r="3678" spans="1:13" ht="15" customHeight="1">
      <c r="A3678" s="1">
        <v>163</v>
      </c>
      <c r="B3678" s="1" t="s">
        <v>16</v>
      </c>
      <c r="C3678" s="2" t="s">
        <v>4341</v>
      </c>
      <c r="D3678" s="2" t="s">
        <v>4133</v>
      </c>
      <c r="E3678" s="1">
        <v>1</v>
      </c>
      <c r="F3678" s="2" t="s">
        <v>4348</v>
      </c>
      <c r="G3678" s="1">
        <v>1</v>
      </c>
      <c r="H3678" s="1" t="str">
        <f t="shared" si="59"/>
        <v>k163_1</v>
      </c>
      <c r="K3678" s="1">
        <f>IF(E3678=0,SUMPRODUCT(($A$2:$A$4734=A3678)*($B$2:$B$4734=B3678)*($D$2:$D$4734=D3678)*($E$2:$E$4734=0)),0)</f>
        <v>0</v>
      </c>
      <c r="L3678" s="1" t="str">
        <f>IF(E3678=0,SUMPRODUCT(MIN($K$2:$K$4734+((($A$2:$A$4734&lt;&gt;A3678)+($E$2:$E$4734&lt;&gt;0))&gt;0)*1000000)),"")</f>
        <v/>
      </c>
      <c r="M3678" s="1">
        <f>IF(AND(E3678=0,COUNTIFS($A$2:A3678,A3678,$E$2:E3678,0)=1),L3678,0)</f>
        <v>0</v>
      </c>
    </row>
    <row r="3679" spans="1:13" ht="15" customHeight="1">
      <c r="A3679" s="1">
        <v>163</v>
      </c>
      <c r="B3679" s="1" t="s">
        <v>16</v>
      </c>
      <c r="C3679" s="2" t="s">
        <v>4341</v>
      </c>
      <c r="D3679" s="2" t="s">
        <v>4133</v>
      </c>
      <c r="E3679" s="1">
        <v>1</v>
      </c>
      <c r="F3679" s="2" t="s">
        <v>4349</v>
      </c>
      <c r="G3679" s="1">
        <v>2</v>
      </c>
      <c r="H3679" s="1" t="str">
        <f t="shared" si="59"/>
        <v>k163_2</v>
      </c>
      <c r="K3679" s="1">
        <f>IF(E3679=0,SUMPRODUCT(($A$2:$A$4734=A3679)*($B$2:$B$4734=B3679)*($D$2:$D$4734=D3679)*($E$2:$E$4734=0)),0)</f>
        <v>0</v>
      </c>
      <c r="L3679" s="1" t="str">
        <f>IF(E3679=0,SUMPRODUCT(MIN($K$2:$K$4734+((($A$2:$A$4734&lt;&gt;A3679)+($E$2:$E$4734&lt;&gt;0))&gt;0)*1000000)),"")</f>
        <v/>
      </c>
      <c r="M3679" s="1">
        <f>IF(AND(E3679=0,COUNTIFS($A$2:A3679,A3679,$E$2:E3679,0)=1),L3679,0)</f>
        <v>0</v>
      </c>
    </row>
    <row r="3680" spans="1:13" ht="15" customHeight="1">
      <c r="A3680" s="1">
        <v>163</v>
      </c>
      <c r="B3680" s="1" t="s">
        <v>16</v>
      </c>
      <c r="C3680" s="2" t="s">
        <v>4341</v>
      </c>
      <c r="D3680" s="2" t="s">
        <v>4133</v>
      </c>
      <c r="E3680" s="1">
        <v>1</v>
      </c>
      <c r="F3680" s="2" t="s">
        <v>4350</v>
      </c>
      <c r="G3680" s="1">
        <v>3</v>
      </c>
      <c r="H3680" s="1" t="str">
        <f t="shared" si="59"/>
        <v>k163_3</v>
      </c>
      <c r="K3680" s="1">
        <f>IF(E3680=0,SUMPRODUCT(($A$2:$A$4734=A3680)*($B$2:$B$4734=B3680)*($D$2:$D$4734=D3680)*($E$2:$E$4734=0)),0)</f>
        <v>0</v>
      </c>
      <c r="L3680" s="1" t="str">
        <f>IF(E3680=0,SUMPRODUCT(MIN($K$2:$K$4734+((($A$2:$A$4734&lt;&gt;A3680)+($E$2:$E$4734&lt;&gt;0))&gt;0)*1000000)),"")</f>
        <v/>
      </c>
      <c r="M3680" s="1">
        <f>IF(AND(E3680=0,COUNTIFS($A$2:A3680,A3680,$E$2:E3680,0)=1),L3680,0)</f>
        <v>0</v>
      </c>
    </row>
    <row r="3681" spans="1:13" ht="15" customHeight="1">
      <c r="A3681" s="1">
        <v>163</v>
      </c>
      <c r="B3681" s="1" t="s">
        <v>16</v>
      </c>
      <c r="C3681" s="2" t="s">
        <v>4341</v>
      </c>
      <c r="D3681" s="2" t="s">
        <v>4133</v>
      </c>
      <c r="E3681" s="1">
        <v>1</v>
      </c>
      <c r="F3681" s="2" t="s">
        <v>4350</v>
      </c>
      <c r="G3681" s="1">
        <v>6</v>
      </c>
      <c r="H3681" s="1" t="str">
        <f t="shared" si="59"/>
        <v>k163_6</v>
      </c>
      <c r="K3681" s="1">
        <f>IF(E3681=0,SUMPRODUCT(($A$2:$A$4734=A3681)*($B$2:$B$4734=B3681)*($D$2:$D$4734=D3681)*($E$2:$E$4734=0)),0)</f>
        <v>0</v>
      </c>
      <c r="L3681" s="1" t="str">
        <f>IF(E3681=0,SUMPRODUCT(MIN($K$2:$K$4734+((($A$2:$A$4734&lt;&gt;A3681)+($E$2:$E$4734&lt;&gt;0))&gt;0)*1000000)),"")</f>
        <v/>
      </c>
      <c r="M3681" s="1">
        <f>IF(AND(E3681=0,COUNTIFS($A$2:A3681,A3681,$E$2:E3681,0)=1),L3681,0)</f>
        <v>0</v>
      </c>
    </row>
    <row r="3682" spans="1:13" ht="15" customHeight="1">
      <c r="A3682" s="1">
        <v>163</v>
      </c>
      <c r="B3682" s="1" t="s">
        <v>16</v>
      </c>
      <c r="C3682" s="2" t="s">
        <v>4341</v>
      </c>
      <c r="D3682" s="2" t="s">
        <v>4133</v>
      </c>
      <c r="E3682" s="1">
        <v>1</v>
      </c>
      <c r="F3682" s="2" t="s">
        <v>4138</v>
      </c>
      <c r="G3682" s="1">
        <v>4</v>
      </c>
      <c r="H3682" s="1" t="str">
        <f t="shared" si="59"/>
        <v>k163_4</v>
      </c>
      <c r="K3682" s="1">
        <f>IF(E3682=0,SUMPRODUCT(($A$2:$A$4734=A3682)*($B$2:$B$4734=B3682)*($D$2:$D$4734=D3682)*($E$2:$E$4734=0)),0)</f>
        <v>0</v>
      </c>
      <c r="L3682" s="1" t="str">
        <f>IF(E3682=0,SUMPRODUCT(MIN($K$2:$K$4734+((($A$2:$A$4734&lt;&gt;A3682)+($E$2:$E$4734&lt;&gt;0))&gt;0)*1000000)),"")</f>
        <v/>
      </c>
      <c r="M3682" s="1">
        <f>IF(AND(E3682=0,COUNTIFS($A$2:A3682,A3682,$E$2:E3682,0)=1),L3682,0)</f>
        <v>0</v>
      </c>
    </row>
    <row r="3683" spans="1:13" ht="15" customHeight="1">
      <c r="A3683" s="1">
        <v>163</v>
      </c>
      <c r="B3683" s="1" t="s">
        <v>16</v>
      </c>
      <c r="C3683" s="2" t="s">
        <v>4341</v>
      </c>
      <c r="D3683" s="2" t="s">
        <v>4133</v>
      </c>
      <c r="E3683" s="1">
        <v>1</v>
      </c>
      <c r="F3683" s="2" t="s">
        <v>4351</v>
      </c>
      <c r="G3683" s="1">
        <v>5</v>
      </c>
      <c r="H3683" s="1" t="str">
        <f t="shared" si="59"/>
        <v>k163_5</v>
      </c>
      <c r="K3683" s="1">
        <f>IF(E3683=0,SUMPRODUCT(($A$2:$A$4734=A3683)*($B$2:$B$4734=B3683)*($D$2:$D$4734=D3683)*($E$2:$E$4734=0)),0)</f>
        <v>0</v>
      </c>
      <c r="L3683" s="1" t="str">
        <f>IF(E3683=0,SUMPRODUCT(MIN($K$2:$K$4734+((($A$2:$A$4734&lt;&gt;A3683)+($E$2:$E$4734&lt;&gt;0))&gt;0)*1000000)),"")</f>
        <v/>
      </c>
      <c r="M3683" s="1">
        <f>IF(AND(E3683=0,COUNTIFS($A$2:A3683,A3683,$E$2:E3683,0)=1),L3683,0)</f>
        <v>0</v>
      </c>
    </row>
    <row r="3684" spans="1:13" ht="15" customHeight="1">
      <c r="A3684" s="1">
        <v>163</v>
      </c>
      <c r="B3684" s="1" t="s">
        <v>167</v>
      </c>
      <c r="C3684" s="2" t="s">
        <v>4341</v>
      </c>
      <c r="D3684" s="1" t="s">
        <v>3435</v>
      </c>
      <c r="E3684" s="1">
        <v>1</v>
      </c>
      <c r="F3684" s="2" t="s">
        <v>4352</v>
      </c>
      <c r="G3684" s="1">
        <v>1</v>
      </c>
      <c r="H3684" s="1" t="str">
        <f t="shared" si="59"/>
        <v>k163_1</v>
      </c>
      <c r="K3684" s="1">
        <f>IF(E3684=0,SUMPRODUCT(($A$2:$A$4734=A3684)*($B$2:$B$4734=B3684)*($D$2:$D$4734=D3684)*($E$2:$E$4734=0)),0)</f>
        <v>0</v>
      </c>
      <c r="L3684" s="1" t="str">
        <f>IF(E3684=0,SUMPRODUCT(MIN($K$2:$K$4734+((($A$2:$A$4734&lt;&gt;A3684)+($E$2:$E$4734&lt;&gt;0))&gt;0)*1000000)),"")</f>
        <v/>
      </c>
      <c r="M3684" s="1">
        <f>IF(AND(E3684=0,COUNTIFS($A$2:A3684,A3684,$E$2:E3684,0)=1),L3684,0)</f>
        <v>0</v>
      </c>
    </row>
    <row r="3685" spans="1:13" ht="15" customHeight="1">
      <c r="A3685" s="1">
        <v>163</v>
      </c>
      <c r="B3685" s="1" t="s">
        <v>167</v>
      </c>
      <c r="C3685" s="2" t="s">
        <v>4341</v>
      </c>
      <c r="D3685" s="1" t="s">
        <v>3435</v>
      </c>
      <c r="E3685" s="1">
        <v>1</v>
      </c>
      <c r="F3685" s="2" t="s">
        <v>4353</v>
      </c>
      <c r="G3685" s="1">
        <v>2</v>
      </c>
      <c r="H3685" s="1" t="str">
        <f t="shared" si="59"/>
        <v>k163_2</v>
      </c>
      <c r="K3685" s="1">
        <f>IF(E3685=0,SUMPRODUCT(($A$2:$A$4734=A3685)*($B$2:$B$4734=B3685)*($D$2:$D$4734=D3685)*($E$2:$E$4734=0)),0)</f>
        <v>0</v>
      </c>
      <c r="L3685" s="1" t="str">
        <f>IF(E3685=0,SUMPRODUCT(MIN($K$2:$K$4734+((($A$2:$A$4734&lt;&gt;A3685)+($E$2:$E$4734&lt;&gt;0))&gt;0)*1000000)),"")</f>
        <v/>
      </c>
      <c r="M3685" s="1">
        <f>IF(AND(E3685=0,COUNTIFS($A$2:A3685,A3685,$E$2:E3685,0)=1),L3685,0)</f>
        <v>0</v>
      </c>
    </row>
    <row r="3686" spans="1:13" ht="15" customHeight="1">
      <c r="A3686" s="1">
        <v>163</v>
      </c>
      <c r="B3686" s="1" t="s">
        <v>167</v>
      </c>
      <c r="C3686" s="2" t="s">
        <v>4341</v>
      </c>
      <c r="D3686" s="1" t="s">
        <v>3435</v>
      </c>
      <c r="E3686" s="1">
        <v>1</v>
      </c>
      <c r="F3686" s="2" t="s">
        <v>4354</v>
      </c>
      <c r="G3686" s="1">
        <v>3</v>
      </c>
      <c r="H3686" s="1" t="str">
        <f t="shared" si="59"/>
        <v>k163_3</v>
      </c>
      <c r="K3686" s="1">
        <f>IF(E3686=0,SUMPRODUCT(($A$2:$A$4734=A3686)*($B$2:$B$4734=B3686)*($D$2:$D$4734=D3686)*($E$2:$E$4734=0)),0)</f>
        <v>0</v>
      </c>
      <c r="L3686" s="1" t="str">
        <f>IF(E3686=0,SUMPRODUCT(MIN($K$2:$K$4734+((($A$2:$A$4734&lt;&gt;A3686)+($E$2:$E$4734&lt;&gt;0))&gt;0)*1000000)),"")</f>
        <v/>
      </c>
      <c r="M3686" s="1">
        <f>IF(AND(E3686=0,COUNTIFS($A$2:A3686,A3686,$E$2:E3686,0)=1),L3686,0)</f>
        <v>0</v>
      </c>
    </row>
    <row r="3687" spans="1:13" ht="15" customHeight="1">
      <c r="A3687" s="1">
        <v>163</v>
      </c>
      <c r="B3687" s="1" t="s">
        <v>167</v>
      </c>
      <c r="C3687" s="2" t="s">
        <v>4341</v>
      </c>
      <c r="D3687" s="1" t="s">
        <v>3435</v>
      </c>
      <c r="E3687" s="1">
        <v>1</v>
      </c>
      <c r="F3687" s="2" t="s">
        <v>4355</v>
      </c>
      <c r="G3687" s="1">
        <v>4</v>
      </c>
      <c r="H3687" s="1" t="str">
        <f t="shared" si="59"/>
        <v>k163_4</v>
      </c>
      <c r="K3687" s="1">
        <f>IF(E3687=0,SUMPRODUCT(($A$2:$A$4734=A3687)*($B$2:$B$4734=B3687)*($D$2:$D$4734=D3687)*($E$2:$E$4734=0)),0)</f>
        <v>0</v>
      </c>
      <c r="L3687" s="1" t="str">
        <f>IF(E3687=0,SUMPRODUCT(MIN($K$2:$K$4734+((($A$2:$A$4734&lt;&gt;A3687)+($E$2:$E$4734&lt;&gt;0))&gt;0)*1000000)),"")</f>
        <v/>
      </c>
      <c r="M3687" s="1">
        <f>IF(AND(E3687=0,COUNTIFS($A$2:A3687,A3687,$E$2:E3687,0)=1),L3687,0)</f>
        <v>0</v>
      </c>
    </row>
    <row r="3688" spans="1:13" ht="15" customHeight="1">
      <c r="A3688" s="1">
        <v>163</v>
      </c>
      <c r="B3688" s="1" t="s">
        <v>167</v>
      </c>
      <c r="C3688" s="2" t="s">
        <v>4341</v>
      </c>
      <c r="D3688" s="1" t="s">
        <v>3435</v>
      </c>
      <c r="E3688" s="1">
        <v>1</v>
      </c>
      <c r="F3688" s="2" t="s">
        <v>4356</v>
      </c>
      <c r="G3688" s="1">
        <v>5</v>
      </c>
      <c r="H3688" s="1" t="str">
        <f t="shared" si="59"/>
        <v>k163_5</v>
      </c>
      <c r="K3688" s="1">
        <f>IF(E3688=0,SUMPRODUCT(($A$2:$A$4734=A3688)*($B$2:$B$4734=B3688)*($D$2:$D$4734=D3688)*($E$2:$E$4734=0)),0)</f>
        <v>0</v>
      </c>
      <c r="L3688" s="1" t="str">
        <f>IF(E3688=0,SUMPRODUCT(MIN($K$2:$K$4734+((($A$2:$A$4734&lt;&gt;A3688)+($E$2:$E$4734&lt;&gt;0))&gt;0)*1000000)),"")</f>
        <v/>
      </c>
      <c r="M3688" s="1">
        <f>IF(AND(E3688=0,COUNTIFS($A$2:A3688,A3688,$E$2:E3688,0)=1),L3688,0)</f>
        <v>0</v>
      </c>
    </row>
    <row r="3689" spans="1:13" ht="15" customHeight="1">
      <c r="A3689" s="1">
        <v>163</v>
      </c>
      <c r="B3689" s="1" t="s">
        <v>167</v>
      </c>
      <c r="C3689" s="2" t="s">
        <v>4341</v>
      </c>
      <c r="D3689" s="1" t="s">
        <v>3435</v>
      </c>
      <c r="E3689" s="1">
        <v>1</v>
      </c>
      <c r="F3689" s="2" t="s">
        <v>4357</v>
      </c>
      <c r="G3689" s="1">
        <v>6</v>
      </c>
      <c r="H3689" s="1" t="str">
        <f t="shared" si="59"/>
        <v>k163_6</v>
      </c>
      <c r="K3689" s="1">
        <f>IF(E3689=0,SUMPRODUCT(($A$2:$A$4734=A3689)*($B$2:$B$4734=B3689)*($D$2:$D$4734=D3689)*($E$2:$E$4734=0)),0)</f>
        <v>0</v>
      </c>
      <c r="L3689" s="1" t="str">
        <f>IF(E3689=0,SUMPRODUCT(MIN($K$2:$K$4734+((($A$2:$A$4734&lt;&gt;A3689)+($E$2:$E$4734&lt;&gt;0))&gt;0)*1000000)),"")</f>
        <v/>
      </c>
      <c r="M3689" s="1">
        <f>IF(AND(E3689=0,COUNTIFS($A$2:A3689,A3689,$E$2:E3689,0)=1),L3689,0)</f>
        <v>0</v>
      </c>
    </row>
    <row r="3690" spans="1:13" ht="15" customHeight="1">
      <c r="A3690" s="1">
        <v>164</v>
      </c>
      <c r="B3690" s="1" t="s">
        <v>9</v>
      </c>
      <c r="C3690" s="2" t="s">
        <v>4358</v>
      </c>
      <c r="D3690" s="2" t="s">
        <v>4359</v>
      </c>
      <c r="E3690" s="1">
        <v>0</v>
      </c>
      <c r="F3690" s="2" t="s">
        <v>4360</v>
      </c>
      <c r="H3690" s="1" t="str">
        <f t="shared" si="59"/>
        <v/>
      </c>
      <c r="K3690" s="1">
        <f>IF(E3690=0,SUMPRODUCT(($A$2:$A$4734=A3690)*($B$2:$B$4734=B3690)*($D$2:$D$4734=D3690)*($E$2:$E$4734=0)),0)</f>
        <v>4</v>
      </c>
      <c r="L3690" s="1">
        <f>IF(E3690=0,SUMPRODUCT(MIN($K$2:$K$4734+((($A$2:$A$4734&lt;&gt;A3690)+($E$2:$E$4734&lt;&gt;0))&gt;0)*1000000)),"")</f>
        <v>4</v>
      </c>
      <c r="M3690" s="1">
        <f>IF(AND(E3690=0,COUNTIFS($A$2:A3690,A3690,$E$2:E3690,0)=1),L3690,0)</f>
        <v>4</v>
      </c>
    </row>
    <row r="3691" spans="1:13" ht="15" customHeight="1">
      <c r="A3691" s="1">
        <v>164</v>
      </c>
      <c r="B3691" s="1" t="s">
        <v>9</v>
      </c>
      <c r="C3691" s="2" t="s">
        <v>4358</v>
      </c>
      <c r="D3691" s="2" t="s">
        <v>4359</v>
      </c>
      <c r="E3691" s="1">
        <v>0</v>
      </c>
      <c r="F3691" s="2" t="s">
        <v>4361</v>
      </c>
      <c r="H3691" s="1" t="str">
        <f t="shared" si="59"/>
        <v/>
      </c>
      <c r="K3691" s="1">
        <f>IF(E3691=0,SUMPRODUCT(($A$2:$A$4734=A3691)*($B$2:$B$4734=B3691)*($D$2:$D$4734=D3691)*($E$2:$E$4734=0)),0)</f>
        <v>4</v>
      </c>
      <c r="L3691" s="1">
        <f>IF(E3691=0,SUMPRODUCT(MIN($K$2:$K$4734+((($A$2:$A$4734&lt;&gt;A3691)+($E$2:$E$4734&lt;&gt;0))&gt;0)*1000000)),"")</f>
        <v>4</v>
      </c>
      <c r="M3691" s="1">
        <f>IF(AND(E3691=0,COUNTIFS($A$2:A3691,A3691,$E$2:E3691,0)=1),L3691,0)</f>
        <v>0</v>
      </c>
    </row>
    <row r="3692" spans="1:13" ht="15" customHeight="1">
      <c r="A3692" s="1">
        <v>164</v>
      </c>
      <c r="B3692" s="1" t="s">
        <v>9</v>
      </c>
      <c r="C3692" s="2" t="s">
        <v>4358</v>
      </c>
      <c r="D3692" s="2" t="s">
        <v>4359</v>
      </c>
      <c r="E3692" s="1">
        <v>0</v>
      </c>
      <c r="F3692" s="2" t="s">
        <v>4362</v>
      </c>
      <c r="H3692" s="1" t="str">
        <f t="shared" si="59"/>
        <v/>
      </c>
      <c r="K3692" s="1">
        <f>IF(E3692=0,SUMPRODUCT(($A$2:$A$4734=A3692)*($B$2:$B$4734=B3692)*($D$2:$D$4734=D3692)*($E$2:$E$4734=0)),0)</f>
        <v>4</v>
      </c>
      <c r="L3692" s="1">
        <f>IF(E3692=0,SUMPRODUCT(MIN($K$2:$K$4734+((($A$2:$A$4734&lt;&gt;A3692)+($E$2:$E$4734&lt;&gt;0))&gt;0)*1000000)),"")</f>
        <v>4</v>
      </c>
      <c r="M3692" s="1">
        <f>IF(AND(E3692=0,COUNTIFS($A$2:A3692,A3692,$E$2:E3692,0)=1),L3692,0)</f>
        <v>0</v>
      </c>
    </row>
    <row r="3693" spans="1:13" ht="15" customHeight="1">
      <c r="A3693" s="1">
        <v>164</v>
      </c>
      <c r="B3693" s="1" t="s">
        <v>9</v>
      </c>
      <c r="C3693" s="2" t="s">
        <v>4358</v>
      </c>
      <c r="D3693" s="2" t="s">
        <v>4359</v>
      </c>
      <c r="E3693" s="1">
        <v>0</v>
      </c>
      <c r="F3693" s="2" t="s">
        <v>4363</v>
      </c>
      <c r="H3693" s="1" t="str">
        <f t="shared" si="59"/>
        <v/>
      </c>
      <c r="K3693" s="1">
        <f>IF(E3693=0,SUMPRODUCT(($A$2:$A$4734=A3693)*($B$2:$B$4734=B3693)*($D$2:$D$4734=D3693)*($E$2:$E$4734=0)),0)</f>
        <v>4</v>
      </c>
      <c r="L3693" s="1">
        <f>IF(E3693=0,SUMPRODUCT(MIN($K$2:$K$4734+((($A$2:$A$4734&lt;&gt;A3693)+($E$2:$E$4734&lt;&gt;0))&gt;0)*1000000)),"")</f>
        <v>4</v>
      </c>
      <c r="M3693" s="1">
        <f>IF(AND(E3693=0,COUNTIFS($A$2:A3693,A3693,$E$2:E3693,0)=1),L3693,0)</f>
        <v>0</v>
      </c>
    </row>
    <row r="3694" spans="1:13" ht="15" customHeight="1">
      <c r="A3694" s="1">
        <v>164</v>
      </c>
      <c r="B3694" s="1" t="s">
        <v>9</v>
      </c>
      <c r="C3694" s="2" t="s">
        <v>4358</v>
      </c>
      <c r="D3694" s="2" t="s">
        <v>4364</v>
      </c>
      <c r="E3694" s="1">
        <v>0</v>
      </c>
      <c r="F3694" s="2" t="s">
        <v>4365</v>
      </c>
      <c r="H3694" s="1" t="str">
        <f t="shared" si="59"/>
        <v/>
      </c>
      <c r="K3694" s="1">
        <f>IF(E3694=0,SUMPRODUCT(($A$2:$A$4734=A3694)*($B$2:$B$4734=B3694)*($D$2:$D$4734=D3694)*($E$2:$E$4734=0)),0)</f>
        <v>5</v>
      </c>
      <c r="L3694" s="1">
        <f>IF(E3694=0,SUMPRODUCT(MIN($K$2:$K$4734+((($A$2:$A$4734&lt;&gt;A3694)+($E$2:$E$4734&lt;&gt;0))&gt;0)*1000000)),"")</f>
        <v>4</v>
      </c>
      <c r="M3694" s="1">
        <f>IF(AND(E3694=0,COUNTIFS($A$2:A3694,A3694,$E$2:E3694,0)=1),L3694,0)</f>
        <v>0</v>
      </c>
    </row>
    <row r="3695" spans="1:13" ht="15" customHeight="1">
      <c r="A3695" s="1">
        <v>164</v>
      </c>
      <c r="B3695" s="1" t="s">
        <v>9</v>
      </c>
      <c r="C3695" s="2" t="s">
        <v>4358</v>
      </c>
      <c r="D3695" s="2" t="s">
        <v>4364</v>
      </c>
      <c r="E3695" s="1">
        <v>0</v>
      </c>
      <c r="F3695" s="2" t="s">
        <v>4366</v>
      </c>
      <c r="H3695" s="1" t="str">
        <f t="shared" si="59"/>
        <v/>
      </c>
      <c r="K3695" s="1">
        <f>IF(E3695=0,SUMPRODUCT(($A$2:$A$4734=A3695)*($B$2:$B$4734=B3695)*($D$2:$D$4734=D3695)*($E$2:$E$4734=0)),0)</f>
        <v>5</v>
      </c>
      <c r="L3695" s="1">
        <f>IF(E3695=0,SUMPRODUCT(MIN($K$2:$K$4734+((($A$2:$A$4734&lt;&gt;A3695)+($E$2:$E$4734&lt;&gt;0))&gt;0)*1000000)),"")</f>
        <v>4</v>
      </c>
      <c r="M3695" s="1">
        <f>IF(AND(E3695=0,COUNTIFS($A$2:A3695,A3695,$E$2:E3695,0)=1),L3695,0)</f>
        <v>0</v>
      </c>
    </row>
    <row r="3696" spans="1:13" ht="15" customHeight="1">
      <c r="A3696" s="1">
        <v>164</v>
      </c>
      <c r="B3696" s="1" t="s">
        <v>9</v>
      </c>
      <c r="C3696" s="2" t="s">
        <v>4358</v>
      </c>
      <c r="D3696" s="2" t="s">
        <v>4364</v>
      </c>
      <c r="E3696" s="1">
        <v>0</v>
      </c>
      <c r="F3696" s="2" t="s">
        <v>4367</v>
      </c>
      <c r="H3696" s="1" t="str">
        <f t="shared" si="59"/>
        <v/>
      </c>
      <c r="K3696" s="1">
        <f>IF(E3696=0,SUMPRODUCT(($A$2:$A$4734=A3696)*($B$2:$B$4734=B3696)*($D$2:$D$4734=D3696)*($E$2:$E$4734=0)),0)</f>
        <v>5</v>
      </c>
      <c r="L3696" s="1">
        <f>IF(E3696=0,SUMPRODUCT(MIN($K$2:$K$4734+((($A$2:$A$4734&lt;&gt;A3696)+($E$2:$E$4734&lt;&gt;0))&gt;0)*1000000)),"")</f>
        <v>4</v>
      </c>
      <c r="M3696" s="1">
        <f>IF(AND(E3696=0,COUNTIFS($A$2:A3696,A3696,$E$2:E3696,0)=1),L3696,0)</f>
        <v>0</v>
      </c>
    </row>
    <row r="3697" spans="1:13" ht="15" customHeight="1">
      <c r="A3697" s="1">
        <v>164</v>
      </c>
      <c r="B3697" s="1" t="s">
        <v>9</v>
      </c>
      <c r="C3697" s="2" t="s">
        <v>4358</v>
      </c>
      <c r="D3697" s="2" t="s">
        <v>4364</v>
      </c>
      <c r="E3697" s="1">
        <v>0</v>
      </c>
      <c r="F3697" s="2" t="s">
        <v>4368</v>
      </c>
      <c r="H3697" s="1" t="str">
        <f t="shared" si="59"/>
        <v/>
      </c>
      <c r="K3697" s="1">
        <f>IF(E3697=0,SUMPRODUCT(($A$2:$A$4734=A3697)*($B$2:$B$4734=B3697)*($D$2:$D$4734=D3697)*($E$2:$E$4734=0)),0)</f>
        <v>5</v>
      </c>
      <c r="L3697" s="1">
        <f>IF(E3697=0,SUMPRODUCT(MIN($K$2:$K$4734+((($A$2:$A$4734&lt;&gt;A3697)+($E$2:$E$4734&lt;&gt;0))&gt;0)*1000000)),"")</f>
        <v>4</v>
      </c>
      <c r="M3697" s="1">
        <f>IF(AND(E3697=0,COUNTIFS($A$2:A3697,A3697,$E$2:E3697,0)=1),L3697,0)</f>
        <v>0</v>
      </c>
    </row>
    <row r="3698" spans="1:13" ht="15" customHeight="1">
      <c r="A3698" s="1">
        <v>164</v>
      </c>
      <c r="B3698" s="1" t="s">
        <v>9</v>
      </c>
      <c r="C3698" s="2" t="s">
        <v>4358</v>
      </c>
      <c r="D3698" s="2" t="s">
        <v>4364</v>
      </c>
      <c r="E3698" s="1">
        <v>0</v>
      </c>
      <c r="F3698" s="2" t="s">
        <v>4369</v>
      </c>
      <c r="H3698" s="1" t="str">
        <f t="shared" si="59"/>
        <v/>
      </c>
      <c r="K3698" s="1">
        <f>IF(E3698=0,SUMPRODUCT(($A$2:$A$4734=A3698)*($B$2:$B$4734=B3698)*($D$2:$D$4734=D3698)*($E$2:$E$4734=0)),0)</f>
        <v>5</v>
      </c>
      <c r="L3698" s="1">
        <f>IF(E3698=0,SUMPRODUCT(MIN($K$2:$K$4734+((($A$2:$A$4734&lt;&gt;A3698)+($E$2:$E$4734&lt;&gt;0))&gt;0)*1000000)),"")</f>
        <v>4</v>
      </c>
      <c r="M3698" s="1">
        <f>IF(AND(E3698=0,COUNTIFS($A$2:A3698,A3698,$E$2:E3698,0)=1),L3698,0)</f>
        <v>0</v>
      </c>
    </row>
    <row r="3699" spans="1:13" ht="15" customHeight="1">
      <c r="A3699" s="1">
        <v>165</v>
      </c>
      <c r="B3699" s="1" t="s">
        <v>9</v>
      </c>
      <c r="C3699" s="2" t="s">
        <v>4370</v>
      </c>
      <c r="D3699" s="2" t="s">
        <v>4371</v>
      </c>
      <c r="E3699" s="1">
        <v>0</v>
      </c>
      <c r="F3699" s="2" t="s">
        <v>4372</v>
      </c>
      <c r="H3699" s="1" t="str">
        <f t="shared" si="59"/>
        <v/>
      </c>
      <c r="K3699" s="1">
        <f>IF(E3699=0,SUMPRODUCT(($A$2:$A$4734=A3699)*($B$2:$B$4734=B3699)*($D$2:$D$4734=D3699)*($E$2:$E$4734=0)),0)</f>
        <v>5</v>
      </c>
      <c r="L3699" s="1">
        <f>IF(E3699=0,SUMPRODUCT(MIN($K$2:$K$4734+((($A$2:$A$4734&lt;&gt;A3699)+($E$2:$E$4734&lt;&gt;0))&gt;0)*1000000)),"")</f>
        <v>5</v>
      </c>
      <c r="M3699" s="1">
        <f>IF(AND(E3699=0,COUNTIFS($A$2:A3699,A3699,$E$2:E3699,0)=1),L3699,0)</f>
        <v>5</v>
      </c>
    </row>
    <row r="3700" spans="1:13" ht="15" customHeight="1">
      <c r="A3700" s="1">
        <v>165</v>
      </c>
      <c r="B3700" s="1" t="s">
        <v>9</v>
      </c>
      <c r="C3700" s="2" t="s">
        <v>4370</v>
      </c>
      <c r="D3700" s="2" t="s">
        <v>4371</v>
      </c>
      <c r="E3700" s="1">
        <v>0</v>
      </c>
      <c r="F3700" s="2" t="s">
        <v>4373</v>
      </c>
      <c r="H3700" s="1" t="str">
        <f t="shared" si="59"/>
        <v/>
      </c>
      <c r="K3700" s="1">
        <f>IF(E3700=0,SUMPRODUCT(($A$2:$A$4734=A3700)*($B$2:$B$4734=B3700)*($D$2:$D$4734=D3700)*($E$2:$E$4734=0)),0)</f>
        <v>5</v>
      </c>
      <c r="L3700" s="1">
        <f>IF(E3700=0,SUMPRODUCT(MIN($K$2:$K$4734+((($A$2:$A$4734&lt;&gt;A3700)+($E$2:$E$4734&lt;&gt;0))&gt;0)*1000000)),"")</f>
        <v>5</v>
      </c>
      <c r="M3700" s="1">
        <f>IF(AND(E3700=0,COUNTIFS($A$2:A3700,A3700,$E$2:E3700,0)=1),L3700,0)</f>
        <v>0</v>
      </c>
    </row>
    <row r="3701" spans="1:13" ht="15" customHeight="1">
      <c r="A3701" s="1">
        <v>165</v>
      </c>
      <c r="B3701" s="1" t="s">
        <v>9</v>
      </c>
      <c r="C3701" s="2" t="s">
        <v>4370</v>
      </c>
      <c r="D3701" s="2" t="s">
        <v>4371</v>
      </c>
      <c r="E3701" s="1">
        <v>0</v>
      </c>
      <c r="F3701" s="2" t="s">
        <v>4374</v>
      </c>
      <c r="H3701" s="1" t="str">
        <f t="shared" ref="H3701:H3758" si="60">IF(OR(E3701&lt;&gt;1,G3701=""),"","k"&amp;A3701&amp;"_"&amp;G3701)</f>
        <v/>
      </c>
      <c r="K3701" s="1">
        <f>IF(E3701=0,SUMPRODUCT(($A$2:$A$4734=A3701)*($B$2:$B$4734=B3701)*($D$2:$D$4734=D3701)*($E$2:$E$4734=0)),0)</f>
        <v>5</v>
      </c>
      <c r="L3701" s="1">
        <f>IF(E3701=0,SUMPRODUCT(MIN($K$2:$K$4734+((($A$2:$A$4734&lt;&gt;A3701)+($E$2:$E$4734&lt;&gt;0))&gt;0)*1000000)),"")</f>
        <v>5</v>
      </c>
      <c r="M3701" s="1">
        <f>IF(AND(E3701=0,COUNTIFS($A$2:A3701,A3701,$E$2:E3701,0)=1),L3701,0)</f>
        <v>0</v>
      </c>
    </row>
    <row r="3702" spans="1:13" ht="15" customHeight="1">
      <c r="A3702" s="1">
        <v>165</v>
      </c>
      <c r="B3702" s="1" t="s">
        <v>9</v>
      </c>
      <c r="C3702" s="2" t="s">
        <v>4370</v>
      </c>
      <c r="D3702" s="2" t="s">
        <v>4371</v>
      </c>
      <c r="E3702" s="1">
        <v>0</v>
      </c>
      <c r="F3702" s="2" t="s">
        <v>4375</v>
      </c>
      <c r="H3702" s="1" t="str">
        <f t="shared" si="60"/>
        <v/>
      </c>
      <c r="K3702" s="1">
        <f>IF(E3702=0,SUMPRODUCT(($A$2:$A$4734=A3702)*($B$2:$B$4734=B3702)*($D$2:$D$4734=D3702)*($E$2:$E$4734=0)),0)</f>
        <v>5</v>
      </c>
      <c r="L3702" s="1">
        <f>IF(E3702=0,SUMPRODUCT(MIN($K$2:$K$4734+((($A$2:$A$4734&lt;&gt;A3702)+($E$2:$E$4734&lt;&gt;0))&gt;0)*1000000)),"")</f>
        <v>5</v>
      </c>
      <c r="M3702" s="1">
        <f>IF(AND(E3702=0,COUNTIFS($A$2:A3702,A3702,$E$2:E3702,0)=1),L3702,0)</f>
        <v>0</v>
      </c>
    </row>
    <row r="3703" spans="1:13" ht="15" customHeight="1">
      <c r="A3703" s="1">
        <v>165</v>
      </c>
      <c r="B3703" s="1" t="s">
        <v>9</v>
      </c>
      <c r="C3703" s="2" t="s">
        <v>4370</v>
      </c>
      <c r="D3703" s="2" t="s">
        <v>4371</v>
      </c>
      <c r="E3703" s="1">
        <v>0</v>
      </c>
      <c r="F3703" s="2" t="s">
        <v>4376</v>
      </c>
      <c r="H3703" s="1" t="str">
        <f t="shared" si="60"/>
        <v/>
      </c>
      <c r="K3703" s="1">
        <f>IF(E3703=0,SUMPRODUCT(($A$2:$A$4734=A3703)*($B$2:$B$4734=B3703)*($D$2:$D$4734=D3703)*($E$2:$E$4734=0)),0)</f>
        <v>5</v>
      </c>
      <c r="L3703" s="1">
        <f>IF(E3703=0,SUMPRODUCT(MIN($K$2:$K$4734+((($A$2:$A$4734&lt;&gt;A3703)+($E$2:$E$4734&lt;&gt;0))&gt;0)*1000000)),"")</f>
        <v>5</v>
      </c>
      <c r="M3703" s="1">
        <f>IF(AND(E3703=0,COUNTIFS($A$2:A3703,A3703,$E$2:E3703,0)=1),L3703,0)</f>
        <v>0</v>
      </c>
    </row>
    <row r="3704" spans="1:13" ht="15" customHeight="1">
      <c r="A3704" s="1">
        <v>166</v>
      </c>
      <c r="B3704" s="1" t="s">
        <v>9</v>
      </c>
      <c r="C3704" s="2" t="s">
        <v>4377</v>
      </c>
      <c r="D3704" s="2" t="s">
        <v>4378</v>
      </c>
      <c r="E3704" s="1">
        <v>0</v>
      </c>
      <c r="F3704" s="2" t="s">
        <v>823</v>
      </c>
      <c r="H3704" s="1" t="str">
        <f t="shared" si="60"/>
        <v/>
      </c>
      <c r="K3704" s="1">
        <f>IF(E3704=0,SUMPRODUCT(($A$2:$A$4734=A3704)*($B$2:$B$4734=B3704)*($D$2:$D$4734=D3704)*($E$2:$E$4734=0)),0)</f>
        <v>3</v>
      </c>
      <c r="L3704" s="1">
        <f>IF(E3704=0,SUMPRODUCT(MIN($K$2:$K$4734+((($A$2:$A$4734&lt;&gt;A3704)+($E$2:$E$4734&lt;&gt;0))&gt;0)*1000000)),"")</f>
        <v>3</v>
      </c>
      <c r="M3704" s="1">
        <f>IF(AND(E3704=0,COUNTIFS($A$2:A3704,A3704,$E$2:E3704,0)=1),L3704,0)</f>
        <v>3</v>
      </c>
    </row>
    <row r="3705" spans="1:13" ht="15" customHeight="1">
      <c r="A3705" s="1">
        <v>166</v>
      </c>
      <c r="B3705" s="1" t="s">
        <v>9</v>
      </c>
      <c r="C3705" s="2" t="s">
        <v>4377</v>
      </c>
      <c r="D3705" s="2" t="s">
        <v>4378</v>
      </c>
      <c r="E3705" s="1">
        <v>0</v>
      </c>
      <c r="F3705" s="2" t="s">
        <v>3700</v>
      </c>
      <c r="H3705" s="1" t="str">
        <f t="shared" si="60"/>
        <v/>
      </c>
      <c r="K3705" s="1">
        <f>IF(E3705=0,SUMPRODUCT(($A$2:$A$4734=A3705)*($B$2:$B$4734=B3705)*($D$2:$D$4734=D3705)*($E$2:$E$4734=0)),0)</f>
        <v>3</v>
      </c>
      <c r="L3705" s="1">
        <f>IF(E3705=0,SUMPRODUCT(MIN($K$2:$K$4734+((($A$2:$A$4734&lt;&gt;A3705)+($E$2:$E$4734&lt;&gt;0))&gt;0)*1000000)),"")</f>
        <v>3</v>
      </c>
      <c r="M3705" s="1">
        <f>IF(AND(E3705=0,COUNTIFS($A$2:A3705,A3705,$E$2:E3705,0)=1),L3705,0)</f>
        <v>0</v>
      </c>
    </row>
    <row r="3706" spans="1:13" ht="15" customHeight="1">
      <c r="A3706" s="1">
        <v>166</v>
      </c>
      <c r="B3706" s="1" t="s">
        <v>9</v>
      </c>
      <c r="C3706" s="2" t="s">
        <v>4377</v>
      </c>
      <c r="D3706" s="2" t="s">
        <v>4378</v>
      </c>
      <c r="E3706" s="1">
        <v>0</v>
      </c>
      <c r="F3706" s="2" t="s">
        <v>3686</v>
      </c>
      <c r="H3706" s="1" t="str">
        <f t="shared" si="60"/>
        <v/>
      </c>
      <c r="K3706" s="1">
        <f>IF(E3706=0,SUMPRODUCT(($A$2:$A$4734=A3706)*($B$2:$B$4734=B3706)*($D$2:$D$4734=D3706)*($E$2:$E$4734=0)),0)</f>
        <v>3</v>
      </c>
      <c r="L3706" s="1">
        <f>IF(E3706=0,SUMPRODUCT(MIN($K$2:$K$4734+((($A$2:$A$4734&lt;&gt;A3706)+($E$2:$E$4734&lt;&gt;0))&gt;0)*1000000)),"")</f>
        <v>3</v>
      </c>
      <c r="M3706" s="1">
        <f>IF(AND(E3706=0,COUNTIFS($A$2:A3706,A3706,$E$2:E3706,0)=1),L3706,0)</f>
        <v>0</v>
      </c>
    </row>
    <row r="3707" spans="1:13" ht="15" customHeight="1">
      <c r="A3707" s="1">
        <v>166</v>
      </c>
      <c r="B3707" s="1" t="s">
        <v>9</v>
      </c>
      <c r="C3707" s="2" t="s">
        <v>4377</v>
      </c>
      <c r="D3707" s="2" t="s">
        <v>3874</v>
      </c>
      <c r="E3707" s="1">
        <v>0</v>
      </c>
      <c r="F3707" s="2" t="s">
        <v>4379</v>
      </c>
      <c r="H3707" s="1" t="str">
        <f t="shared" si="60"/>
        <v/>
      </c>
      <c r="K3707" s="1">
        <f>IF(E3707=0,SUMPRODUCT(($A$2:$A$4734=A3707)*($B$2:$B$4734=B3707)*($D$2:$D$4734=D3707)*($E$2:$E$4734=0)),0)</f>
        <v>6</v>
      </c>
      <c r="L3707" s="1">
        <f>IF(E3707=0,SUMPRODUCT(MIN($K$2:$K$4734+((($A$2:$A$4734&lt;&gt;A3707)+($E$2:$E$4734&lt;&gt;0))&gt;0)*1000000)),"")</f>
        <v>3</v>
      </c>
      <c r="M3707" s="1">
        <f>IF(AND(E3707=0,COUNTIFS($A$2:A3707,A3707,$E$2:E3707,0)=1),L3707,0)</f>
        <v>0</v>
      </c>
    </row>
    <row r="3708" spans="1:13" ht="15" customHeight="1">
      <c r="A3708" s="1">
        <v>166</v>
      </c>
      <c r="B3708" s="1" t="s">
        <v>9</v>
      </c>
      <c r="C3708" s="2" t="s">
        <v>4377</v>
      </c>
      <c r="D3708" s="2" t="s">
        <v>3874</v>
      </c>
      <c r="E3708" s="1">
        <v>0</v>
      </c>
      <c r="F3708" s="2" t="s">
        <v>3875</v>
      </c>
      <c r="H3708" s="1" t="str">
        <f t="shared" si="60"/>
        <v/>
      </c>
      <c r="K3708" s="1">
        <f>IF(E3708=0,SUMPRODUCT(($A$2:$A$4734=A3708)*($B$2:$B$4734=B3708)*($D$2:$D$4734=D3708)*($E$2:$E$4734=0)),0)</f>
        <v>6</v>
      </c>
      <c r="L3708" s="1">
        <f>IF(E3708=0,SUMPRODUCT(MIN($K$2:$K$4734+((($A$2:$A$4734&lt;&gt;A3708)+($E$2:$E$4734&lt;&gt;0))&gt;0)*1000000)),"")</f>
        <v>3</v>
      </c>
      <c r="M3708" s="1">
        <f>IF(AND(E3708=0,COUNTIFS($A$2:A3708,A3708,$E$2:E3708,0)=1),L3708,0)</f>
        <v>0</v>
      </c>
    </row>
    <row r="3709" spans="1:13" ht="15" customHeight="1">
      <c r="A3709" s="1">
        <v>166</v>
      </c>
      <c r="B3709" s="1" t="s">
        <v>9</v>
      </c>
      <c r="C3709" s="2" t="s">
        <v>4377</v>
      </c>
      <c r="D3709" s="2" t="s">
        <v>3874</v>
      </c>
      <c r="E3709" s="1">
        <v>0</v>
      </c>
      <c r="F3709" s="2" t="s">
        <v>4380</v>
      </c>
      <c r="H3709" s="1" t="str">
        <f t="shared" si="60"/>
        <v/>
      </c>
      <c r="K3709" s="1">
        <f>IF(E3709=0,SUMPRODUCT(($A$2:$A$4734=A3709)*($B$2:$B$4734=B3709)*($D$2:$D$4734=D3709)*($E$2:$E$4734=0)),0)</f>
        <v>6</v>
      </c>
      <c r="L3709" s="1">
        <f>IF(E3709=0,SUMPRODUCT(MIN($K$2:$K$4734+((($A$2:$A$4734&lt;&gt;A3709)+($E$2:$E$4734&lt;&gt;0))&gt;0)*1000000)),"")</f>
        <v>3</v>
      </c>
      <c r="M3709" s="1">
        <f>IF(AND(E3709=0,COUNTIFS($A$2:A3709,A3709,$E$2:E3709,0)=1),L3709,0)</f>
        <v>0</v>
      </c>
    </row>
    <row r="3710" spans="1:13" ht="15" customHeight="1">
      <c r="A3710" s="1">
        <v>166</v>
      </c>
      <c r="B3710" s="1" t="s">
        <v>9</v>
      </c>
      <c r="C3710" s="2" t="s">
        <v>4377</v>
      </c>
      <c r="D3710" s="2" t="s">
        <v>3874</v>
      </c>
      <c r="E3710" s="1">
        <v>0</v>
      </c>
      <c r="F3710" s="2" t="s">
        <v>4381</v>
      </c>
      <c r="H3710" s="1" t="str">
        <f t="shared" si="60"/>
        <v/>
      </c>
      <c r="K3710" s="1">
        <f>IF(E3710=0,SUMPRODUCT(($A$2:$A$4734=A3710)*($B$2:$B$4734=B3710)*($D$2:$D$4734=D3710)*($E$2:$E$4734=0)),0)</f>
        <v>6</v>
      </c>
      <c r="L3710" s="1">
        <f>IF(E3710=0,SUMPRODUCT(MIN($K$2:$K$4734+((($A$2:$A$4734&lt;&gt;A3710)+($E$2:$E$4734&lt;&gt;0))&gt;0)*1000000)),"")</f>
        <v>3</v>
      </c>
      <c r="M3710" s="1">
        <f>IF(AND(E3710=0,COUNTIFS($A$2:A3710,A3710,$E$2:E3710,0)=1),L3710,0)</f>
        <v>0</v>
      </c>
    </row>
    <row r="3711" spans="1:13" ht="15" customHeight="1">
      <c r="A3711" s="1">
        <v>166</v>
      </c>
      <c r="B3711" s="1" t="s">
        <v>9</v>
      </c>
      <c r="C3711" s="2" t="s">
        <v>4377</v>
      </c>
      <c r="D3711" s="2" t="s">
        <v>3874</v>
      </c>
      <c r="E3711" s="1">
        <v>0</v>
      </c>
      <c r="F3711" s="2" t="s">
        <v>3877</v>
      </c>
      <c r="H3711" s="1" t="str">
        <f t="shared" si="60"/>
        <v/>
      </c>
      <c r="K3711" s="1">
        <f>IF(E3711=0,SUMPRODUCT(($A$2:$A$4734=A3711)*($B$2:$B$4734=B3711)*($D$2:$D$4734=D3711)*($E$2:$E$4734=0)),0)</f>
        <v>6</v>
      </c>
      <c r="L3711" s="1">
        <f>IF(E3711=0,SUMPRODUCT(MIN($K$2:$K$4734+((($A$2:$A$4734&lt;&gt;A3711)+($E$2:$E$4734&lt;&gt;0))&gt;0)*1000000)),"")</f>
        <v>3</v>
      </c>
      <c r="M3711" s="1">
        <f>IF(AND(E3711=0,COUNTIFS($A$2:A3711,A3711,$E$2:E3711,0)=1),L3711,0)</f>
        <v>0</v>
      </c>
    </row>
    <row r="3712" spans="1:13" ht="15" customHeight="1">
      <c r="A3712" s="1">
        <v>166</v>
      </c>
      <c r="B3712" s="1" t="s">
        <v>9</v>
      </c>
      <c r="C3712" s="2" t="s">
        <v>4377</v>
      </c>
      <c r="D3712" s="2" t="s">
        <v>3874</v>
      </c>
      <c r="E3712" s="1">
        <v>0</v>
      </c>
      <c r="F3712" s="2" t="s">
        <v>4382</v>
      </c>
      <c r="H3712" s="1" t="str">
        <f t="shared" si="60"/>
        <v/>
      </c>
      <c r="K3712" s="1">
        <f>IF(E3712=0,SUMPRODUCT(($A$2:$A$4734=A3712)*($B$2:$B$4734=B3712)*($D$2:$D$4734=D3712)*($E$2:$E$4734=0)),0)</f>
        <v>6</v>
      </c>
      <c r="L3712" s="1">
        <f>IF(E3712=0,SUMPRODUCT(MIN($K$2:$K$4734+((($A$2:$A$4734&lt;&gt;A3712)+($E$2:$E$4734&lt;&gt;0))&gt;0)*1000000)),"")</f>
        <v>3</v>
      </c>
      <c r="M3712" s="1">
        <f>IF(AND(E3712=0,COUNTIFS($A$2:A3712,A3712,$E$2:E3712,0)=1),L3712,0)</f>
        <v>0</v>
      </c>
    </row>
    <row r="3713" spans="1:13" ht="15" customHeight="1">
      <c r="A3713" s="1">
        <v>166</v>
      </c>
      <c r="B3713" s="1" t="s">
        <v>9</v>
      </c>
      <c r="C3713" s="2" t="s">
        <v>4377</v>
      </c>
      <c r="D3713" s="2" t="s">
        <v>4383</v>
      </c>
      <c r="E3713" s="1">
        <v>0</v>
      </c>
      <c r="F3713" s="2" t="s">
        <v>4384</v>
      </c>
      <c r="H3713" s="1" t="str">
        <f t="shared" si="60"/>
        <v/>
      </c>
      <c r="K3713" s="1">
        <f>IF(E3713=0,SUMPRODUCT(($A$2:$A$4734=A3713)*($B$2:$B$4734=B3713)*($D$2:$D$4734=D3713)*($E$2:$E$4734=0)),0)</f>
        <v>4</v>
      </c>
      <c r="L3713" s="1">
        <f>IF(E3713=0,SUMPRODUCT(MIN($K$2:$K$4734+((($A$2:$A$4734&lt;&gt;A3713)+($E$2:$E$4734&lt;&gt;0))&gt;0)*1000000)),"")</f>
        <v>3</v>
      </c>
      <c r="M3713" s="1">
        <f>IF(AND(E3713=0,COUNTIFS($A$2:A3713,A3713,$E$2:E3713,0)=1),L3713,0)</f>
        <v>0</v>
      </c>
    </row>
    <row r="3714" spans="1:13" ht="15" customHeight="1">
      <c r="A3714" s="1">
        <v>166</v>
      </c>
      <c r="B3714" s="1" t="s">
        <v>9</v>
      </c>
      <c r="C3714" s="2" t="s">
        <v>4377</v>
      </c>
      <c r="D3714" s="2" t="s">
        <v>4383</v>
      </c>
      <c r="E3714" s="1">
        <v>0</v>
      </c>
      <c r="F3714" s="2" t="s">
        <v>4385</v>
      </c>
      <c r="H3714" s="1" t="str">
        <f t="shared" si="60"/>
        <v/>
      </c>
      <c r="K3714" s="1">
        <f>IF(E3714=0,SUMPRODUCT(($A$2:$A$4734=A3714)*($B$2:$B$4734=B3714)*($D$2:$D$4734=D3714)*($E$2:$E$4734=0)),0)</f>
        <v>4</v>
      </c>
      <c r="L3714" s="1">
        <f>IF(E3714=0,SUMPRODUCT(MIN($K$2:$K$4734+((($A$2:$A$4734&lt;&gt;A3714)+($E$2:$E$4734&lt;&gt;0))&gt;0)*1000000)),"")</f>
        <v>3</v>
      </c>
      <c r="M3714" s="1">
        <f>IF(AND(E3714=0,COUNTIFS($A$2:A3714,A3714,$E$2:E3714,0)=1),L3714,0)</f>
        <v>0</v>
      </c>
    </row>
    <row r="3715" spans="1:13" ht="15" customHeight="1">
      <c r="A3715" s="1">
        <v>166</v>
      </c>
      <c r="B3715" s="1" t="s">
        <v>9</v>
      </c>
      <c r="C3715" s="2" t="s">
        <v>4377</v>
      </c>
      <c r="D3715" s="2" t="s">
        <v>4383</v>
      </c>
      <c r="E3715" s="1">
        <v>0</v>
      </c>
      <c r="F3715" s="2" t="s">
        <v>4386</v>
      </c>
      <c r="H3715" s="1" t="str">
        <f t="shared" si="60"/>
        <v/>
      </c>
      <c r="K3715" s="1">
        <f>IF(E3715=0,SUMPRODUCT(($A$2:$A$4734=A3715)*($B$2:$B$4734=B3715)*($D$2:$D$4734=D3715)*($E$2:$E$4734=0)),0)</f>
        <v>4</v>
      </c>
      <c r="L3715" s="1">
        <f>IF(E3715=0,SUMPRODUCT(MIN($K$2:$K$4734+((($A$2:$A$4734&lt;&gt;A3715)+($E$2:$E$4734&lt;&gt;0))&gt;0)*1000000)),"")</f>
        <v>3</v>
      </c>
      <c r="M3715" s="1">
        <f>IF(AND(E3715=0,COUNTIFS($A$2:A3715,A3715,$E$2:E3715,0)=1),L3715,0)</f>
        <v>0</v>
      </c>
    </row>
    <row r="3716" spans="1:13" ht="15" customHeight="1">
      <c r="A3716" s="1">
        <v>166</v>
      </c>
      <c r="B3716" s="1" t="s">
        <v>9</v>
      </c>
      <c r="C3716" s="2" t="s">
        <v>4377</v>
      </c>
      <c r="D3716" s="2" t="s">
        <v>4383</v>
      </c>
      <c r="E3716" s="1">
        <v>0</v>
      </c>
      <c r="F3716" s="2" t="s">
        <v>4387</v>
      </c>
      <c r="H3716" s="1" t="str">
        <f t="shared" si="60"/>
        <v/>
      </c>
      <c r="K3716" s="1">
        <f>IF(E3716=0,SUMPRODUCT(($A$2:$A$4734=A3716)*($B$2:$B$4734=B3716)*($D$2:$D$4734=D3716)*($E$2:$E$4734=0)),0)</f>
        <v>4</v>
      </c>
      <c r="L3716" s="1">
        <f>IF(E3716=0,SUMPRODUCT(MIN($K$2:$K$4734+((($A$2:$A$4734&lt;&gt;A3716)+($E$2:$E$4734&lt;&gt;0))&gt;0)*1000000)),"")</f>
        <v>3</v>
      </c>
      <c r="M3716" s="1">
        <f>IF(AND(E3716=0,COUNTIFS($A$2:A3716,A3716,$E$2:E3716,0)=1),L3716,0)</f>
        <v>0</v>
      </c>
    </row>
    <row r="3717" spans="1:13" ht="15" customHeight="1">
      <c r="A3717" s="1">
        <v>167</v>
      </c>
      <c r="B3717" s="1" t="s">
        <v>9</v>
      </c>
      <c r="C3717" s="2" t="s">
        <v>4388</v>
      </c>
      <c r="D3717" s="2" t="s">
        <v>1056</v>
      </c>
      <c r="E3717" s="1">
        <v>0</v>
      </c>
      <c r="F3717" s="2" t="s">
        <v>3895</v>
      </c>
      <c r="H3717" s="1" t="str">
        <f t="shared" si="60"/>
        <v/>
      </c>
      <c r="K3717" s="1">
        <f>IF(E3717=0,SUMPRODUCT(($A$2:$A$4734=A3717)*($B$2:$B$4734=B3717)*($D$2:$D$4734=D3717)*($E$2:$E$4734=0)),0)</f>
        <v>3</v>
      </c>
      <c r="L3717" s="1">
        <f>IF(E3717=0,SUMPRODUCT(MIN($K$2:$K$4734+((($A$2:$A$4734&lt;&gt;A3717)+($E$2:$E$4734&lt;&gt;0))&gt;0)*1000000)),"")</f>
        <v>3</v>
      </c>
      <c r="M3717" s="1">
        <f>IF(AND(E3717=0,COUNTIFS($A$2:A3717,A3717,$E$2:E3717,0)=1),L3717,0)</f>
        <v>3</v>
      </c>
    </row>
    <row r="3718" spans="1:13" ht="15" customHeight="1">
      <c r="A3718" s="1">
        <v>167</v>
      </c>
      <c r="B3718" s="1" t="s">
        <v>9</v>
      </c>
      <c r="C3718" s="2" t="s">
        <v>4388</v>
      </c>
      <c r="D3718" s="2" t="s">
        <v>1056</v>
      </c>
      <c r="E3718" s="1">
        <v>0</v>
      </c>
      <c r="F3718" s="2" t="s">
        <v>1060</v>
      </c>
      <c r="H3718" s="1" t="str">
        <f t="shared" si="60"/>
        <v/>
      </c>
      <c r="K3718" s="1">
        <f>IF(E3718=0,SUMPRODUCT(($A$2:$A$4734=A3718)*($B$2:$B$4734=B3718)*($D$2:$D$4734=D3718)*($E$2:$E$4734=0)),0)</f>
        <v>3</v>
      </c>
      <c r="L3718" s="1">
        <f>IF(E3718=0,SUMPRODUCT(MIN($K$2:$K$4734+((($A$2:$A$4734&lt;&gt;A3718)+($E$2:$E$4734&lt;&gt;0))&gt;0)*1000000)),"")</f>
        <v>3</v>
      </c>
      <c r="M3718" s="1">
        <f>IF(AND(E3718=0,COUNTIFS($A$2:A3718,A3718,$E$2:E3718,0)=1),L3718,0)</f>
        <v>0</v>
      </c>
    </row>
    <row r="3719" spans="1:13" ht="15" customHeight="1">
      <c r="A3719" s="1">
        <v>167</v>
      </c>
      <c r="B3719" s="1" t="s">
        <v>9</v>
      </c>
      <c r="C3719" s="2" t="s">
        <v>4388</v>
      </c>
      <c r="D3719" s="2" t="s">
        <v>1056</v>
      </c>
      <c r="E3719" s="1">
        <v>0</v>
      </c>
      <c r="F3719" s="2" t="s">
        <v>1058</v>
      </c>
      <c r="H3719" s="1" t="str">
        <f t="shared" si="60"/>
        <v/>
      </c>
      <c r="K3719" s="1">
        <f>IF(E3719=0,SUMPRODUCT(($A$2:$A$4734=A3719)*($B$2:$B$4734=B3719)*($D$2:$D$4734=D3719)*($E$2:$E$4734=0)),0)</f>
        <v>3</v>
      </c>
      <c r="L3719" s="1">
        <f>IF(E3719=0,SUMPRODUCT(MIN($K$2:$K$4734+((($A$2:$A$4734&lt;&gt;A3719)+($E$2:$E$4734&lt;&gt;0))&gt;0)*1000000)),"")</f>
        <v>3</v>
      </c>
      <c r="M3719" s="1">
        <f>IF(AND(E3719=0,COUNTIFS($A$2:A3719,A3719,$E$2:E3719,0)=1),L3719,0)</f>
        <v>0</v>
      </c>
    </row>
    <row r="3720" spans="1:13" ht="15" customHeight="1">
      <c r="A3720" s="1">
        <v>167</v>
      </c>
      <c r="B3720" s="1" t="s">
        <v>9</v>
      </c>
      <c r="C3720" s="2" t="s">
        <v>4388</v>
      </c>
      <c r="D3720" s="2" t="s">
        <v>4389</v>
      </c>
      <c r="E3720" s="1">
        <v>0</v>
      </c>
      <c r="F3720" s="2" t="s">
        <v>4390</v>
      </c>
      <c r="H3720" s="1" t="str">
        <f t="shared" si="60"/>
        <v/>
      </c>
      <c r="K3720" s="1">
        <f>IF(E3720=0,SUMPRODUCT(($A$2:$A$4734=A3720)*($B$2:$B$4734=B3720)*($D$2:$D$4734=D3720)*($E$2:$E$4734=0)),0)</f>
        <v>6</v>
      </c>
      <c r="L3720" s="1">
        <f>IF(E3720=0,SUMPRODUCT(MIN($K$2:$K$4734+((($A$2:$A$4734&lt;&gt;A3720)+($E$2:$E$4734&lt;&gt;0))&gt;0)*1000000)),"")</f>
        <v>3</v>
      </c>
      <c r="M3720" s="1">
        <f>IF(AND(E3720=0,COUNTIFS($A$2:A3720,A3720,$E$2:E3720,0)=1),L3720,0)</f>
        <v>0</v>
      </c>
    </row>
    <row r="3721" spans="1:13" ht="15" customHeight="1">
      <c r="A3721" s="1">
        <v>167</v>
      </c>
      <c r="B3721" s="1" t="s">
        <v>9</v>
      </c>
      <c r="C3721" s="2" t="s">
        <v>4388</v>
      </c>
      <c r="D3721" s="2" t="s">
        <v>4389</v>
      </c>
      <c r="E3721" s="1">
        <v>0</v>
      </c>
      <c r="F3721" s="2" t="s">
        <v>4391</v>
      </c>
      <c r="H3721" s="1" t="str">
        <f t="shared" si="60"/>
        <v/>
      </c>
      <c r="K3721" s="1">
        <f>IF(E3721=0,SUMPRODUCT(($A$2:$A$4734=A3721)*($B$2:$B$4734=B3721)*($D$2:$D$4734=D3721)*($E$2:$E$4734=0)),0)</f>
        <v>6</v>
      </c>
      <c r="L3721" s="1">
        <f>IF(E3721=0,SUMPRODUCT(MIN($K$2:$K$4734+((($A$2:$A$4734&lt;&gt;A3721)+($E$2:$E$4734&lt;&gt;0))&gt;0)*1000000)),"")</f>
        <v>3</v>
      </c>
      <c r="M3721" s="1">
        <f>IF(AND(E3721=0,COUNTIFS($A$2:A3721,A3721,$E$2:E3721,0)=1),L3721,0)</f>
        <v>0</v>
      </c>
    </row>
    <row r="3722" spans="1:13" ht="15" customHeight="1">
      <c r="A3722" s="1">
        <v>167</v>
      </c>
      <c r="B3722" s="1" t="s">
        <v>9</v>
      </c>
      <c r="C3722" s="2" t="s">
        <v>4388</v>
      </c>
      <c r="D3722" s="2" t="s">
        <v>4389</v>
      </c>
      <c r="E3722" s="1">
        <v>0</v>
      </c>
      <c r="F3722" s="2" t="s">
        <v>4392</v>
      </c>
      <c r="H3722" s="1" t="str">
        <f t="shared" si="60"/>
        <v/>
      </c>
      <c r="K3722" s="1">
        <f>IF(E3722=0,SUMPRODUCT(($A$2:$A$4734=A3722)*($B$2:$B$4734=B3722)*($D$2:$D$4734=D3722)*($E$2:$E$4734=0)),0)</f>
        <v>6</v>
      </c>
      <c r="L3722" s="1">
        <f>IF(E3722=0,SUMPRODUCT(MIN($K$2:$K$4734+((($A$2:$A$4734&lt;&gt;A3722)+($E$2:$E$4734&lt;&gt;0))&gt;0)*1000000)),"")</f>
        <v>3</v>
      </c>
      <c r="M3722" s="1">
        <f>IF(AND(E3722=0,COUNTIFS($A$2:A3722,A3722,$E$2:E3722,0)=1),L3722,0)</f>
        <v>0</v>
      </c>
    </row>
    <row r="3723" spans="1:13" ht="15" customHeight="1">
      <c r="A3723" s="1">
        <v>167</v>
      </c>
      <c r="B3723" s="1" t="s">
        <v>9</v>
      </c>
      <c r="C3723" s="2" t="s">
        <v>4388</v>
      </c>
      <c r="D3723" s="2" t="s">
        <v>4389</v>
      </c>
      <c r="E3723" s="1">
        <v>0</v>
      </c>
      <c r="F3723" s="2" t="s">
        <v>4393</v>
      </c>
      <c r="H3723" s="1" t="str">
        <f t="shared" si="60"/>
        <v/>
      </c>
      <c r="K3723" s="1">
        <f>IF(E3723=0,SUMPRODUCT(($A$2:$A$4734=A3723)*($B$2:$B$4734=B3723)*($D$2:$D$4734=D3723)*($E$2:$E$4734=0)),0)</f>
        <v>6</v>
      </c>
      <c r="L3723" s="1">
        <f>IF(E3723=0,SUMPRODUCT(MIN($K$2:$K$4734+((($A$2:$A$4734&lt;&gt;A3723)+($E$2:$E$4734&lt;&gt;0))&gt;0)*1000000)),"")</f>
        <v>3</v>
      </c>
      <c r="M3723" s="1">
        <f>IF(AND(E3723=0,COUNTIFS($A$2:A3723,A3723,$E$2:E3723,0)=1),L3723,0)</f>
        <v>0</v>
      </c>
    </row>
    <row r="3724" spans="1:13" ht="15" customHeight="1">
      <c r="A3724" s="1">
        <v>167</v>
      </c>
      <c r="B3724" s="1" t="s">
        <v>9</v>
      </c>
      <c r="C3724" s="2" t="s">
        <v>4388</v>
      </c>
      <c r="D3724" s="2" t="s">
        <v>4389</v>
      </c>
      <c r="E3724" s="1">
        <v>0</v>
      </c>
      <c r="F3724" s="2" t="s">
        <v>4394</v>
      </c>
      <c r="H3724" s="1" t="str">
        <f t="shared" si="60"/>
        <v/>
      </c>
      <c r="K3724" s="1">
        <f>IF(E3724=0,SUMPRODUCT(($A$2:$A$4734=A3724)*($B$2:$B$4734=B3724)*($D$2:$D$4734=D3724)*($E$2:$E$4734=0)),0)</f>
        <v>6</v>
      </c>
      <c r="L3724" s="1">
        <f>IF(E3724=0,SUMPRODUCT(MIN($K$2:$K$4734+((($A$2:$A$4734&lt;&gt;A3724)+($E$2:$E$4734&lt;&gt;0))&gt;0)*1000000)),"")</f>
        <v>3</v>
      </c>
      <c r="M3724" s="1">
        <f>IF(AND(E3724=0,COUNTIFS($A$2:A3724,A3724,$E$2:E3724,0)=1),L3724,0)</f>
        <v>0</v>
      </c>
    </row>
    <row r="3725" spans="1:13" ht="15" customHeight="1">
      <c r="A3725" s="1">
        <v>167</v>
      </c>
      <c r="B3725" s="1" t="s">
        <v>9</v>
      </c>
      <c r="C3725" s="2" t="s">
        <v>4388</v>
      </c>
      <c r="D3725" s="2" t="s">
        <v>4389</v>
      </c>
      <c r="E3725" s="1">
        <v>0</v>
      </c>
      <c r="F3725" s="2" t="s">
        <v>4395</v>
      </c>
      <c r="H3725" s="1" t="str">
        <f t="shared" si="60"/>
        <v/>
      </c>
      <c r="K3725" s="1">
        <f>IF(E3725=0,SUMPRODUCT(($A$2:$A$4734=A3725)*($B$2:$B$4734=B3725)*($D$2:$D$4734=D3725)*($E$2:$E$4734=0)),0)</f>
        <v>6</v>
      </c>
      <c r="L3725" s="1">
        <f>IF(E3725=0,SUMPRODUCT(MIN($K$2:$K$4734+((($A$2:$A$4734&lt;&gt;A3725)+($E$2:$E$4734&lt;&gt;0))&gt;0)*1000000)),"")</f>
        <v>3</v>
      </c>
      <c r="M3725" s="1">
        <f>IF(AND(E3725=0,COUNTIFS($A$2:A3725,A3725,$E$2:E3725,0)=1),L3725,0)</f>
        <v>0</v>
      </c>
    </row>
    <row r="3726" spans="1:13" ht="15" customHeight="1">
      <c r="A3726" s="1">
        <v>168</v>
      </c>
      <c r="B3726" s="1" t="s">
        <v>16</v>
      </c>
      <c r="C3726" s="2" t="s">
        <v>4396</v>
      </c>
      <c r="D3726" s="2" t="s">
        <v>4397</v>
      </c>
      <c r="E3726" s="1">
        <v>0</v>
      </c>
      <c r="F3726" s="2" t="s">
        <v>4398</v>
      </c>
      <c r="H3726" s="1" t="str">
        <f t="shared" si="60"/>
        <v/>
      </c>
      <c r="K3726" s="1">
        <f>IF(E3726=0,SUMPRODUCT(($A$2:$A$4734=A3726)*($B$2:$B$4734=B3726)*($D$2:$D$4734=D3726)*($E$2:$E$4734=0)),0)</f>
        <v>4</v>
      </c>
      <c r="L3726" s="1">
        <f>IF(E3726=0,SUMPRODUCT(MIN($K$2:$K$4734+((($A$2:$A$4734&lt;&gt;A3726)+($E$2:$E$4734&lt;&gt;0))&gt;0)*1000000)),"")</f>
        <v>4</v>
      </c>
      <c r="M3726" s="1">
        <f>IF(AND(E3726=0,COUNTIFS($A$2:A3726,A3726,$E$2:E3726,0)=1),L3726,0)</f>
        <v>4</v>
      </c>
    </row>
    <row r="3727" spans="1:13" ht="15" customHeight="1">
      <c r="A3727" s="1">
        <v>168</v>
      </c>
      <c r="B3727" s="1" t="s">
        <v>16</v>
      </c>
      <c r="C3727" s="2" t="s">
        <v>4396</v>
      </c>
      <c r="D3727" s="2" t="s">
        <v>4397</v>
      </c>
      <c r="E3727" s="1">
        <v>0</v>
      </c>
      <c r="F3727" s="2" t="s">
        <v>4399</v>
      </c>
      <c r="H3727" s="1" t="str">
        <f t="shared" si="60"/>
        <v/>
      </c>
      <c r="K3727" s="1">
        <f>IF(E3727=0,SUMPRODUCT(($A$2:$A$4734=A3727)*($B$2:$B$4734=B3727)*($D$2:$D$4734=D3727)*($E$2:$E$4734=0)),0)</f>
        <v>4</v>
      </c>
      <c r="L3727" s="1">
        <f>IF(E3727=0,SUMPRODUCT(MIN($K$2:$K$4734+((($A$2:$A$4734&lt;&gt;A3727)+($E$2:$E$4734&lt;&gt;0))&gt;0)*1000000)),"")</f>
        <v>4</v>
      </c>
      <c r="M3727" s="1">
        <f>IF(AND(E3727=0,COUNTIFS($A$2:A3727,A3727,$E$2:E3727,0)=1),L3727,0)</f>
        <v>0</v>
      </c>
    </row>
    <row r="3728" spans="1:13" ht="15" customHeight="1">
      <c r="A3728" s="1">
        <v>168</v>
      </c>
      <c r="B3728" s="1" t="s">
        <v>16</v>
      </c>
      <c r="C3728" s="2" t="s">
        <v>4396</v>
      </c>
      <c r="D3728" s="2" t="s">
        <v>4397</v>
      </c>
      <c r="E3728" s="1">
        <v>0</v>
      </c>
      <c r="F3728" s="2" t="s">
        <v>4400</v>
      </c>
      <c r="H3728" s="1" t="str">
        <f t="shared" si="60"/>
        <v/>
      </c>
      <c r="K3728" s="1">
        <f>IF(E3728=0,SUMPRODUCT(($A$2:$A$4734=A3728)*($B$2:$B$4734=B3728)*($D$2:$D$4734=D3728)*($E$2:$E$4734=0)),0)</f>
        <v>4</v>
      </c>
      <c r="L3728" s="1">
        <f>IF(E3728=0,SUMPRODUCT(MIN($K$2:$K$4734+((($A$2:$A$4734&lt;&gt;A3728)+($E$2:$E$4734&lt;&gt;0))&gt;0)*1000000)),"")</f>
        <v>4</v>
      </c>
      <c r="M3728" s="1">
        <f>IF(AND(E3728=0,COUNTIFS($A$2:A3728,A3728,$E$2:E3728,0)=1),L3728,0)</f>
        <v>0</v>
      </c>
    </row>
    <row r="3729" spans="1:13" ht="15" customHeight="1">
      <c r="A3729" s="1">
        <v>168</v>
      </c>
      <c r="B3729" s="1" t="s">
        <v>16</v>
      </c>
      <c r="C3729" s="2" t="s">
        <v>4396</v>
      </c>
      <c r="D3729" s="2" t="s">
        <v>4397</v>
      </c>
      <c r="E3729" s="1">
        <v>0</v>
      </c>
      <c r="F3729" s="2" t="s">
        <v>4401</v>
      </c>
      <c r="H3729" s="1" t="str">
        <f t="shared" si="60"/>
        <v/>
      </c>
      <c r="K3729" s="1">
        <f>IF(E3729=0,SUMPRODUCT(($A$2:$A$4734=A3729)*($B$2:$B$4734=B3729)*($D$2:$D$4734=D3729)*($E$2:$E$4734=0)),0)</f>
        <v>4</v>
      </c>
      <c r="L3729" s="1">
        <f>IF(E3729=0,SUMPRODUCT(MIN($K$2:$K$4734+((($A$2:$A$4734&lt;&gt;A3729)+($E$2:$E$4734&lt;&gt;0))&gt;0)*1000000)),"")</f>
        <v>4</v>
      </c>
      <c r="M3729" s="1">
        <f>IF(AND(E3729=0,COUNTIFS($A$2:A3729,A3729,$E$2:E3729,0)=1),L3729,0)</f>
        <v>0</v>
      </c>
    </row>
    <row r="3730" spans="1:13" ht="15" customHeight="1">
      <c r="A3730" s="1">
        <v>169</v>
      </c>
      <c r="B3730" s="1" t="s">
        <v>9</v>
      </c>
      <c r="C3730" s="2" t="s">
        <v>4402</v>
      </c>
      <c r="D3730" s="2" t="s">
        <v>4403</v>
      </c>
      <c r="E3730" s="1">
        <v>0</v>
      </c>
      <c r="F3730" s="2" t="s">
        <v>4404</v>
      </c>
      <c r="H3730" s="1" t="str">
        <f t="shared" si="60"/>
        <v/>
      </c>
      <c r="K3730" s="1">
        <f>IF(E3730=0,SUMPRODUCT(($A$2:$A$4734=A3730)*($B$2:$B$4734=B3730)*($D$2:$D$4734=D3730)*($E$2:$E$4734=0)),0)</f>
        <v>3</v>
      </c>
      <c r="L3730" s="1">
        <f>IF(E3730=0,SUMPRODUCT(MIN($K$2:$K$4734+((($A$2:$A$4734&lt;&gt;A3730)+($E$2:$E$4734&lt;&gt;0))&gt;0)*1000000)),"")</f>
        <v>3</v>
      </c>
      <c r="M3730" s="1">
        <f>IF(AND(E3730=0,COUNTIFS($A$2:A3730,A3730,$E$2:E3730,0)=1),L3730,0)</f>
        <v>3</v>
      </c>
    </row>
    <row r="3731" spans="1:13" ht="15" customHeight="1">
      <c r="A3731" s="1">
        <v>169</v>
      </c>
      <c r="B3731" s="1" t="s">
        <v>9</v>
      </c>
      <c r="C3731" s="2" t="s">
        <v>4402</v>
      </c>
      <c r="D3731" s="2" t="s">
        <v>4403</v>
      </c>
      <c r="E3731" s="1">
        <v>0</v>
      </c>
      <c r="F3731" s="2" t="s">
        <v>4405</v>
      </c>
      <c r="H3731" s="1" t="str">
        <f t="shared" si="60"/>
        <v/>
      </c>
      <c r="K3731" s="1">
        <f>IF(E3731=0,SUMPRODUCT(($A$2:$A$4734=A3731)*($B$2:$B$4734=B3731)*($D$2:$D$4734=D3731)*($E$2:$E$4734=0)),0)</f>
        <v>3</v>
      </c>
      <c r="L3731" s="1">
        <f>IF(E3731=0,SUMPRODUCT(MIN($K$2:$K$4734+((($A$2:$A$4734&lt;&gt;A3731)+($E$2:$E$4734&lt;&gt;0))&gt;0)*1000000)),"")</f>
        <v>3</v>
      </c>
      <c r="M3731" s="1">
        <f>IF(AND(E3731=0,COUNTIFS($A$2:A3731,A3731,$E$2:E3731,0)=1),L3731,0)</f>
        <v>0</v>
      </c>
    </row>
    <row r="3732" spans="1:13" ht="15" customHeight="1">
      <c r="A3732" s="1">
        <v>169</v>
      </c>
      <c r="B3732" s="1" t="s">
        <v>9</v>
      </c>
      <c r="C3732" s="2" t="s">
        <v>4402</v>
      </c>
      <c r="D3732" s="2" t="s">
        <v>4403</v>
      </c>
      <c r="E3732" s="1">
        <v>0</v>
      </c>
      <c r="F3732" s="2" t="s">
        <v>4406</v>
      </c>
      <c r="H3732" s="1" t="str">
        <f t="shared" si="60"/>
        <v/>
      </c>
      <c r="K3732" s="1">
        <f>IF(E3732=0,SUMPRODUCT(($A$2:$A$4734=A3732)*($B$2:$B$4734=B3732)*($D$2:$D$4734=D3732)*($E$2:$E$4734=0)),0)</f>
        <v>3</v>
      </c>
      <c r="L3732" s="1">
        <f>IF(E3732=0,SUMPRODUCT(MIN($K$2:$K$4734+((($A$2:$A$4734&lt;&gt;A3732)+($E$2:$E$4734&lt;&gt;0))&gt;0)*1000000)),"")</f>
        <v>3</v>
      </c>
      <c r="M3732" s="1">
        <f>IF(AND(E3732=0,COUNTIFS($A$2:A3732,A3732,$E$2:E3732,0)=1),L3732,0)</f>
        <v>0</v>
      </c>
    </row>
    <row r="3733" spans="1:13" ht="15" customHeight="1">
      <c r="A3733" s="1">
        <v>170</v>
      </c>
      <c r="B3733" s="1" t="s">
        <v>16</v>
      </c>
      <c r="C3733" s="2" t="s">
        <v>4407</v>
      </c>
      <c r="D3733" s="2" t="s">
        <v>3332</v>
      </c>
      <c r="E3733" s="1">
        <v>0</v>
      </c>
      <c r="F3733" s="2" t="s">
        <v>4408</v>
      </c>
      <c r="H3733" s="1" t="str">
        <f t="shared" si="60"/>
        <v/>
      </c>
      <c r="K3733" s="1">
        <f>IF(E3733=0,SUMPRODUCT(($A$2:$A$4734=A3733)*($B$2:$B$4734=B3733)*($D$2:$D$4734=D3733)*($E$2:$E$4734=0)),0)</f>
        <v>2</v>
      </c>
      <c r="L3733" s="1">
        <f>IF(E3733=0,SUMPRODUCT(MIN($K$2:$K$4734+((($A$2:$A$4734&lt;&gt;A3733)+($E$2:$E$4734&lt;&gt;0))&gt;0)*1000000)),"")</f>
        <v>2</v>
      </c>
      <c r="M3733" s="1">
        <f>IF(AND(E3733=0,COUNTIFS($A$2:A3733,A3733,$E$2:E3733,0)=1),L3733,0)</f>
        <v>2</v>
      </c>
    </row>
    <row r="3734" spans="1:13" ht="15" customHeight="1">
      <c r="A3734" s="1">
        <v>170</v>
      </c>
      <c r="B3734" s="1" t="s">
        <v>16</v>
      </c>
      <c r="C3734" s="2" t="s">
        <v>4407</v>
      </c>
      <c r="D3734" s="2" t="s">
        <v>3332</v>
      </c>
      <c r="E3734" s="1">
        <v>0</v>
      </c>
      <c r="F3734" s="2" t="s">
        <v>4409</v>
      </c>
      <c r="H3734" s="1" t="str">
        <f t="shared" si="60"/>
        <v/>
      </c>
      <c r="K3734" s="1">
        <f>IF(E3734=0,SUMPRODUCT(($A$2:$A$4734=A3734)*($B$2:$B$4734=B3734)*($D$2:$D$4734=D3734)*($E$2:$E$4734=0)),0)</f>
        <v>2</v>
      </c>
      <c r="L3734" s="1">
        <f>IF(E3734=0,SUMPRODUCT(MIN($K$2:$K$4734+((($A$2:$A$4734&lt;&gt;A3734)+($E$2:$E$4734&lt;&gt;0))&gt;0)*1000000)),"")</f>
        <v>2</v>
      </c>
      <c r="M3734" s="1">
        <f>IF(AND(E3734=0,COUNTIFS($A$2:A3734,A3734,$E$2:E3734,0)=1),L3734,0)</f>
        <v>0</v>
      </c>
    </row>
    <row r="3735" spans="1:13" ht="15" customHeight="1">
      <c r="A3735" s="1">
        <v>170</v>
      </c>
      <c r="B3735" s="1" t="s">
        <v>9</v>
      </c>
      <c r="C3735" s="2" t="s">
        <v>4407</v>
      </c>
      <c r="D3735" s="2" t="s">
        <v>4410</v>
      </c>
      <c r="E3735" s="1">
        <v>0</v>
      </c>
      <c r="F3735" s="2" t="s">
        <v>4411</v>
      </c>
      <c r="H3735" s="1" t="str">
        <f t="shared" si="60"/>
        <v/>
      </c>
      <c r="K3735" s="1">
        <f>IF(E3735=0,SUMPRODUCT(($A$2:$A$4734=A3735)*($B$2:$B$4734=B3735)*($D$2:$D$4734=D3735)*($E$2:$E$4734=0)),0)</f>
        <v>5</v>
      </c>
      <c r="L3735" s="1">
        <f>IF(E3735=0,SUMPRODUCT(MIN($K$2:$K$4734+((($A$2:$A$4734&lt;&gt;A3735)+($E$2:$E$4734&lt;&gt;0))&gt;0)*1000000)),"")</f>
        <v>2</v>
      </c>
      <c r="M3735" s="1">
        <f>IF(AND(E3735=0,COUNTIFS($A$2:A3735,A3735,$E$2:E3735,0)=1),L3735,0)</f>
        <v>0</v>
      </c>
    </row>
    <row r="3736" spans="1:13" ht="15" customHeight="1">
      <c r="A3736" s="1">
        <v>170</v>
      </c>
      <c r="B3736" s="1" t="s">
        <v>9</v>
      </c>
      <c r="C3736" s="2" t="s">
        <v>4407</v>
      </c>
      <c r="D3736" s="2" t="s">
        <v>4410</v>
      </c>
      <c r="E3736" s="1">
        <v>0</v>
      </c>
      <c r="F3736" s="2" t="s">
        <v>4412</v>
      </c>
      <c r="H3736" s="1" t="str">
        <f t="shared" si="60"/>
        <v/>
      </c>
      <c r="K3736" s="1">
        <f>IF(E3736=0,SUMPRODUCT(($A$2:$A$4734=A3736)*($B$2:$B$4734=B3736)*($D$2:$D$4734=D3736)*($E$2:$E$4734=0)),0)</f>
        <v>5</v>
      </c>
      <c r="L3736" s="1">
        <f>IF(E3736=0,SUMPRODUCT(MIN($K$2:$K$4734+((($A$2:$A$4734&lt;&gt;A3736)+($E$2:$E$4734&lt;&gt;0))&gt;0)*1000000)),"")</f>
        <v>2</v>
      </c>
      <c r="M3736" s="1">
        <f>IF(AND(E3736=0,COUNTIFS($A$2:A3736,A3736,$E$2:E3736,0)=1),L3736,0)</f>
        <v>0</v>
      </c>
    </row>
    <row r="3737" spans="1:13" ht="15" customHeight="1">
      <c r="A3737" s="1">
        <v>170</v>
      </c>
      <c r="B3737" s="1" t="s">
        <v>9</v>
      </c>
      <c r="C3737" s="2" t="s">
        <v>4407</v>
      </c>
      <c r="D3737" s="2" t="s">
        <v>4410</v>
      </c>
      <c r="E3737" s="1">
        <v>0</v>
      </c>
      <c r="F3737" s="2" t="s">
        <v>4413</v>
      </c>
      <c r="H3737" s="1" t="str">
        <f t="shared" si="60"/>
        <v/>
      </c>
      <c r="K3737" s="1">
        <f>IF(E3737=0,SUMPRODUCT(($A$2:$A$4734=A3737)*($B$2:$B$4734=B3737)*($D$2:$D$4734=D3737)*($E$2:$E$4734=0)),0)</f>
        <v>5</v>
      </c>
      <c r="L3737" s="1">
        <f>IF(E3737=0,SUMPRODUCT(MIN($K$2:$K$4734+((($A$2:$A$4734&lt;&gt;A3737)+($E$2:$E$4734&lt;&gt;0))&gt;0)*1000000)),"")</f>
        <v>2</v>
      </c>
      <c r="M3737" s="1">
        <f>IF(AND(E3737=0,COUNTIFS($A$2:A3737,A3737,$E$2:E3737,0)=1),L3737,0)</f>
        <v>0</v>
      </c>
    </row>
    <row r="3738" spans="1:13" ht="15" customHeight="1">
      <c r="A3738" s="1">
        <v>170</v>
      </c>
      <c r="B3738" s="1" t="s">
        <v>9</v>
      </c>
      <c r="C3738" s="2" t="s">
        <v>4407</v>
      </c>
      <c r="D3738" s="2" t="s">
        <v>4410</v>
      </c>
      <c r="E3738" s="1">
        <v>0</v>
      </c>
      <c r="F3738" s="2" t="s">
        <v>4414</v>
      </c>
      <c r="H3738" s="1" t="str">
        <f t="shared" si="60"/>
        <v/>
      </c>
      <c r="K3738" s="1">
        <f>IF(E3738=0,SUMPRODUCT(($A$2:$A$4734=A3738)*($B$2:$B$4734=B3738)*($D$2:$D$4734=D3738)*($E$2:$E$4734=0)),0)</f>
        <v>5</v>
      </c>
      <c r="L3738" s="1">
        <f>IF(E3738=0,SUMPRODUCT(MIN($K$2:$K$4734+((($A$2:$A$4734&lt;&gt;A3738)+($E$2:$E$4734&lt;&gt;0))&gt;0)*1000000)),"")</f>
        <v>2</v>
      </c>
      <c r="M3738" s="1">
        <f>IF(AND(E3738=0,COUNTIFS($A$2:A3738,A3738,$E$2:E3738,0)=1),L3738,0)</f>
        <v>0</v>
      </c>
    </row>
    <row r="3739" spans="1:13" ht="15" customHeight="1">
      <c r="A3739" s="1">
        <v>170</v>
      </c>
      <c r="B3739" s="1" t="s">
        <v>9</v>
      </c>
      <c r="C3739" s="2" t="s">
        <v>4407</v>
      </c>
      <c r="D3739" s="2" t="s">
        <v>4410</v>
      </c>
      <c r="E3739" s="1">
        <v>0</v>
      </c>
      <c r="F3739" s="2" t="s">
        <v>4415</v>
      </c>
      <c r="H3739" s="1" t="str">
        <f t="shared" si="60"/>
        <v/>
      </c>
      <c r="K3739" s="1">
        <f>IF(E3739=0,SUMPRODUCT(($A$2:$A$4734=A3739)*($B$2:$B$4734=B3739)*($D$2:$D$4734=D3739)*($E$2:$E$4734=0)),0)</f>
        <v>5</v>
      </c>
      <c r="L3739" s="1">
        <f>IF(E3739=0,SUMPRODUCT(MIN($K$2:$K$4734+((($A$2:$A$4734&lt;&gt;A3739)+($E$2:$E$4734&lt;&gt;0))&gt;0)*1000000)),"")</f>
        <v>2</v>
      </c>
      <c r="M3739" s="1">
        <f>IF(AND(E3739=0,COUNTIFS($A$2:A3739,A3739,$E$2:E3739,0)=1),L3739,0)</f>
        <v>0</v>
      </c>
    </row>
    <row r="3740" spans="1:13" ht="15" customHeight="1">
      <c r="A3740" s="1">
        <v>171</v>
      </c>
      <c r="B3740" s="1" t="s">
        <v>9</v>
      </c>
      <c r="C3740" s="2" t="s">
        <v>4416</v>
      </c>
      <c r="D3740" s="2" t="s">
        <v>4417</v>
      </c>
      <c r="E3740" s="1">
        <v>0</v>
      </c>
      <c r="F3740" s="2" t="s">
        <v>4418</v>
      </c>
      <c r="H3740" s="1" t="str">
        <f t="shared" si="60"/>
        <v/>
      </c>
      <c r="K3740" s="1">
        <f>IF(E3740=0,SUMPRODUCT(($A$2:$A$4734=A3740)*($B$2:$B$4734=B3740)*($D$2:$D$4734=D3740)*($E$2:$E$4734=0)),0)</f>
        <v>3</v>
      </c>
      <c r="L3740" s="1">
        <f>IF(E3740=0,SUMPRODUCT(MIN($K$2:$K$4734+((($A$2:$A$4734&lt;&gt;A3740)+($E$2:$E$4734&lt;&gt;0))&gt;0)*1000000)),"")</f>
        <v>3</v>
      </c>
      <c r="M3740" s="1">
        <f>IF(AND(E3740=0,COUNTIFS($A$2:A3740,A3740,$E$2:E3740,0)=1),L3740,0)</f>
        <v>3</v>
      </c>
    </row>
    <row r="3741" spans="1:13" ht="15" customHeight="1">
      <c r="A3741" s="1">
        <v>171</v>
      </c>
      <c r="B3741" s="1" t="s">
        <v>9</v>
      </c>
      <c r="C3741" s="2" t="s">
        <v>4419</v>
      </c>
      <c r="D3741" s="2" t="s">
        <v>4417</v>
      </c>
      <c r="E3741" s="1">
        <v>0</v>
      </c>
      <c r="F3741" s="2" t="s">
        <v>4420</v>
      </c>
      <c r="H3741" s="1" t="str">
        <f t="shared" si="60"/>
        <v/>
      </c>
      <c r="K3741" s="1">
        <f>IF(E3741=0,SUMPRODUCT(($A$2:$A$4734=A3741)*($B$2:$B$4734=B3741)*($D$2:$D$4734=D3741)*($E$2:$E$4734=0)),0)</f>
        <v>3</v>
      </c>
      <c r="L3741" s="1">
        <f>IF(E3741=0,SUMPRODUCT(MIN($K$2:$K$4734+((($A$2:$A$4734&lt;&gt;A3741)+($E$2:$E$4734&lt;&gt;0))&gt;0)*1000000)),"")</f>
        <v>3</v>
      </c>
      <c r="M3741" s="1">
        <f>IF(AND(E3741=0,COUNTIFS($A$2:A3741,A3741,$E$2:E3741,0)=1),L3741,0)</f>
        <v>0</v>
      </c>
    </row>
    <row r="3742" spans="1:13" ht="15" customHeight="1">
      <c r="A3742" s="1">
        <v>171</v>
      </c>
      <c r="B3742" s="1" t="s">
        <v>9</v>
      </c>
      <c r="C3742" s="2" t="s">
        <v>4421</v>
      </c>
      <c r="D3742" s="2" t="s">
        <v>4417</v>
      </c>
      <c r="E3742" s="1">
        <v>0</v>
      </c>
      <c r="F3742" s="2" t="s">
        <v>4422</v>
      </c>
      <c r="H3742" s="1" t="str">
        <f t="shared" si="60"/>
        <v/>
      </c>
      <c r="K3742" s="1">
        <f>IF(E3742=0,SUMPRODUCT(($A$2:$A$4734=A3742)*($B$2:$B$4734=B3742)*($D$2:$D$4734=D3742)*($E$2:$E$4734=0)),0)</f>
        <v>3</v>
      </c>
      <c r="L3742" s="1">
        <f>IF(E3742=0,SUMPRODUCT(MIN($K$2:$K$4734+((($A$2:$A$4734&lt;&gt;A3742)+($E$2:$E$4734&lt;&gt;0))&gt;0)*1000000)),"")</f>
        <v>3</v>
      </c>
      <c r="M3742" s="1">
        <f>IF(AND(E3742=0,COUNTIFS($A$2:A3742,A3742,$E$2:E3742,0)=1),L3742,0)</f>
        <v>0</v>
      </c>
    </row>
    <row r="3743" spans="1:13" ht="15" customHeight="1">
      <c r="A3743" s="1">
        <v>171</v>
      </c>
      <c r="B3743" s="1" t="s">
        <v>9</v>
      </c>
      <c r="C3743" s="2" t="s">
        <v>4423</v>
      </c>
      <c r="D3743" s="2" t="s">
        <v>4424</v>
      </c>
      <c r="E3743" s="1">
        <v>0</v>
      </c>
      <c r="F3743" s="2" t="s">
        <v>4425</v>
      </c>
      <c r="H3743" s="1" t="str">
        <f t="shared" si="60"/>
        <v/>
      </c>
      <c r="K3743" s="1">
        <f>IF(E3743=0,SUMPRODUCT(($A$2:$A$4734=A3743)*($B$2:$B$4734=B3743)*($D$2:$D$4734=D3743)*($E$2:$E$4734=0)),0)</f>
        <v>4</v>
      </c>
      <c r="L3743" s="1">
        <f>IF(E3743=0,SUMPRODUCT(MIN($K$2:$K$4734+((($A$2:$A$4734&lt;&gt;A3743)+($E$2:$E$4734&lt;&gt;0))&gt;0)*1000000)),"")</f>
        <v>3</v>
      </c>
      <c r="M3743" s="1">
        <f>IF(AND(E3743=0,COUNTIFS($A$2:A3743,A3743,$E$2:E3743,0)=1),L3743,0)</f>
        <v>0</v>
      </c>
    </row>
    <row r="3744" spans="1:13" ht="15" customHeight="1">
      <c r="A3744" s="1">
        <v>171</v>
      </c>
      <c r="B3744" s="1" t="s">
        <v>9</v>
      </c>
      <c r="C3744" s="2" t="s">
        <v>4426</v>
      </c>
      <c r="D3744" s="2" t="s">
        <v>4424</v>
      </c>
      <c r="E3744" s="1">
        <v>0</v>
      </c>
      <c r="F3744" s="2" t="s">
        <v>4427</v>
      </c>
      <c r="H3744" s="1" t="str">
        <f t="shared" si="60"/>
        <v/>
      </c>
      <c r="K3744" s="1">
        <f>IF(E3744=0,SUMPRODUCT(($A$2:$A$4734=A3744)*($B$2:$B$4734=B3744)*($D$2:$D$4734=D3744)*($E$2:$E$4734=0)),0)</f>
        <v>4</v>
      </c>
      <c r="L3744" s="1">
        <f>IF(E3744=0,SUMPRODUCT(MIN($K$2:$K$4734+((($A$2:$A$4734&lt;&gt;A3744)+($E$2:$E$4734&lt;&gt;0))&gt;0)*1000000)),"")</f>
        <v>3</v>
      </c>
      <c r="M3744" s="1">
        <f>IF(AND(E3744=0,COUNTIFS($A$2:A3744,A3744,$E$2:E3744,0)=1),L3744,0)</f>
        <v>0</v>
      </c>
    </row>
    <row r="3745" spans="1:13" ht="15" customHeight="1">
      <c r="A3745" s="1">
        <v>171</v>
      </c>
      <c r="B3745" s="1" t="s">
        <v>9</v>
      </c>
      <c r="C3745" s="2" t="s">
        <v>4428</v>
      </c>
      <c r="D3745" s="2" t="s">
        <v>4424</v>
      </c>
      <c r="E3745" s="1">
        <v>0</v>
      </c>
      <c r="F3745" s="2" t="s">
        <v>4429</v>
      </c>
      <c r="H3745" s="1" t="str">
        <f t="shared" si="60"/>
        <v/>
      </c>
      <c r="K3745" s="1">
        <f>IF(E3745=0,SUMPRODUCT(($A$2:$A$4734=A3745)*($B$2:$B$4734=B3745)*($D$2:$D$4734=D3745)*($E$2:$E$4734=0)),0)</f>
        <v>4</v>
      </c>
      <c r="L3745" s="1">
        <f>IF(E3745=0,SUMPRODUCT(MIN($K$2:$K$4734+((($A$2:$A$4734&lt;&gt;A3745)+($E$2:$E$4734&lt;&gt;0))&gt;0)*1000000)),"")</f>
        <v>3</v>
      </c>
      <c r="M3745" s="1">
        <f>IF(AND(E3745=0,COUNTIFS($A$2:A3745,A3745,$E$2:E3745,0)=1),L3745,0)</f>
        <v>0</v>
      </c>
    </row>
    <row r="3746" spans="1:13" ht="15" customHeight="1">
      <c r="A3746" s="1">
        <v>171</v>
      </c>
      <c r="B3746" s="1" t="s">
        <v>9</v>
      </c>
      <c r="C3746" s="2" t="s">
        <v>4430</v>
      </c>
      <c r="D3746" s="2" t="s">
        <v>4424</v>
      </c>
      <c r="E3746" s="1">
        <v>0</v>
      </c>
      <c r="F3746" s="2" t="s">
        <v>4431</v>
      </c>
      <c r="H3746" s="1" t="str">
        <f t="shared" si="60"/>
        <v/>
      </c>
      <c r="K3746" s="1">
        <f>IF(E3746=0,SUMPRODUCT(($A$2:$A$4734=A3746)*($B$2:$B$4734=B3746)*($D$2:$D$4734=D3746)*($E$2:$E$4734=0)),0)</f>
        <v>4</v>
      </c>
      <c r="L3746" s="1">
        <f>IF(E3746=0,SUMPRODUCT(MIN($K$2:$K$4734+((($A$2:$A$4734&lt;&gt;A3746)+($E$2:$E$4734&lt;&gt;0))&gt;0)*1000000)),"")</f>
        <v>3</v>
      </c>
      <c r="M3746" s="1">
        <f>IF(AND(E3746=0,COUNTIFS($A$2:A3746,A3746,$E$2:E3746,0)=1),L3746,0)</f>
        <v>0</v>
      </c>
    </row>
    <row r="3747" spans="1:13" ht="15" customHeight="1">
      <c r="A3747" s="1">
        <v>172</v>
      </c>
      <c r="B3747" s="1" t="s">
        <v>16</v>
      </c>
      <c r="C3747" s="2" t="s">
        <v>4432</v>
      </c>
      <c r="D3747" s="2" t="s">
        <v>4133</v>
      </c>
      <c r="E3747" s="1">
        <v>0</v>
      </c>
      <c r="F3747" s="2" t="s">
        <v>4433</v>
      </c>
      <c r="H3747" s="1" t="str">
        <f t="shared" si="60"/>
        <v/>
      </c>
      <c r="K3747" s="1">
        <f>IF(E3747=0,SUMPRODUCT(($A$2:$A$4734=A3747)*($B$2:$B$4734=B3747)*($D$2:$D$4734=D3747)*($E$2:$E$4734=0)),0)</f>
        <v>5</v>
      </c>
      <c r="L3747" s="1">
        <f>IF(E3747=0,SUMPRODUCT(MIN($K$2:$K$4734+((($A$2:$A$4734&lt;&gt;A3747)+($E$2:$E$4734&lt;&gt;0))&gt;0)*1000000)),"")</f>
        <v>5</v>
      </c>
      <c r="M3747" s="1">
        <f>IF(AND(E3747=0,COUNTIFS($A$2:A3747,A3747,$E$2:E3747,0)=1),L3747,0)</f>
        <v>5</v>
      </c>
    </row>
    <row r="3748" spans="1:13" ht="15" customHeight="1">
      <c r="A3748" s="1">
        <v>172</v>
      </c>
      <c r="B3748" s="1" t="s">
        <v>16</v>
      </c>
      <c r="C3748" s="2" t="s">
        <v>4432</v>
      </c>
      <c r="D3748" s="2" t="s">
        <v>4133</v>
      </c>
      <c r="E3748" s="1">
        <v>0</v>
      </c>
      <c r="F3748" s="2" t="s">
        <v>4434</v>
      </c>
      <c r="H3748" s="1" t="str">
        <f t="shared" si="60"/>
        <v/>
      </c>
      <c r="K3748" s="1">
        <f>IF(E3748=0,SUMPRODUCT(($A$2:$A$4734=A3748)*($B$2:$B$4734=B3748)*($D$2:$D$4734=D3748)*($E$2:$E$4734=0)),0)</f>
        <v>5</v>
      </c>
      <c r="L3748" s="1">
        <f>IF(E3748=0,SUMPRODUCT(MIN($K$2:$K$4734+((($A$2:$A$4734&lt;&gt;A3748)+($E$2:$E$4734&lt;&gt;0))&gt;0)*1000000)),"")</f>
        <v>5</v>
      </c>
      <c r="M3748" s="1">
        <f>IF(AND(E3748=0,COUNTIFS($A$2:A3748,A3748,$E$2:E3748,0)=1),L3748,0)</f>
        <v>0</v>
      </c>
    </row>
    <row r="3749" spans="1:13" ht="15" customHeight="1">
      <c r="A3749" s="1">
        <v>172</v>
      </c>
      <c r="B3749" s="1" t="s">
        <v>16</v>
      </c>
      <c r="C3749" s="2" t="s">
        <v>4432</v>
      </c>
      <c r="D3749" s="2" t="s">
        <v>4133</v>
      </c>
      <c r="E3749" s="1">
        <v>0</v>
      </c>
      <c r="F3749" s="2" t="s">
        <v>4435</v>
      </c>
      <c r="H3749" s="1" t="str">
        <f t="shared" si="60"/>
        <v/>
      </c>
      <c r="K3749" s="1">
        <f>IF(E3749=0,SUMPRODUCT(($A$2:$A$4734=A3749)*($B$2:$B$4734=B3749)*($D$2:$D$4734=D3749)*($E$2:$E$4734=0)),0)</f>
        <v>5</v>
      </c>
      <c r="L3749" s="1">
        <f>IF(E3749=0,SUMPRODUCT(MIN($K$2:$K$4734+((($A$2:$A$4734&lt;&gt;A3749)+($E$2:$E$4734&lt;&gt;0))&gt;0)*1000000)),"")</f>
        <v>5</v>
      </c>
      <c r="M3749" s="1">
        <f>IF(AND(E3749=0,COUNTIFS($A$2:A3749,A3749,$E$2:E3749,0)=1),L3749,0)</f>
        <v>0</v>
      </c>
    </row>
    <row r="3750" spans="1:13" ht="15" customHeight="1">
      <c r="A3750" s="1">
        <v>172</v>
      </c>
      <c r="B3750" s="1" t="s">
        <v>16</v>
      </c>
      <c r="C3750" s="2" t="s">
        <v>4432</v>
      </c>
      <c r="D3750" s="2" t="s">
        <v>4133</v>
      </c>
      <c r="E3750" s="1">
        <v>0</v>
      </c>
      <c r="F3750" s="2" t="s">
        <v>4436</v>
      </c>
      <c r="H3750" s="1" t="str">
        <f t="shared" si="60"/>
        <v/>
      </c>
      <c r="K3750" s="1">
        <f>IF(E3750=0,SUMPRODUCT(($A$2:$A$4734=A3750)*($B$2:$B$4734=B3750)*($D$2:$D$4734=D3750)*($E$2:$E$4734=0)),0)</f>
        <v>5</v>
      </c>
      <c r="L3750" s="1">
        <f>IF(E3750=0,SUMPRODUCT(MIN($K$2:$K$4734+((($A$2:$A$4734&lt;&gt;A3750)+($E$2:$E$4734&lt;&gt;0))&gt;0)*1000000)),"")</f>
        <v>5</v>
      </c>
      <c r="M3750" s="1">
        <f>IF(AND(E3750=0,COUNTIFS($A$2:A3750,A3750,$E$2:E3750,0)=1),L3750,0)</f>
        <v>0</v>
      </c>
    </row>
    <row r="3751" spans="1:13" ht="15" customHeight="1">
      <c r="A3751" s="1">
        <v>172</v>
      </c>
      <c r="B3751" s="1" t="s">
        <v>16</v>
      </c>
      <c r="C3751" s="2" t="s">
        <v>4432</v>
      </c>
      <c r="D3751" s="2" t="s">
        <v>4133</v>
      </c>
      <c r="E3751" s="1">
        <v>0</v>
      </c>
      <c r="F3751" s="2" t="s">
        <v>4437</v>
      </c>
      <c r="H3751" s="1" t="str">
        <f t="shared" si="60"/>
        <v/>
      </c>
      <c r="K3751" s="1">
        <f>IF(E3751=0,SUMPRODUCT(($A$2:$A$4734=A3751)*($B$2:$B$4734=B3751)*($D$2:$D$4734=D3751)*($E$2:$E$4734=0)),0)</f>
        <v>5</v>
      </c>
      <c r="L3751" s="1">
        <f>IF(E3751=0,SUMPRODUCT(MIN($K$2:$K$4734+((($A$2:$A$4734&lt;&gt;A3751)+($E$2:$E$4734&lt;&gt;0))&gt;0)*1000000)),"")</f>
        <v>5</v>
      </c>
      <c r="M3751" s="1">
        <f>IF(AND(E3751=0,COUNTIFS($A$2:A3751,A3751,$E$2:E3751,0)=1),L3751,0)</f>
        <v>0</v>
      </c>
    </row>
    <row r="3752" spans="1:13" ht="15" customHeight="1">
      <c r="A3752" s="1">
        <v>173</v>
      </c>
      <c r="B3752" s="1" t="s">
        <v>9</v>
      </c>
      <c r="C3752" s="2" t="s">
        <v>4438</v>
      </c>
      <c r="D3752" s="2" t="s">
        <v>4439</v>
      </c>
      <c r="E3752" s="1">
        <v>0</v>
      </c>
      <c r="F3752" s="2" t="s">
        <v>4440</v>
      </c>
      <c r="H3752" s="1" t="str">
        <f t="shared" si="60"/>
        <v/>
      </c>
      <c r="K3752" s="1">
        <f>IF(E3752=0,SUMPRODUCT(($A$2:$A$4734=A3752)*($B$2:$B$4734=B3752)*($D$2:$D$4734=D3752)*($E$2:$E$4734=0)),0)</f>
        <v>3</v>
      </c>
      <c r="L3752" s="1">
        <f>IF(E3752=0,SUMPRODUCT(MIN($K$2:$K$4734+((($A$2:$A$4734&lt;&gt;A3752)+($E$2:$E$4734&lt;&gt;0))&gt;0)*1000000)),"")</f>
        <v>3</v>
      </c>
      <c r="M3752" s="1">
        <f>IF(AND(E3752=0,COUNTIFS($A$2:A3752,A3752,$E$2:E3752,0)=1),L3752,0)</f>
        <v>3</v>
      </c>
    </row>
    <row r="3753" spans="1:13" ht="15" customHeight="1">
      <c r="A3753" s="1">
        <v>173</v>
      </c>
      <c r="B3753" s="1" t="s">
        <v>9</v>
      </c>
      <c r="C3753" s="2" t="s">
        <v>4438</v>
      </c>
      <c r="D3753" s="2" t="s">
        <v>4439</v>
      </c>
      <c r="E3753" s="1">
        <v>0</v>
      </c>
      <c r="F3753" s="2" t="s">
        <v>4441</v>
      </c>
      <c r="H3753" s="1" t="str">
        <f t="shared" si="60"/>
        <v/>
      </c>
      <c r="K3753" s="1">
        <f>IF(E3753=0,SUMPRODUCT(($A$2:$A$4734=A3753)*($B$2:$B$4734=B3753)*($D$2:$D$4734=D3753)*($E$2:$E$4734=0)),0)</f>
        <v>3</v>
      </c>
      <c r="L3753" s="1">
        <f>IF(E3753=0,SUMPRODUCT(MIN($K$2:$K$4734+((($A$2:$A$4734&lt;&gt;A3753)+($E$2:$E$4734&lt;&gt;0))&gt;0)*1000000)),"")</f>
        <v>3</v>
      </c>
      <c r="M3753" s="1">
        <f>IF(AND(E3753=0,COUNTIFS($A$2:A3753,A3753,$E$2:E3753,0)=1),L3753,0)</f>
        <v>0</v>
      </c>
    </row>
    <row r="3754" spans="1:13" ht="15" customHeight="1">
      <c r="A3754" s="1">
        <v>173</v>
      </c>
      <c r="B3754" s="1" t="s">
        <v>9</v>
      </c>
      <c r="C3754" s="2" t="s">
        <v>4438</v>
      </c>
      <c r="D3754" s="2" t="s">
        <v>4439</v>
      </c>
      <c r="E3754" s="1">
        <v>0</v>
      </c>
      <c r="F3754" s="2" t="s">
        <v>4442</v>
      </c>
      <c r="H3754" s="1" t="str">
        <f t="shared" si="60"/>
        <v/>
      </c>
      <c r="K3754" s="1">
        <f>IF(E3754=0,SUMPRODUCT(($A$2:$A$4734=A3754)*($B$2:$B$4734=B3754)*($D$2:$D$4734=D3754)*($E$2:$E$4734=0)),0)</f>
        <v>3</v>
      </c>
      <c r="L3754" s="1">
        <f>IF(E3754=0,SUMPRODUCT(MIN($K$2:$K$4734+((($A$2:$A$4734&lt;&gt;A3754)+($E$2:$E$4734&lt;&gt;0))&gt;0)*1000000)),"")</f>
        <v>3</v>
      </c>
      <c r="M3754" s="1">
        <f>IF(AND(E3754=0,COUNTIFS($A$2:A3754,A3754,$E$2:E3754,0)=1),L3754,0)</f>
        <v>0</v>
      </c>
    </row>
    <row r="3755" spans="1:13" ht="15" customHeight="1">
      <c r="A3755" s="1">
        <v>174</v>
      </c>
      <c r="B3755" s="1" t="s">
        <v>16</v>
      </c>
      <c r="C3755" s="2" t="s">
        <v>4443</v>
      </c>
      <c r="D3755" s="2" t="s">
        <v>4444</v>
      </c>
      <c r="E3755" s="1">
        <v>1</v>
      </c>
      <c r="F3755" s="2" t="s">
        <v>4445</v>
      </c>
      <c r="G3755" s="1">
        <v>1</v>
      </c>
      <c r="H3755" s="1" t="str">
        <f t="shared" si="60"/>
        <v>k174_1</v>
      </c>
      <c r="K3755" s="1">
        <f>IF(E3755=0,SUMPRODUCT(($A$2:$A$4734=A3755)*($B$2:$B$4734=B3755)*($D$2:$D$4734=D3755)*($E$2:$E$4734=0)),0)</f>
        <v>0</v>
      </c>
      <c r="L3755" s="1" t="str">
        <f>IF(E3755=0,SUMPRODUCT(MIN($K$2:$K$4734+((($A$2:$A$4734&lt;&gt;A3755)+($E$2:$E$4734&lt;&gt;0))&gt;0)*1000000)),"")</f>
        <v/>
      </c>
      <c r="M3755" s="1">
        <f>IF(AND(E3755=0,COUNTIFS($A$2:A3755,A3755,$E$2:E3755,0)=1),L3755,0)</f>
        <v>0</v>
      </c>
    </row>
    <row r="3756" spans="1:13" ht="15" customHeight="1">
      <c r="A3756" s="1">
        <v>174</v>
      </c>
      <c r="B3756" s="1" t="s">
        <v>16</v>
      </c>
      <c r="C3756" s="2" t="s">
        <v>4446</v>
      </c>
      <c r="D3756" s="2" t="s">
        <v>4444</v>
      </c>
      <c r="E3756" s="1">
        <v>1</v>
      </c>
      <c r="F3756" s="2" t="s">
        <v>4447</v>
      </c>
      <c r="G3756" s="1">
        <v>2</v>
      </c>
      <c r="H3756" s="1" t="str">
        <f t="shared" si="60"/>
        <v>k174_2</v>
      </c>
      <c r="K3756" s="1">
        <f>IF(E3756=0,SUMPRODUCT(($A$2:$A$4734=A3756)*($B$2:$B$4734=B3756)*($D$2:$D$4734=D3756)*($E$2:$E$4734=0)),0)</f>
        <v>0</v>
      </c>
      <c r="L3756" s="1" t="str">
        <f>IF(E3756=0,SUMPRODUCT(MIN($K$2:$K$4734+((($A$2:$A$4734&lt;&gt;A3756)+($E$2:$E$4734&lt;&gt;0))&gt;0)*1000000)),"")</f>
        <v/>
      </c>
      <c r="M3756" s="1">
        <f>IF(AND(E3756=0,COUNTIFS($A$2:A3756,A3756,$E$2:E3756,0)=1),L3756,0)</f>
        <v>0</v>
      </c>
    </row>
    <row r="3757" spans="1:13" ht="15" customHeight="1">
      <c r="A3757" s="1">
        <v>174</v>
      </c>
      <c r="B3757" s="1" t="s">
        <v>16</v>
      </c>
      <c r="C3757" s="2" t="s">
        <v>4448</v>
      </c>
      <c r="D3757" s="2" t="s">
        <v>4444</v>
      </c>
      <c r="E3757" s="1">
        <v>1</v>
      </c>
      <c r="F3757" s="2" t="s">
        <v>4449</v>
      </c>
      <c r="G3757" s="1">
        <v>3</v>
      </c>
      <c r="H3757" s="1" t="str">
        <f t="shared" si="60"/>
        <v>k174_3</v>
      </c>
      <c r="K3757" s="1">
        <f>IF(E3757=0,SUMPRODUCT(($A$2:$A$4734=A3757)*($B$2:$B$4734=B3757)*($D$2:$D$4734=D3757)*($E$2:$E$4734=0)),0)</f>
        <v>0</v>
      </c>
      <c r="L3757" s="1" t="str">
        <f>IF(E3757=0,SUMPRODUCT(MIN($K$2:$K$4734+((($A$2:$A$4734&lt;&gt;A3757)+($E$2:$E$4734&lt;&gt;0))&gt;0)*1000000)),"")</f>
        <v/>
      </c>
      <c r="M3757" s="1">
        <f>IF(AND(E3757=0,COUNTIFS($A$2:A3757,A3757,$E$2:E3757,0)=1),L3757,0)</f>
        <v>0</v>
      </c>
    </row>
    <row r="3758" spans="1:13" ht="15" customHeight="1">
      <c r="A3758" s="1">
        <v>174</v>
      </c>
      <c r="B3758" s="1" t="s">
        <v>16</v>
      </c>
      <c r="C3758" s="2" t="s">
        <v>4450</v>
      </c>
      <c r="D3758" s="2" t="s">
        <v>4444</v>
      </c>
      <c r="E3758" s="1">
        <v>1</v>
      </c>
      <c r="F3758" s="2" t="s">
        <v>4451</v>
      </c>
      <c r="G3758" s="1">
        <v>4</v>
      </c>
      <c r="H3758" s="1" t="str">
        <f t="shared" si="60"/>
        <v>k174_4</v>
      </c>
      <c r="K3758" s="1">
        <f>IF(E3758=0,SUMPRODUCT(($A$2:$A$4734=A3758)*($B$2:$B$4734=B3758)*($D$2:$D$4734=D3758)*($E$2:$E$4734=0)),0)</f>
        <v>0</v>
      </c>
      <c r="L3758" s="1" t="str">
        <f>IF(E3758=0,SUMPRODUCT(MIN($K$2:$K$4734+((($A$2:$A$4734&lt;&gt;A3758)+($E$2:$E$4734&lt;&gt;0))&gt;0)*1000000)),"")</f>
        <v/>
      </c>
      <c r="M3758" s="1">
        <f>IF(AND(E3758=0,COUNTIFS($A$2:A3758,A3758,$E$2:E3758,0)=1),L3758,0)</f>
        <v>0</v>
      </c>
    </row>
    <row r="3759" spans="1:13" ht="15" customHeight="1">
      <c r="A3759" s="1">
        <v>174</v>
      </c>
      <c r="B3759" s="1" t="s">
        <v>358</v>
      </c>
      <c r="C3759" s="2" t="s">
        <v>4452</v>
      </c>
      <c r="D3759" s="2" t="s">
        <v>4453</v>
      </c>
      <c r="E3759" s="1">
        <v>1</v>
      </c>
      <c r="F3759" s="2" t="s">
        <v>4454</v>
      </c>
      <c r="G3759" s="1">
        <v>1</v>
      </c>
      <c r="H3759" s="1" t="str">
        <f t="shared" ref="H3759:H3812" si="61">IF(OR(E3759&lt;&gt;1,G3759=""),"","k"&amp;A3759&amp;"_"&amp;G3759)</f>
        <v>k174_1</v>
      </c>
      <c r="K3759" s="1">
        <f>IF(E3759=0,SUMPRODUCT(($A$2:$A$4734=A3759)*($B$2:$B$4734=B3759)*($D$2:$D$4734=D3759)*($E$2:$E$4734=0)),0)</f>
        <v>0</v>
      </c>
      <c r="L3759" s="1" t="str">
        <f>IF(E3759=0,SUMPRODUCT(MIN($K$2:$K$4734+((($A$2:$A$4734&lt;&gt;A3759)+($E$2:$E$4734&lt;&gt;0))&gt;0)*1000000)),"")</f>
        <v/>
      </c>
      <c r="M3759" s="1">
        <f>IF(AND(E3759=0,COUNTIFS($A$2:A3759,A3759,$E$2:E3759,0)=1),L3759,0)</f>
        <v>0</v>
      </c>
    </row>
    <row r="3760" spans="1:13" ht="15" customHeight="1">
      <c r="A3760" s="1">
        <v>174</v>
      </c>
      <c r="B3760" s="1" t="s">
        <v>358</v>
      </c>
      <c r="C3760" s="2" t="s">
        <v>4455</v>
      </c>
      <c r="D3760" s="2" t="s">
        <v>4453</v>
      </c>
      <c r="E3760" s="1">
        <v>1</v>
      </c>
      <c r="F3760" s="2" t="s">
        <v>4456</v>
      </c>
      <c r="G3760" s="1">
        <v>2</v>
      </c>
      <c r="H3760" s="1" t="str">
        <f t="shared" si="61"/>
        <v>k174_2</v>
      </c>
      <c r="K3760" s="1">
        <f>IF(E3760=0,SUMPRODUCT(($A$2:$A$4734=A3760)*($B$2:$B$4734=B3760)*($D$2:$D$4734=D3760)*($E$2:$E$4734=0)),0)</f>
        <v>0</v>
      </c>
      <c r="L3760" s="1" t="str">
        <f>IF(E3760=0,SUMPRODUCT(MIN($K$2:$K$4734+((($A$2:$A$4734&lt;&gt;A3760)+($E$2:$E$4734&lt;&gt;0))&gt;0)*1000000)),"")</f>
        <v/>
      </c>
      <c r="M3760" s="1">
        <f>IF(AND(E3760=0,COUNTIFS($A$2:A3760,A3760,$E$2:E3760,0)=1),L3760,0)</f>
        <v>0</v>
      </c>
    </row>
    <row r="3761" spans="1:13" ht="15" customHeight="1">
      <c r="A3761" s="1">
        <v>174</v>
      </c>
      <c r="B3761" s="1" t="s">
        <v>358</v>
      </c>
      <c r="C3761" s="2" t="s">
        <v>4457</v>
      </c>
      <c r="D3761" s="2" t="s">
        <v>4453</v>
      </c>
      <c r="E3761" s="1">
        <v>1</v>
      </c>
      <c r="F3761" s="2" t="s">
        <v>4458</v>
      </c>
      <c r="G3761" s="1">
        <v>3</v>
      </c>
      <c r="H3761" s="1" t="str">
        <f t="shared" si="61"/>
        <v>k174_3</v>
      </c>
      <c r="K3761" s="1">
        <f>IF(E3761=0,SUMPRODUCT(($A$2:$A$4734=A3761)*($B$2:$B$4734=B3761)*($D$2:$D$4734=D3761)*($E$2:$E$4734=0)),0)</f>
        <v>0</v>
      </c>
      <c r="L3761" s="1" t="str">
        <f>IF(E3761=0,SUMPRODUCT(MIN($K$2:$K$4734+((($A$2:$A$4734&lt;&gt;A3761)+($E$2:$E$4734&lt;&gt;0))&gt;0)*1000000)),"")</f>
        <v/>
      </c>
      <c r="M3761" s="1">
        <f>IF(AND(E3761=0,COUNTIFS($A$2:A3761,A3761,$E$2:E3761,0)=1),L3761,0)</f>
        <v>0</v>
      </c>
    </row>
    <row r="3762" spans="1:13" ht="15" customHeight="1">
      <c r="A3762" s="1">
        <v>174</v>
      </c>
      <c r="B3762" s="1" t="s">
        <v>358</v>
      </c>
      <c r="C3762" s="2" t="s">
        <v>4459</v>
      </c>
      <c r="D3762" s="2" t="s">
        <v>4453</v>
      </c>
      <c r="E3762" s="1">
        <v>1</v>
      </c>
      <c r="F3762" s="2" t="s">
        <v>4460</v>
      </c>
      <c r="G3762" s="1">
        <v>4</v>
      </c>
      <c r="H3762" s="1" t="str">
        <f t="shared" si="61"/>
        <v>k174_4</v>
      </c>
      <c r="K3762" s="1">
        <f>IF(E3762=0,SUMPRODUCT(($A$2:$A$4734=A3762)*($B$2:$B$4734=B3762)*($D$2:$D$4734=D3762)*($E$2:$E$4734=0)),0)</f>
        <v>0</v>
      </c>
      <c r="L3762" s="1" t="str">
        <f>IF(E3762=0,SUMPRODUCT(MIN($K$2:$K$4734+((($A$2:$A$4734&lt;&gt;A3762)+($E$2:$E$4734&lt;&gt;0))&gt;0)*1000000)),"")</f>
        <v/>
      </c>
      <c r="M3762" s="1">
        <f>IF(AND(E3762=0,COUNTIFS($A$2:A3762,A3762,$E$2:E3762,0)=1),L3762,0)</f>
        <v>0</v>
      </c>
    </row>
    <row r="3763" spans="1:13" ht="15" customHeight="1">
      <c r="A3763" s="1">
        <v>174</v>
      </c>
      <c r="B3763" s="1" t="s">
        <v>9</v>
      </c>
      <c r="C3763" s="2" t="s">
        <v>4461</v>
      </c>
      <c r="D3763" s="2" t="s">
        <v>4462</v>
      </c>
      <c r="E3763" s="1">
        <v>1</v>
      </c>
      <c r="F3763" s="2" t="s">
        <v>4463</v>
      </c>
      <c r="G3763" s="1">
        <v>1</v>
      </c>
      <c r="H3763" s="1" t="str">
        <f t="shared" si="61"/>
        <v>k174_1</v>
      </c>
      <c r="K3763" s="1">
        <f>IF(E3763=0,SUMPRODUCT(($A$2:$A$4734=A3763)*($B$2:$B$4734=B3763)*($D$2:$D$4734=D3763)*($E$2:$E$4734=0)),0)</f>
        <v>0</v>
      </c>
      <c r="L3763" s="1" t="str">
        <f>IF(E3763=0,SUMPRODUCT(MIN($K$2:$K$4734+((($A$2:$A$4734&lt;&gt;A3763)+($E$2:$E$4734&lt;&gt;0))&gt;0)*1000000)),"")</f>
        <v/>
      </c>
      <c r="M3763" s="1">
        <f>IF(AND(E3763=0,COUNTIFS($A$2:A3763,A3763,$E$2:E3763,0)=1),L3763,0)</f>
        <v>0</v>
      </c>
    </row>
    <row r="3764" spans="1:13" ht="15" customHeight="1">
      <c r="A3764" s="1">
        <v>174</v>
      </c>
      <c r="B3764" s="1" t="s">
        <v>9</v>
      </c>
      <c r="C3764" s="2" t="s">
        <v>4464</v>
      </c>
      <c r="D3764" s="2" t="s">
        <v>4462</v>
      </c>
      <c r="E3764" s="1">
        <v>1</v>
      </c>
      <c r="F3764" s="2" t="s">
        <v>1057</v>
      </c>
      <c r="G3764" s="1">
        <v>2</v>
      </c>
      <c r="H3764" s="1" t="str">
        <f t="shared" si="61"/>
        <v>k174_2</v>
      </c>
      <c r="K3764" s="1">
        <f>IF(E3764=0,SUMPRODUCT(($A$2:$A$4734=A3764)*($B$2:$B$4734=B3764)*($D$2:$D$4734=D3764)*($E$2:$E$4734=0)),0)</f>
        <v>0</v>
      </c>
      <c r="L3764" s="1" t="str">
        <f>IF(E3764=0,SUMPRODUCT(MIN($K$2:$K$4734+((($A$2:$A$4734&lt;&gt;A3764)+($E$2:$E$4734&lt;&gt;0))&gt;0)*1000000)),"")</f>
        <v/>
      </c>
      <c r="M3764" s="1">
        <f>IF(AND(E3764=0,COUNTIFS($A$2:A3764,A3764,$E$2:E3764,0)=1),L3764,0)</f>
        <v>0</v>
      </c>
    </row>
    <row r="3765" spans="1:13" ht="15" customHeight="1">
      <c r="A3765" s="1">
        <v>174</v>
      </c>
      <c r="B3765" s="1" t="s">
        <v>9</v>
      </c>
      <c r="C3765" s="2" t="s">
        <v>4465</v>
      </c>
      <c r="D3765" s="2" t="s">
        <v>4462</v>
      </c>
      <c r="E3765" s="1">
        <v>1</v>
      </c>
      <c r="F3765" s="2" t="s">
        <v>4466</v>
      </c>
      <c r="G3765" s="1">
        <v>3</v>
      </c>
      <c r="H3765" s="1" t="str">
        <f t="shared" si="61"/>
        <v>k174_3</v>
      </c>
      <c r="K3765" s="1">
        <f>IF(E3765=0,SUMPRODUCT(($A$2:$A$4734=A3765)*($B$2:$B$4734=B3765)*($D$2:$D$4734=D3765)*($E$2:$E$4734=0)),0)</f>
        <v>0</v>
      </c>
      <c r="L3765" s="1" t="str">
        <f>IF(E3765=0,SUMPRODUCT(MIN($K$2:$K$4734+((($A$2:$A$4734&lt;&gt;A3765)+($E$2:$E$4734&lt;&gt;0))&gt;0)*1000000)),"")</f>
        <v/>
      </c>
      <c r="M3765" s="1">
        <f>IF(AND(E3765=0,COUNTIFS($A$2:A3765,A3765,$E$2:E3765,0)=1),L3765,0)</f>
        <v>0</v>
      </c>
    </row>
    <row r="3766" spans="1:13" ht="15" customHeight="1">
      <c r="A3766" s="1">
        <v>174</v>
      </c>
      <c r="B3766" s="1" t="s">
        <v>9</v>
      </c>
      <c r="C3766" s="2" t="s">
        <v>4467</v>
      </c>
      <c r="D3766" s="2" t="s">
        <v>4462</v>
      </c>
      <c r="E3766" s="1">
        <v>1</v>
      </c>
      <c r="F3766" s="2" t="s">
        <v>4468</v>
      </c>
      <c r="G3766" s="1">
        <v>4</v>
      </c>
      <c r="H3766" s="1" t="str">
        <f t="shared" si="61"/>
        <v>k174_4</v>
      </c>
      <c r="K3766" s="1">
        <f>IF(E3766=0,SUMPRODUCT(($A$2:$A$4734=A3766)*($B$2:$B$4734=B3766)*($D$2:$D$4734=D3766)*($E$2:$E$4734=0)),0)</f>
        <v>0</v>
      </c>
      <c r="L3766" s="1" t="str">
        <f>IF(E3766=0,SUMPRODUCT(MIN($K$2:$K$4734+((($A$2:$A$4734&lt;&gt;A3766)+($E$2:$E$4734&lt;&gt;0))&gt;0)*1000000)),"")</f>
        <v/>
      </c>
      <c r="M3766" s="1">
        <f>IF(AND(E3766=0,COUNTIFS($A$2:A3766,A3766,$E$2:E3766,0)=1),L3766,0)</f>
        <v>0</v>
      </c>
    </row>
    <row r="3767" spans="1:13" ht="15" customHeight="1">
      <c r="A3767" s="1">
        <v>174</v>
      </c>
      <c r="B3767" s="1" t="s">
        <v>16</v>
      </c>
      <c r="C3767" s="2" t="s">
        <v>4469</v>
      </c>
      <c r="D3767" s="2" t="s">
        <v>2147</v>
      </c>
      <c r="E3767" s="1">
        <v>1</v>
      </c>
      <c r="F3767" s="2" t="s">
        <v>4046</v>
      </c>
      <c r="G3767" s="1">
        <v>4</v>
      </c>
      <c r="H3767" s="1" t="str">
        <f t="shared" si="61"/>
        <v>k174_4</v>
      </c>
      <c r="K3767" s="1">
        <f>IF(E3767=0,SUMPRODUCT(($A$2:$A$4734=A3767)*($B$2:$B$4734=B3767)*($D$2:$D$4734=D3767)*($E$2:$E$4734=0)),0)</f>
        <v>0</v>
      </c>
      <c r="L3767" s="1" t="str">
        <f>IF(E3767=0,SUMPRODUCT(MIN($K$2:$K$4734+((($A$2:$A$4734&lt;&gt;A3767)+($E$2:$E$4734&lt;&gt;0))&gt;0)*1000000)),"")</f>
        <v/>
      </c>
      <c r="M3767" s="1">
        <f>IF(AND(E3767=0,COUNTIFS($A$2:A3767,A3767,$E$2:E3767,0)=1),L3767,0)</f>
        <v>0</v>
      </c>
    </row>
    <row r="3768" spans="1:13" ht="15" customHeight="1">
      <c r="A3768" s="1">
        <v>174</v>
      </c>
      <c r="B3768" s="1" t="s">
        <v>16</v>
      </c>
      <c r="C3768" s="2" t="s">
        <v>4470</v>
      </c>
      <c r="D3768" s="2" t="s">
        <v>2147</v>
      </c>
      <c r="E3768" s="1">
        <v>1</v>
      </c>
      <c r="F3768" s="2" t="s">
        <v>2150</v>
      </c>
      <c r="G3768" s="1">
        <v>3</v>
      </c>
      <c r="H3768" s="1" t="str">
        <f t="shared" si="61"/>
        <v>k174_3</v>
      </c>
      <c r="K3768" s="1">
        <f>IF(E3768=0,SUMPRODUCT(($A$2:$A$4734=A3768)*($B$2:$B$4734=B3768)*($D$2:$D$4734=D3768)*($E$2:$E$4734=0)),0)</f>
        <v>0</v>
      </c>
      <c r="L3768" s="1" t="str">
        <f>IF(E3768=0,SUMPRODUCT(MIN($K$2:$K$4734+((($A$2:$A$4734&lt;&gt;A3768)+($E$2:$E$4734&lt;&gt;0))&gt;0)*1000000)),"")</f>
        <v/>
      </c>
      <c r="M3768" s="1">
        <f>IF(AND(E3768=0,COUNTIFS($A$2:A3768,A3768,$E$2:E3768,0)=1),L3768,0)</f>
        <v>0</v>
      </c>
    </row>
    <row r="3769" spans="1:13" ht="15" customHeight="1">
      <c r="A3769" s="1">
        <v>174</v>
      </c>
      <c r="B3769" s="1" t="s">
        <v>16</v>
      </c>
      <c r="C3769" s="2" t="s">
        <v>4471</v>
      </c>
      <c r="D3769" s="2" t="s">
        <v>2147</v>
      </c>
      <c r="E3769" s="1">
        <v>1</v>
      </c>
      <c r="F3769" s="2" t="s">
        <v>2148</v>
      </c>
      <c r="G3769" s="1">
        <v>2</v>
      </c>
      <c r="H3769" s="1" t="str">
        <f t="shared" si="61"/>
        <v>k174_2</v>
      </c>
      <c r="K3769" s="1">
        <f>IF(E3769=0,SUMPRODUCT(($A$2:$A$4734=A3769)*($B$2:$B$4734=B3769)*($D$2:$D$4734=D3769)*($E$2:$E$4734=0)),0)</f>
        <v>0</v>
      </c>
      <c r="L3769" s="1" t="str">
        <f>IF(E3769=0,SUMPRODUCT(MIN($K$2:$K$4734+((($A$2:$A$4734&lt;&gt;A3769)+($E$2:$E$4734&lt;&gt;0))&gt;0)*1000000)),"")</f>
        <v/>
      </c>
      <c r="M3769" s="1">
        <f>IF(AND(E3769=0,COUNTIFS($A$2:A3769,A3769,$E$2:E3769,0)=1),L3769,0)</f>
        <v>0</v>
      </c>
    </row>
    <row r="3770" spans="1:13" ht="15" customHeight="1">
      <c r="A3770" s="1">
        <v>174</v>
      </c>
      <c r="B3770" s="1" t="s">
        <v>16</v>
      </c>
      <c r="C3770" s="2" t="s">
        <v>4472</v>
      </c>
      <c r="D3770" s="2" t="s">
        <v>2147</v>
      </c>
      <c r="E3770" s="1">
        <v>1</v>
      </c>
      <c r="F3770" s="2" t="s">
        <v>2151</v>
      </c>
      <c r="G3770" s="1">
        <v>1</v>
      </c>
      <c r="H3770" s="1" t="str">
        <f t="shared" si="61"/>
        <v>k174_1</v>
      </c>
      <c r="K3770" s="1">
        <f>IF(E3770=0,SUMPRODUCT(($A$2:$A$4734=A3770)*($B$2:$B$4734=B3770)*($D$2:$D$4734=D3770)*($E$2:$E$4734=0)),0)</f>
        <v>0</v>
      </c>
      <c r="L3770" s="1" t="str">
        <f>IF(E3770=0,SUMPRODUCT(MIN($K$2:$K$4734+((($A$2:$A$4734&lt;&gt;A3770)+($E$2:$E$4734&lt;&gt;0))&gt;0)*1000000)),"")</f>
        <v/>
      </c>
      <c r="M3770" s="1">
        <f>IF(AND(E3770=0,COUNTIFS($A$2:A3770,A3770,$E$2:E3770,0)=1),L3770,0)</f>
        <v>0</v>
      </c>
    </row>
    <row r="3771" spans="1:13" ht="15" customHeight="1">
      <c r="A3771" s="1">
        <v>175</v>
      </c>
      <c r="B3771" s="1" t="s">
        <v>9</v>
      </c>
      <c r="C3771" s="2" t="s">
        <v>4473</v>
      </c>
      <c r="D3771" s="2" t="s">
        <v>1904</v>
      </c>
      <c r="E3771" s="1">
        <v>0</v>
      </c>
      <c r="F3771" s="2" t="s">
        <v>1905</v>
      </c>
      <c r="H3771" s="1" t="str">
        <f t="shared" si="61"/>
        <v/>
      </c>
      <c r="K3771" s="1">
        <f>IF(E3771=0,SUMPRODUCT(($A$2:$A$4734=A3771)*($B$2:$B$4734=B3771)*($D$2:$D$4734=D3771)*($E$2:$E$4734=0)),0)</f>
        <v>4</v>
      </c>
      <c r="L3771" s="1">
        <f>IF(E3771=0,SUMPRODUCT(MIN($K$2:$K$4734+((($A$2:$A$4734&lt;&gt;A3771)+($E$2:$E$4734&lt;&gt;0))&gt;0)*1000000)),"")</f>
        <v>4</v>
      </c>
      <c r="M3771" s="1">
        <f>IF(AND(E3771=0,COUNTIFS($A$2:A3771,A3771,$E$2:E3771,0)=1),L3771,0)</f>
        <v>4</v>
      </c>
    </row>
    <row r="3772" spans="1:13" ht="15" customHeight="1">
      <c r="A3772" s="1">
        <v>175</v>
      </c>
      <c r="B3772" s="1" t="s">
        <v>9</v>
      </c>
      <c r="C3772" s="2" t="s">
        <v>4473</v>
      </c>
      <c r="D3772" s="2" t="s">
        <v>1904</v>
      </c>
      <c r="E3772" s="1">
        <v>0</v>
      </c>
      <c r="F3772" s="2" t="s">
        <v>4474</v>
      </c>
      <c r="H3772" s="1" t="str">
        <f t="shared" si="61"/>
        <v/>
      </c>
      <c r="K3772" s="1">
        <f>IF(E3772=0,SUMPRODUCT(($A$2:$A$4734=A3772)*($B$2:$B$4734=B3772)*($D$2:$D$4734=D3772)*($E$2:$E$4734=0)),0)</f>
        <v>4</v>
      </c>
      <c r="L3772" s="1">
        <f>IF(E3772=0,SUMPRODUCT(MIN($K$2:$K$4734+((($A$2:$A$4734&lt;&gt;A3772)+($E$2:$E$4734&lt;&gt;0))&gt;0)*1000000)),"")</f>
        <v>4</v>
      </c>
      <c r="M3772" s="1">
        <f>IF(AND(E3772=0,COUNTIFS($A$2:A3772,A3772,$E$2:E3772,0)=1),L3772,0)</f>
        <v>0</v>
      </c>
    </row>
    <row r="3773" spans="1:13" ht="15" customHeight="1">
      <c r="A3773" s="1">
        <v>175</v>
      </c>
      <c r="B3773" s="1" t="s">
        <v>9</v>
      </c>
      <c r="C3773" s="2" t="s">
        <v>4473</v>
      </c>
      <c r="D3773" s="2" t="s">
        <v>1904</v>
      </c>
      <c r="E3773" s="1">
        <v>0</v>
      </c>
      <c r="F3773" s="2" t="s">
        <v>3253</v>
      </c>
      <c r="H3773" s="1" t="str">
        <f t="shared" si="61"/>
        <v/>
      </c>
      <c r="K3773" s="1">
        <f>IF(E3773=0,SUMPRODUCT(($A$2:$A$4734=A3773)*($B$2:$B$4734=B3773)*($D$2:$D$4734=D3773)*($E$2:$E$4734=0)),0)</f>
        <v>4</v>
      </c>
      <c r="L3773" s="1">
        <f>IF(E3773=0,SUMPRODUCT(MIN($K$2:$K$4734+((($A$2:$A$4734&lt;&gt;A3773)+($E$2:$E$4734&lt;&gt;0))&gt;0)*1000000)),"")</f>
        <v>4</v>
      </c>
      <c r="M3773" s="1">
        <f>IF(AND(E3773=0,COUNTIFS($A$2:A3773,A3773,$E$2:E3773,0)=1),L3773,0)</f>
        <v>0</v>
      </c>
    </row>
    <row r="3774" spans="1:13" ht="15" customHeight="1">
      <c r="A3774" s="1">
        <v>175</v>
      </c>
      <c r="B3774" s="1" t="s">
        <v>9</v>
      </c>
      <c r="C3774" s="2" t="s">
        <v>4473</v>
      </c>
      <c r="D3774" s="2" t="s">
        <v>1904</v>
      </c>
      <c r="E3774" s="1">
        <v>0</v>
      </c>
      <c r="F3774" s="2" t="s">
        <v>1907</v>
      </c>
      <c r="H3774" s="1" t="str">
        <f t="shared" si="61"/>
        <v/>
      </c>
      <c r="K3774" s="1">
        <f>IF(E3774=0,SUMPRODUCT(($A$2:$A$4734=A3774)*($B$2:$B$4734=B3774)*($D$2:$D$4734=D3774)*($E$2:$E$4734=0)),0)</f>
        <v>4</v>
      </c>
      <c r="L3774" s="1">
        <f>IF(E3774=0,SUMPRODUCT(MIN($K$2:$K$4734+((($A$2:$A$4734&lt;&gt;A3774)+($E$2:$E$4734&lt;&gt;0))&gt;0)*1000000)),"")</f>
        <v>4</v>
      </c>
      <c r="M3774" s="1">
        <f>IF(AND(E3774=0,COUNTIFS($A$2:A3774,A3774,$E$2:E3774,0)=1),L3774,0)</f>
        <v>0</v>
      </c>
    </row>
    <row r="3775" spans="1:13" ht="15" customHeight="1">
      <c r="A3775" s="1">
        <v>175</v>
      </c>
      <c r="B3775" s="1" t="s">
        <v>9</v>
      </c>
      <c r="C3775" s="2" t="s">
        <v>4473</v>
      </c>
      <c r="D3775" s="2" t="s">
        <v>561</v>
      </c>
      <c r="E3775" s="1">
        <v>0</v>
      </c>
      <c r="F3775" s="2" t="s">
        <v>1906</v>
      </c>
      <c r="H3775" s="1" t="str">
        <f t="shared" si="61"/>
        <v/>
      </c>
      <c r="K3775" s="1">
        <f>IF(E3775=0,SUMPRODUCT(($A$2:$A$4734=A3775)*($B$2:$B$4734=B3775)*($D$2:$D$4734=D3775)*($E$2:$E$4734=0)),0)</f>
        <v>5</v>
      </c>
      <c r="L3775" s="1">
        <f>IF(E3775=0,SUMPRODUCT(MIN($K$2:$K$4734+((($A$2:$A$4734&lt;&gt;A3775)+($E$2:$E$4734&lt;&gt;0))&gt;0)*1000000)),"")</f>
        <v>4</v>
      </c>
      <c r="M3775" s="1">
        <f>IF(AND(E3775=0,COUNTIFS($A$2:A3775,A3775,$E$2:E3775,0)=1),L3775,0)</f>
        <v>0</v>
      </c>
    </row>
    <row r="3776" spans="1:13" ht="15" customHeight="1">
      <c r="A3776" s="1">
        <v>175</v>
      </c>
      <c r="B3776" s="1" t="s">
        <v>9</v>
      </c>
      <c r="C3776" s="2" t="s">
        <v>4473</v>
      </c>
      <c r="D3776" s="2" t="s">
        <v>561</v>
      </c>
      <c r="E3776" s="1">
        <v>0</v>
      </c>
      <c r="F3776" s="2" t="s">
        <v>4475</v>
      </c>
      <c r="H3776" s="1" t="str">
        <f t="shared" si="61"/>
        <v/>
      </c>
      <c r="K3776" s="1">
        <f>IF(E3776=0,SUMPRODUCT(($A$2:$A$4734=A3776)*($B$2:$B$4734=B3776)*($D$2:$D$4734=D3776)*($E$2:$E$4734=0)),0)</f>
        <v>5</v>
      </c>
      <c r="L3776" s="1">
        <f>IF(E3776=0,SUMPRODUCT(MIN($K$2:$K$4734+((($A$2:$A$4734&lt;&gt;A3776)+($E$2:$E$4734&lt;&gt;0))&gt;0)*1000000)),"")</f>
        <v>4</v>
      </c>
      <c r="M3776" s="1">
        <f>IF(AND(E3776=0,COUNTIFS($A$2:A3776,A3776,$E$2:E3776,0)=1),L3776,0)</f>
        <v>0</v>
      </c>
    </row>
    <row r="3777" spans="1:13" ht="15" customHeight="1">
      <c r="A3777" s="1">
        <v>175</v>
      </c>
      <c r="B3777" s="1" t="s">
        <v>9</v>
      </c>
      <c r="C3777" s="2" t="s">
        <v>4473</v>
      </c>
      <c r="D3777" s="2" t="s">
        <v>561</v>
      </c>
      <c r="E3777" s="1">
        <v>0</v>
      </c>
      <c r="F3777" s="2" t="s">
        <v>4476</v>
      </c>
      <c r="H3777" s="1" t="str">
        <f t="shared" si="61"/>
        <v/>
      </c>
      <c r="K3777" s="1">
        <f>IF(E3777=0,SUMPRODUCT(($A$2:$A$4734=A3777)*($B$2:$B$4734=B3777)*($D$2:$D$4734=D3777)*($E$2:$E$4734=0)),0)</f>
        <v>5</v>
      </c>
      <c r="L3777" s="1">
        <f>IF(E3777=0,SUMPRODUCT(MIN($K$2:$K$4734+((($A$2:$A$4734&lt;&gt;A3777)+($E$2:$E$4734&lt;&gt;0))&gt;0)*1000000)),"")</f>
        <v>4</v>
      </c>
      <c r="M3777" s="1">
        <f>IF(AND(E3777=0,COUNTIFS($A$2:A3777,A3777,$E$2:E3777,0)=1),L3777,0)</f>
        <v>0</v>
      </c>
    </row>
    <row r="3778" spans="1:13" ht="15" customHeight="1">
      <c r="A3778" s="1">
        <v>175</v>
      </c>
      <c r="B3778" s="1" t="s">
        <v>9</v>
      </c>
      <c r="C3778" s="2" t="s">
        <v>4473</v>
      </c>
      <c r="D3778" s="2" t="s">
        <v>561</v>
      </c>
      <c r="E3778" s="1">
        <v>0</v>
      </c>
      <c r="F3778" s="2" t="s">
        <v>697</v>
      </c>
      <c r="H3778" s="1" t="str">
        <f t="shared" si="61"/>
        <v/>
      </c>
      <c r="K3778" s="1">
        <f>IF(E3778=0,SUMPRODUCT(($A$2:$A$4734=A3778)*($B$2:$B$4734=B3778)*($D$2:$D$4734=D3778)*($E$2:$E$4734=0)),0)</f>
        <v>5</v>
      </c>
      <c r="L3778" s="1">
        <f>IF(E3778=0,SUMPRODUCT(MIN($K$2:$K$4734+((($A$2:$A$4734&lt;&gt;A3778)+($E$2:$E$4734&lt;&gt;0))&gt;0)*1000000)),"")</f>
        <v>4</v>
      </c>
      <c r="M3778" s="1">
        <f>IF(AND(E3778=0,COUNTIFS($A$2:A3778,A3778,$E$2:E3778,0)=1),L3778,0)</f>
        <v>0</v>
      </c>
    </row>
    <row r="3779" spans="1:13" ht="15" customHeight="1">
      <c r="A3779" s="1">
        <v>175</v>
      </c>
      <c r="B3779" s="1" t="s">
        <v>9</v>
      </c>
      <c r="C3779" s="2" t="s">
        <v>4473</v>
      </c>
      <c r="D3779" s="2" t="s">
        <v>561</v>
      </c>
      <c r="E3779" s="1">
        <v>0</v>
      </c>
      <c r="F3779" s="2" t="s">
        <v>4477</v>
      </c>
      <c r="H3779" s="1" t="str">
        <f t="shared" si="61"/>
        <v/>
      </c>
      <c r="K3779" s="1">
        <f>IF(E3779=0,SUMPRODUCT(($A$2:$A$4734=A3779)*($B$2:$B$4734=B3779)*($D$2:$D$4734=D3779)*($E$2:$E$4734=0)),0)</f>
        <v>5</v>
      </c>
      <c r="L3779" s="1">
        <f>IF(E3779=0,SUMPRODUCT(MIN($K$2:$K$4734+((($A$2:$A$4734&lt;&gt;A3779)+($E$2:$E$4734&lt;&gt;0))&gt;0)*1000000)),"")</f>
        <v>4</v>
      </c>
      <c r="M3779" s="1">
        <f>IF(AND(E3779=0,COUNTIFS($A$2:A3779,A3779,$E$2:E3779,0)=1),L3779,0)</f>
        <v>0</v>
      </c>
    </row>
    <row r="3780" spans="1:13" ht="15" customHeight="1">
      <c r="A3780" s="1">
        <v>175</v>
      </c>
      <c r="B3780" s="1" t="s">
        <v>9</v>
      </c>
      <c r="C3780" s="2" t="s">
        <v>4473</v>
      </c>
      <c r="D3780" s="2" t="s">
        <v>4478</v>
      </c>
      <c r="E3780" s="1">
        <v>0</v>
      </c>
      <c r="F3780" s="2" t="s">
        <v>4479</v>
      </c>
      <c r="H3780" s="1" t="str">
        <f t="shared" si="61"/>
        <v/>
      </c>
      <c r="K3780" s="1">
        <f>IF(E3780=0,SUMPRODUCT(($A$2:$A$4734=A3780)*($B$2:$B$4734=B3780)*($D$2:$D$4734=D3780)*($E$2:$E$4734=0)),0)</f>
        <v>5</v>
      </c>
      <c r="L3780" s="1">
        <f>IF(E3780=0,SUMPRODUCT(MIN($K$2:$K$4734+((($A$2:$A$4734&lt;&gt;A3780)+($E$2:$E$4734&lt;&gt;0))&gt;0)*1000000)),"")</f>
        <v>4</v>
      </c>
      <c r="M3780" s="1">
        <f>IF(AND(E3780=0,COUNTIFS($A$2:A3780,A3780,$E$2:E3780,0)=1),L3780,0)</f>
        <v>0</v>
      </c>
    </row>
    <row r="3781" spans="1:13" ht="15" customHeight="1">
      <c r="A3781" s="1">
        <v>175</v>
      </c>
      <c r="B3781" s="1" t="s">
        <v>9</v>
      </c>
      <c r="C3781" s="2" t="s">
        <v>4473</v>
      </c>
      <c r="D3781" s="2" t="s">
        <v>4478</v>
      </c>
      <c r="E3781" s="1">
        <v>0</v>
      </c>
      <c r="F3781" s="2" t="s">
        <v>4480</v>
      </c>
      <c r="H3781" s="1" t="str">
        <f t="shared" si="61"/>
        <v/>
      </c>
      <c r="K3781" s="1">
        <f>IF(E3781=0,SUMPRODUCT(($A$2:$A$4734=A3781)*($B$2:$B$4734=B3781)*($D$2:$D$4734=D3781)*($E$2:$E$4734=0)),0)</f>
        <v>5</v>
      </c>
      <c r="L3781" s="1">
        <f>IF(E3781=0,SUMPRODUCT(MIN($K$2:$K$4734+((($A$2:$A$4734&lt;&gt;A3781)+($E$2:$E$4734&lt;&gt;0))&gt;0)*1000000)),"")</f>
        <v>4</v>
      </c>
      <c r="M3781" s="1">
        <f>IF(AND(E3781=0,COUNTIFS($A$2:A3781,A3781,$E$2:E3781,0)=1),L3781,0)</f>
        <v>0</v>
      </c>
    </row>
    <row r="3782" spans="1:13" ht="15" customHeight="1">
      <c r="A3782" s="1">
        <v>175</v>
      </c>
      <c r="B3782" s="1" t="s">
        <v>9</v>
      </c>
      <c r="C3782" s="2" t="s">
        <v>4473</v>
      </c>
      <c r="D3782" s="2" t="s">
        <v>4478</v>
      </c>
      <c r="E3782" s="1">
        <v>0</v>
      </c>
      <c r="F3782" s="2" t="s">
        <v>4481</v>
      </c>
      <c r="H3782" s="1" t="str">
        <f t="shared" si="61"/>
        <v/>
      </c>
      <c r="K3782" s="1">
        <f>IF(E3782=0,SUMPRODUCT(($A$2:$A$4734=A3782)*($B$2:$B$4734=B3782)*($D$2:$D$4734=D3782)*($E$2:$E$4734=0)),0)</f>
        <v>5</v>
      </c>
      <c r="L3782" s="1">
        <f>IF(E3782=0,SUMPRODUCT(MIN($K$2:$K$4734+((($A$2:$A$4734&lt;&gt;A3782)+($E$2:$E$4734&lt;&gt;0))&gt;0)*1000000)),"")</f>
        <v>4</v>
      </c>
      <c r="M3782" s="1">
        <f>IF(AND(E3782=0,COUNTIFS($A$2:A3782,A3782,$E$2:E3782,0)=1),L3782,0)</f>
        <v>0</v>
      </c>
    </row>
    <row r="3783" spans="1:13" ht="15" customHeight="1">
      <c r="A3783" s="1">
        <v>175</v>
      </c>
      <c r="B3783" s="1" t="s">
        <v>9</v>
      </c>
      <c r="C3783" s="2" t="s">
        <v>4473</v>
      </c>
      <c r="D3783" s="2" t="s">
        <v>4478</v>
      </c>
      <c r="E3783" s="1">
        <v>0</v>
      </c>
      <c r="F3783" s="2" t="s">
        <v>4482</v>
      </c>
      <c r="H3783" s="1" t="str">
        <f t="shared" si="61"/>
        <v/>
      </c>
      <c r="K3783" s="1">
        <f>IF(E3783=0,SUMPRODUCT(($A$2:$A$4734=A3783)*($B$2:$B$4734=B3783)*($D$2:$D$4734=D3783)*($E$2:$E$4734=0)),0)</f>
        <v>5</v>
      </c>
      <c r="L3783" s="1">
        <f>IF(E3783=0,SUMPRODUCT(MIN($K$2:$K$4734+((($A$2:$A$4734&lt;&gt;A3783)+($E$2:$E$4734&lt;&gt;0))&gt;0)*1000000)),"")</f>
        <v>4</v>
      </c>
      <c r="M3783" s="1">
        <f>IF(AND(E3783=0,COUNTIFS($A$2:A3783,A3783,$E$2:E3783,0)=1),L3783,0)</f>
        <v>0</v>
      </c>
    </row>
    <row r="3784" spans="1:13" ht="15" customHeight="1">
      <c r="A3784" s="1">
        <v>175</v>
      </c>
      <c r="B3784" s="1" t="s">
        <v>9</v>
      </c>
      <c r="C3784" s="2" t="s">
        <v>4473</v>
      </c>
      <c r="D3784" s="2" t="s">
        <v>4478</v>
      </c>
      <c r="E3784" s="1">
        <v>0</v>
      </c>
      <c r="F3784" s="2" t="s">
        <v>4483</v>
      </c>
      <c r="H3784" s="1" t="str">
        <f t="shared" si="61"/>
        <v/>
      </c>
      <c r="K3784" s="1">
        <f>IF(E3784=0,SUMPRODUCT(($A$2:$A$4734=A3784)*($B$2:$B$4734=B3784)*($D$2:$D$4734=D3784)*($E$2:$E$4734=0)),0)</f>
        <v>5</v>
      </c>
      <c r="L3784" s="1">
        <f>IF(E3784=0,SUMPRODUCT(MIN($K$2:$K$4734+((($A$2:$A$4734&lt;&gt;A3784)+($E$2:$E$4734&lt;&gt;0))&gt;0)*1000000)),"")</f>
        <v>4</v>
      </c>
      <c r="M3784" s="1">
        <f>IF(AND(E3784=0,COUNTIFS($A$2:A3784,A3784,$E$2:E3784,0)=1),L3784,0)</f>
        <v>0</v>
      </c>
    </row>
    <row r="3785" spans="1:13" ht="15" customHeight="1">
      <c r="A3785" s="1">
        <v>176</v>
      </c>
      <c r="B3785" s="1" t="s">
        <v>9</v>
      </c>
      <c r="C3785" s="2" t="s">
        <v>4484</v>
      </c>
      <c r="D3785" s="2" t="s">
        <v>4485</v>
      </c>
      <c r="E3785" s="1">
        <v>0</v>
      </c>
      <c r="F3785" s="2" t="s">
        <v>4486</v>
      </c>
      <c r="H3785" s="1" t="str">
        <f t="shared" si="61"/>
        <v/>
      </c>
      <c r="K3785" s="1">
        <f>IF(E3785=0,SUMPRODUCT(($A$2:$A$4734=A3785)*($B$2:$B$4734=B3785)*($D$2:$D$4734=D3785)*($E$2:$E$4734=0)),0)</f>
        <v>2</v>
      </c>
      <c r="L3785" s="1">
        <f>IF(E3785=0,SUMPRODUCT(MIN($K$2:$K$4734+((($A$2:$A$4734&lt;&gt;A3785)+($E$2:$E$4734&lt;&gt;0))&gt;0)*1000000)),"")</f>
        <v>2</v>
      </c>
      <c r="M3785" s="1">
        <f>IF(AND(E3785=0,COUNTIFS($A$2:A3785,A3785,$E$2:E3785,0)=1),L3785,0)</f>
        <v>2</v>
      </c>
    </row>
    <row r="3786" spans="1:13" ht="15" customHeight="1">
      <c r="A3786" s="1">
        <v>176</v>
      </c>
      <c r="B3786" s="1" t="s">
        <v>9</v>
      </c>
      <c r="C3786" s="2" t="s">
        <v>4484</v>
      </c>
      <c r="D3786" s="2" t="s">
        <v>4485</v>
      </c>
      <c r="E3786" s="1">
        <v>0</v>
      </c>
      <c r="F3786" s="2" t="s">
        <v>4487</v>
      </c>
      <c r="H3786" s="1" t="str">
        <f t="shared" si="61"/>
        <v/>
      </c>
      <c r="K3786" s="1">
        <f>IF(E3786=0,SUMPRODUCT(($A$2:$A$4734=A3786)*($B$2:$B$4734=B3786)*($D$2:$D$4734=D3786)*($E$2:$E$4734=0)),0)</f>
        <v>2</v>
      </c>
      <c r="L3786" s="1">
        <f>IF(E3786=0,SUMPRODUCT(MIN($K$2:$K$4734+((($A$2:$A$4734&lt;&gt;A3786)+($E$2:$E$4734&lt;&gt;0))&gt;0)*1000000)),"")</f>
        <v>2</v>
      </c>
      <c r="M3786" s="1">
        <f>IF(AND(E3786=0,COUNTIFS($A$2:A3786,A3786,$E$2:E3786,0)=1),L3786,0)</f>
        <v>0</v>
      </c>
    </row>
    <row r="3787" spans="1:13" ht="15" customHeight="1">
      <c r="A3787" s="1">
        <v>176</v>
      </c>
      <c r="B3787" s="1" t="s">
        <v>9</v>
      </c>
      <c r="C3787" s="2" t="s">
        <v>4484</v>
      </c>
      <c r="D3787" s="2" t="s">
        <v>4488</v>
      </c>
      <c r="E3787" s="1">
        <v>0</v>
      </c>
      <c r="F3787" s="2" t="s">
        <v>4489</v>
      </c>
      <c r="H3787" s="1" t="str">
        <f t="shared" si="61"/>
        <v/>
      </c>
      <c r="K3787" s="1">
        <f>IF(E3787=0,SUMPRODUCT(($A$2:$A$4734=A3787)*($B$2:$B$4734=B3787)*($D$2:$D$4734=D3787)*($E$2:$E$4734=0)),0)</f>
        <v>4</v>
      </c>
      <c r="L3787" s="1">
        <f>IF(E3787=0,SUMPRODUCT(MIN($K$2:$K$4734+((($A$2:$A$4734&lt;&gt;A3787)+($E$2:$E$4734&lt;&gt;0))&gt;0)*1000000)),"")</f>
        <v>2</v>
      </c>
      <c r="M3787" s="1">
        <f>IF(AND(E3787=0,COUNTIFS($A$2:A3787,A3787,$E$2:E3787,0)=1),L3787,0)</f>
        <v>0</v>
      </c>
    </row>
    <row r="3788" spans="1:13" ht="15" customHeight="1">
      <c r="A3788" s="1">
        <v>176</v>
      </c>
      <c r="B3788" s="1" t="s">
        <v>9</v>
      </c>
      <c r="C3788" s="2" t="s">
        <v>4484</v>
      </c>
      <c r="D3788" s="2" t="s">
        <v>4488</v>
      </c>
      <c r="E3788" s="1">
        <v>0</v>
      </c>
      <c r="F3788" s="2" t="s">
        <v>4490</v>
      </c>
      <c r="H3788" s="1" t="str">
        <f t="shared" si="61"/>
        <v/>
      </c>
      <c r="K3788" s="1">
        <f>IF(E3788=0,SUMPRODUCT(($A$2:$A$4734=A3788)*($B$2:$B$4734=B3788)*($D$2:$D$4734=D3788)*($E$2:$E$4734=0)),0)</f>
        <v>4</v>
      </c>
      <c r="L3788" s="1">
        <f>IF(E3788=0,SUMPRODUCT(MIN($K$2:$K$4734+((($A$2:$A$4734&lt;&gt;A3788)+($E$2:$E$4734&lt;&gt;0))&gt;0)*1000000)),"")</f>
        <v>2</v>
      </c>
      <c r="M3788" s="1">
        <f>IF(AND(E3788=0,COUNTIFS($A$2:A3788,A3788,$E$2:E3788,0)=1),L3788,0)</f>
        <v>0</v>
      </c>
    </row>
    <row r="3789" spans="1:13" ht="15" customHeight="1">
      <c r="A3789" s="1">
        <v>176</v>
      </c>
      <c r="B3789" s="1" t="s">
        <v>9</v>
      </c>
      <c r="C3789" s="2" t="s">
        <v>4484</v>
      </c>
      <c r="D3789" s="2" t="s">
        <v>4488</v>
      </c>
      <c r="E3789" s="1">
        <v>0</v>
      </c>
      <c r="F3789" s="2" t="s">
        <v>4491</v>
      </c>
      <c r="H3789" s="1" t="str">
        <f t="shared" si="61"/>
        <v/>
      </c>
      <c r="K3789" s="1">
        <f>IF(E3789=0,SUMPRODUCT(($A$2:$A$4734=A3789)*($B$2:$B$4734=B3789)*($D$2:$D$4734=D3789)*($E$2:$E$4734=0)),0)</f>
        <v>4</v>
      </c>
      <c r="L3789" s="1">
        <f>IF(E3789=0,SUMPRODUCT(MIN($K$2:$K$4734+((($A$2:$A$4734&lt;&gt;A3789)+($E$2:$E$4734&lt;&gt;0))&gt;0)*1000000)),"")</f>
        <v>2</v>
      </c>
      <c r="M3789" s="1">
        <f>IF(AND(E3789=0,COUNTIFS($A$2:A3789,A3789,$E$2:E3789,0)=1),L3789,0)</f>
        <v>0</v>
      </c>
    </row>
    <row r="3790" spans="1:13" ht="15" customHeight="1">
      <c r="A3790" s="1">
        <v>176</v>
      </c>
      <c r="B3790" s="1" t="s">
        <v>9</v>
      </c>
      <c r="C3790" s="2" t="s">
        <v>4484</v>
      </c>
      <c r="D3790" s="2" t="s">
        <v>4488</v>
      </c>
      <c r="E3790" s="1">
        <v>0</v>
      </c>
      <c r="F3790" s="2" t="s">
        <v>4492</v>
      </c>
      <c r="H3790" s="1" t="str">
        <f t="shared" si="61"/>
        <v/>
      </c>
      <c r="K3790" s="1">
        <f>IF(E3790=0,SUMPRODUCT(($A$2:$A$4734=A3790)*($B$2:$B$4734=B3790)*($D$2:$D$4734=D3790)*($E$2:$E$4734=0)),0)</f>
        <v>4</v>
      </c>
      <c r="L3790" s="1">
        <f>IF(E3790=0,SUMPRODUCT(MIN($K$2:$K$4734+((($A$2:$A$4734&lt;&gt;A3790)+($E$2:$E$4734&lt;&gt;0))&gt;0)*1000000)),"")</f>
        <v>2</v>
      </c>
      <c r="M3790" s="1">
        <f>IF(AND(E3790=0,COUNTIFS($A$2:A3790,A3790,$E$2:E3790,0)=1),L3790,0)</f>
        <v>0</v>
      </c>
    </row>
    <row r="3791" spans="1:13" ht="15" customHeight="1">
      <c r="A3791" s="1">
        <v>177</v>
      </c>
      <c r="B3791" s="1" t="s">
        <v>16</v>
      </c>
      <c r="C3791" s="2" t="s">
        <v>4493</v>
      </c>
      <c r="D3791" s="2" t="s">
        <v>4494</v>
      </c>
      <c r="E3791" s="1">
        <v>0</v>
      </c>
      <c r="F3791" s="2" t="s">
        <v>4495</v>
      </c>
      <c r="H3791" s="1" t="str">
        <f t="shared" si="61"/>
        <v/>
      </c>
      <c r="K3791" s="1">
        <f>IF(E3791=0,SUMPRODUCT(($A$2:$A$4734=A3791)*($B$2:$B$4734=B3791)*($D$2:$D$4734=D3791)*($E$2:$E$4734=0)),0)</f>
        <v>3</v>
      </c>
      <c r="L3791" s="1">
        <f>IF(E3791=0,SUMPRODUCT(MIN($K$2:$K$4734+((($A$2:$A$4734&lt;&gt;A3791)+($E$2:$E$4734&lt;&gt;0))&gt;0)*1000000)),"")</f>
        <v>3</v>
      </c>
      <c r="M3791" s="1">
        <f>IF(AND(E3791=0,COUNTIFS($A$2:A3791,A3791,$E$2:E3791,0)=1),L3791,0)</f>
        <v>3</v>
      </c>
    </row>
    <row r="3792" spans="1:13" ht="15" customHeight="1">
      <c r="A3792" s="1">
        <v>177</v>
      </c>
      <c r="B3792" s="1" t="s">
        <v>16</v>
      </c>
      <c r="C3792" s="2" t="s">
        <v>4493</v>
      </c>
      <c r="D3792" s="2" t="s">
        <v>4494</v>
      </c>
      <c r="E3792" s="1">
        <v>0</v>
      </c>
      <c r="F3792" s="2" t="s">
        <v>4496</v>
      </c>
      <c r="H3792" s="1" t="str">
        <f t="shared" si="61"/>
        <v/>
      </c>
      <c r="K3792" s="1">
        <f>IF(E3792=0,SUMPRODUCT(($A$2:$A$4734=A3792)*($B$2:$B$4734=B3792)*($D$2:$D$4734=D3792)*($E$2:$E$4734=0)),0)</f>
        <v>3</v>
      </c>
      <c r="L3792" s="1">
        <f>IF(E3792=0,SUMPRODUCT(MIN($K$2:$K$4734+((($A$2:$A$4734&lt;&gt;A3792)+($E$2:$E$4734&lt;&gt;0))&gt;0)*1000000)),"")</f>
        <v>3</v>
      </c>
      <c r="M3792" s="1">
        <f>IF(AND(E3792=0,COUNTIFS($A$2:A3792,A3792,$E$2:E3792,0)=1),L3792,0)</f>
        <v>0</v>
      </c>
    </row>
    <row r="3793" spans="1:13" ht="15" customHeight="1">
      <c r="A3793" s="1">
        <v>177</v>
      </c>
      <c r="B3793" s="1" t="s">
        <v>16</v>
      </c>
      <c r="C3793" s="2" t="s">
        <v>4493</v>
      </c>
      <c r="D3793" s="2" t="s">
        <v>4494</v>
      </c>
      <c r="E3793" s="1">
        <v>0</v>
      </c>
      <c r="F3793" s="2" t="s">
        <v>4497</v>
      </c>
      <c r="H3793" s="1" t="str">
        <f t="shared" si="61"/>
        <v/>
      </c>
      <c r="K3793" s="1">
        <f>IF(E3793=0,SUMPRODUCT(($A$2:$A$4734=A3793)*($B$2:$B$4734=B3793)*($D$2:$D$4734=D3793)*($E$2:$E$4734=0)),0)</f>
        <v>3</v>
      </c>
      <c r="L3793" s="1">
        <f>IF(E3793=0,SUMPRODUCT(MIN($K$2:$K$4734+((($A$2:$A$4734&lt;&gt;A3793)+($E$2:$E$4734&lt;&gt;0))&gt;0)*1000000)),"")</f>
        <v>3</v>
      </c>
      <c r="M3793" s="1">
        <f>IF(AND(E3793=0,COUNTIFS($A$2:A3793,A3793,$E$2:E3793,0)=1),L3793,0)</f>
        <v>0</v>
      </c>
    </row>
    <row r="3794" spans="1:13" ht="15" customHeight="1">
      <c r="A3794" s="1">
        <v>178</v>
      </c>
      <c r="B3794" s="1" t="s">
        <v>9</v>
      </c>
      <c r="C3794" s="2" t="s">
        <v>4498</v>
      </c>
      <c r="D3794" s="2" t="s">
        <v>4499</v>
      </c>
      <c r="E3794" s="1">
        <v>0</v>
      </c>
      <c r="F3794" s="2" t="s">
        <v>4500</v>
      </c>
      <c r="H3794" s="1" t="str">
        <f t="shared" si="61"/>
        <v/>
      </c>
      <c r="K3794" s="1">
        <f>IF(E3794=0,SUMPRODUCT(($A$2:$A$4734=A3794)*($B$2:$B$4734=B3794)*($D$2:$D$4734=D3794)*($E$2:$E$4734=0)),0)</f>
        <v>5</v>
      </c>
      <c r="L3794" s="1">
        <f>IF(E3794=0,SUMPRODUCT(MIN($K$2:$K$4734+((($A$2:$A$4734&lt;&gt;A3794)+($E$2:$E$4734&lt;&gt;0))&gt;0)*1000000)),"")</f>
        <v>5</v>
      </c>
      <c r="M3794" s="1">
        <f>IF(AND(E3794=0,COUNTIFS($A$2:A3794,A3794,$E$2:E3794,0)=1),L3794,0)</f>
        <v>5</v>
      </c>
    </row>
    <row r="3795" spans="1:13" ht="15" customHeight="1">
      <c r="A3795" s="1">
        <v>178</v>
      </c>
      <c r="B3795" s="1" t="s">
        <v>9</v>
      </c>
      <c r="C3795" s="2" t="s">
        <v>4498</v>
      </c>
      <c r="D3795" s="2" t="s">
        <v>4499</v>
      </c>
      <c r="E3795" s="1">
        <v>0</v>
      </c>
      <c r="F3795" s="2" t="s">
        <v>4501</v>
      </c>
      <c r="H3795" s="1" t="str">
        <f t="shared" si="61"/>
        <v/>
      </c>
      <c r="K3795" s="1">
        <f>IF(E3795=0,SUMPRODUCT(($A$2:$A$4734=A3795)*($B$2:$B$4734=B3795)*($D$2:$D$4734=D3795)*($E$2:$E$4734=0)),0)</f>
        <v>5</v>
      </c>
      <c r="L3795" s="1">
        <f>IF(E3795=0,SUMPRODUCT(MIN($K$2:$K$4734+((($A$2:$A$4734&lt;&gt;A3795)+($E$2:$E$4734&lt;&gt;0))&gt;0)*1000000)),"")</f>
        <v>5</v>
      </c>
      <c r="M3795" s="1">
        <f>IF(AND(E3795=0,COUNTIFS($A$2:A3795,A3795,$E$2:E3795,0)=1),L3795,0)</f>
        <v>0</v>
      </c>
    </row>
    <row r="3796" spans="1:13" ht="15" customHeight="1">
      <c r="A3796" s="1">
        <v>178</v>
      </c>
      <c r="B3796" s="1" t="s">
        <v>9</v>
      </c>
      <c r="C3796" s="2" t="s">
        <v>4498</v>
      </c>
      <c r="D3796" s="2" t="s">
        <v>4499</v>
      </c>
      <c r="E3796" s="1">
        <v>0</v>
      </c>
      <c r="F3796" s="2" t="s">
        <v>4502</v>
      </c>
      <c r="H3796" s="1" t="str">
        <f t="shared" si="61"/>
        <v/>
      </c>
      <c r="K3796" s="1">
        <f>IF(E3796=0,SUMPRODUCT(($A$2:$A$4734=A3796)*($B$2:$B$4734=B3796)*($D$2:$D$4734=D3796)*($E$2:$E$4734=0)),0)</f>
        <v>5</v>
      </c>
      <c r="L3796" s="1">
        <f>IF(E3796=0,SUMPRODUCT(MIN($K$2:$K$4734+((($A$2:$A$4734&lt;&gt;A3796)+($E$2:$E$4734&lt;&gt;0))&gt;0)*1000000)),"")</f>
        <v>5</v>
      </c>
      <c r="M3796" s="1">
        <f>IF(AND(E3796=0,COUNTIFS($A$2:A3796,A3796,$E$2:E3796,0)=1),L3796,0)</f>
        <v>0</v>
      </c>
    </row>
    <row r="3797" spans="1:13" ht="15" customHeight="1">
      <c r="A3797" s="1">
        <v>178</v>
      </c>
      <c r="B3797" s="1" t="s">
        <v>9</v>
      </c>
      <c r="C3797" s="2" t="s">
        <v>4498</v>
      </c>
      <c r="D3797" s="2" t="s">
        <v>4499</v>
      </c>
      <c r="E3797" s="1">
        <v>0</v>
      </c>
      <c r="F3797" s="2" t="s">
        <v>4503</v>
      </c>
      <c r="H3797" s="1" t="str">
        <f t="shared" si="61"/>
        <v/>
      </c>
      <c r="K3797" s="1">
        <f>IF(E3797=0,SUMPRODUCT(($A$2:$A$4734=A3797)*($B$2:$B$4734=B3797)*($D$2:$D$4734=D3797)*($E$2:$E$4734=0)),0)</f>
        <v>5</v>
      </c>
      <c r="L3797" s="1">
        <f>IF(E3797=0,SUMPRODUCT(MIN($K$2:$K$4734+((($A$2:$A$4734&lt;&gt;A3797)+($E$2:$E$4734&lt;&gt;0))&gt;0)*1000000)),"")</f>
        <v>5</v>
      </c>
      <c r="M3797" s="1">
        <f>IF(AND(E3797=0,COUNTIFS($A$2:A3797,A3797,$E$2:E3797,0)=1),L3797,0)</f>
        <v>0</v>
      </c>
    </row>
    <row r="3798" spans="1:13" ht="15" customHeight="1">
      <c r="A3798" s="1">
        <v>178</v>
      </c>
      <c r="B3798" s="1" t="s">
        <v>9</v>
      </c>
      <c r="C3798" s="2" t="s">
        <v>4498</v>
      </c>
      <c r="D3798" s="2" t="s">
        <v>4499</v>
      </c>
      <c r="E3798" s="1">
        <v>0</v>
      </c>
      <c r="F3798" s="2" t="s">
        <v>4504</v>
      </c>
      <c r="H3798" s="1" t="str">
        <f t="shared" si="61"/>
        <v/>
      </c>
      <c r="K3798" s="1">
        <f>IF(E3798=0,SUMPRODUCT(($A$2:$A$4734=A3798)*($B$2:$B$4734=B3798)*($D$2:$D$4734=D3798)*($E$2:$E$4734=0)),0)</f>
        <v>5</v>
      </c>
      <c r="L3798" s="1">
        <f>IF(E3798=0,SUMPRODUCT(MIN($K$2:$K$4734+((($A$2:$A$4734&lt;&gt;A3798)+($E$2:$E$4734&lt;&gt;0))&gt;0)*1000000)),"")</f>
        <v>5</v>
      </c>
      <c r="M3798" s="1">
        <f>IF(AND(E3798=0,COUNTIFS($A$2:A3798,A3798,$E$2:E3798,0)=1),L3798,0)</f>
        <v>0</v>
      </c>
    </row>
    <row r="3799" spans="1:13" ht="15" customHeight="1">
      <c r="A3799" s="1">
        <v>179</v>
      </c>
      <c r="B3799" s="1" t="s">
        <v>9</v>
      </c>
      <c r="C3799" s="2" t="s">
        <v>4505</v>
      </c>
      <c r="D3799" s="2" t="s">
        <v>4506</v>
      </c>
      <c r="E3799" s="1">
        <v>0</v>
      </c>
      <c r="F3799" s="2" t="s">
        <v>4507</v>
      </c>
      <c r="H3799" s="1" t="str">
        <f t="shared" si="61"/>
        <v/>
      </c>
      <c r="K3799" s="1">
        <f>IF(E3799=0,SUMPRODUCT(($A$2:$A$4734=A3799)*($B$2:$B$4734=B3799)*($D$2:$D$4734=D3799)*($E$2:$E$4734=0)),0)</f>
        <v>4</v>
      </c>
      <c r="L3799" s="1">
        <f>IF(E3799=0,SUMPRODUCT(MIN($K$2:$K$4734+((($A$2:$A$4734&lt;&gt;A3799)+($E$2:$E$4734&lt;&gt;0))&gt;0)*1000000)),"")</f>
        <v>4</v>
      </c>
      <c r="M3799" s="1">
        <f>IF(AND(E3799=0,COUNTIFS($A$2:A3799,A3799,$E$2:E3799,0)=1),L3799,0)</f>
        <v>4</v>
      </c>
    </row>
    <row r="3800" spans="1:13" ht="15" customHeight="1">
      <c r="A3800" s="1">
        <v>179</v>
      </c>
      <c r="B3800" s="1" t="s">
        <v>9</v>
      </c>
      <c r="C3800" s="2" t="s">
        <v>4505</v>
      </c>
      <c r="D3800" s="2" t="s">
        <v>4506</v>
      </c>
      <c r="E3800" s="1">
        <v>0</v>
      </c>
      <c r="F3800" s="2" t="s">
        <v>4508</v>
      </c>
      <c r="H3800" s="1" t="str">
        <f t="shared" si="61"/>
        <v/>
      </c>
      <c r="K3800" s="1">
        <f>IF(E3800=0,SUMPRODUCT(($A$2:$A$4734=A3800)*($B$2:$B$4734=B3800)*($D$2:$D$4734=D3800)*($E$2:$E$4734=0)),0)</f>
        <v>4</v>
      </c>
      <c r="L3800" s="1">
        <f>IF(E3800=0,SUMPRODUCT(MIN($K$2:$K$4734+((($A$2:$A$4734&lt;&gt;A3800)+($E$2:$E$4734&lt;&gt;0))&gt;0)*1000000)),"")</f>
        <v>4</v>
      </c>
      <c r="M3800" s="1">
        <f>IF(AND(E3800=0,COUNTIFS($A$2:A3800,A3800,$E$2:E3800,0)=1),L3800,0)</f>
        <v>0</v>
      </c>
    </row>
    <row r="3801" spans="1:13" ht="15" customHeight="1">
      <c r="A3801" s="1">
        <v>179</v>
      </c>
      <c r="B3801" s="1" t="s">
        <v>9</v>
      </c>
      <c r="C3801" s="2" t="s">
        <v>4505</v>
      </c>
      <c r="D3801" s="2" t="s">
        <v>4506</v>
      </c>
      <c r="E3801" s="1">
        <v>0</v>
      </c>
      <c r="F3801" s="2" t="s">
        <v>4509</v>
      </c>
      <c r="H3801" s="1" t="str">
        <f t="shared" si="61"/>
        <v/>
      </c>
      <c r="K3801" s="1">
        <f>IF(E3801=0,SUMPRODUCT(($A$2:$A$4734=A3801)*($B$2:$B$4734=B3801)*($D$2:$D$4734=D3801)*($E$2:$E$4734=0)),0)</f>
        <v>4</v>
      </c>
      <c r="L3801" s="1">
        <f>IF(E3801=0,SUMPRODUCT(MIN($K$2:$K$4734+((($A$2:$A$4734&lt;&gt;A3801)+($E$2:$E$4734&lt;&gt;0))&gt;0)*1000000)),"")</f>
        <v>4</v>
      </c>
      <c r="M3801" s="1">
        <f>IF(AND(E3801=0,COUNTIFS($A$2:A3801,A3801,$E$2:E3801,0)=1),L3801,0)</f>
        <v>0</v>
      </c>
    </row>
    <row r="3802" spans="1:13" ht="15" customHeight="1">
      <c r="A3802" s="1">
        <v>179</v>
      </c>
      <c r="B3802" s="1" t="s">
        <v>9</v>
      </c>
      <c r="C3802" s="2" t="s">
        <v>4505</v>
      </c>
      <c r="D3802" s="2" t="s">
        <v>4506</v>
      </c>
      <c r="E3802" s="1">
        <v>0</v>
      </c>
      <c r="F3802" s="2" t="s">
        <v>4510</v>
      </c>
      <c r="H3802" s="1" t="str">
        <f t="shared" si="61"/>
        <v/>
      </c>
      <c r="K3802" s="1">
        <f>IF(E3802=0,SUMPRODUCT(($A$2:$A$4734=A3802)*($B$2:$B$4734=B3802)*($D$2:$D$4734=D3802)*($E$2:$E$4734=0)),0)</f>
        <v>4</v>
      </c>
      <c r="L3802" s="1">
        <f>IF(E3802=0,SUMPRODUCT(MIN($K$2:$K$4734+((($A$2:$A$4734&lt;&gt;A3802)+($E$2:$E$4734&lt;&gt;0))&gt;0)*1000000)),"")</f>
        <v>4</v>
      </c>
      <c r="M3802" s="1">
        <f>IF(AND(E3802=0,COUNTIFS($A$2:A3802,A3802,$E$2:E3802,0)=1),L3802,0)</f>
        <v>0</v>
      </c>
    </row>
    <row r="3803" spans="1:13" ht="15" customHeight="1">
      <c r="A3803" s="1">
        <v>180</v>
      </c>
      <c r="B3803" s="1" t="s">
        <v>16</v>
      </c>
      <c r="C3803" s="2" t="s">
        <v>4511</v>
      </c>
      <c r="D3803" s="2" t="s">
        <v>4512</v>
      </c>
      <c r="E3803" s="1">
        <v>0</v>
      </c>
      <c r="F3803" s="2" t="s">
        <v>4513</v>
      </c>
      <c r="H3803" s="1" t="str">
        <f t="shared" si="61"/>
        <v/>
      </c>
      <c r="K3803" s="1">
        <f>IF(E3803=0,SUMPRODUCT(($A$2:$A$4734=A3803)*($B$2:$B$4734=B3803)*($D$2:$D$4734=D3803)*($E$2:$E$4734=0)),0)</f>
        <v>4</v>
      </c>
      <c r="L3803" s="1">
        <f>IF(E3803=0,SUMPRODUCT(MIN($K$2:$K$4734+((($A$2:$A$4734&lt;&gt;A3803)+($E$2:$E$4734&lt;&gt;0))&gt;0)*1000000)),"")</f>
        <v>4</v>
      </c>
      <c r="M3803" s="1">
        <f>IF(AND(E3803=0,COUNTIFS($A$2:A3803,A3803,$E$2:E3803,0)=1),L3803,0)</f>
        <v>4</v>
      </c>
    </row>
    <row r="3804" spans="1:13" ht="15" customHeight="1">
      <c r="A3804" s="1">
        <v>180</v>
      </c>
      <c r="B3804" s="1" t="s">
        <v>16</v>
      </c>
      <c r="C3804" s="2" t="s">
        <v>4514</v>
      </c>
      <c r="D3804" s="2" t="s">
        <v>4512</v>
      </c>
      <c r="E3804" s="1">
        <v>0</v>
      </c>
      <c r="F3804" s="2" t="s">
        <v>4515</v>
      </c>
      <c r="H3804" s="1" t="str">
        <f t="shared" si="61"/>
        <v/>
      </c>
      <c r="K3804" s="1">
        <f>IF(E3804=0,SUMPRODUCT(($A$2:$A$4734=A3804)*($B$2:$B$4734=B3804)*($D$2:$D$4734=D3804)*($E$2:$E$4734=0)),0)</f>
        <v>4</v>
      </c>
      <c r="L3804" s="1">
        <f>IF(E3804=0,SUMPRODUCT(MIN($K$2:$K$4734+((($A$2:$A$4734&lt;&gt;A3804)+($E$2:$E$4734&lt;&gt;0))&gt;0)*1000000)),"")</f>
        <v>4</v>
      </c>
      <c r="M3804" s="1">
        <f>IF(AND(E3804=0,COUNTIFS($A$2:A3804,A3804,$E$2:E3804,0)=1),L3804,0)</f>
        <v>0</v>
      </c>
    </row>
    <row r="3805" spans="1:13" ht="15" customHeight="1">
      <c r="A3805" s="1">
        <v>180</v>
      </c>
      <c r="B3805" s="1" t="s">
        <v>16</v>
      </c>
      <c r="C3805" s="2" t="s">
        <v>4516</v>
      </c>
      <c r="D3805" s="2" t="s">
        <v>4512</v>
      </c>
      <c r="E3805" s="1">
        <v>0</v>
      </c>
      <c r="F3805" s="2" t="s">
        <v>4517</v>
      </c>
      <c r="H3805" s="1" t="str">
        <f t="shared" si="61"/>
        <v/>
      </c>
      <c r="K3805" s="1">
        <f>IF(E3805=0,SUMPRODUCT(($A$2:$A$4734=A3805)*($B$2:$B$4734=B3805)*($D$2:$D$4734=D3805)*($E$2:$E$4734=0)),0)</f>
        <v>4</v>
      </c>
      <c r="L3805" s="1">
        <f>IF(E3805=0,SUMPRODUCT(MIN($K$2:$K$4734+((($A$2:$A$4734&lt;&gt;A3805)+($E$2:$E$4734&lt;&gt;0))&gt;0)*1000000)),"")</f>
        <v>4</v>
      </c>
      <c r="M3805" s="1">
        <f>IF(AND(E3805=0,COUNTIFS($A$2:A3805,A3805,$E$2:E3805,0)=1),L3805,0)</f>
        <v>0</v>
      </c>
    </row>
    <row r="3806" spans="1:13" ht="15" customHeight="1">
      <c r="A3806" s="1">
        <v>180</v>
      </c>
      <c r="B3806" s="1" t="s">
        <v>16</v>
      </c>
      <c r="C3806" s="2" t="s">
        <v>4518</v>
      </c>
      <c r="D3806" s="2" t="s">
        <v>4512</v>
      </c>
      <c r="E3806" s="1">
        <v>0</v>
      </c>
      <c r="F3806" s="2" t="s">
        <v>4519</v>
      </c>
      <c r="H3806" s="1" t="str">
        <f t="shared" si="61"/>
        <v/>
      </c>
      <c r="K3806" s="1">
        <f>IF(E3806=0,SUMPRODUCT(($A$2:$A$4734=A3806)*($B$2:$B$4734=B3806)*($D$2:$D$4734=D3806)*($E$2:$E$4734=0)),0)</f>
        <v>4</v>
      </c>
      <c r="L3806" s="1">
        <f>IF(E3806=0,SUMPRODUCT(MIN($K$2:$K$4734+((($A$2:$A$4734&lt;&gt;A3806)+($E$2:$E$4734&lt;&gt;0))&gt;0)*1000000)),"")</f>
        <v>4</v>
      </c>
      <c r="M3806" s="1">
        <f>IF(AND(E3806=0,COUNTIFS($A$2:A3806,A3806,$E$2:E3806,0)=1),L3806,0)</f>
        <v>0</v>
      </c>
    </row>
    <row r="3807" spans="1:13" ht="15" customHeight="1">
      <c r="A3807" s="1">
        <v>181</v>
      </c>
      <c r="B3807" s="1" t="s">
        <v>9</v>
      </c>
      <c r="C3807" s="2" t="s">
        <v>4520</v>
      </c>
      <c r="D3807" s="2" t="s">
        <v>4521</v>
      </c>
      <c r="E3807" s="1">
        <v>0</v>
      </c>
      <c r="F3807" s="2" t="s">
        <v>4522</v>
      </c>
      <c r="H3807" s="1" t="str">
        <f t="shared" si="61"/>
        <v/>
      </c>
      <c r="K3807" s="1">
        <f>IF(E3807=0,SUMPRODUCT(($A$2:$A$4734=A3807)*($B$2:$B$4734=B3807)*($D$2:$D$4734=D3807)*($E$2:$E$4734=0)),0)</f>
        <v>2</v>
      </c>
      <c r="L3807" s="1">
        <f>IF(E3807=0,SUMPRODUCT(MIN($K$2:$K$4734+((($A$2:$A$4734&lt;&gt;A3807)+($E$2:$E$4734&lt;&gt;0))&gt;0)*1000000)),"")</f>
        <v>2</v>
      </c>
      <c r="M3807" s="1">
        <f>IF(AND(E3807=0,COUNTIFS($A$2:A3807,A3807,$E$2:E3807,0)=1),L3807,0)</f>
        <v>2</v>
      </c>
    </row>
    <row r="3808" spans="1:13" ht="15" customHeight="1">
      <c r="A3808" s="1">
        <v>181</v>
      </c>
      <c r="B3808" s="1" t="s">
        <v>9</v>
      </c>
      <c r="C3808" s="2" t="s">
        <v>4520</v>
      </c>
      <c r="D3808" s="2" t="s">
        <v>4521</v>
      </c>
      <c r="E3808" s="1">
        <v>0</v>
      </c>
      <c r="F3808" s="2" t="s">
        <v>4523</v>
      </c>
      <c r="H3808" s="1" t="str">
        <f t="shared" si="61"/>
        <v/>
      </c>
      <c r="K3808" s="1">
        <f>IF(E3808=0,SUMPRODUCT(($A$2:$A$4734=A3808)*($B$2:$B$4734=B3808)*($D$2:$D$4734=D3808)*($E$2:$E$4734=0)),0)</f>
        <v>2</v>
      </c>
      <c r="L3808" s="1">
        <f>IF(E3808=0,SUMPRODUCT(MIN($K$2:$K$4734+((($A$2:$A$4734&lt;&gt;A3808)+($E$2:$E$4734&lt;&gt;0))&gt;0)*1000000)),"")</f>
        <v>2</v>
      </c>
      <c r="M3808" s="1">
        <f>IF(AND(E3808=0,COUNTIFS($A$2:A3808,A3808,$E$2:E3808,0)=1),L3808,0)</f>
        <v>0</v>
      </c>
    </row>
    <row r="3809" spans="1:13" ht="15" customHeight="1">
      <c r="A3809" s="1">
        <v>182</v>
      </c>
      <c r="B3809" s="1" t="s">
        <v>9</v>
      </c>
      <c r="C3809" s="2" t="s">
        <v>4524</v>
      </c>
      <c r="D3809" s="2" t="s">
        <v>4525</v>
      </c>
      <c r="E3809" s="1">
        <v>1</v>
      </c>
      <c r="F3809" s="2" t="s">
        <v>4526</v>
      </c>
      <c r="G3809" s="1">
        <v>1</v>
      </c>
      <c r="H3809" s="1" t="str">
        <f t="shared" si="61"/>
        <v>k182_1</v>
      </c>
      <c r="K3809" s="1">
        <f>IF(E3809=0,SUMPRODUCT(($A$2:$A$4734=A3809)*($B$2:$B$4734=B3809)*($D$2:$D$4734=D3809)*($E$2:$E$4734=0)),0)</f>
        <v>0</v>
      </c>
      <c r="L3809" s="1" t="str">
        <f>IF(E3809=0,SUMPRODUCT(MIN($K$2:$K$4734+((($A$2:$A$4734&lt;&gt;A3809)+($E$2:$E$4734&lt;&gt;0))&gt;0)*1000000)),"")</f>
        <v/>
      </c>
      <c r="M3809" s="1">
        <f>IF(AND(E3809=0,COUNTIFS($A$2:A3809,A3809,$E$2:E3809,0)=1),L3809,0)</f>
        <v>0</v>
      </c>
    </row>
    <row r="3810" spans="1:13" ht="15" customHeight="1">
      <c r="A3810" s="1">
        <v>182</v>
      </c>
      <c r="B3810" s="1" t="s">
        <v>9</v>
      </c>
      <c r="C3810" s="2" t="s">
        <v>4524</v>
      </c>
      <c r="D3810" s="2" t="s">
        <v>4525</v>
      </c>
      <c r="E3810" s="1">
        <v>1</v>
      </c>
      <c r="F3810" s="2" t="s">
        <v>4527</v>
      </c>
      <c r="G3810" s="1">
        <v>1</v>
      </c>
      <c r="H3810" s="1" t="str">
        <f t="shared" si="61"/>
        <v>k182_1</v>
      </c>
      <c r="K3810" s="1">
        <f>IF(E3810=0,SUMPRODUCT(($A$2:$A$4734=A3810)*($B$2:$B$4734=B3810)*($D$2:$D$4734=D3810)*($E$2:$E$4734=0)),0)</f>
        <v>0</v>
      </c>
      <c r="L3810" s="1" t="str">
        <f>IF(E3810=0,SUMPRODUCT(MIN($K$2:$K$4734+((($A$2:$A$4734&lt;&gt;A3810)+($E$2:$E$4734&lt;&gt;0))&gt;0)*1000000)),"")</f>
        <v/>
      </c>
      <c r="M3810" s="1">
        <f>IF(AND(E3810=0,COUNTIFS($A$2:A3810,A3810,$E$2:E3810,0)=1),L3810,0)</f>
        <v>0</v>
      </c>
    </row>
    <row r="3811" spans="1:13" ht="15" customHeight="1">
      <c r="A3811" s="1">
        <v>182</v>
      </c>
      <c r="B3811" s="1" t="s">
        <v>9</v>
      </c>
      <c r="C3811" s="2" t="s">
        <v>4524</v>
      </c>
      <c r="D3811" s="2" t="s">
        <v>4525</v>
      </c>
      <c r="E3811" s="1">
        <v>1</v>
      </c>
      <c r="F3811" s="2" t="s">
        <v>4528</v>
      </c>
      <c r="G3811" s="1">
        <v>4</v>
      </c>
      <c r="H3811" s="1" t="str">
        <f t="shared" si="61"/>
        <v>k182_4</v>
      </c>
      <c r="K3811" s="1">
        <f>IF(E3811=0,SUMPRODUCT(($A$2:$A$4734=A3811)*($B$2:$B$4734=B3811)*($D$2:$D$4734=D3811)*($E$2:$E$4734=0)),0)</f>
        <v>0</v>
      </c>
      <c r="L3811" s="1" t="str">
        <f>IF(E3811=0,SUMPRODUCT(MIN($K$2:$K$4734+((($A$2:$A$4734&lt;&gt;A3811)+($E$2:$E$4734&lt;&gt;0))&gt;0)*1000000)),"")</f>
        <v/>
      </c>
      <c r="M3811" s="1">
        <f>IF(AND(E3811=0,COUNTIFS($A$2:A3811,A3811,$E$2:E3811,0)=1),L3811,0)</f>
        <v>0</v>
      </c>
    </row>
    <row r="3812" spans="1:13" ht="15" customHeight="1">
      <c r="A3812" s="1">
        <v>182</v>
      </c>
      <c r="B3812" s="1" t="s">
        <v>9</v>
      </c>
      <c r="C3812" s="2" t="s">
        <v>4524</v>
      </c>
      <c r="D3812" s="2" t="s">
        <v>4525</v>
      </c>
      <c r="E3812" s="1">
        <v>1</v>
      </c>
      <c r="F3812" s="2" t="s">
        <v>4529</v>
      </c>
      <c r="G3812" s="1">
        <v>6</v>
      </c>
      <c r="H3812" s="1" t="str">
        <f t="shared" si="61"/>
        <v>k182_6</v>
      </c>
      <c r="K3812" s="1">
        <f>IF(E3812=0,SUMPRODUCT(($A$2:$A$4734=A3812)*($B$2:$B$4734=B3812)*($D$2:$D$4734=D3812)*($E$2:$E$4734=0)),0)</f>
        <v>0</v>
      </c>
      <c r="L3812" s="1" t="str">
        <f>IF(E3812=0,SUMPRODUCT(MIN($K$2:$K$4734+((($A$2:$A$4734&lt;&gt;A3812)+($E$2:$E$4734&lt;&gt;0))&gt;0)*1000000)),"")</f>
        <v/>
      </c>
      <c r="M3812" s="1">
        <f>IF(AND(E3812=0,COUNTIFS($A$2:A3812,A3812,$E$2:E3812,0)=1),L3812,0)</f>
        <v>0</v>
      </c>
    </row>
    <row r="3813" spans="1:13" ht="15" customHeight="1">
      <c r="A3813" s="1">
        <v>182</v>
      </c>
      <c r="B3813" s="1" t="s">
        <v>9</v>
      </c>
      <c r="C3813" s="2" t="s">
        <v>4524</v>
      </c>
      <c r="D3813" s="2" t="s">
        <v>4525</v>
      </c>
      <c r="E3813" s="1">
        <v>1</v>
      </c>
      <c r="F3813" s="2" t="s">
        <v>4528</v>
      </c>
      <c r="G3813" s="1">
        <v>3</v>
      </c>
      <c r="H3813" s="1" t="str">
        <f t="shared" ref="H3813:H3864" si="62">IF(OR(E3813&lt;&gt;1,G3813=""),"","k"&amp;A3813&amp;"_"&amp;G3813)</f>
        <v>k182_3</v>
      </c>
      <c r="K3813" s="1">
        <f>IF(E3813=0,SUMPRODUCT(($A$2:$A$4734=A3813)*($B$2:$B$4734=B3813)*($D$2:$D$4734=D3813)*($E$2:$E$4734=0)),0)</f>
        <v>0</v>
      </c>
      <c r="L3813" s="1" t="str">
        <f>IF(E3813=0,SUMPRODUCT(MIN($K$2:$K$4734+((($A$2:$A$4734&lt;&gt;A3813)+($E$2:$E$4734&lt;&gt;0))&gt;0)*1000000)),"")</f>
        <v/>
      </c>
      <c r="M3813" s="1">
        <f>IF(AND(E3813=0,COUNTIFS($A$2:A3813,A3813,$E$2:E3813,0)=1),L3813,0)</f>
        <v>0</v>
      </c>
    </row>
    <row r="3814" spans="1:13" ht="15" customHeight="1">
      <c r="A3814" s="1">
        <v>182</v>
      </c>
      <c r="B3814" s="1" t="s">
        <v>9</v>
      </c>
      <c r="C3814" s="2" t="s">
        <v>4524</v>
      </c>
      <c r="D3814" s="2" t="s">
        <v>4525</v>
      </c>
      <c r="E3814" s="1">
        <v>1</v>
      </c>
      <c r="F3814" s="2" t="s">
        <v>4529</v>
      </c>
      <c r="G3814" s="1">
        <v>5</v>
      </c>
      <c r="H3814" s="1" t="str">
        <f t="shared" si="62"/>
        <v>k182_5</v>
      </c>
      <c r="K3814" s="1">
        <f>IF(E3814=0,SUMPRODUCT(($A$2:$A$4734=A3814)*($B$2:$B$4734=B3814)*($D$2:$D$4734=D3814)*($E$2:$E$4734=0)),0)</f>
        <v>0</v>
      </c>
      <c r="L3814" s="1" t="str">
        <f>IF(E3814=0,SUMPRODUCT(MIN($K$2:$K$4734+((($A$2:$A$4734&lt;&gt;A3814)+($E$2:$E$4734&lt;&gt;0))&gt;0)*1000000)),"")</f>
        <v/>
      </c>
      <c r="M3814" s="1">
        <f>IF(AND(E3814=0,COUNTIFS($A$2:A3814,A3814,$E$2:E3814,0)=1),L3814,0)</f>
        <v>0</v>
      </c>
    </row>
    <row r="3815" spans="1:13" ht="15" customHeight="1">
      <c r="A3815" s="1">
        <v>182</v>
      </c>
      <c r="B3815" s="1" t="s">
        <v>161</v>
      </c>
      <c r="C3815" s="2" t="s">
        <v>4524</v>
      </c>
      <c r="D3815" s="2" t="s">
        <v>4530</v>
      </c>
      <c r="E3815" s="1">
        <v>1</v>
      </c>
      <c r="F3815" s="2" t="s">
        <v>4531</v>
      </c>
      <c r="G3815" s="1">
        <v>1</v>
      </c>
      <c r="H3815" s="1" t="str">
        <f t="shared" si="62"/>
        <v>k182_1</v>
      </c>
      <c r="K3815" s="1">
        <f>IF(E3815=0,SUMPRODUCT(($A$2:$A$4734=A3815)*($B$2:$B$4734=B3815)*($D$2:$D$4734=D3815)*($E$2:$E$4734=0)),0)</f>
        <v>0</v>
      </c>
      <c r="L3815" s="1" t="str">
        <f>IF(E3815=0,SUMPRODUCT(MIN($K$2:$K$4734+((($A$2:$A$4734&lt;&gt;A3815)+($E$2:$E$4734&lt;&gt;0))&gt;0)*1000000)),"")</f>
        <v/>
      </c>
      <c r="M3815" s="1">
        <f>IF(AND(E3815=0,COUNTIFS($A$2:A3815,A3815,$E$2:E3815,0)=1),L3815,0)</f>
        <v>0</v>
      </c>
    </row>
    <row r="3816" spans="1:13" ht="15" customHeight="1">
      <c r="A3816" s="1">
        <v>182</v>
      </c>
      <c r="B3816" s="1" t="s">
        <v>161</v>
      </c>
      <c r="C3816" s="2" t="s">
        <v>4524</v>
      </c>
      <c r="D3816" s="2" t="s">
        <v>4530</v>
      </c>
      <c r="E3816" s="1">
        <v>1</v>
      </c>
      <c r="F3816" s="2" t="s">
        <v>4532</v>
      </c>
      <c r="G3816" s="1">
        <v>2</v>
      </c>
      <c r="H3816" s="1" t="str">
        <f t="shared" si="62"/>
        <v>k182_2</v>
      </c>
      <c r="K3816" s="1">
        <f>IF(E3816=0,SUMPRODUCT(($A$2:$A$4734=A3816)*($B$2:$B$4734=B3816)*($D$2:$D$4734=D3816)*($E$2:$E$4734=0)),0)</f>
        <v>0</v>
      </c>
      <c r="L3816" s="1" t="str">
        <f>IF(E3816=0,SUMPRODUCT(MIN($K$2:$K$4734+((($A$2:$A$4734&lt;&gt;A3816)+($E$2:$E$4734&lt;&gt;0))&gt;0)*1000000)),"")</f>
        <v/>
      </c>
      <c r="M3816" s="1">
        <f>IF(AND(E3816=0,COUNTIFS($A$2:A3816,A3816,$E$2:E3816,0)=1),L3816,0)</f>
        <v>0</v>
      </c>
    </row>
    <row r="3817" spans="1:13" ht="15" customHeight="1">
      <c r="A3817" s="1">
        <v>182</v>
      </c>
      <c r="B3817" s="1" t="s">
        <v>161</v>
      </c>
      <c r="C3817" s="2" t="s">
        <v>4524</v>
      </c>
      <c r="D3817" s="2" t="s">
        <v>4530</v>
      </c>
      <c r="E3817" s="1">
        <v>1</v>
      </c>
      <c r="F3817" s="2" t="s">
        <v>4533</v>
      </c>
      <c r="G3817" s="1">
        <v>3</v>
      </c>
      <c r="H3817" s="1" t="str">
        <f t="shared" si="62"/>
        <v>k182_3</v>
      </c>
      <c r="K3817" s="1">
        <f>IF(E3817=0,SUMPRODUCT(($A$2:$A$4734=A3817)*($B$2:$B$4734=B3817)*($D$2:$D$4734=D3817)*($E$2:$E$4734=0)),0)</f>
        <v>0</v>
      </c>
      <c r="L3817" s="1" t="str">
        <f>IF(E3817=0,SUMPRODUCT(MIN($K$2:$K$4734+((($A$2:$A$4734&lt;&gt;A3817)+($E$2:$E$4734&lt;&gt;0))&gt;0)*1000000)),"")</f>
        <v/>
      </c>
      <c r="M3817" s="1">
        <f>IF(AND(E3817=0,COUNTIFS($A$2:A3817,A3817,$E$2:E3817,0)=1),L3817,0)</f>
        <v>0</v>
      </c>
    </row>
    <row r="3818" spans="1:13" ht="15" customHeight="1">
      <c r="A3818" s="1">
        <v>182</v>
      </c>
      <c r="B3818" s="1" t="s">
        <v>161</v>
      </c>
      <c r="C3818" s="2" t="s">
        <v>4524</v>
      </c>
      <c r="D3818" s="2" t="s">
        <v>4530</v>
      </c>
      <c r="E3818" s="1">
        <v>1</v>
      </c>
      <c r="F3818" s="2" t="s">
        <v>4534</v>
      </c>
      <c r="G3818" s="1">
        <v>4</v>
      </c>
      <c r="H3818" s="1" t="str">
        <f t="shared" si="62"/>
        <v>k182_4</v>
      </c>
      <c r="K3818" s="1">
        <f>IF(E3818=0,SUMPRODUCT(($A$2:$A$4734=A3818)*($B$2:$B$4734=B3818)*($D$2:$D$4734=D3818)*($E$2:$E$4734=0)),0)</f>
        <v>0</v>
      </c>
      <c r="L3818" s="1" t="str">
        <f>IF(E3818=0,SUMPRODUCT(MIN($K$2:$K$4734+((($A$2:$A$4734&lt;&gt;A3818)+($E$2:$E$4734&lt;&gt;0))&gt;0)*1000000)),"")</f>
        <v/>
      </c>
      <c r="M3818" s="1">
        <f>IF(AND(E3818=0,COUNTIFS($A$2:A3818,A3818,$E$2:E3818,0)=1),L3818,0)</f>
        <v>0</v>
      </c>
    </row>
    <row r="3819" spans="1:13" ht="15" customHeight="1">
      <c r="A3819" s="1">
        <v>182</v>
      </c>
      <c r="B3819" s="1" t="s">
        <v>161</v>
      </c>
      <c r="C3819" s="2" t="s">
        <v>4524</v>
      </c>
      <c r="D3819" s="2" t="s">
        <v>4530</v>
      </c>
      <c r="E3819" s="1">
        <v>1</v>
      </c>
      <c r="F3819" s="2" t="s">
        <v>4533</v>
      </c>
      <c r="G3819" s="1">
        <v>5</v>
      </c>
      <c r="H3819" s="1" t="str">
        <f t="shared" si="62"/>
        <v>k182_5</v>
      </c>
      <c r="K3819" s="1">
        <f>IF(E3819=0,SUMPRODUCT(($A$2:$A$4734=A3819)*($B$2:$B$4734=B3819)*($D$2:$D$4734=D3819)*($E$2:$E$4734=0)),0)</f>
        <v>0</v>
      </c>
      <c r="L3819" s="1" t="str">
        <f>IF(E3819=0,SUMPRODUCT(MIN($K$2:$K$4734+((($A$2:$A$4734&lt;&gt;A3819)+($E$2:$E$4734&lt;&gt;0))&gt;0)*1000000)),"")</f>
        <v/>
      </c>
      <c r="M3819" s="1">
        <f>IF(AND(E3819=0,COUNTIFS($A$2:A3819,A3819,$E$2:E3819,0)=1),L3819,0)</f>
        <v>0</v>
      </c>
    </row>
    <row r="3820" spans="1:13" ht="15" customHeight="1">
      <c r="A3820" s="1">
        <v>182</v>
      </c>
      <c r="B3820" s="1" t="s">
        <v>161</v>
      </c>
      <c r="C3820" s="2" t="s">
        <v>4524</v>
      </c>
      <c r="D3820" s="2" t="s">
        <v>4530</v>
      </c>
      <c r="E3820" s="1">
        <v>1</v>
      </c>
      <c r="F3820" s="2" t="s">
        <v>4534</v>
      </c>
      <c r="G3820" s="1">
        <v>6</v>
      </c>
      <c r="H3820" s="1" t="str">
        <f t="shared" si="62"/>
        <v>k182_6</v>
      </c>
      <c r="K3820" s="1">
        <f>IF(E3820=0,SUMPRODUCT(($A$2:$A$4734=A3820)*($B$2:$B$4734=B3820)*($D$2:$D$4734=D3820)*($E$2:$E$4734=0)),0)</f>
        <v>0</v>
      </c>
      <c r="L3820" s="1" t="str">
        <f>IF(E3820=0,SUMPRODUCT(MIN($K$2:$K$4734+((($A$2:$A$4734&lt;&gt;A3820)+($E$2:$E$4734&lt;&gt;0))&gt;0)*1000000)),"")</f>
        <v/>
      </c>
      <c r="M3820" s="1">
        <f>IF(AND(E3820=0,COUNTIFS($A$2:A3820,A3820,$E$2:E3820,0)=1),L3820,0)</f>
        <v>0</v>
      </c>
    </row>
    <row r="3821" spans="1:13" ht="15" customHeight="1">
      <c r="A3821" s="1">
        <v>183</v>
      </c>
      <c r="B3821" s="1" t="s">
        <v>9</v>
      </c>
      <c r="C3821" s="2" t="s">
        <v>4535</v>
      </c>
      <c r="D3821" s="2" t="s">
        <v>4536</v>
      </c>
      <c r="E3821" s="1">
        <v>0</v>
      </c>
      <c r="F3821" s="2" t="s">
        <v>4537</v>
      </c>
      <c r="H3821" s="1" t="str">
        <f t="shared" si="62"/>
        <v/>
      </c>
      <c r="K3821" s="1">
        <f>IF(E3821=0,SUMPRODUCT(($A$2:$A$4734=A3821)*($B$2:$B$4734=B3821)*($D$2:$D$4734=D3821)*($E$2:$E$4734=0)),0)</f>
        <v>5</v>
      </c>
      <c r="L3821" s="1">
        <f>IF(E3821=0,SUMPRODUCT(MIN($K$2:$K$4734+((($A$2:$A$4734&lt;&gt;A3821)+($E$2:$E$4734&lt;&gt;0))&gt;0)*1000000)),"")</f>
        <v>5</v>
      </c>
      <c r="M3821" s="1">
        <f>IF(AND(E3821=0,COUNTIFS($A$2:A3821,A3821,$E$2:E3821,0)=1),L3821,0)</f>
        <v>5</v>
      </c>
    </row>
    <row r="3822" spans="1:13" ht="15" customHeight="1">
      <c r="A3822" s="1">
        <v>183</v>
      </c>
      <c r="B3822" s="1" t="s">
        <v>9</v>
      </c>
      <c r="C3822" s="2" t="s">
        <v>4535</v>
      </c>
      <c r="D3822" s="2" t="s">
        <v>4536</v>
      </c>
      <c r="E3822" s="1">
        <v>0</v>
      </c>
      <c r="F3822" s="2" t="s">
        <v>4538</v>
      </c>
      <c r="H3822" s="1" t="str">
        <f t="shared" si="62"/>
        <v/>
      </c>
      <c r="K3822" s="1">
        <f>IF(E3822=0,SUMPRODUCT(($A$2:$A$4734=A3822)*($B$2:$B$4734=B3822)*($D$2:$D$4734=D3822)*($E$2:$E$4734=0)),0)</f>
        <v>5</v>
      </c>
      <c r="L3822" s="1">
        <f>IF(E3822=0,SUMPRODUCT(MIN($K$2:$K$4734+((($A$2:$A$4734&lt;&gt;A3822)+($E$2:$E$4734&lt;&gt;0))&gt;0)*1000000)),"")</f>
        <v>5</v>
      </c>
      <c r="M3822" s="1">
        <f>IF(AND(E3822=0,COUNTIFS($A$2:A3822,A3822,$E$2:E3822,0)=1),L3822,0)</f>
        <v>0</v>
      </c>
    </row>
    <row r="3823" spans="1:13" ht="15" customHeight="1">
      <c r="A3823" s="1">
        <v>183</v>
      </c>
      <c r="B3823" s="1" t="s">
        <v>9</v>
      </c>
      <c r="C3823" s="2" t="s">
        <v>4535</v>
      </c>
      <c r="D3823" s="2" t="s">
        <v>4536</v>
      </c>
      <c r="E3823" s="1">
        <v>0</v>
      </c>
      <c r="F3823" s="2" t="s">
        <v>4539</v>
      </c>
      <c r="H3823" s="1" t="str">
        <f t="shared" si="62"/>
        <v/>
      </c>
      <c r="K3823" s="1">
        <f>IF(E3823=0,SUMPRODUCT(($A$2:$A$4734=A3823)*($B$2:$B$4734=B3823)*($D$2:$D$4734=D3823)*($E$2:$E$4734=0)),0)</f>
        <v>5</v>
      </c>
      <c r="L3823" s="1">
        <f>IF(E3823=0,SUMPRODUCT(MIN($K$2:$K$4734+((($A$2:$A$4734&lt;&gt;A3823)+($E$2:$E$4734&lt;&gt;0))&gt;0)*1000000)),"")</f>
        <v>5</v>
      </c>
      <c r="M3823" s="1">
        <f>IF(AND(E3823=0,COUNTIFS($A$2:A3823,A3823,$E$2:E3823,0)=1),L3823,0)</f>
        <v>0</v>
      </c>
    </row>
    <row r="3824" spans="1:13" ht="15" customHeight="1">
      <c r="A3824" s="1">
        <v>183</v>
      </c>
      <c r="B3824" s="1" t="s">
        <v>9</v>
      </c>
      <c r="C3824" s="2" t="s">
        <v>4535</v>
      </c>
      <c r="D3824" s="2" t="s">
        <v>4536</v>
      </c>
      <c r="E3824" s="1">
        <v>0</v>
      </c>
      <c r="F3824" s="2" t="s">
        <v>4540</v>
      </c>
      <c r="H3824" s="1" t="str">
        <f t="shared" si="62"/>
        <v/>
      </c>
      <c r="K3824" s="1">
        <f>IF(E3824=0,SUMPRODUCT(($A$2:$A$4734=A3824)*($B$2:$B$4734=B3824)*($D$2:$D$4734=D3824)*($E$2:$E$4734=0)),0)</f>
        <v>5</v>
      </c>
      <c r="L3824" s="1">
        <f>IF(E3824=0,SUMPRODUCT(MIN($K$2:$K$4734+((($A$2:$A$4734&lt;&gt;A3824)+($E$2:$E$4734&lt;&gt;0))&gt;0)*1000000)),"")</f>
        <v>5</v>
      </c>
      <c r="M3824" s="1">
        <f>IF(AND(E3824=0,COUNTIFS($A$2:A3824,A3824,$E$2:E3824,0)=1),L3824,0)</f>
        <v>0</v>
      </c>
    </row>
    <row r="3825" spans="1:13" ht="15" customHeight="1">
      <c r="A3825" s="1">
        <v>183</v>
      </c>
      <c r="B3825" s="1" t="s">
        <v>9</v>
      </c>
      <c r="C3825" s="2" t="s">
        <v>4535</v>
      </c>
      <c r="D3825" s="2" t="s">
        <v>4536</v>
      </c>
      <c r="E3825" s="1">
        <v>0</v>
      </c>
      <c r="F3825" s="2" t="s">
        <v>4541</v>
      </c>
      <c r="H3825" s="1" t="str">
        <f t="shared" si="62"/>
        <v/>
      </c>
      <c r="K3825" s="1">
        <f>IF(E3825=0,SUMPRODUCT(($A$2:$A$4734=A3825)*($B$2:$B$4734=B3825)*($D$2:$D$4734=D3825)*($E$2:$E$4734=0)),0)</f>
        <v>5</v>
      </c>
      <c r="L3825" s="1">
        <f>IF(E3825=0,SUMPRODUCT(MIN($K$2:$K$4734+((($A$2:$A$4734&lt;&gt;A3825)+($E$2:$E$4734&lt;&gt;0))&gt;0)*1000000)),"")</f>
        <v>5</v>
      </c>
      <c r="M3825" s="1">
        <f>IF(AND(E3825=0,COUNTIFS($A$2:A3825,A3825,$E$2:E3825,0)=1),L3825,0)</f>
        <v>0</v>
      </c>
    </row>
    <row r="3826" spans="1:13" ht="15" customHeight="1">
      <c r="A3826" s="1">
        <v>184</v>
      </c>
      <c r="B3826" s="1" t="s">
        <v>9</v>
      </c>
      <c r="C3826" s="2" t="s">
        <v>4543</v>
      </c>
      <c r="D3826" s="2" t="s">
        <v>4542</v>
      </c>
      <c r="E3826" s="1">
        <v>0</v>
      </c>
      <c r="F3826" s="2" t="s">
        <v>4544</v>
      </c>
      <c r="H3826" s="1" t="str">
        <f t="shared" si="62"/>
        <v/>
      </c>
      <c r="K3826" s="1">
        <f>IF(E3826=0,SUMPRODUCT(($A$2:$A$4734=A3826)*($B$2:$B$4734=B3826)*($D$2:$D$4734=D3826)*($E$2:$E$4734=0)),0)</f>
        <v>3</v>
      </c>
      <c r="L3826" s="1">
        <f>IF(E3826=0,SUMPRODUCT(MIN($K$2:$K$4734+((($A$2:$A$4734&lt;&gt;A3826)+($E$2:$E$4734&lt;&gt;0))&gt;0)*1000000)),"")</f>
        <v>3</v>
      </c>
      <c r="M3826" s="1">
        <f>IF(AND(E3826=0,COUNTIFS($A$2:A3826,A3826,$E$2:E3826,0)=1),L3826,0)</f>
        <v>3</v>
      </c>
    </row>
    <row r="3827" spans="1:13" ht="15" customHeight="1">
      <c r="A3827" s="1">
        <v>184</v>
      </c>
      <c r="B3827" s="1" t="s">
        <v>9</v>
      </c>
      <c r="C3827" s="2" t="s">
        <v>4545</v>
      </c>
      <c r="D3827" s="2" t="s">
        <v>4542</v>
      </c>
      <c r="E3827" s="1">
        <v>0</v>
      </c>
      <c r="F3827" s="2" t="s">
        <v>4546</v>
      </c>
      <c r="H3827" s="1" t="str">
        <f t="shared" si="62"/>
        <v/>
      </c>
      <c r="K3827" s="1">
        <f>IF(E3827=0,SUMPRODUCT(($A$2:$A$4734=A3827)*($B$2:$B$4734=B3827)*($D$2:$D$4734=D3827)*($E$2:$E$4734=0)),0)</f>
        <v>3</v>
      </c>
      <c r="L3827" s="1">
        <f>IF(E3827=0,SUMPRODUCT(MIN($K$2:$K$4734+((($A$2:$A$4734&lt;&gt;A3827)+($E$2:$E$4734&lt;&gt;0))&gt;0)*1000000)),"")</f>
        <v>3</v>
      </c>
      <c r="M3827" s="1">
        <f>IF(AND(E3827=0,COUNTIFS($A$2:A3827,A3827,$E$2:E3827,0)=1),L3827,0)</f>
        <v>0</v>
      </c>
    </row>
    <row r="3828" spans="1:13" ht="15" customHeight="1">
      <c r="A3828" s="1">
        <v>184</v>
      </c>
      <c r="B3828" s="1" t="s">
        <v>9</v>
      </c>
      <c r="C3828" s="2" t="s">
        <v>4547</v>
      </c>
      <c r="D3828" s="2" t="s">
        <v>4542</v>
      </c>
      <c r="E3828" s="1">
        <v>0</v>
      </c>
      <c r="F3828" s="2" t="s">
        <v>4548</v>
      </c>
      <c r="H3828" s="1" t="str">
        <f t="shared" si="62"/>
        <v/>
      </c>
      <c r="K3828" s="1">
        <f>IF(E3828=0,SUMPRODUCT(($A$2:$A$4734=A3828)*($B$2:$B$4734=B3828)*($D$2:$D$4734=D3828)*($E$2:$E$4734=0)),0)</f>
        <v>3</v>
      </c>
      <c r="L3828" s="1">
        <f>IF(E3828=0,SUMPRODUCT(MIN($K$2:$K$4734+((($A$2:$A$4734&lt;&gt;A3828)+($E$2:$E$4734&lt;&gt;0))&gt;0)*1000000)),"")</f>
        <v>3</v>
      </c>
      <c r="M3828" s="1">
        <f>IF(AND(E3828=0,COUNTIFS($A$2:A3828,A3828,$E$2:E3828,0)=1),L3828,0)</f>
        <v>0</v>
      </c>
    </row>
    <row r="3829" spans="1:13" ht="15" customHeight="1">
      <c r="A3829" s="1">
        <v>185</v>
      </c>
      <c r="B3829" s="1" t="s">
        <v>167</v>
      </c>
      <c r="C3829" s="2" t="s">
        <v>4549</v>
      </c>
      <c r="D3829" s="1" t="s">
        <v>4550</v>
      </c>
      <c r="E3829" s="1">
        <v>1</v>
      </c>
      <c r="F3829" s="2" t="s">
        <v>4551</v>
      </c>
      <c r="G3829" s="1">
        <v>1</v>
      </c>
      <c r="H3829" s="1" t="str">
        <f t="shared" si="62"/>
        <v>k185_1</v>
      </c>
      <c r="K3829" s="1">
        <f>IF(E3829=0,SUMPRODUCT(($A$2:$A$4734=A3829)*($B$2:$B$4734=B3829)*($D$2:$D$4734=D3829)*($E$2:$E$4734=0)),0)</f>
        <v>0</v>
      </c>
      <c r="L3829" s="1" t="str">
        <f>IF(E3829=0,SUMPRODUCT(MIN($K$2:$K$4734+((($A$2:$A$4734&lt;&gt;A3829)+($E$2:$E$4734&lt;&gt;0))&gt;0)*1000000)),"")</f>
        <v/>
      </c>
      <c r="M3829" s="1">
        <f>IF(AND(E3829=0,COUNTIFS($A$2:A3829,A3829,$E$2:E3829,0)=1),L3829,0)</f>
        <v>0</v>
      </c>
    </row>
    <row r="3830" spans="1:13" ht="15" customHeight="1">
      <c r="A3830" s="1">
        <v>185</v>
      </c>
      <c r="B3830" s="1" t="s">
        <v>167</v>
      </c>
      <c r="C3830" s="2" t="s">
        <v>4549</v>
      </c>
      <c r="D3830" s="1" t="s">
        <v>4550</v>
      </c>
      <c r="E3830" s="1">
        <v>1</v>
      </c>
      <c r="F3830" s="2" t="s">
        <v>4552</v>
      </c>
      <c r="G3830" s="1">
        <v>2</v>
      </c>
      <c r="H3830" s="1" t="str">
        <f t="shared" si="62"/>
        <v>k185_2</v>
      </c>
      <c r="K3830" s="1">
        <f>IF(E3830=0,SUMPRODUCT(($A$2:$A$4734=A3830)*($B$2:$B$4734=B3830)*($D$2:$D$4734=D3830)*($E$2:$E$4734=0)),0)</f>
        <v>0</v>
      </c>
      <c r="L3830" s="1" t="str">
        <f>IF(E3830=0,SUMPRODUCT(MIN($K$2:$K$4734+((($A$2:$A$4734&lt;&gt;A3830)+($E$2:$E$4734&lt;&gt;0))&gt;0)*1000000)),"")</f>
        <v/>
      </c>
      <c r="M3830" s="1">
        <f>IF(AND(E3830=0,COUNTIFS($A$2:A3830,A3830,$E$2:E3830,0)=1),L3830,0)</f>
        <v>0</v>
      </c>
    </row>
    <row r="3831" spans="1:13" ht="15" customHeight="1">
      <c r="A3831" s="1">
        <v>185</v>
      </c>
      <c r="B3831" s="1" t="s">
        <v>167</v>
      </c>
      <c r="C3831" s="2" t="s">
        <v>4549</v>
      </c>
      <c r="D3831" s="1" t="s">
        <v>4550</v>
      </c>
      <c r="E3831" s="1">
        <v>1</v>
      </c>
      <c r="F3831" s="2" t="s">
        <v>4553</v>
      </c>
      <c r="G3831" s="1">
        <v>3</v>
      </c>
      <c r="H3831" s="1" t="str">
        <f t="shared" si="62"/>
        <v>k185_3</v>
      </c>
      <c r="K3831" s="1">
        <f>IF(E3831=0,SUMPRODUCT(($A$2:$A$4734=A3831)*($B$2:$B$4734=B3831)*($D$2:$D$4734=D3831)*($E$2:$E$4734=0)),0)</f>
        <v>0</v>
      </c>
      <c r="L3831" s="1" t="str">
        <f>IF(E3831=0,SUMPRODUCT(MIN($K$2:$K$4734+((($A$2:$A$4734&lt;&gt;A3831)+($E$2:$E$4734&lt;&gt;0))&gt;0)*1000000)),"")</f>
        <v/>
      </c>
      <c r="M3831" s="1">
        <f>IF(AND(E3831=0,COUNTIFS($A$2:A3831,A3831,$E$2:E3831,0)=1),L3831,0)</f>
        <v>0</v>
      </c>
    </row>
    <row r="3832" spans="1:13" ht="15" customHeight="1">
      <c r="A3832" s="1">
        <v>185</v>
      </c>
      <c r="B3832" s="1" t="s">
        <v>167</v>
      </c>
      <c r="C3832" s="2" t="s">
        <v>4549</v>
      </c>
      <c r="D3832" s="1" t="s">
        <v>4550</v>
      </c>
      <c r="E3832" s="1">
        <v>1</v>
      </c>
      <c r="F3832" s="2" t="s">
        <v>4554</v>
      </c>
      <c r="G3832" s="1">
        <v>4</v>
      </c>
      <c r="H3832" s="1" t="str">
        <f t="shared" si="62"/>
        <v>k185_4</v>
      </c>
      <c r="K3832" s="1">
        <f>IF(E3832=0,SUMPRODUCT(($A$2:$A$4734=A3832)*($B$2:$B$4734=B3832)*($D$2:$D$4734=D3832)*($E$2:$E$4734=0)),0)</f>
        <v>0</v>
      </c>
      <c r="L3832" s="1" t="str">
        <f>IF(E3832=0,SUMPRODUCT(MIN($K$2:$K$4734+((($A$2:$A$4734&lt;&gt;A3832)+($E$2:$E$4734&lt;&gt;0))&gt;0)*1000000)),"")</f>
        <v/>
      </c>
      <c r="M3832" s="1">
        <f>IF(AND(E3832=0,COUNTIFS($A$2:A3832,A3832,$E$2:E3832,0)=1),L3832,0)</f>
        <v>0</v>
      </c>
    </row>
    <row r="3833" spans="1:13" ht="15" customHeight="1">
      <c r="A3833" s="1">
        <v>185</v>
      </c>
      <c r="B3833" s="1" t="s">
        <v>167</v>
      </c>
      <c r="C3833" s="2" t="s">
        <v>4549</v>
      </c>
      <c r="D3833" s="1" t="s">
        <v>4550</v>
      </c>
      <c r="E3833" s="1">
        <v>1</v>
      </c>
      <c r="F3833" s="2" t="s">
        <v>4555</v>
      </c>
      <c r="G3833" s="1">
        <v>5</v>
      </c>
      <c r="H3833" s="1" t="str">
        <f t="shared" si="62"/>
        <v>k185_5</v>
      </c>
      <c r="K3833" s="1">
        <f>IF(E3833=0,SUMPRODUCT(($A$2:$A$4734=A3833)*($B$2:$B$4734=B3833)*($D$2:$D$4734=D3833)*($E$2:$E$4734=0)),0)</f>
        <v>0</v>
      </c>
      <c r="L3833" s="1" t="str">
        <f>IF(E3833=0,SUMPRODUCT(MIN($K$2:$K$4734+((($A$2:$A$4734&lt;&gt;A3833)+($E$2:$E$4734&lt;&gt;0))&gt;0)*1000000)),"")</f>
        <v/>
      </c>
      <c r="M3833" s="1">
        <f>IF(AND(E3833=0,COUNTIFS($A$2:A3833,A3833,$E$2:E3833,0)=1),L3833,0)</f>
        <v>0</v>
      </c>
    </row>
    <row r="3834" spans="1:13" ht="15" customHeight="1">
      <c r="A3834" s="1">
        <v>185</v>
      </c>
      <c r="B3834" s="1" t="s">
        <v>167</v>
      </c>
      <c r="C3834" s="2" t="s">
        <v>4549</v>
      </c>
      <c r="D3834" s="1" t="s">
        <v>4550</v>
      </c>
      <c r="E3834" s="1">
        <v>1</v>
      </c>
      <c r="F3834" s="2" t="s">
        <v>4556</v>
      </c>
      <c r="G3834" s="1">
        <v>6</v>
      </c>
      <c r="H3834" s="1" t="str">
        <f t="shared" si="62"/>
        <v>k185_6</v>
      </c>
      <c r="K3834" s="1">
        <f>IF(E3834=0,SUMPRODUCT(($A$2:$A$4734=A3834)*($B$2:$B$4734=B3834)*($D$2:$D$4734=D3834)*($E$2:$E$4734=0)),0)</f>
        <v>0</v>
      </c>
      <c r="L3834" s="1" t="str">
        <f>IF(E3834=0,SUMPRODUCT(MIN($K$2:$K$4734+((($A$2:$A$4734&lt;&gt;A3834)+($E$2:$E$4734&lt;&gt;0))&gt;0)*1000000)),"")</f>
        <v/>
      </c>
      <c r="M3834" s="1">
        <f>IF(AND(E3834=0,COUNTIFS($A$2:A3834,A3834,$E$2:E3834,0)=1),L3834,0)</f>
        <v>0</v>
      </c>
    </row>
    <row r="3835" spans="1:13" ht="15" customHeight="1">
      <c r="A3835" s="1">
        <v>185</v>
      </c>
      <c r="B3835" s="1" t="s">
        <v>167</v>
      </c>
      <c r="C3835" s="2" t="s">
        <v>4549</v>
      </c>
      <c r="D3835" s="1" t="s">
        <v>4557</v>
      </c>
      <c r="E3835" s="1">
        <v>1</v>
      </c>
      <c r="F3835" s="2" t="s">
        <v>4558</v>
      </c>
      <c r="G3835" s="1">
        <v>7</v>
      </c>
      <c r="H3835" s="1" t="str">
        <f t="shared" si="62"/>
        <v>k185_7</v>
      </c>
      <c r="K3835" s="1">
        <f>IF(E3835=0,SUMPRODUCT(($A$2:$A$4734=A3835)*($B$2:$B$4734=B3835)*($D$2:$D$4734=D3835)*($E$2:$E$4734=0)),0)</f>
        <v>0</v>
      </c>
      <c r="L3835" s="1" t="str">
        <f>IF(E3835=0,SUMPRODUCT(MIN($K$2:$K$4734+((($A$2:$A$4734&lt;&gt;A3835)+($E$2:$E$4734&lt;&gt;0))&gt;0)*1000000)),"")</f>
        <v/>
      </c>
      <c r="M3835" s="1">
        <f>IF(AND(E3835=0,COUNTIFS($A$2:A3835,A3835,$E$2:E3835,0)=1),L3835,0)</f>
        <v>0</v>
      </c>
    </row>
    <row r="3836" spans="1:13" ht="15" customHeight="1">
      <c r="A3836" s="1">
        <v>185</v>
      </c>
      <c r="B3836" s="1" t="s">
        <v>167</v>
      </c>
      <c r="C3836" s="2" t="s">
        <v>4549</v>
      </c>
      <c r="D3836" s="1" t="s">
        <v>4557</v>
      </c>
      <c r="E3836" s="1">
        <v>1</v>
      </c>
      <c r="F3836" s="2" t="s">
        <v>4559</v>
      </c>
      <c r="G3836" s="1">
        <v>8</v>
      </c>
      <c r="H3836" s="1" t="str">
        <f t="shared" si="62"/>
        <v>k185_8</v>
      </c>
      <c r="K3836" s="1">
        <f>IF(E3836=0,SUMPRODUCT(($A$2:$A$4734=A3836)*($B$2:$B$4734=B3836)*($D$2:$D$4734=D3836)*($E$2:$E$4734=0)),0)</f>
        <v>0</v>
      </c>
      <c r="L3836" s="1" t="str">
        <f>IF(E3836=0,SUMPRODUCT(MIN($K$2:$K$4734+((($A$2:$A$4734&lt;&gt;A3836)+($E$2:$E$4734&lt;&gt;0))&gt;0)*1000000)),"")</f>
        <v/>
      </c>
      <c r="M3836" s="1">
        <f>IF(AND(E3836=0,COUNTIFS($A$2:A3836,A3836,$E$2:E3836,0)=1),L3836,0)</f>
        <v>0</v>
      </c>
    </row>
    <row r="3837" spans="1:13" ht="15" customHeight="1">
      <c r="A3837" s="1">
        <v>185</v>
      </c>
      <c r="B3837" s="1" t="s">
        <v>167</v>
      </c>
      <c r="C3837" s="2" t="s">
        <v>4549</v>
      </c>
      <c r="D3837" s="1" t="s">
        <v>4557</v>
      </c>
      <c r="E3837" s="1">
        <v>1</v>
      </c>
      <c r="F3837" s="2" t="s">
        <v>4560</v>
      </c>
      <c r="G3837" s="1">
        <v>9</v>
      </c>
      <c r="H3837" s="1" t="str">
        <f t="shared" si="62"/>
        <v>k185_9</v>
      </c>
      <c r="K3837" s="1">
        <f>IF(E3837=0,SUMPRODUCT(($A$2:$A$4734=A3837)*($B$2:$B$4734=B3837)*($D$2:$D$4734=D3837)*($E$2:$E$4734=0)),0)</f>
        <v>0</v>
      </c>
      <c r="L3837" s="1" t="str">
        <f>IF(E3837=0,SUMPRODUCT(MIN($K$2:$K$4734+((($A$2:$A$4734&lt;&gt;A3837)+($E$2:$E$4734&lt;&gt;0))&gt;0)*1000000)),"")</f>
        <v/>
      </c>
      <c r="M3837" s="1">
        <f>IF(AND(E3837=0,COUNTIFS($A$2:A3837,A3837,$E$2:E3837,0)=1),L3837,0)</f>
        <v>0</v>
      </c>
    </row>
    <row r="3838" spans="1:13" ht="15" customHeight="1">
      <c r="A3838" s="1">
        <v>185</v>
      </c>
      <c r="B3838" s="1" t="s">
        <v>167</v>
      </c>
      <c r="C3838" s="2" t="s">
        <v>4549</v>
      </c>
      <c r="D3838" s="1" t="s">
        <v>4557</v>
      </c>
      <c r="E3838" s="1">
        <v>1</v>
      </c>
      <c r="F3838" s="2" t="s">
        <v>4561</v>
      </c>
      <c r="G3838" s="1">
        <v>10</v>
      </c>
      <c r="H3838" s="1" t="str">
        <f t="shared" si="62"/>
        <v>k185_10</v>
      </c>
      <c r="K3838" s="1">
        <f>IF(E3838=0,SUMPRODUCT(($A$2:$A$4734=A3838)*($B$2:$B$4734=B3838)*($D$2:$D$4734=D3838)*($E$2:$E$4734=0)),0)</f>
        <v>0</v>
      </c>
      <c r="L3838" s="1" t="str">
        <f>IF(E3838=0,SUMPRODUCT(MIN($K$2:$K$4734+((($A$2:$A$4734&lt;&gt;A3838)+($E$2:$E$4734&lt;&gt;0))&gt;0)*1000000)),"")</f>
        <v/>
      </c>
      <c r="M3838" s="1">
        <f>IF(AND(E3838=0,COUNTIFS($A$2:A3838,A3838,$E$2:E3838,0)=1),L3838,0)</f>
        <v>0</v>
      </c>
    </row>
    <row r="3839" spans="1:13" ht="15" customHeight="1">
      <c r="A3839" s="1">
        <v>185</v>
      </c>
      <c r="B3839" s="1" t="s">
        <v>167</v>
      </c>
      <c r="C3839" s="2" t="s">
        <v>4549</v>
      </c>
      <c r="D3839" s="1" t="s">
        <v>4562</v>
      </c>
      <c r="E3839" s="1">
        <v>1</v>
      </c>
      <c r="F3839" s="2" t="s">
        <v>4563</v>
      </c>
      <c r="G3839" s="1">
        <v>1</v>
      </c>
      <c r="H3839" s="1" t="str">
        <f t="shared" si="62"/>
        <v>k185_1</v>
      </c>
      <c r="K3839" s="1">
        <f>IF(E3839=0,SUMPRODUCT(($A$2:$A$4734=A3839)*($B$2:$B$4734=B3839)*($D$2:$D$4734=D3839)*($E$2:$E$4734=0)),0)</f>
        <v>0</v>
      </c>
      <c r="L3839" s="1" t="str">
        <f>IF(E3839=0,SUMPRODUCT(MIN($K$2:$K$4734+((($A$2:$A$4734&lt;&gt;A3839)+($E$2:$E$4734&lt;&gt;0))&gt;0)*1000000)),"")</f>
        <v/>
      </c>
      <c r="M3839" s="1">
        <f>IF(AND(E3839=0,COUNTIFS($A$2:A3839,A3839,$E$2:E3839,0)=1),L3839,0)</f>
        <v>0</v>
      </c>
    </row>
    <row r="3840" spans="1:13" ht="15" customHeight="1">
      <c r="A3840" s="1">
        <v>185</v>
      </c>
      <c r="B3840" s="1" t="s">
        <v>167</v>
      </c>
      <c r="C3840" s="2" t="s">
        <v>4549</v>
      </c>
      <c r="D3840" s="1" t="s">
        <v>4562</v>
      </c>
      <c r="E3840" s="1">
        <v>1</v>
      </c>
      <c r="F3840" s="2" t="s">
        <v>4564</v>
      </c>
      <c r="G3840" s="1">
        <v>2</v>
      </c>
      <c r="H3840" s="1" t="str">
        <f t="shared" si="62"/>
        <v>k185_2</v>
      </c>
      <c r="K3840" s="1">
        <f>IF(E3840=0,SUMPRODUCT(($A$2:$A$4734=A3840)*($B$2:$B$4734=B3840)*($D$2:$D$4734=D3840)*($E$2:$E$4734=0)),0)</f>
        <v>0</v>
      </c>
      <c r="L3840" s="1" t="str">
        <f>IF(E3840=0,SUMPRODUCT(MIN($K$2:$K$4734+((($A$2:$A$4734&lt;&gt;A3840)+($E$2:$E$4734&lt;&gt;0))&gt;0)*1000000)),"")</f>
        <v/>
      </c>
      <c r="M3840" s="1">
        <f>IF(AND(E3840=0,COUNTIFS($A$2:A3840,A3840,$E$2:E3840,0)=1),L3840,0)</f>
        <v>0</v>
      </c>
    </row>
    <row r="3841" spans="1:13" ht="15" customHeight="1">
      <c r="A3841" s="1">
        <v>185</v>
      </c>
      <c r="B3841" s="1" t="s">
        <v>167</v>
      </c>
      <c r="C3841" s="2" t="s">
        <v>4549</v>
      </c>
      <c r="D3841" s="1" t="s">
        <v>4562</v>
      </c>
      <c r="E3841" s="1">
        <v>1</v>
      </c>
      <c r="F3841" s="2" t="s">
        <v>4565</v>
      </c>
      <c r="G3841" s="1">
        <v>3</v>
      </c>
      <c r="H3841" s="1" t="str">
        <f t="shared" si="62"/>
        <v>k185_3</v>
      </c>
      <c r="K3841" s="1">
        <f>IF(E3841=0,SUMPRODUCT(($A$2:$A$4734=A3841)*($B$2:$B$4734=B3841)*($D$2:$D$4734=D3841)*($E$2:$E$4734=0)),0)</f>
        <v>0</v>
      </c>
      <c r="L3841" s="1" t="str">
        <f>IF(E3841=0,SUMPRODUCT(MIN($K$2:$K$4734+((($A$2:$A$4734&lt;&gt;A3841)+($E$2:$E$4734&lt;&gt;0))&gt;0)*1000000)),"")</f>
        <v/>
      </c>
      <c r="M3841" s="1">
        <f>IF(AND(E3841=0,COUNTIFS($A$2:A3841,A3841,$E$2:E3841,0)=1),L3841,0)</f>
        <v>0</v>
      </c>
    </row>
    <row r="3842" spans="1:13" ht="15" customHeight="1">
      <c r="A3842" s="1">
        <v>185</v>
      </c>
      <c r="B3842" s="1" t="s">
        <v>167</v>
      </c>
      <c r="C3842" s="2" t="s">
        <v>4549</v>
      </c>
      <c r="D3842" s="1" t="s">
        <v>4562</v>
      </c>
      <c r="E3842" s="1">
        <v>1</v>
      </c>
      <c r="F3842" s="2" t="s">
        <v>4566</v>
      </c>
      <c r="G3842" s="1">
        <v>4</v>
      </c>
      <c r="H3842" s="1" t="str">
        <f t="shared" si="62"/>
        <v>k185_4</v>
      </c>
      <c r="K3842" s="1">
        <f>IF(E3842=0,SUMPRODUCT(($A$2:$A$4734=A3842)*($B$2:$B$4734=B3842)*($D$2:$D$4734=D3842)*($E$2:$E$4734=0)),0)</f>
        <v>0</v>
      </c>
      <c r="L3842" s="1" t="str">
        <f>IF(E3842=0,SUMPRODUCT(MIN($K$2:$K$4734+((($A$2:$A$4734&lt;&gt;A3842)+($E$2:$E$4734&lt;&gt;0))&gt;0)*1000000)),"")</f>
        <v/>
      </c>
      <c r="M3842" s="1">
        <f>IF(AND(E3842=0,COUNTIFS($A$2:A3842,A3842,$E$2:E3842,0)=1),L3842,0)</f>
        <v>0</v>
      </c>
    </row>
    <row r="3843" spans="1:13" ht="15" customHeight="1">
      <c r="A3843" s="1">
        <v>185</v>
      </c>
      <c r="B3843" s="1" t="s">
        <v>167</v>
      </c>
      <c r="C3843" s="2" t="s">
        <v>4549</v>
      </c>
      <c r="D3843" s="1" t="s">
        <v>4562</v>
      </c>
      <c r="E3843" s="1">
        <v>1</v>
      </c>
      <c r="F3843" s="2" t="s">
        <v>4567</v>
      </c>
      <c r="G3843" s="1">
        <v>5</v>
      </c>
      <c r="H3843" s="1" t="str">
        <f t="shared" si="62"/>
        <v>k185_5</v>
      </c>
      <c r="K3843" s="1">
        <f>IF(E3843=0,SUMPRODUCT(($A$2:$A$4734=A3843)*($B$2:$B$4734=B3843)*($D$2:$D$4734=D3843)*($E$2:$E$4734=0)),0)</f>
        <v>0</v>
      </c>
      <c r="L3843" s="1" t="str">
        <f>IF(E3843=0,SUMPRODUCT(MIN($K$2:$K$4734+((($A$2:$A$4734&lt;&gt;A3843)+($E$2:$E$4734&lt;&gt;0))&gt;0)*1000000)),"")</f>
        <v/>
      </c>
      <c r="M3843" s="1">
        <f>IF(AND(E3843=0,COUNTIFS($A$2:A3843,A3843,$E$2:E3843,0)=1),L3843,0)</f>
        <v>0</v>
      </c>
    </row>
    <row r="3844" spans="1:13" ht="15" customHeight="1">
      <c r="A3844" s="1">
        <v>185</v>
      </c>
      <c r="B3844" s="1" t="s">
        <v>167</v>
      </c>
      <c r="C3844" s="2" t="s">
        <v>4549</v>
      </c>
      <c r="D3844" s="1" t="s">
        <v>4562</v>
      </c>
      <c r="E3844" s="1">
        <v>1</v>
      </c>
      <c r="F3844" s="2" t="s">
        <v>4568</v>
      </c>
      <c r="G3844" s="1">
        <v>6</v>
      </c>
      <c r="H3844" s="1" t="str">
        <f t="shared" si="62"/>
        <v>k185_6</v>
      </c>
      <c r="K3844" s="1">
        <f>IF(E3844=0,SUMPRODUCT(($A$2:$A$4734=A3844)*($B$2:$B$4734=B3844)*($D$2:$D$4734=D3844)*($E$2:$E$4734=0)),0)</f>
        <v>0</v>
      </c>
      <c r="L3844" s="1" t="str">
        <f>IF(E3844=0,SUMPRODUCT(MIN($K$2:$K$4734+((($A$2:$A$4734&lt;&gt;A3844)+($E$2:$E$4734&lt;&gt;0))&gt;0)*1000000)),"")</f>
        <v/>
      </c>
      <c r="M3844" s="1">
        <f>IF(AND(E3844=0,COUNTIFS($A$2:A3844,A3844,$E$2:E3844,0)=1),L3844,0)</f>
        <v>0</v>
      </c>
    </row>
    <row r="3845" spans="1:13" ht="15" customHeight="1">
      <c r="A3845" s="1">
        <v>185</v>
      </c>
      <c r="B3845" s="1" t="s">
        <v>167</v>
      </c>
      <c r="C3845" s="2" t="s">
        <v>4549</v>
      </c>
      <c r="D3845" s="1" t="s">
        <v>4562</v>
      </c>
      <c r="E3845" s="1">
        <v>1</v>
      </c>
      <c r="F3845" s="2" t="s">
        <v>4565</v>
      </c>
      <c r="G3845" s="1">
        <v>7</v>
      </c>
      <c r="H3845" s="1" t="str">
        <f t="shared" si="62"/>
        <v>k185_7</v>
      </c>
      <c r="K3845" s="1">
        <f>IF(E3845=0,SUMPRODUCT(($A$2:$A$4734=A3845)*($B$2:$B$4734=B3845)*($D$2:$D$4734=D3845)*($E$2:$E$4734=0)),0)</f>
        <v>0</v>
      </c>
      <c r="L3845" s="1" t="str">
        <f>IF(E3845=0,SUMPRODUCT(MIN($K$2:$K$4734+((($A$2:$A$4734&lt;&gt;A3845)+($E$2:$E$4734&lt;&gt;0))&gt;0)*1000000)),"")</f>
        <v/>
      </c>
      <c r="M3845" s="1">
        <f>IF(AND(E3845=0,COUNTIFS($A$2:A3845,A3845,$E$2:E3845,0)=1),L3845,0)</f>
        <v>0</v>
      </c>
    </row>
    <row r="3846" spans="1:13" ht="15" customHeight="1">
      <c r="A3846" s="1">
        <v>185</v>
      </c>
      <c r="B3846" s="1" t="s">
        <v>167</v>
      </c>
      <c r="C3846" s="2" t="s">
        <v>4549</v>
      </c>
      <c r="D3846" s="1" t="s">
        <v>4562</v>
      </c>
      <c r="E3846" s="1">
        <v>1</v>
      </c>
      <c r="F3846" s="2" t="s">
        <v>4566</v>
      </c>
      <c r="G3846" s="1">
        <v>8</v>
      </c>
      <c r="H3846" s="1" t="str">
        <f t="shared" si="62"/>
        <v>k185_8</v>
      </c>
      <c r="K3846" s="1">
        <f>IF(E3846=0,SUMPRODUCT(($A$2:$A$4734=A3846)*($B$2:$B$4734=B3846)*($D$2:$D$4734=D3846)*($E$2:$E$4734=0)),0)</f>
        <v>0</v>
      </c>
      <c r="L3846" s="1" t="str">
        <f>IF(E3846=0,SUMPRODUCT(MIN($K$2:$K$4734+((($A$2:$A$4734&lt;&gt;A3846)+($E$2:$E$4734&lt;&gt;0))&gt;0)*1000000)),"")</f>
        <v/>
      </c>
      <c r="M3846" s="1">
        <f>IF(AND(E3846=0,COUNTIFS($A$2:A3846,A3846,$E$2:E3846,0)=1),L3846,0)</f>
        <v>0</v>
      </c>
    </row>
    <row r="3847" spans="1:13" ht="15" customHeight="1">
      <c r="A3847" s="1">
        <v>185</v>
      </c>
      <c r="B3847" s="1" t="s">
        <v>167</v>
      </c>
      <c r="C3847" s="2" t="s">
        <v>4549</v>
      </c>
      <c r="D3847" s="1" t="s">
        <v>4562</v>
      </c>
      <c r="E3847" s="1">
        <v>1</v>
      </c>
      <c r="F3847" s="2" t="s">
        <v>4567</v>
      </c>
      <c r="G3847" s="1">
        <v>9</v>
      </c>
      <c r="H3847" s="1" t="str">
        <f t="shared" si="62"/>
        <v>k185_9</v>
      </c>
      <c r="K3847" s="1">
        <f>IF(E3847=0,SUMPRODUCT(($A$2:$A$4734=A3847)*($B$2:$B$4734=B3847)*($D$2:$D$4734=D3847)*($E$2:$E$4734=0)),0)</f>
        <v>0</v>
      </c>
      <c r="L3847" s="1" t="str">
        <f>IF(E3847=0,SUMPRODUCT(MIN($K$2:$K$4734+((($A$2:$A$4734&lt;&gt;A3847)+($E$2:$E$4734&lt;&gt;0))&gt;0)*1000000)),"")</f>
        <v/>
      </c>
      <c r="M3847" s="1">
        <f>IF(AND(E3847=0,COUNTIFS($A$2:A3847,A3847,$E$2:E3847,0)=1),L3847,0)</f>
        <v>0</v>
      </c>
    </row>
    <row r="3848" spans="1:13" ht="15" customHeight="1">
      <c r="A3848" s="1">
        <v>185</v>
      </c>
      <c r="B3848" s="1" t="s">
        <v>167</v>
      </c>
      <c r="C3848" s="2" t="s">
        <v>4549</v>
      </c>
      <c r="D3848" s="1" t="s">
        <v>4562</v>
      </c>
      <c r="E3848" s="1">
        <v>1</v>
      </c>
      <c r="F3848" s="2" t="s">
        <v>4568</v>
      </c>
      <c r="G3848" s="1">
        <v>10</v>
      </c>
      <c r="H3848" s="1" t="str">
        <f t="shared" si="62"/>
        <v>k185_10</v>
      </c>
      <c r="K3848" s="1">
        <f>IF(E3848=0,SUMPRODUCT(($A$2:$A$4734=A3848)*($B$2:$B$4734=B3848)*($D$2:$D$4734=D3848)*($E$2:$E$4734=0)),0)</f>
        <v>0</v>
      </c>
      <c r="L3848" s="1" t="str">
        <f>IF(E3848=0,SUMPRODUCT(MIN($K$2:$K$4734+((($A$2:$A$4734&lt;&gt;A3848)+($E$2:$E$4734&lt;&gt;0))&gt;0)*1000000)),"")</f>
        <v/>
      </c>
      <c r="M3848" s="1">
        <f>IF(AND(E3848=0,COUNTIFS($A$2:A3848,A3848,$E$2:E3848,0)=1),L3848,0)</f>
        <v>0</v>
      </c>
    </row>
    <row r="3849" spans="1:13" ht="15" customHeight="1">
      <c r="A3849" s="1">
        <v>186</v>
      </c>
      <c r="B3849" s="1" t="s">
        <v>16</v>
      </c>
      <c r="C3849" s="2" t="s">
        <v>4569</v>
      </c>
      <c r="D3849" s="2" t="s">
        <v>4570</v>
      </c>
      <c r="E3849" s="1">
        <v>0</v>
      </c>
      <c r="F3849" s="2" t="s">
        <v>4571</v>
      </c>
      <c r="H3849" s="1" t="str">
        <f t="shared" si="62"/>
        <v/>
      </c>
      <c r="K3849" s="1">
        <f>IF(E3849=0,SUMPRODUCT(($A$2:$A$4734=A3849)*($B$2:$B$4734=B3849)*($D$2:$D$4734=D3849)*($E$2:$E$4734=0)),0)</f>
        <v>2</v>
      </c>
      <c r="L3849" s="1">
        <f>IF(E3849=0,SUMPRODUCT(MIN($K$2:$K$4734+((($A$2:$A$4734&lt;&gt;A3849)+($E$2:$E$4734&lt;&gt;0))&gt;0)*1000000)),"")</f>
        <v>2</v>
      </c>
      <c r="M3849" s="1">
        <f>IF(AND(E3849=0,COUNTIFS($A$2:A3849,A3849,$E$2:E3849,0)=1),L3849,0)</f>
        <v>2</v>
      </c>
    </row>
    <row r="3850" spans="1:13" ht="15" customHeight="1">
      <c r="A3850" s="1">
        <v>186</v>
      </c>
      <c r="B3850" s="1" t="s">
        <v>16</v>
      </c>
      <c r="C3850" s="2" t="s">
        <v>4569</v>
      </c>
      <c r="D3850" s="2" t="s">
        <v>4570</v>
      </c>
      <c r="E3850" s="1">
        <v>0</v>
      </c>
      <c r="F3850" s="2" t="s">
        <v>4572</v>
      </c>
      <c r="H3850" s="1" t="str">
        <f t="shared" si="62"/>
        <v/>
      </c>
      <c r="K3850" s="1">
        <f>IF(E3850=0,SUMPRODUCT(($A$2:$A$4734=A3850)*($B$2:$B$4734=B3850)*($D$2:$D$4734=D3850)*($E$2:$E$4734=0)),0)</f>
        <v>2</v>
      </c>
      <c r="L3850" s="1">
        <f>IF(E3850=0,SUMPRODUCT(MIN($K$2:$K$4734+((($A$2:$A$4734&lt;&gt;A3850)+($E$2:$E$4734&lt;&gt;0))&gt;0)*1000000)),"")</f>
        <v>2</v>
      </c>
      <c r="M3850" s="1">
        <f>IF(AND(E3850=0,COUNTIFS($A$2:A3850,A3850,$E$2:E3850,0)=1),L3850,0)</f>
        <v>0</v>
      </c>
    </row>
    <row r="3851" spans="1:13" ht="15" customHeight="1">
      <c r="A3851" s="1">
        <v>187</v>
      </c>
      <c r="B3851" s="1" t="s">
        <v>9</v>
      </c>
      <c r="C3851" s="2" t="s">
        <v>4573</v>
      </c>
      <c r="D3851" s="2" t="s">
        <v>4574</v>
      </c>
      <c r="E3851" s="1">
        <v>1</v>
      </c>
      <c r="F3851" s="2" t="s">
        <v>4575</v>
      </c>
      <c r="G3851" s="1">
        <v>4</v>
      </c>
      <c r="H3851" s="1" t="str">
        <f t="shared" si="62"/>
        <v>k187_4</v>
      </c>
      <c r="K3851" s="1">
        <f>IF(E3851=0,SUMPRODUCT(($A$2:$A$4734=A3851)*($B$2:$B$4734=B3851)*($D$2:$D$4734=D3851)*($E$2:$E$4734=0)),0)</f>
        <v>0</v>
      </c>
      <c r="L3851" s="1" t="str">
        <f>IF(E3851=0,SUMPRODUCT(MIN($K$2:$K$4734+((($A$2:$A$4734&lt;&gt;A3851)+($E$2:$E$4734&lt;&gt;0))&gt;0)*1000000)),"")</f>
        <v/>
      </c>
      <c r="M3851" s="1">
        <f>IF(AND(E3851=0,COUNTIFS($A$2:A3851,A3851,$E$2:E3851,0)=1),L3851,0)</f>
        <v>0</v>
      </c>
    </row>
    <row r="3852" spans="1:13" ht="15" customHeight="1">
      <c r="A3852" s="1">
        <v>187</v>
      </c>
      <c r="B3852" s="1" t="s">
        <v>9</v>
      </c>
      <c r="C3852" s="2" t="s">
        <v>4573</v>
      </c>
      <c r="D3852" s="2" t="s">
        <v>4574</v>
      </c>
      <c r="E3852" s="1">
        <v>1</v>
      </c>
      <c r="F3852" s="2" t="s">
        <v>4576</v>
      </c>
      <c r="G3852" s="1">
        <v>1</v>
      </c>
      <c r="H3852" s="1" t="str">
        <f t="shared" si="62"/>
        <v>k187_1</v>
      </c>
      <c r="K3852" s="1">
        <f>IF(E3852=0,SUMPRODUCT(($A$2:$A$4734=A3852)*($B$2:$B$4734=B3852)*($D$2:$D$4734=D3852)*($E$2:$E$4734=0)),0)</f>
        <v>0</v>
      </c>
      <c r="L3852" s="1" t="str">
        <f>IF(E3852=0,SUMPRODUCT(MIN($K$2:$K$4734+((($A$2:$A$4734&lt;&gt;A3852)+($E$2:$E$4734&lt;&gt;0))&gt;0)*1000000)),"")</f>
        <v/>
      </c>
      <c r="M3852" s="1">
        <f>IF(AND(E3852=0,COUNTIFS($A$2:A3852,A3852,$E$2:E3852,0)=1),L3852,0)</f>
        <v>0</v>
      </c>
    </row>
    <row r="3853" spans="1:13" ht="15" customHeight="1">
      <c r="A3853" s="1">
        <v>187</v>
      </c>
      <c r="B3853" s="1" t="s">
        <v>9</v>
      </c>
      <c r="C3853" s="2" t="s">
        <v>4573</v>
      </c>
      <c r="D3853" s="2" t="s">
        <v>4574</v>
      </c>
      <c r="E3853" s="1">
        <v>1</v>
      </c>
      <c r="F3853" s="2" t="s">
        <v>4577</v>
      </c>
      <c r="G3853" s="1">
        <v>5</v>
      </c>
      <c r="H3853" s="1" t="str">
        <f t="shared" si="62"/>
        <v>k187_5</v>
      </c>
      <c r="K3853" s="1">
        <f>IF(E3853=0,SUMPRODUCT(($A$2:$A$4734=A3853)*($B$2:$B$4734=B3853)*($D$2:$D$4734=D3853)*($E$2:$E$4734=0)),0)</f>
        <v>0</v>
      </c>
      <c r="L3853" s="1" t="str">
        <f>IF(E3853=0,SUMPRODUCT(MIN($K$2:$K$4734+((($A$2:$A$4734&lt;&gt;A3853)+($E$2:$E$4734&lt;&gt;0))&gt;0)*1000000)),"")</f>
        <v/>
      </c>
      <c r="M3853" s="1">
        <f>IF(AND(E3853=0,COUNTIFS($A$2:A3853,A3853,$E$2:E3853,0)=1),L3853,0)</f>
        <v>0</v>
      </c>
    </row>
    <row r="3854" spans="1:13" ht="15" customHeight="1">
      <c r="A3854" s="1">
        <v>187</v>
      </c>
      <c r="B3854" s="1" t="s">
        <v>9</v>
      </c>
      <c r="C3854" s="2" t="s">
        <v>4573</v>
      </c>
      <c r="D3854" s="2" t="s">
        <v>4574</v>
      </c>
      <c r="E3854" s="1">
        <v>1</v>
      </c>
      <c r="F3854" s="2" t="s">
        <v>4578</v>
      </c>
      <c r="G3854" s="1">
        <v>2</v>
      </c>
      <c r="H3854" s="1" t="str">
        <f t="shared" si="62"/>
        <v>k187_2</v>
      </c>
      <c r="K3854" s="1">
        <f>IF(E3854=0,SUMPRODUCT(($A$2:$A$4734=A3854)*($B$2:$B$4734=B3854)*($D$2:$D$4734=D3854)*($E$2:$E$4734=0)),0)</f>
        <v>0</v>
      </c>
      <c r="L3854" s="1" t="str">
        <f>IF(E3854=0,SUMPRODUCT(MIN($K$2:$K$4734+((($A$2:$A$4734&lt;&gt;A3854)+($E$2:$E$4734&lt;&gt;0))&gt;0)*1000000)),"")</f>
        <v/>
      </c>
      <c r="M3854" s="1">
        <f>IF(AND(E3854=0,COUNTIFS($A$2:A3854,A3854,$E$2:E3854,0)=1),L3854,0)</f>
        <v>0</v>
      </c>
    </row>
    <row r="3855" spans="1:13" ht="15" customHeight="1">
      <c r="A3855" s="1">
        <v>187</v>
      </c>
      <c r="B3855" s="1" t="s">
        <v>9</v>
      </c>
      <c r="C3855" s="2" t="s">
        <v>4573</v>
      </c>
      <c r="D3855" s="2" t="s">
        <v>4574</v>
      </c>
      <c r="E3855" s="1">
        <v>1</v>
      </c>
      <c r="F3855" s="2" t="s">
        <v>4578</v>
      </c>
      <c r="G3855" s="1">
        <v>3</v>
      </c>
      <c r="H3855" s="1" t="str">
        <f t="shared" si="62"/>
        <v>k187_3</v>
      </c>
      <c r="K3855" s="1">
        <f>IF(E3855=0,SUMPRODUCT(($A$2:$A$4734=A3855)*($B$2:$B$4734=B3855)*($D$2:$D$4734=D3855)*($E$2:$E$4734=0)),0)</f>
        <v>0</v>
      </c>
      <c r="L3855" s="1" t="str">
        <f>IF(E3855=0,SUMPRODUCT(MIN($K$2:$K$4734+((($A$2:$A$4734&lt;&gt;A3855)+($E$2:$E$4734&lt;&gt;0))&gt;0)*1000000)),"")</f>
        <v/>
      </c>
      <c r="M3855" s="1">
        <f>IF(AND(E3855=0,COUNTIFS($A$2:A3855,A3855,$E$2:E3855,0)=1),L3855,0)</f>
        <v>0</v>
      </c>
    </row>
    <row r="3856" spans="1:13" ht="15" customHeight="1">
      <c r="A3856" s="1">
        <v>187</v>
      </c>
      <c r="B3856" s="1" t="s">
        <v>167</v>
      </c>
      <c r="C3856" s="2" t="s">
        <v>4573</v>
      </c>
      <c r="D3856" s="1" t="s">
        <v>3655</v>
      </c>
      <c r="E3856" s="1">
        <v>1</v>
      </c>
      <c r="F3856" s="2" t="s">
        <v>4050</v>
      </c>
      <c r="G3856" s="1">
        <v>1</v>
      </c>
      <c r="H3856" s="1" t="str">
        <f t="shared" si="62"/>
        <v>k187_1</v>
      </c>
      <c r="K3856" s="1">
        <f>IF(E3856=0,SUMPRODUCT(($A$2:$A$4734=A3856)*($B$2:$B$4734=B3856)*($D$2:$D$4734=D3856)*($E$2:$E$4734=0)),0)</f>
        <v>0</v>
      </c>
      <c r="L3856" s="1" t="str">
        <f>IF(E3856=0,SUMPRODUCT(MIN($K$2:$K$4734+((($A$2:$A$4734&lt;&gt;A3856)+($E$2:$E$4734&lt;&gt;0))&gt;0)*1000000)),"")</f>
        <v/>
      </c>
      <c r="M3856" s="1">
        <f>IF(AND(E3856=0,COUNTIFS($A$2:A3856,A3856,$E$2:E3856,0)=1),L3856,0)</f>
        <v>0</v>
      </c>
    </row>
    <row r="3857" spans="1:13" ht="15" customHeight="1">
      <c r="A3857" s="1">
        <v>187</v>
      </c>
      <c r="B3857" s="1" t="s">
        <v>167</v>
      </c>
      <c r="C3857" s="2" t="s">
        <v>4573</v>
      </c>
      <c r="D3857" s="1" t="s">
        <v>3655</v>
      </c>
      <c r="E3857" s="1">
        <v>1</v>
      </c>
      <c r="F3857" s="2" t="s">
        <v>4048</v>
      </c>
      <c r="G3857" s="1">
        <v>2</v>
      </c>
      <c r="H3857" s="1" t="str">
        <f t="shared" si="62"/>
        <v>k187_2</v>
      </c>
      <c r="K3857" s="1">
        <f>IF(E3857=0,SUMPRODUCT(($A$2:$A$4734=A3857)*($B$2:$B$4734=B3857)*($D$2:$D$4734=D3857)*($E$2:$E$4734=0)),0)</f>
        <v>0</v>
      </c>
      <c r="L3857" s="1" t="str">
        <f>IF(E3857=0,SUMPRODUCT(MIN($K$2:$K$4734+((($A$2:$A$4734&lt;&gt;A3857)+($E$2:$E$4734&lt;&gt;0))&gt;0)*1000000)),"")</f>
        <v/>
      </c>
      <c r="M3857" s="1">
        <f>IF(AND(E3857=0,COUNTIFS($A$2:A3857,A3857,$E$2:E3857,0)=1),L3857,0)</f>
        <v>0</v>
      </c>
    </row>
    <row r="3858" spans="1:13" ht="15" customHeight="1">
      <c r="A3858" s="1">
        <v>187</v>
      </c>
      <c r="B3858" s="1" t="s">
        <v>167</v>
      </c>
      <c r="C3858" s="2" t="s">
        <v>4573</v>
      </c>
      <c r="D3858" s="1" t="s">
        <v>3655</v>
      </c>
      <c r="E3858" s="1">
        <v>1</v>
      </c>
      <c r="F3858" s="2" t="s">
        <v>4579</v>
      </c>
      <c r="G3858" s="1">
        <v>3</v>
      </c>
      <c r="H3858" s="1" t="str">
        <f t="shared" si="62"/>
        <v>k187_3</v>
      </c>
      <c r="K3858" s="1">
        <f>IF(E3858=0,SUMPRODUCT(($A$2:$A$4734=A3858)*($B$2:$B$4734=B3858)*($D$2:$D$4734=D3858)*($E$2:$E$4734=0)),0)</f>
        <v>0</v>
      </c>
      <c r="L3858" s="1" t="str">
        <f>IF(E3858=0,SUMPRODUCT(MIN($K$2:$K$4734+((($A$2:$A$4734&lt;&gt;A3858)+($E$2:$E$4734&lt;&gt;0))&gt;0)*1000000)),"")</f>
        <v/>
      </c>
      <c r="M3858" s="1">
        <f>IF(AND(E3858=0,COUNTIFS($A$2:A3858,A3858,$E$2:E3858,0)=1),L3858,0)</f>
        <v>0</v>
      </c>
    </row>
    <row r="3859" spans="1:13" ht="15" customHeight="1">
      <c r="A3859" s="1">
        <v>187</v>
      </c>
      <c r="B3859" s="1" t="s">
        <v>167</v>
      </c>
      <c r="C3859" s="2" t="s">
        <v>4573</v>
      </c>
      <c r="D3859" s="1" t="s">
        <v>3655</v>
      </c>
      <c r="E3859" s="1">
        <v>1</v>
      </c>
      <c r="F3859" s="2" t="s">
        <v>3659</v>
      </c>
      <c r="G3859" s="1">
        <v>4</v>
      </c>
      <c r="H3859" s="1" t="str">
        <f t="shared" si="62"/>
        <v>k187_4</v>
      </c>
      <c r="K3859" s="1">
        <f>IF(E3859=0,SUMPRODUCT(($A$2:$A$4734=A3859)*($B$2:$B$4734=B3859)*($D$2:$D$4734=D3859)*($E$2:$E$4734=0)),0)</f>
        <v>0</v>
      </c>
      <c r="L3859" s="1" t="str">
        <f>IF(E3859=0,SUMPRODUCT(MIN($K$2:$K$4734+((($A$2:$A$4734&lt;&gt;A3859)+($E$2:$E$4734&lt;&gt;0))&gt;0)*1000000)),"")</f>
        <v/>
      </c>
      <c r="M3859" s="1">
        <f>IF(AND(E3859=0,COUNTIFS($A$2:A3859,A3859,$E$2:E3859,0)=1),L3859,0)</f>
        <v>0</v>
      </c>
    </row>
    <row r="3860" spans="1:13" ht="15" customHeight="1">
      <c r="A3860" s="1">
        <v>187</v>
      </c>
      <c r="B3860" s="1" t="s">
        <v>167</v>
      </c>
      <c r="C3860" s="2" t="s">
        <v>4573</v>
      </c>
      <c r="D3860" s="1" t="s">
        <v>3655</v>
      </c>
      <c r="E3860" s="1">
        <v>1</v>
      </c>
      <c r="F3860" s="2" t="s">
        <v>4580</v>
      </c>
      <c r="G3860" s="1">
        <v>5</v>
      </c>
      <c r="H3860" s="1" t="str">
        <f t="shared" si="62"/>
        <v>k187_5</v>
      </c>
      <c r="K3860" s="1">
        <f>IF(E3860=0,SUMPRODUCT(($A$2:$A$4734=A3860)*($B$2:$B$4734=B3860)*($D$2:$D$4734=D3860)*($E$2:$E$4734=0)),0)</f>
        <v>0</v>
      </c>
      <c r="L3860" s="1" t="str">
        <f>IF(E3860=0,SUMPRODUCT(MIN($K$2:$K$4734+((($A$2:$A$4734&lt;&gt;A3860)+($E$2:$E$4734&lt;&gt;0))&gt;0)*1000000)),"")</f>
        <v/>
      </c>
      <c r="M3860" s="1">
        <f>IF(AND(E3860=0,COUNTIFS($A$2:A3860,A3860,$E$2:E3860,0)=1),L3860,0)</f>
        <v>0</v>
      </c>
    </row>
    <row r="3861" spans="1:13" ht="15" customHeight="1">
      <c r="A3861" s="1">
        <v>188</v>
      </c>
      <c r="B3861" s="1" t="s">
        <v>9</v>
      </c>
      <c r="C3861" s="2" t="s">
        <v>4581</v>
      </c>
      <c r="D3861" s="2" t="s">
        <v>4582</v>
      </c>
      <c r="E3861" s="1">
        <v>0</v>
      </c>
      <c r="F3861" s="2" t="s">
        <v>4583</v>
      </c>
      <c r="H3861" s="1" t="str">
        <f t="shared" si="62"/>
        <v/>
      </c>
      <c r="K3861" s="1">
        <f>IF(E3861=0,SUMPRODUCT(($A$2:$A$4734=A3861)*($B$2:$B$4734=B3861)*($D$2:$D$4734=D3861)*($E$2:$E$4734=0)),0)</f>
        <v>2</v>
      </c>
      <c r="L3861" s="1">
        <f>IF(E3861=0,SUMPRODUCT(MIN($K$2:$K$4734+((($A$2:$A$4734&lt;&gt;A3861)+($E$2:$E$4734&lt;&gt;0))&gt;0)*1000000)),"")</f>
        <v>2</v>
      </c>
      <c r="M3861" s="1">
        <f>IF(AND(E3861=0,COUNTIFS($A$2:A3861,A3861,$E$2:E3861,0)=1),L3861,0)</f>
        <v>2</v>
      </c>
    </row>
    <row r="3862" spans="1:13" ht="15" customHeight="1">
      <c r="A3862" s="1">
        <v>188</v>
      </c>
      <c r="B3862" s="1" t="s">
        <v>9</v>
      </c>
      <c r="C3862" s="2" t="s">
        <v>4581</v>
      </c>
      <c r="D3862" s="2" t="s">
        <v>4582</v>
      </c>
      <c r="E3862" s="1">
        <v>0</v>
      </c>
      <c r="F3862" s="2" t="s">
        <v>4584</v>
      </c>
      <c r="H3862" s="1" t="str">
        <f t="shared" si="62"/>
        <v/>
      </c>
      <c r="K3862" s="1">
        <f>IF(E3862=0,SUMPRODUCT(($A$2:$A$4734=A3862)*($B$2:$B$4734=B3862)*($D$2:$D$4734=D3862)*($E$2:$E$4734=0)),0)</f>
        <v>2</v>
      </c>
      <c r="L3862" s="1">
        <f>IF(E3862=0,SUMPRODUCT(MIN($K$2:$K$4734+((($A$2:$A$4734&lt;&gt;A3862)+($E$2:$E$4734&lt;&gt;0))&gt;0)*1000000)),"")</f>
        <v>2</v>
      </c>
      <c r="M3862" s="1">
        <f>IF(AND(E3862=0,COUNTIFS($A$2:A3862,A3862,$E$2:E3862,0)=1),L3862,0)</f>
        <v>0</v>
      </c>
    </row>
    <row r="3863" spans="1:13" ht="15" customHeight="1">
      <c r="A3863" s="1">
        <v>189</v>
      </c>
      <c r="B3863" s="1" t="s">
        <v>16</v>
      </c>
      <c r="C3863" s="2" t="s">
        <v>4585</v>
      </c>
      <c r="D3863" s="2" t="s">
        <v>3228</v>
      </c>
      <c r="E3863" s="1">
        <v>0</v>
      </c>
      <c r="F3863" s="2" t="s">
        <v>4586</v>
      </c>
      <c r="H3863" s="1" t="str">
        <f t="shared" si="62"/>
        <v/>
      </c>
      <c r="K3863" s="1">
        <f>IF(E3863=0,SUMPRODUCT(($A$2:$A$4734=A3863)*($B$2:$B$4734=B3863)*($D$2:$D$4734=D3863)*($E$2:$E$4734=0)),0)</f>
        <v>2</v>
      </c>
      <c r="L3863" s="1">
        <f>IF(E3863=0,SUMPRODUCT(MIN($K$2:$K$4734+((($A$2:$A$4734&lt;&gt;A3863)+($E$2:$E$4734&lt;&gt;0))&gt;0)*1000000)),"")</f>
        <v>2</v>
      </c>
      <c r="M3863" s="1">
        <f>IF(AND(E3863=0,COUNTIFS($A$2:A3863,A3863,$E$2:E3863,0)=1),L3863,0)</f>
        <v>2</v>
      </c>
    </row>
    <row r="3864" spans="1:13" ht="15" customHeight="1">
      <c r="A3864" s="1">
        <v>189</v>
      </c>
      <c r="B3864" s="1" t="s">
        <v>16</v>
      </c>
      <c r="C3864" s="2" t="s">
        <v>4585</v>
      </c>
      <c r="D3864" s="2" t="s">
        <v>3228</v>
      </c>
      <c r="E3864" s="1">
        <v>0</v>
      </c>
      <c r="F3864" s="2" t="s">
        <v>4587</v>
      </c>
      <c r="H3864" s="1" t="str">
        <f t="shared" si="62"/>
        <v/>
      </c>
      <c r="K3864" s="1">
        <f>IF(E3864=0,SUMPRODUCT(($A$2:$A$4734=A3864)*($B$2:$B$4734=B3864)*($D$2:$D$4734=D3864)*($E$2:$E$4734=0)),0)</f>
        <v>2</v>
      </c>
      <c r="L3864" s="1">
        <f>IF(E3864=0,SUMPRODUCT(MIN($K$2:$K$4734+((($A$2:$A$4734&lt;&gt;A3864)+($E$2:$E$4734&lt;&gt;0))&gt;0)*1000000)),"")</f>
        <v>2</v>
      </c>
      <c r="M3864" s="1">
        <f>IF(AND(E3864=0,COUNTIFS($A$2:A3864,A3864,$E$2:E3864,0)=1),L3864,0)</f>
        <v>0</v>
      </c>
    </row>
    <row r="3865" spans="1:13" ht="15" customHeight="1">
      <c r="A3865" s="1">
        <v>190</v>
      </c>
      <c r="B3865" s="1" t="s">
        <v>16</v>
      </c>
      <c r="C3865" s="2" t="s">
        <v>4588</v>
      </c>
      <c r="D3865" s="2" t="s">
        <v>993</v>
      </c>
      <c r="E3865" s="1">
        <v>0</v>
      </c>
      <c r="F3865" s="2" t="s">
        <v>2431</v>
      </c>
      <c r="H3865" s="1" t="str">
        <f t="shared" ref="H3865:H3922" si="63">IF(OR(E3865&lt;&gt;1,G3865=""),"","k"&amp;A3865&amp;"_"&amp;G3865)</f>
        <v/>
      </c>
      <c r="K3865" s="1">
        <f>IF(E3865=0,SUMPRODUCT(($A$2:$A$4734=A3865)*($B$2:$B$4734=B3865)*($D$2:$D$4734=D3865)*($E$2:$E$4734=0)),0)</f>
        <v>2</v>
      </c>
      <c r="L3865" s="1">
        <f>IF(E3865=0,SUMPRODUCT(MIN($K$2:$K$4734+((($A$2:$A$4734&lt;&gt;A3865)+($E$2:$E$4734&lt;&gt;0))&gt;0)*1000000)),"")</f>
        <v>2</v>
      </c>
      <c r="M3865" s="1">
        <f>IF(AND(E3865=0,COUNTIFS($A$2:A3865,A3865,$E$2:E3865,0)=1),L3865,0)</f>
        <v>2</v>
      </c>
    </row>
    <row r="3866" spans="1:13" ht="15" customHeight="1">
      <c r="A3866" s="1">
        <v>190</v>
      </c>
      <c r="B3866" s="1" t="s">
        <v>16</v>
      </c>
      <c r="C3866" s="2" t="s">
        <v>4588</v>
      </c>
      <c r="D3866" s="2" t="s">
        <v>993</v>
      </c>
      <c r="E3866" s="1">
        <v>0</v>
      </c>
      <c r="F3866" s="2" t="s">
        <v>3411</v>
      </c>
      <c r="H3866" s="1" t="str">
        <f t="shared" si="63"/>
        <v/>
      </c>
      <c r="K3866" s="1">
        <f>IF(E3866=0,SUMPRODUCT(($A$2:$A$4734=A3866)*($B$2:$B$4734=B3866)*($D$2:$D$4734=D3866)*($E$2:$E$4734=0)),0)</f>
        <v>2</v>
      </c>
      <c r="L3866" s="1">
        <f>IF(E3866=0,SUMPRODUCT(MIN($K$2:$K$4734+((($A$2:$A$4734&lt;&gt;A3866)+($E$2:$E$4734&lt;&gt;0))&gt;0)*1000000)),"")</f>
        <v>2</v>
      </c>
      <c r="M3866" s="1">
        <f>IF(AND(E3866=0,COUNTIFS($A$2:A3866,A3866,$E$2:E3866,0)=1),L3866,0)</f>
        <v>0</v>
      </c>
    </row>
    <row r="3867" spans="1:13" ht="15" customHeight="1">
      <c r="A3867" s="1">
        <v>190</v>
      </c>
      <c r="B3867" s="1" t="s">
        <v>9</v>
      </c>
      <c r="C3867" s="2" t="s">
        <v>4588</v>
      </c>
      <c r="D3867" s="2" t="s">
        <v>4589</v>
      </c>
      <c r="E3867" s="1">
        <v>0</v>
      </c>
      <c r="F3867" s="2" t="s">
        <v>4590</v>
      </c>
      <c r="H3867" s="1" t="str">
        <f t="shared" si="63"/>
        <v/>
      </c>
      <c r="K3867" s="1">
        <f>IF(E3867=0,SUMPRODUCT(($A$2:$A$4734=A3867)*($B$2:$B$4734=B3867)*($D$2:$D$4734=D3867)*($E$2:$E$4734=0)),0)</f>
        <v>5</v>
      </c>
      <c r="L3867" s="1">
        <f>IF(E3867=0,SUMPRODUCT(MIN($K$2:$K$4734+((($A$2:$A$4734&lt;&gt;A3867)+($E$2:$E$4734&lt;&gt;0))&gt;0)*1000000)),"")</f>
        <v>2</v>
      </c>
      <c r="M3867" s="1">
        <f>IF(AND(E3867=0,COUNTIFS($A$2:A3867,A3867,$E$2:E3867,0)=1),L3867,0)</f>
        <v>0</v>
      </c>
    </row>
    <row r="3868" spans="1:13" ht="15" customHeight="1">
      <c r="A3868" s="1">
        <v>190</v>
      </c>
      <c r="B3868" s="1" t="s">
        <v>9</v>
      </c>
      <c r="C3868" s="2" t="s">
        <v>4588</v>
      </c>
      <c r="D3868" s="2" t="s">
        <v>4589</v>
      </c>
      <c r="E3868" s="1">
        <v>0</v>
      </c>
      <c r="F3868" s="2" t="s">
        <v>4591</v>
      </c>
      <c r="H3868" s="1" t="str">
        <f t="shared" si="63"/>
        <v/>
      </c>
      <c r="K3868" s="1">
        <f>IF(E3868=0,SUMPRODUCT(($A$2:$A$4734=A3868)*($B$2:$B$4734=B3868)*($D$2:$D$4734=D3868)*($E$2:$E$4734=0)),0)</f>
        <v>5</v>
      </c>
      <c r="L3868" s="1">
        <f>IF(E3868=0,SUMPRODUCT(MIN($K$2:$K$4734+((($A$2:$A$4734&lt;&gt;A3868)+($E$2:$E$4734&lt;&gt;0))&gt;0)*1000000)),"")</f>
        <v>2</v>
      </c>
      <c r="M3868" s="1">
        <f>IF(AND(E3868=0,COUNTIFS($A$2:A3868,A3868,$E$2:E3868,0)=1),L3868,0)</f>
        <v>0</v>
      </c>
    </row>
    <row r="3869" spans="1:13" ht="15" customHeight="1">
      <c r="A3869" s="1">
        <v>190</v>
      </c>
      <c r="B3869" s="1" t="s">
        <v>9</v>
      </c>
      <c r="C3869" s="2" t="s">
        <v>4588</v>
      </c>
      <c r="D3869" s="2" t="s">
        <v>4589</v>
      </c>
      <c r="E3869" s="1">
        <v>0</v>
      </c>
      <c r="F3869" s="2" t="s">
        <v>4592</v>
      </c>
      <c r="H3869" s="1" t="str">
        <f t="shared" si="63"/>
        <v/>
      </c>
      <c r="K3869" s="1">
        <f>IF(E3869=0,SUMPRODUCT(($A$2:$A$4734=A3869)*($B$2:$B$4734=B3869)*($D$2:$D$4734=D3869)*($E$2:$E$4734=0)),0)</f>
        <v>5</v>
      </c>
      <c r="L3869" s="1">
        <f>IF(E3869=0,SUMPRODUCT(MIN($K$2:$K$4734+((($A$2:$A$4734&lt;&gt;A3869)+($E$2:$E$4734&lt;&gt;0))&gt;0)*1000000)),"")</f>
        <v>2</v>
      </c>
      <c r="M3869" s="1">
        <f>IF(AND(E3869=0,COUNTIFS($A$2:A3869,A3869,$E$2:E3869,0)=1),L3869,0)</f>
        <v>0</v>
      </c>
    </row>
    <row r="3870" spans="1:13" ht="15" customHeight="1">
      <c r="A3870" s="1">
        <v>190</v>
      </c>
      <c r="B3870" s="1" t="s">
        <v>9</v>
      </c>
      <c r="C3870" s="2" t="s">
        <v>4588</v>
      </c>
      <c r="D3870" s="2" t="s">
        <v>4589</v>
      </c>
      <c r="E3870" s="1">
        <v>0</v>
      </c>
      <c r="F3870" s="2" t="s">
        <v>4593</v>
      </c>
      <c r="H3870" s="1" t="str">
        <f t="shared" si="63"/>
        <v/>
      </c>
      <c r="K3870" s="1">
        <f>IF(E3870=0,SUMPRODUCT(($A$2:$A$4734=A3870)*($B$2:$B$4734=B3870)*($D$2:$D$4734=D3870)*($E$2:$E$4734=0)),0)</f>
        <v>5</v>
      </c>
      <c r="L3870" s="1">
        <f>IF(E3870=0,SUMPRODUCT(MIN($K$2:$K$4734+((($A$2:$A$4734&lt;&gt;A3870)+($E$2:$E$4734&lt;&gt;0))&gt;0)*1000000)),"")</f>
        <v>2</v>
      </c>
      <c r="M3870" s="1">
        <f>IF(AND(E3870=0,COUNTIFS($A$2:A3870,A3870,$E$2:E3870,0)=1),L3870,0)</f>
        <v>0</v>
      </c>
    </row>
    <row r="3871" spans="1:13" ht="15" customHeight="1">
      <c r="A3871" s="1">
        <v>190</v>
      </c>
      <c r="B3871" s="1" t="s">
        <v>9</v>
      </c>
      <c r="C3871" s="2" t="s">
        <v>4588</v>
      </c>
      <c r="D3871" s="2" t="s">
        <v>4589</v>
      </c>
      <c r="E3871" s="1">
        <v>0</v>
      </c>
      <c r="F3871" s="2" t="s">
        <v>4594</v>
      </c>
      <c r="H3871" s="1" t="str">
        <f t="shared" si="63"/>
        <v/>
      </c>
      <c r="K3871" s="1">
        <f>IF(E3871=0,SUMPRODUCT(($A$2:$A$4734=A3871)*($B$2:$B$4734=B3871)*($D$2:$D$4734=D3871)*($E$2:$E$4734=0)),0)</f>
        <v>5</v>
      </c>
      <c r="L3871" s="1">
        <f>IF(E3871=0,SUMPRODUCT(MIN($K$2:$K$4734+((($A$2:$A$4734&lt;&gt;A3871)+($E$2:$E$4734&lt;&gt;0))&gt;0)*1000000)),"")</f>
        <v>2</v>
      </c>
      <c r="M3871" s="1">
        <f>IF(AND(E3871=0,COUNTIFS($A$2:A3871,A3871,$E$2:E3871,0)=1),L3871,0)</f>
        <v>0</v>
      </c>
    </row>
    <row r="3872" spans="1:13" ht="15" customHeight="1">
      <c r="A3872" s="1">
        <v>191</v>
      </c>
      <c r="B3872" s="1" t="s">
        <v>9</v>
      </c>
      <c r="C3872" s="2" t="s">
        <v>4595</v>
      </c>
      <c r="D3872" s="2" t="s">
        <v>4596</v>
      </c>
      <c r="E3872" s="1">
        <v>0</v>
      </c>
      <c r="F3872" s="2" t="s">
        <v>4597</v>
      </c>
      <c r="H3872" s="1" t="str">
        <f t="shared" si="63"/>
        <v/>
      </c>
      <c r="K3872" s="1">
        <f>IF(E3872=0,SUMPRODUCT(($A$2:$A$4734=A3872)*($B$2:$B$4734=B3872)*($D$2:$D$4734=D3872)*($E$2:$E$4734=0)),0)</f>
        <v>5</v>
      </c>
      <c r="L3872" s="1">
        <f>IF(E3872=0,SUMPRODUCT(MIN($K$2:$K$4734+((($A$2:$A$4734&lt;&gt;A3872)+($E$2:$E$4734&lt;&gt;0))&gt;0)*1000000)),"")</f>
        <v>5</v>
      </c>
      <c r="M3872" s="1">
        <f>IF(AND(E3872=0,COUNTIFS($A$2:A3872,A3872,$E$2:E3872,0)=1),L3872,0)</f>
        <v>5</v>
      </c>
    </row>
    <row r="3873" spans="1:13" ht="15" customHeight="1">
      <c r="A3873" s="1">
        <v>191</v>
      </c>
      <c r="B3873" s="1" t="s">
        <v>9</v>
      </c>
      <c r="C3873" s="2" t="s">
        <v>4595</v>
      </c>
      <c r="D3873" s="2" t="s">
        <v>4596</v>
      </c>
      <c r="E3873" s="1">
        <v>0</v>
      </c>
      <c r="F3873" s="2" t="s">
        <v>4598</v>
      </c>
      <c r="H3873" s="1" t="str">
        <f t="shared" si="63"/>
        <v/>
      </c>
      <c r="K3873" s="1">
        <f>IF(E3873=0,SUMPRODUCT(($A$2:$A$4734=A3873)*($B$2:$B$4734=B3873)*($D$2:$D$4734=D3873)*($E$2:$E$4734=0)),0)</f>
        <v>5</v>
      </c>
      <c r="L3873" s="1">
        <f>IF(E3873=0,SUMPRODUCT(MIN($K$2:$K$4734+((($A$2:$A$4734&lt;&gt;A3873)+($E$2:$E$4734&lt;&gt;0))&gt;0)*1000000)),"")</f>
        <v>5</v>
      </c>
      <c r="M3873" s="1">
        <f>IF(AND(E3873=0,COUNTIFS($A$2:A3873,A3873,$E$2:E3873,0)=1),L3873,0)</f>
        <v>0</v>
      </c>
    </row>
    <row r="3874" spans="1:13" ht="15" customHeight="1">
      <c r="A3874" s="1">
        <v>191</v>
      </c>
      <c r="B3874" s="1" t="s">
        <v>9</v>
      </c>
      <c r="C3874" s="2" t="s">
        <v>4595</v>
      </c>
      <c r="D3874" s="2" t="s">
        <v>4596</v>
      </c>
      <c r="E3874" s="1">
        <v>0</v>
      </c>
      <c r="F3874" s="2" t="s">
        <v>4599</v>
      </c>
      <c r="H3874" s="1" t="str">
        <f t="shared" si="63"/>
        <v/>
      </c>
      <c r="K3874" s="1">
        <f>IF(E3874=0,SUMPRODUCT(($A$2:$A$4734=A3874)*($B$2:$B$4734=B3874)*($D$2:$D$4734=D3874)*($E$2:$E$4734=0)),0)</f>
        <v>5</v>
      </c>
      <c r="L3874" s="1">
        <f>IF(E3874=0,SUMPRODUCT(MIN($K$2:$K$4734+((($A$2:$A$4734&lt;&gt;A3874)+($E$2:$E$4734&lt;&gt;0))&gt;0)*1000000)),"")</f>
        <v>5</v>
      </c>
      <c r="M3874" s="1">
        <f>IF(AND(E3874=0,COUNTIFS($A$2:A3874,A3874,$E$2:E3874,0)=1),L3874,0)</f>
        <v>0</v>
      </c>
    </row>
    <row r="3875" spans="1:13" ht="15" customHeight="1">
      <c r="A3875" s="1">
        <v>191</v>
      </c>
      <c r="B3875" s="1" t="s">
        <v>9</v>
      </c>
      <c r="C3875" s="2" t="s">
        <v>4595</v>
      </c>
      <c r="D3875" s="2" t="s">
        <v>4596</v>
      </c>
      <c r="E3875" s="1">
        <v>0</v>
      </c>
      <c r="F3875" s="2" t="s">
        <v>4600</v>
      </c>
      <c r="H3875" s="1" t="str">
        <f t="shared" si="63"/>
        <v/>
      </c>
      <c r="K3875" s="1">
        <f>IF(E3875=0,SUMPRODUCT(($A$2:$A$4734=A3875)*($B$2:$B$4734=B3875)*($D$2:$D$4734=D3875)*($E$2:$E$4734=0)),0)</f>
        <v>5</v>
      </c>
      <c r="L3875" s="1">
        <f>IF(E3875=0,SUMPRODUCT(MIN($K$2:$K$4734+((($A$2:$A$4734&lt;&gt;A3875)+($E$2:$E$4734&lt;&gt;0))&gt;0)*1000000)),"")</f>
        <v>5</v>
      </c>
      <c r="M3875" s="1">
        <f>IF(AND(E3875=0,COUNTIFS($A$2:A3875,A3875,$E$2:E3875,0)=1),L3875,0)</f>
        <v>0</v>
      </c>
    </row>
    <row r="3876" spans="1:13" ht="15" customHeight="1">
      <c r="A3876" s="1">
        <v>191</v>
      </c>
      <c r="B3876" s="1" t="s">
        <v>9</v>
      </c>
      <c r="C3876" s="2" t="s">
        <v>4595</v>
      </c>
      <c r="D3876" s="2" t="s">
        <v>4596</v>
      </c>
      <c r="E3876" s="1">
        <v>0</v>
      </c>
      <c r="F3876" s="2" t="s">
        <v>4601</v>
      </c>
      <c r="H3876" s="1" t="str">
        <f t="shared" si="63"/>
        <v/>
      </c>
      <c r="K3876" s="1">
        <f>IF(E3876=0,SUMPRODUCT(($A$2:$A$4734=A3876)*($B$2:$B$4734=B3876)*($D$2:$D$4734=D3876)*($E$2:$E$4734=0)),0)</f>
        <v>5</v>
      </c>
      <c r="L3876" s="1">
        <f>IF(E3876=0,SUMPRODUCT(MIN($K$2:$K$4734+((($A$2:$A$4734&lt;&gt;A3876)+($E$2:$E$4734&lt;&gt;0))&gt;0)*1000000)),"")</f>
        <v>5</v>
      </c>
      <c r="M3876" s="1">
        <f>IF(AND(E3876=0,COUNTIFS($A$2:A3876,A3876,$E$2:E3876,0)=1),L3876,0)</f>
        <v>0</v>
      </c>
    </row>
    <row r="3877" spans="1:13" ht="15" customHeight="1">
      <c r="A3877" s="1">
        <v>192</v>
      </c>
      <c r="B3877" s="1" t="s">
        <v>9</v>
      </c>
      <c r="C3877" s="2" t="s">
        <v>4602</v>
      </c>
      <c r="D3877" s="2" t="s">
        <v>4603</v>
      </c>
      <c r="E3877" s="1">
        <v>0</v>
      </c>
      <c r="F3877" s="2" t="s">
        <v>4604</v>
      </c>
      <c r="H3877" s="1" t="str">
        <f t="shared" si="63"/>
        <v/>
      </c>
      <c r="K3877" s="1">
        <f>IF(E3877=0,SUMPRODUCT(($A$2:$A$4734=A3877)*($B$2:$B$4734=B3877)*($D$2:$D$4734=D3877)*($E$2:$E$4734=0)),0)</f>
        <v>3</v>
      </c>
      <c r="L3877" s="1">
        <f>IF(E3877=0,SUMPRODUCT(MIN($K$2:$K$4734+((($A$2:$A$4734&lt;&gt;A3877)+($E$2:$E$4734&lt;&gt;0))&gt;0)*1000000)),"")</f>
        <v>3</v>
      </c>
      <c r="M3877" s="1">
        <f>IF(AND(E3877=0,COUNTIFS($A$2:A3877,A3877,$E$2:E3877,0)=1),L3877,0)</f>
        <v>3</v>
      </c>
    </row>
    <row r="3878" spans="1:13" ht="15" customHeight="1">
      <c r="A3878" s="1">
        <v>192</v>
      </c>
      <c r="B3878" s="1" t="s">
        <v>9</v>
      </c>
      <c r="C3878" s="2" t="s">
        <v>4602</v>
      </c>
      <c r="D3878" s="2" t="s">
        <v>4603</v>
      </c>
      <c r="E3878" s="1">
        <v>0</v>
      </c>
      <c r="F3878" s="2" t="s">
        <v>4605</v>
      </c>
      <c r="H3878" s="1" t="str">
        <f t="shared" si="63"/>
        <v/>
      </c>
      <c r="K3878" s="1">
        <f>IF(E3878=0,SUMPRODUCT(($A$2:$A$4734=A3878)*($B$2:$B$4734=B3878)*($D$2:$D$4734=D3878)*($E$2:$E$4734=0)),0)</f>
        <v>3</v>
      </c>
      <c r="L3878" s="1">
        <f>IF(E3878=0,SUMPRODUCT(MIN($K$2:$K$4734+((($A$2:$A$4734&lt;&gt;A3878)+($E$2:$E$4734&lt;&gt;0))&gt;0)*1000000)),"")</f>
        <v>3</v>
      </c>
      <c r="M3878" s="1">
        <f>IF(AND(E3878=0,COUNTIFS($A$2:A3878,A3878,$E$2:E3878,0)=1),L3878,0)</f>
        <v>0</v>
      </c>
    </row>
    <row r="3879" spans="1:13" ht="15" customHeight="1">
      <c r="A3879" s="1">
        <v>192</v>
      </c>
      <c r="B3879" s="1" t="s">
        <v>9</v>
      </c>
      <c r="C3879" s="2" t="s">
        <v>4602</v>
      </c>
      <c r="D3879" s="2" t="s">
        <v>4603</v>
      </c>
      <c r="E3879" s="1">
        <v>0</v>
      </c>
      <c r="F3879" s="2" t="s">
        <v>4606</v>
      </c>
      <c r="H3879" s="1" t="str">
        <f t="shared" si="63"/>
        <v/>
      </c>
      <c r="K3879" s="1">
        <f>IF(E3879=0,SUMPRODUCT(($A$2:$A$4734=A3879)*($B$2:$B$4734=B3879)*($D$2:$D$4734=D3879)*($E$2:$E$4734=0)),0)</f>
        <v>3</v>
      </c>
      <c r="L3879" s="1">
        <f>IF(E3879=0,SUMPRODUCT(MIN($K$2:$K$4734+((($A$2:$A$4734&lt;&gt;A3879)+($E$2:$E$4734&lt;&gt;0))&gt;0)*1000000)),"")</f>
        <v>3</v>
      </c>
      <c r="M3879" s="1">
        <f>IF(AND(E3879=0,COUNTIFS($A$2:A3879,A3879,$E$2:E3879,0)=1),L3879,0)</f>
        <v>0</v>
      </c>
    </row>
    <row r="3880" spans="1:13" ht="15" customHeight="1">
      <c r="A3880" s="1">
        <v>192</v>
      </c>
      <c r="B3880" s="1" t="s">
        <v>16</v>
      </c>
      <c r="C3880" s="2" t="s">
        <v>4602</v>
      </c>
      <c r="D3880" s="2" t="s">
        <v>3771</v>
      </c>
      <c r="E3880" s="1">
        <v>0</v>
      </c>
      <c r="F3880" s="2" t="s">
        <v>4607</v>
      </c>
      <c r="H3880" s="1" t="str">
        <f t="shared" si="63"/>
        <v/>
      </c>
      <c r="K3880" s="1">
        <f>IF(E3880=0,SUMPRODUCT(($A$2:$A$4734=A3880)*($B$2:$B$4734=B3880)*($D$2:$D$4734=D3880)*($E$2:$E$4734=0)),0)</f>
        <v>6</v>
      </c>
      <c r="L3880" s="1">
        <f>IF(E3880=0,SUMPRODUCT(MIN($K$2:$K$4734+((($A$2:$A$4734&lt;&gt;A3880)+($E$2:$E$4734&lt;&gt;0))&gt;0)*1000000)),"")</f>
        <v>3</v>
      </c>
      <c r="M3880" s="1">
        <f>IF(AND(E3880=0,COUNTIFS($A$2:A3880,A3880,$E$2:E3880,0)=1),L3880,0)</f>
        <v>0</v>
      </c>
    </row>
    <row r="3881" spans="1:13" ht="15" customHeight="1">
      <c r="A3881" s="1">
        <v>192</v>
      </c>
      <c r="B3881" s="1" t="s">
        <v>16</v>
      </c>
      <c r="C3881" s="2" t="s">
        <v>4602</v>
      </c>
      <c r="D3881" s="2" t="s">
        <v>3771</v>
      </c>
      <c r="E3881" s="1">
        <v>0</v>
      </c>
      <c r="F3881" s="2" t="s">
        <v>4608</v>
      </c>
      <c r="H3881" s="1" t="str">
        <f t="shared" si="63"/>
        <v/>
      </c>
      <c r="K3881" s="1">
        <f>IF(E3881=0,SUMPRODUCT(($A$2:$A$4734=A3881)*($B$2:$B$4734=B3881)*($D$2:$D$4734=D3881)*($E$2:$E$4734=0)),0)</f>
        <v>6</v>
      </c>
      <c r="L3881" s="1">
        <f>IF(E3881=0,SUMPRODUCT(MIN($K$2:$K$4734+((($A$2:$A$4734&lt;&gt;A3881)+($E$2:$E$4734&lt;&gt;0))&gt;0)*1000000)),"")</f>
        <v>3</v>
      </c>
      <c r="M3881" s="1">
        <f>IF(AND(E3881=0,COUNTIFS($A$2:A3881,A3881,$E$2:E3881,0)=1),L3881,0)</f>
        <v>0</v>
      </c>
    </row>
    <row r="3882" spans="1:13" ht="15" customHeight="1">
      <c r="A3882" s="1">
        <v>192</v>
      </c>
      <c r="B3882" s="1" t="s">
        <v>16</v>
      </c>
      <c r="C3882" s="2" t="s">
        <v>4602</v>
      </c>
      <c r="D3882" s="2" t="s">
        <v>3771</v>
      </c>
      <c r="E3882" s="1">
        <v>0</v>
      </c>
      <c r="F3882" s="2" t="s">
        <v>4609</v>
      </c>
      <c r="H3882" s="1" t="str">
        <f t="shared" si="63"/>
        <v/>
      </c>
      <c r="K3882" s="1">
        <f>IF(E3882=0,SUMPRODUCT(($A$2:$A$4734=A3882)*($B$2:$B$4734=B3882)*($D$2:$D$4734=D3882)*($E$2:$E$4734=0)),0)</f>
        <v>6</v>
      </c>
      <c r="L3882" s="1">
        <f>IF(E3882=0,SUMPRODUCT(MIN($K$2:$K$4734+((($A$2:$A$4734&lt;&gt;A3882)+($E$2:$E$4734&lt;&gt;0))&gt;0)*1000000)),"")</f>
        <v>3</v>
      </c>
      <c r="M3882" s="1">
        <f>IF(AND(E3882=0,COUNTIFS($A$2:A3882,A3882,$E$2:E3882,0)=1),L3882,0)</f>
        <v>0</v>
      </c>
    </row>
    <row r="3883" spans="1:13" ht="15" customHeight="1">
      <c r="A3883" s="1">
        <v>192</v>
      </c>
      <c r="B3883" s="1" t="s">
        <v>16</v>
      </c>
      <c r="C3883" s="2" t="s">
        <v>4602</v>
      </c>
      <c r="D3883" s="2" t="s">
        <v>3771</v>
      </c>
      <c r="E3883" s="1">
        <v>0</v>
      </c>
      <c r="F3883" s="2" t="s">
        <v>4610</v>
      </c>
      <c r="H3883" s="1" t="str">
        <f t="shared" si="63"/>
        <v/>
      </c>
      <c r="K3883" s="1">
        <f>IF(E3883=0,SUMPRODUCT(($A$2:$A$4734=A3883)*($B$2:$B$4734=B3883)*($D$2:$D$4734=D3883)*($E$2:$E$4734=0)),0)</f>
        <v>6</v>
      </c>
      <c r="L3883" s="1">
        <f>IF(E3883=0,SUMPRODUCT(MIN($K$2:$K$4734+((($A$2:$A$4734&lt;&gt;A3883)+($E$2:$E$4734&lt;&gt;0))&gt;0)*1000000)),"")</f>
        <v>3</v>
      </c>
      <c r="M3883" s="1">
        <f>IF(AND(E3883=0,COUNTIFS($A$2:A3883,A3883,$E$2:E3883,0)=1),L3883,0)</f>
        <v>0</v>
      </c>
    </row>
    <row r="3884" spans="1:13" ht="15" customHeight="1">
      <c r="A3884" s="1">
        <v>192</v>
      </c>
      <c r="B3884" s="1" t="s">
        <v>16</v>
      </c>
      <c r="C3884" s="2" t="s">
        <v>4602</v>
      </c>
      <c r="D3884" s="2" t="s">
        <v>3771</v>
      </c>
      <c r="E3884" s="1">
        <v>0</v>
      </c>
      <c r="F3884" s="2" t="s">
        <v>2219</v>
      </c>
      <c r="H3884" s="1" t="str">
        <f t="shared" si="63"/>
        <v/>
      </c>
      <c r="K3884" s="1">
        <f>IF(E3884=0,SUMPRODUCT(($A$2:$A$4734=A3884)*($B$2:$B$4734=B3884)*($D$2:$D$4734=D3884)*($E$2:$E$4734=0)),0)</f>
        <v>6</v>
      </c>
      <c r="L3884" s="1">
        <f>IF(E3884=0,SUMPRODUCT(MIN($K$2:$K$4734+((($A$2:$A$4734&lt;&gt;A3884)+($E$2:$E$4734&lt;&gt;0))&gt;0)*1000000)),"")</f>
        <v>3</v>
      </c>
      <c r="M3884" s="1">
        <f>IF(AND(E3884=0,COUNTIFS($A$2:A3884,A3884,$E$2:E3884,0)=1),L3884,0)</f>
        <v>0</v>
      </c>
    </row>
    <row r="3885" spans="1:13" ht="15" customHeight="1">
      <c r="A3885" s="1">
        <v>192</v>
      </c>
      <c r="B3885" s="1" t="s">
        <v>16</v>
      </c>
      <c r="C3885" s="2" t="s">
        <v>4602</v>
      </c>
      <c r="D3885" s="2" t="s">
        <v>3771</v>
      </c>
      <c r="E3885" s="1">
        <v>0</v>
      </c>
      <c r="F3885" s="2" t="s">
        <v>4611</v>
      </c>
      <c r="H3885" s="1" t="str">
        <f t="shared" si="63"/>
        <v/>
      </c>
      <c r="K3885" s="1">
        <f>IF(E3885=0,SUMPRODUCT(($A$2:$A$4734=A3885)*($B$2:$B$4734=B3885)*($D$2:$D$4734=D3885)*($E$2:$E$4734=0)),0)</f>
        <v>6</v>
      </c>
      <c r="L3885" s="1">
        <f>IF(E3885=0,SUMPRODUCT(MIN($K$2:$K$4734+((($A$2:$A$4734&lt;&gt;A3885)+($E$2:$E$4734&lt;&gt;0))&gt;0)*1000000)),"")</f>
        <v>3</v>
      </c>
      <c r="M3885" s="1">
        <f>IF(AND(E3885=0,COUNTIFS($A$2:A3885,A3885,$E$2:E3885,0)=1),L3885,0)</f>
        <v>0</v>
      </c>
    </row>
    <row r="3886" spans="1:13" ht="15" customHeight="1">
      <c r="A3886" s="1">
        <v>192</v>
      </c>
      <c r="B3886" s="1" t="s">
        <v>9</v>
      </c>
      <c r="C3886" s="2" t="s">
        <v>4602</v>
      </c>
      <c r="D3886" s="2" t="s">
        <v>3771</v>
      </c>
      <c r="E3886" s="1">
        <v>0</v>
      </c>
      <c r="F3886" s="2" t="s">
        <v>4612</v>
      </c>
      <c r="H3886" s="1" t="str">
        <f t="shared" si="63"/>
        <v/>
      </c>
      <c r="K3886" s="1">
        <f>IF(E3886=0,SUMPRODUCT(($A$2:$A$4734=A3886)*($B$2:$B$4734=B3886)*($D$2:$D$4734=D3886)*($E$2:$E$4734=0)),0)</f>
        <v>6</v>
      </c>
      <c r="L3886" s="1">
        <f>IF(E3886=0,SUMPRODUCT(MIN($K$2:$K$4734+((($A$2:$A$4734&lt;&gt;A3886)+($E$2:$E$4734&lt;&gt;0))&gt;0)*1000000)),"")</f>
        <v>3</v>
      </c>
      <c r="M3886" s="1">
        <f>IF(AND(E3886=0,COUNTIFS($A$2:A3886,A3886,$E$2:E3886,0)=1),L3886,0)</f>
        <v>0</v>
      </c>
    </row>
    <row r="3887" spans="1:13" ht="15" customHeight="1">
      <c r="A3887" s="1">
        <v>192</v>
      </c>
      <c r="B3887" s="1" t="s">
        <v>9</v>
      </c>
      <c r="C3887" s="2" t="s">
        <v>4602</v>
      </c>
      <c r="D3887" s="2" t="s">
        <v>3771</v>
      </c>
      <c r="E3887" s="1">
        <v>0</v>
      </c>
      <c r="F3887" s="2" t="s">
        <v>4613</v>
      </c>
      <c r="H3887" s="1" t="str">
        <f t="shared" si="63"/>
        <v/>
      </c>
      <c r="K3887" s="1">
        <f>IF(E3887=0,SUMPRODUCT(($A$2:$A$4734=A3887)*($B$2:$B$4734=B3887)*($D$2:$D$4734=D3887)*($E$2:$E$4734=0)),0)</f>
        <v>6</v>
      </c>
      <c r="L3887" s="1">
        <f>IF(E3887=0,SUMPRODUCT(MIN($K$2:$K$4734+((($A$2:$A$4734&lt;&gt;A3887)+($E$2:$E$4734&lt;&gt;0))&gt;0)*1000000)),"")</f>
        <v>3</v>
      </c>
      <c r="M3887" s="1">
        <f>IF(AND(E3887=0,COUNTIFS($A$2:A3887,A3887,$E$2:E3887,0)=1),L3887,0)</f>
        <v>0</v>
      </c>
    </row>
    <row r="3888" spans="1:13" ht="15" customHeight="1">
      <c r="A3888" s="1">
        <v>192</v>
      </c>
      <c r="B3888" s="1" t="s">
        <v>9</v>
      </c>
      <c r="C3888" s="2" t="s">
        <v>4602</v>
      </c>
      <c r="D3888" s="2" t="s">
        <v>3771</v>
      </c>
      <c r="E3888" s="1">
        <v>0</v>
      </c>
      <c r="F3888" s="2" t="s">
        <v>4614</v>
      </c>
      <c r="H3888" s="1" t="str">
        <f t="shared" si="63"/>
        <v/>
      </c>
      <c r="K3888" s="1">
        <f>IF(E3888=0,SUMPRODUCT(($A$2:$A$4734=A3888)*($B$2:$B$4734=B3888)*($D$2:$D$4734=D3888)*($E$2:$E$4734=0)),0)</f>
        <v>6</v>
      </c>
      <c r="L3888" s="1">
        <f>IF(E3888=0,SUMPRODUCT(MIN($K$2:$K$4734+((($A$2:$A$4734&lt;&gt;A3888)+($E$2:$E$4734&lt;&gt;0))&gt;0)*1000000)),"")</f>
        <v>3</v>
      </c>
      <c r="M3888" s="1">
        <f>IF(AND(E3888=0,COUNTIFS($A$2:A3888,A3888,$E$2:E3888,0)=1),L3888,0)</f>
        <v>0</v>
      </c>
    </row>
    <row r="3889" spans="1:13" ht="15" customHeight="1">
      <c r="A3889" s="1">
        <v>192</v>
      </c>
      <c r="B3889" s="1" t="s">
        <v>9</v>
      </c>
      <c r="C3889" s="2" t="s">
        <v>4602</v>
      </c>
      <c r="D3889" s="2" t="s">
        <v>3771</v>
      </c>
      <c r="E3889" s="1">
        <v>0</v>
      </c>
      <c r="F3889" s="2" t="s">
        <v>4615</v>
      </c>
      <c r="H3889" s="1" t="str">
        <f t="shared" si="63"/>
        <v/>
      </c>
      <c r="K3889" s="1">
        <f>IF(E3889=0,SUMPRODUCT(($A$2:$A$4734=A3889)*($B$2:$B$4734=B3889)*($D$2:$D$4734=D3889)*($E$2:$E$4734=0)),0)</f>
        <v>6</v>
      </c>
      <c r="L3889" s="1">
        <f>IF(E3889=0,SUMPRODUCT(MIN($K$2:$K$4734+((($A$2:$A$4734&lt;&gt;A3889)+($E$2:$E$4734&lt;&gt;0))&gt;0)*1000000)),"")</f>
        <v>3</v>
      </c>
      <c r="M3889" s="1">
        <f>IF(AND(E3889=0,COUNTIFS($A$2:A3889,A3889,$E$2:E3889,0)=1),L3889,0)</f>
        <v>0</v>
      </c>
    </row>
    <row r="3890" spans="1:13" ht="15" customHeight="1">
      <c r="A3890" s="1">
        <v>192</v>
      </c>
      <c r="B3890" s="1" t="s">
        <v>9</v>
      </c>
      <c r="C3890" s="2" t="s">
        <v>4602</v>
      </c>
      <c r="D3890" s="2" t="s">
        <v>3771</v>
      </c>
      <c r="E3890" s="1">
        <v>0</v>
      </c>
      <c r="F3890" s="2" t="s">
        <v>4616</v>
      </c>
      <c r="H3890" s="1" t="str">
        <f t="shared" si="63"/>
        <v/>
      </c>
      <c r="K3890" s="1">
        <f>IF(E3890=0,SUMPRODUCT(($A$2:$A$4734=A3890)*($B$2:$B$4734=B3890)*($D$2:$D$4734=D3890)*($E$2:$E$4734=0)),0)</f>
        <v>6</v>
      </c>
      <c r="L3890" s="1">
        <f>IF(E3890=0,SUMPRODUCT(MIN($K$2:$K$4734+((($A$2:$A$4734&lt;&gt;A3890)+($E$2:$E$4734&lt;&gt;0))&gt;0)*1000000)),"")</f>
        <v>3</v>
      </c>
      <c r="M3890" s="1">
        <f>IF(AND(E3890=0,COUNTIFS($A$2:A3890,A3890,$E$2:E3890,0)=1),L3890,0)</f>
        <v>0</v>
      </c>
    </row>
    <row r="3891" spans="1:13" ht="15" customHeight="1">
      <c r="A3891" s="1">
        <v>192</v>
      </c>
      <c r="B3891" s="1" t="s">
        <v>9</v>
      </c>
      <c r="C3891" s="2" t="s">
        <v>4602</v>
      </c>
      <c r="D3891" s="2" t="s">
        <v>3771</v>
      </c>
      <c r="E3891" s="1">
        <v>0</v>
      </c>
      <c r="F3891" s="2" t="s">
        <v>4617</v>
      </c>
      <c r="H3891" s="1" t="str">
        <f t="shared" si="63"/>
        <v/>
      </c>
      <c r="K3891" s="1">
        <f>IF(E3891=0,SUMPRODUCT(($A$2:$A$4734=A3891)*($B$2:$B$4734=B3891)*($D$2:$D$4734=D3891)*($E$2:$E$4734=0)),0)</f>
        <v>6</v>
      </c>
      <c r="L3891" s="1">
        <f>IF(E3891=0,SUMPRODUCT(MIN($K$2:$K$4734+((($A$2:$A$4734&lt;&gt;A3891)+($E$2:$E$4734&lt;&gt;0))&gt;0)*1000000)),"")</f>
        <v>3</v>
      </c>
      <c r="M3891" s="1">
        <f>IF(AND(E3891=0,COUNTIFS($A$2:A3891,A3891,$E$2:E3891,0)=1),L3891,0)</f>
        <v>0</v>
      </c>
    </row>
    <row r="3892" spans="1:13" ht="15" customHeight="1">
      <c r="A3892" s="1">
        <v>193</v>
      </c>
      <c r="B3892" s="1" t="s">
        <v>9</v>
      </c>
      <c r="C3892" s="2" t="s">
        <v>4618</v>
      </c>
      <c r="D3892" s="2" t="s">
        <v>4619</v>
      </c>
      <c r="E3892" s="1">
        <v>1</v>
      </c>
      <c r="F3892" s="2" t="s">
        <v>4620</v>
      </c>
      <c r="G3892" s="1">
        <v>4</v>
      </c>
      <c r="H3892" s="1" t="str">
        <f t="shared" si="63"/>
        <v>k193_4</v>
      </c>
      <c r="K3892" s="1">
        <f>IF(E3892=0,SUMPRODUCT(($A$2:$A$4734=A3892)*($B$2:$B$4734=B3892)*($D$2:$D$4734=D3892)*($E$2:$E$4734=0)),0)</f>
        <v>0</v>
      </c>
      <c r="L3892" s="1" t="str">
        <f>IF(E3892=0,SUMPRODUCT(MIN($K$2:$K$4734+((($A$2:$A$4734&lt;&gt;A3892)+($E$2:$E$4734&lt;&gt;0))&gt;0)*1000000)),"")</f>
        <v/>
      </c>
      <c r="M3892" s="1">
        <f>IF(AND(E3892=0,COUNTIFS($A$2:A3892,A3892,$E$2:E3892,0)=1),L3892,0)</f>
        <v>0</v>
      </c>
    </row>
    <row r="3893" spans="1:13" ht="15" customHeight="1">
      <c r="A3893" s="1">
        <v>193</v>
      </c>
      <c r="B3893" s="1" t="s">
        <v>9</v>
      </c>
      <c r="C3893" s="2" t="s">
        <v>4618</v>
      </c>
      <c r="D3893" s="2" t="s">
        <v>4619</v>
      </c>
      <c r="E3893" s="1">
        <v>1</v>
      </c>
      <c r="F3893" s="2" t="s">
        <v>4621</v>
      </c>
      <c r="G3893" s="1">
        <v>3</v>
      </c>
      <c r="H3893" s="1" t="str">
        <f t="shared" si="63"/>
        <v>k193_3</v>
      </c>
      <c r="K3893" s="1">
        <f>IF(E3893=0,SUMPRODUCT(($A$2:$A$4734=A3893)*($B$2:$B$4734=B3893)*($D$2:$D$4734=D3893)*($E$2:$E$4734=0)),0)</f>
        <v>0</v>
      </c>
      <c r="L3893" s="1" t="str">
        <f>IF(E3893=0,SUMPRODUCT(MIN($K$2:$K$4734+((($A$2:$A$4734&lt;&gt;A3893)+($E$2:$E$4734&lt;&gt;0))&gt;0)*1000000)),"")</f>
        <v/>
      </c>
      <c r="M3893" s="1">
        <f>IF(AND(E3893=0,COUNTIFS($A$2:A3893,A3893,$E$2:E3893,0)=1),L3893,0)</f>
        <v>0</v>
      </c>
    </row>
    <row r="3894" spans="1:13" ht="15" customHeight="1">
      <c r="A3894" s="1">
        <v>193</v>
      </c>
      <c r="B3894" s="1" t="s">
        <v>9</v>
      </c>
      <c r="C3894" s="2" t="s">
        <v>4618</v>
      </c>
      <c r="D3894" s="2" t="s">
        <v>4619</v>
      </c>
      <c r="E3894" s="1">
        <v>1</v>
      </c>
      <c r="F3894" s="2" t="s">
        <v>4622</v>
      </c>
      <c r="G3894" s="1">
        <v>2</v>
      </c>
      <c r="H3894" s="1" t="str">
        <f t="shared" si="63"/>
        <v>k193_2</v>
      </c>
      <c r="K3894" s="1">
        <f>IF(E3894=0,SUMPRODUCT(($A$2:$A$4734=A3894)*($B$2:$B$4734=B3894)*($D$2:$D$4734=D3894)*($E$2:$E$4734=0)),0)</f>
        <v>0</v>
      </c>
      <c r="L3894" s="1" t="str">
        <f>IF(E3894=0,SUMPRODUCT(MIN($K$2:$K$4734+((($A$2:$A$4734&lt;&gt;A3894)+($E$2:$E$4734&lt;&gt;0))&gt;0)*1000000)),"")</f>
        <v/>
      </c>
      <c r="M3894" s="1">
        <f>IF(AND(E3894=0,COUNTIFS($A$2:A3894,A3894,$E$2:E3894,0)=1),L3894,0)</f>
        <v>0</v>
      </c>
    </row>
    <row r="3895" spans="1:13" ht="15" customHeight="1">
      <c r="A3895" s="1">
        <v>193</v>
      </c>
      <c r="B3895" s="1" t="s">
        <v>9</v>
      </c>
      <c r="C3895" s="2" t="s">
        <v>4618</v>
      </c>
      <c r="D3895" s="2" t="s">
        <v>4619</v>
      </c>
      <c r="E3895" s="1">
        <v>1</v>
      </c>
      <c r="F3895" s="2" t="s">
        <v>4623</v>
      </c>
      <c r="G3895" s="1">
        <v>1</v>
      </c>
      <c r="H3895" s="1" t="str">
        <f t="shared" si="63"/>
        <v>k193_1</v>
      </c>
      <c r="K3895" s="1">
        <f>IF(E3895=0,SUMPRODUCT(($A$2:$A$4734=A3895)*($B$2:$B$4734=B3895)*($D$2:$D$4734=D3895)*($E$2:$E$4734=0)),0)</f>
        <v>0</v>
      </c>
      <c r="L3895" s="1" t="str">
        <f>IF(E3895=0,SUMPRODUCT(MIN($K$2:$K$4734+((($A$2:$A$4734&lt;&gt;A3895)+($E$2:$E$4734&lt;&gt;0))&gt;0)*1000000)),"")</f>
        <v/>
      </c>
      <c r="M3895" s="1">
        <f>IF(AND(E3895=0,COUNTIFS($A$2:A3895,A3895,$E$2:E3895,0)=1),L3895,0)</f>
        <v>0</v>
      </c>
    </row>
    <row r="3896" spans="1:13" ht="15" customHeight="1">
      <c r="A3896" s="1">
        <v>193</v>
      </c>
      <c r="B3896" s="1" t="s">
        <v>16</v>
      </c>
      <c r="C3896" s="2" t="s">
        <v>4618</v>
      </c>
      <c r="D3896" s="2" t="s">
        <v>4624</v>
      </c>
      <c r="E3896" s="1">
        <v>1</v>
      </c>
      <c r="F3896" s="2" t="s">
        <v>698</v>
      </c>
      <c r="G3896" s="1">
        <v>1</v>
      </c>
      <c r="H3896" s="1" t="str">
        <f t="shared" si="63"/>
        <v>k193_1</v>
      </c>
      <c r="K3896" s="1">
        <f>IF(E3896=0,SUMPRODUCT(($A$2:$A$4734=A3896)*($B$2:$B$4734=B3896)*($D$2:$D$4734=D3896)*($E$2:$E$4734=0)),0)</f>
        <v>0</v>
      </c>
      <c r="L3896" s="1" t="str">
        <f>IF(E3896=0,SUMPRODUCT(MIN($K$2:$K$4734+((($A$2:$A$4734&lt;&gt;A3896)+($E$2:$E$4734&lt;&gt;0))&gt;0)*1000000)),"")</f>
        <v/>
      </c>
      <c r="M3896" s="1">
        <f>IF(AND(E3896=0,COUNTIFS($A$2:A3896,A3896,$E$2:E3896,0)=1),L3896,0)</f>
        <v>0</v>
      </c>
    </row>
    <row r="3897" spans="1:13" ht="15" customHeight="1">
      <c r="A3897" s="1">
        <v>193</v>
      </c>
      <c r="B3897" s="1" t="s">
        <v>16</v>
      </c>
      <c r="C3897" s="2" t="s">
        <v>4618</v>
      </c>
      <c r="D3897" s="2" t="s">
        <v>4624</v>
      </c>
      <c r="E3897" s="1">
        <v>1</v>
      </c>
      <c r="F3897" s="2" t="s">
        <v>3131</v>
      </c>
      <c r="G3897" s="1">
        <v>2</v>
      </c>
      <c r="H3897" s="1" t="str">
        <f t="shared" si="63"/>
        <v>k193_2</v>
      </c>
      <c r="K3897" s="1">
        <f>IF(E3897=0,SUMPRODUCT(($A$2:$A$4734=A3897)*($B$2:$B$4734=B3897)*($D$2:$D$4734=D3897)*($E$2:$E$4734=0)),0)</f>
        <v>0</v>
      </c>
      <c r="L3897" s="1" t="str">
        <f>IF(E3897=0,SUMPRODUCT(MIN($K$2:$K$4734+((($A$2:$A$4734&lt;&gt;A3897)+($E$2:$E$4734&lt;&gt;0))&gt;0)*1000000)),"")</f>
        <v/>
      </c>
      <c r="M3897" s="1">
        <f>IF(AND(E3897=0,COUNTIFS($A$2:A3897,A3897,$E$2:E3897,0)=1),L3897,0)</f>
        <v>0</v>
      </c>
    </row>
    <row r="3898" spans="1:13" ht="15" customHeight="1">
      <c r="A3898" s="1">
        <v>193</v>
      </c>
      <c r="B3898" s="1" t="s">
        <v>16</v>
      </c>
      <c r="C3898" s="2" t="s">
        <v>4618</v>
      </c>
      <c r="D3898" s="2" t="s">
        <v>4624</v>
      </c>
      <c r="E3898" s="1">
        <v>1</v>
      </c>
      <c r="F3898" s="2" t="s">
        <v>3413</v>
      </c>
      <c r="G3898" s="1">
        <v>3</v>
      </c>
      <c r="H3898" s="1" t="str">
        <f t="shared" si="63"/>
        <v>k193_3</v>
      </c>
      <c r="K3898" s="1">
        <f>IF(E3898=0,SUMPRODUCT(($A$2:$A$4734=A3898)*($B$2:$B$4734=B3898)*($D$2:$D$4734=D3898)*($E$2:$E$4734=0)),0)</f>
        <v>0</v>
      </c>
      <c r="L3898" s="1" t="str">
        <f>IF(E3898=0,SUMPRODUCT(MIN($K$2:$K$4734+((($A$2:$A$4734&lt;&gt;A3898)+($E$2:$E$4734&lt;&gt;0))&gt;0)*1000000)),"")</f>
        <v/>
      </c>
      <c r="M3898" s="1">
        <f>IF(AND(E3898=0,COUNTIFS($A$2:A3898,A3898,$E$2:E3898,0)=1),L3898,0)</f>
        <v>0</v>
      </c>
    </row>
    <row r="3899" spans="1:13" ht="15" customHeight="1">
      <c r="A3899" s="1">
        <v>193</v>
      </c>
      <c r="B3899" s="1" t="s">
        <v>16</v>
      </c>
      <c r="C3899" s="2" t="s">
        <v>4618</v>
      </c>
      <c r="D3899" s="2" t="s">
        <v>4624</v>
      </c>
      <c r="E3899" s="1">
        <v>1</v>
      </c>
      <c r="F3899" s="2" t="s">
        <v>2431</v>
      </c>
      <c r="G3899" s="1">
        <v>4</v>
      </c>
      <c r="H3899" s="1" t="str">
        <f t="shared" si="63"/>
        <v>k193_4</v>
      </c>
      <c r="K3899" s="1">
        <f>IF(E3899=0,SUMPRODUCT(($A$2:$A$4734=A3899)*($B$2:$B$4734=B3899)*($D$2:$D$4734=D3899)*($E$2:$E$4734=0)),0)</f>
        <v>0</v>
      </c>
      <c r="L3899" s="1" t="str">
        <f>IF(E3899=0,SUMPRODUCT(MIN($K$2:$K$4734+((($A$2:$A$4734&lt;&gt;A3899)+($E$2:$E$4734&lt;&gt;0))&gt;0)*1000000)),"")</f>
        <v/>
      </c>
      <c r="M3899" s="1">
        <f>IF(AND(E3899=0,COUNTIFS($A$2:A3899,A3899,$E$2:E3899,0)=1),L3899,0)</f>
        <v>0</v>
      </c>
    </row>
    <row r="3900" spans="1:13" ht="15" customHeight="1">
      <c r="A3900" s="1">
        <v>193</v>
      </c>
      <c r="B3900" s="1" t="s">
        <v>167</v>
      </c>
      <c r="C3900" s="2" t="s">
        <v>4618</v>
      </c>
      <c r="D3900" s="1" t="s">
        <v>3655</v>
      </c>
      <c r="E3900" s="1">
        <v>1</v>
      </c>
      <c r="F3900" s="2" t="s">
        <v>4625</v>
      </c>
      <c r="G3900" s="1">
        <v>1</v>
      </c>
      <c r="H3900" s="1" t="str">
        <f t="shared" si="63"/>
        <v>k193_1</v>
      </c>
      <c r="K3900" s="1">
        <f>IF(E3900=0,SUMPRODUCT(($A$2:$A$4734=A3900)*($B$2:$B$4734=B3900)*($D$2:$D$4734=D3900)*($E$2:$E$4734=0)),0)</f>
        <v>0</v>
      </c>
      <c r="L3900" s="1" t="str">
        <f>IF(E3900=0,SUMPRODUCT(MIN($K$2:$K$4734+((($A$2:$A$4734&lt;&gt;A3900)+($E$2:$E$4734&lt;&gt;0))&gt;0)*1000000)),"")</f>
        <v/>
      </c>
      <c r="M3900" s="1">
        <f>IF(AND(E3900=0,COUNTIFS($A$2:A3900,A3900,$E$2:E3900,0)=1),L3900,0)</f>
        <v>0</v>
      </c>
    </row>
    <row r="3901" spans="1:13" ht="15" customHeight="1">
      <c r="A3901" s="1">
        <v>193</v>
      </c>
      <c r="B3901" s="1" t="s">
        <v>167</v>
      </c>
      <c r="C3901" s="2" t="s">
        <v>4618</v>
      </c>
      <c r="D3901" s="1" t="s">
        <v>3655</v>
      </c>
      <c r="E3901" s="1">
        <v>1</v>
      </c>
      <c r="F3901" s="2" t="s">
        <v>4626</v>
      </c>
      <c r="G3901" s="1">
        <v>2</v>
      </c>
      <c r="H3901" s="1" t="str">
        <f t="shared" si="63"/>
        <v>k193_2</v>
      </c>
      <c r="K3901" s="1">
        <f>IF(E3901=0,SUMPRODUCT(($A$2:$A$4734=A3901)*($B$2:$B$4734=B3901)*($D$2:$D$4734=D3901)*($E$2:$E$4734=0)),0)</f>
        <v>0</v>
      </c>
      <c r="L3901" s="1" t="str">
        <f>IF(E3901=0,SUMPRODUCT(MIN($K$2:$K$4734+((($A$2:$A$4734&lt;&gt;A3901)+($E$2:$E$4734&lt;&gt;0))&gt;0)*1000000)),"")</f>
        <v/>
      </c>
      <c r="M3901" s="1">
        <f>IF(AND(E3901=0,COUNTIFS($A$2:A3901,A3901,$E$2:E3901,0)=1),L3901,0)</f>
        <v>0</v>
      </c>
    </row>
    <row r="3902" spans="1:13" ht="15" customHeight="1">
      <c r="A3902" s="1">
        <v>193</v>
      </c>
      <c r="B3902" s="1" t="s">
        <v>167</v>
      </c>
      <c r="C3902" s="2" t="s">
        <v>4618</v>
      </c>
      <c r="D3902" s="1" t="s">
        <v>3655</v>
      </c>
      <c r="E3902" s="1">
        <v>1</v>
      </c>
      <c r="F3902" s="2" t="s">
        <v>4627</v>
      </c>
      <c r="G3902" s="1">
        <v>3</v>
      </c>
      <c r="H3902" s="1" t="str">
        <f t="shared" si="63"/>
        <v>k193_3</v>
      </c>
      <c r="K3902" s="1">
        <f>IF(E3902=0,SUMPRODUCT(($A$2:$A$4734=A3902)*($B$2:$B$4734=B3902)*($D$2:$D$4734=D3902)*($E$2:$E$4734=0)),0)</f>
        <v>0</v>
      </c>
      <c r="L3902" s="1" t="str">
        <f>IF(E3902=0,SUMPRODUCT(MIN($K$2:$K$4734+((($A$2:$A$4734&lt;&gt;A3902)+($E$2:$E$4734&lt;&gt;0))&gt;0)*1000000)),"")</f>
        <v/>
      </c>
      <c r="M3902" s="1">
        <f>IF(AND(E3902=0,COUNTIFS($A$2:A3902,A3902,$E$2:E3902,0)=1),L3902,0)</f>
        <v>0</v>
      </c>
    </row>
    <row r="3903" spans="1:13" ht="15" customHeight="1">
      <c r="A3903" s="1">
        <v>193</v>
      </c>
      <c r="B3903" s="1" t="s">
        <v>167</v>
      </c>
      <c r="C3903" s="2" t="s">
        <v>4618</v>
      </c>
      <c r="D3903" s="1" t="s">
        <v>3655</v>
      </c>
      <c r="E3903" s="1">
        <v>1</v>
      </c>
      <c r="F3903" s="2" t="s">
        <v>4628</v>
      </c>
      <c r="G3903" s="1">
        <v>4</v>
      </c>
      <c r="H3903" s="1" t="str">
        <f t="shared" si="63"/>
        <v>k193_4</v>
      </c>
      <c r="K3903" s="1">
        <f>IF(E3903=0,SUMPRODUCT(($A$2:$A$4734=A3903)*($B$2:$B$4734=B3903)*($D$2:$D$4734=D3903)*($E$2:$E$4734=0)),0)</f>
        <v>0</v>
      </c>
      <c r="L3903" s="1" t="str">
        <f>IF(E3903=0,SUMPRODUCT(MIN($K$2:$K$4734+((($A$2:$A$4734&lt;&gt;A3903)+($E$2:$E$4734&lt;&gt;0))&gt;0)*1000000)),"")</f>
        <v/>
      </c>
      <c r="M3903" s="1">
        <f>IF(AND(E3903=0,COUNTIFS($A$2:A3903,A3903,$E$2:E3903,0)=1),L3903,0)</f>
        <v>0</v>
      </c>
    </row>
    <row r="3904" spans="1:13" ht="15" customHeight="1">
      <c r="A3904" s="1">
        <v>194</v>
      </c>
      <c r="B3904" s="1" t="s">
        <v>9</v>
      </c>
      <c r="C3904" s="2" t="s">
        <v>4629</v>
      </c>
      <c r="D3904" s="2" t="s">
        <v>4630</v>
      </c>
      <c r="E3904" s="1">
        <v>0</v>
      </c>
      <c r="F3904" s="2" t="s">
        <v>4631</v>
      </c>
      <c r="H3904" s="1" t="str">
        <f t="shared" si="63"/>
        <v/>
      </c>
      <c r="K3904" s="1">
        <f>IF(E3904=0,SUMPRODUCT(($A$2:$A$4734=A3904)*($B$2:$B$4734=B3904)*($D$2:$D$4734=D3904)*($E$2:$E$4734=0)),0)</f>
        <v>3</v>
      </c>
      <c r="L3904" s="1">
        <f>IF(E3904=0,SUMPRODUCT(MIN($K$2:$K$4734+((($A$2:$A$4734&lt;&gt;A3904)+($E$2:$E$4734&lt;&gt;0))&gt;0)*1000000)),"")</f>
        <v>3</v>
      </c>
      <c r="M3904" s="1">
        <f>IF(AND(E3904=0,COUNTIFS($A$2:A3904,A3904,$E$2:E3904,0)=1),L3904,0)</f>
        <v>3</v>
      </c>
    </row>
    <row r="3905" spans="1:13" ht="15" customHeight="1">
      <c r="A3905" s="1">
        <v>194</v>
      </c>
      <c r="B3905" s="1" t="s">
        <v>9</v>
      </c>
      <c r="C3905" s="2" t="s">
        <v>4629</v>
      </c>
      <c r="D3905" s="2" t="s">
        <v>4630</v>
      </c>
      <c r="E3905" s="1">
        <v>0</v>
      </c>
      <c r="F3905" s="2" t="s">
        <v>4632</v>
      </c>
      <c r="H3905" s="1" t="str">
        <f t="shared" si="63"/>
        <v/>
      </c>
      <c r="K3905" s="1">
        <f>IF(E3905=0,SUMPRODUCT(($A$2:$A$4734=A3905)*($B$2:$B$4734=B3905)*($D$2:$D$4734=D3905)*($E$2:$E$4734=0)),0)</f>
        <v>3</v>
      </c>
      <c r="L3905" s="1">
        <f>IF(E3905=0,SUMPRODUCT(MIN($K$2:$K$4734+((($A$2:$A$4734&lt;&gt;A3905)+($E$2:$E$4734&lt;&gt;0))&gt;0)*1000000)),"")</f>
        <v>3</v>
      </c>
      <c r="M3905" s="1">
        <f>IF(AND(E3905=0,COUNTIFS($A$2:A3905,A3905,$E$2:E3905,0)=1),L3905,0)</f>
        <v>0</v>
      </c>
    </row>
    <row r="3906" spans="1:13" ht="15" customHeight="1">
      <c r="A3906" s="1">
        <v>194</v>
      </c>
      <c r="B3906" s="1" t="s">
        <v>9</v>
      </c>
      <c r="C3906" s="2" t="s">
        <v>4629</v>
      </c>
      <c r="D3906" s="2" t="s">
        <v>4630</v>
      </c>
      <c r="E3906" s="1">
        <v>0</v>
      </c>
      <c r="F3906" s="2" t="s">
        <v>4633</v>
      </c>
      <c r="H3906" s="1" t="str">
        <f t="shared" si="63"/>
        <v/>
      </c>
      <c r="K3906" s="1">
        <f>IF(E3906=0,SUMPRODUCT(($A$2:$A$4734=A3906)*($B$2:$B$4734=B3906)*($D$2:$D$4734=D3906)*($E$2:$E$4734=0)),0)</f>
        <v>3</v>
      </c>
      <c r="L3906" s="1">
        <f>IF(E3906=0,SUMPRODUCT(MIN($K$2:$K$4734+((($A$2:$A$4734&lt;&gt;A3906)+($E$2:$E$4734&lt;&gt;0))&gt;0)*1000000)),"")</f>
        <v>3</v>
      </c>
      <c r="M3906" s="1">
        <f>IF(AND(E3906=0,COUNTIFS($A$2:A3906,A3906,$E$2:E3906,0)=1),L3906,0)</f>
        <v>0</v>
      </c>
    </row>
    <row r="3907" spans="1:13" ht="15" customHeight="1">
      <c r="A3907" s="1">
        <v>195</v>
      </c>
      <c r="B3907" s="1" t="s">
        <v>9</v>
      </c>
      <c r="C3907" s="2" t="s">
        <v>4634</v>
      </c>
      <c r="D3907" s="2" t="s">
        <v>4635</v>
      </c>
      <c r="E3907" s="1">
        <v>0</v>
      </c>
      <c r="F3907" s="2" t="s">
        <v>3175</v>
      </c>
      <c r="H3907" s="1" t="str">
        <f t="shared" si="63"/>
        <v/>
      </c>
      <c r="K3907" s="1">
        <f>IF(E3907=0,SUMPRODUCT(($A$2:$A$4734=A3907)*($B$2:$B$4734=B3907)*($D$2:$D$4734=D3907)*($E$2:$E$4734=0)),0)</f>
        <v>3</v>
      </c>
      <c r="L3907" s="1">
        <f>IF(E3907=0,SUMPRODUCT(MIN($K$2:$K$4734+((($A$2:$A$4734&lt;&gt;A3907)+($E$2:$E$4734&lt;&gt;0))&gt;0)*1000000)),"")</f>
        <v>3</v>
      </c>
      <c r="M3907" s="1">
        <f>IF(AND(E3907=0,COUNTIFS($A$2:A3907,A3907,$E$2:E3907,0)=1),L3907,0)</f>
        <v>3</v>
      </c>
    </row>
    <row r="3908" spans="1:13" ht="15" customHeight="1">
      <c r="A3908" s="1">
        <v>195</v>
      </c>
      <c r="B3908" s="1" t="s">
        <v>9</v>
      </c>
      <c r="C3908" s="2" t="s">
        <v>4634</v>
      </c>
      <c r="D3908" s="2" t="s">
        <v>4635</v>
      </c>
      <c r="E3908" s="1">
        <v>0</v>
      </c>
      <c r="F3908" s="2" t="s">
        <v>4636</v>
      </c>
      <c r="H3908" s="1" t="str">
        <f t="shared" si="63"/>
        <v/>
      </c>
      <c r="K3908" s="1">
        <f>IF(E3908=0,SUMPRODUCT(($A$2:$A$4734=A3908)*($B$2:$B$4734=B3908)*($D$2:$D$4734=D3908)*($E$2:$E$4734=0)),0)</f>
        <v>3</v>
      </c>
      <c r="L3908" s="1">
        <f>IF(E3908=0,SUMPRODUCT(MIN($K$2:$K$4734+((($A$2:$A$4734&lt;&gt;A3908)+($E$2:$E$4734&lt;&gt;0))&gt;0)*1000000)),"")</f>
        <v>3</v>
      </c>
      <c r="M3908" s="1">
        <f>IF(AND(E3908=0,COUNTIFS($A$2:A3908,A3908,$E$2:E3908,0)=1),L3908,0)</f>
        <v>0</v>
      </c>
    </row>
    <row r="3909" spans="1:13" ht="15" customHeight="1">
      <c r="A3909" s="1">
        <v>195</v>
      </c>
      <c r="B3909" s="1" t="s">
        <v>9</v>
      </c>
      <c r="C3909" s="2" t="s">
        <v>4634</v>
      </c>
      <c r="D3909" s="2" t="s">
        <v>4635</v>
      </c>
      <c r="E3909" s="1">
        <v>0</v>
      </c>
      <c r="F3909" s="2" t="s">
        <v>4637</v>
      </c>
      <c r="H3909" s="1" t="str">
        <f t="shared" si="63"/>
        <v/>
      </c>
      <c r="K3909" s="1">
        <f>IF(E3909=0,SUMPRODUCT(($A$2:$A$4734=A3909)*($B$2:$B$4734=B3909)*($D$2:$D$4734=D3909)*($E$2:$E$4734=0)),0)</f>
        <v>3</v>
      </c>
      <c r="L3909" s="1">
        <f>IF(E3909=0,SUMPRODUCT(MIN($K$2:$K$4734+((($A$2:$A$4734&lt;&gt;A3909)+($E$2:$E$4734&lt;&gt;0))&gt;0)*1000000)),"")</f>
        <v>3</v>
      </c>
      <c r="M3909" s="1">
        <f>IF(AND(E3909=0,COUNTIFS($A$2:A3909,A3909,$E$2:E3909,0)=1),L3909,0)</f>
        <v>0</v>
      </c>
    </row>
    <row r="3910" spans="1:13" ht="15" customHeight="1">
      <c r="A3910" s="1">
        <v>195</v>
      </c>
      <c r="B3910" s="1" t="s">
        <v>9</v>
      </c>
      <c r="C3910" s="2" t="s">
        <v>4634</v>
      </c>
      <c r="D3910" s="2" t="s">
        <v>4638</v>
      </c>
      <c r="E3910" s="1">
        <v>0</v>
      </c>
      <c r="F3910" s="2" t="s">
        <v>4639</v>
      </c>
      <c r="H3910" s="1" t="str">
        <f t="shared" si="63"/>
        <v/>
      </c>
      <c r="K3910" s="1">
        <f>IF(E3910=0,SUMPRODUCT(($A$2:$A$4734=A3910)*($B$2:$B$4734=B3910)*($D$2:$D$4734=D3910)*($E$2:$E$4734=0)),0)</f>
        <v>6</v>
      </c>
      <c r="L3910" s="1">
        <f>IF(E3910=0,SUMPRODUCT(MIN($K$2:$K$4734+((($A$2:$A$4734&lt;&gt;A3910)+($E$2:$E$4734&lt;&gt;0))&gt;0)*1000000)),"")</f>
        <v>3</v>
      </c>
      <c r="M3910" s="1">
        <f>IF(AND(E3910=0,COUNTIFS($A$2:A3910,A3910,$E$2:E3910,0)=1),L3910,0)</f>
        <v>0</v>
      </c>
    </row>
    <row r="3911" spans="1:13" ht="15" customHeight="1">
      <c r="A3911" s="1">
        <v>195</v>
      </c>
      <c r="B3911" s="1" t="s">
        <v>9</v>
      </c>
      <c r="C3911" s="2" t="s">
        <v>4634</v>
      </c>
      <c r="D3911" s="2" t="s">
        <v>4638</v>
      </c>
      <c r="E3911" s="1">
        <v>0</v>
      </c>
      <c r="F3911" s="2" t="s">
        <v>4640</v>
      </c>
      <c r="H3911" s="1" t="str">
        <f t="shared" si="63"/>
        <v/>
      </c>
      <c r="K3911" s="1">
        <f>IF(E3911=0,SUMPRODUCT(($A$2:$A$4734=A3911)*($B$2:$B$4734=B3911)*($D$2:$D$4734=D3911)*($E$2:$E$4734=0)),0)</f>
        <v>6</v>
      </c>
      <c r="L3911" s="1">
        <f>IF(E3911=0,SUMPRODUCT(MIN($K$2:$K$4734+((($A$2:$A$4734&lt;&gt;A3911)+($E$2:$E$4734&lt;&gt;0))&gt;0)*1000000)),"")</f>
        <v>3</v>
      </c>
      <c r="M3911" s="1">
        <f>IF(AND(E3911=0,COUNTIFS($A$2:A3911,A3911,$E$2:E3911,0)=1),L3911,0)</f>
        <v>0</v>
      </c>
    </row>
    <row r="3912" spans="1:13" ht="15" customHeight="1">
      <c r="A3912" s="1">
        <v>195</v>
      </c>
      <c r="B3912" s="1" t="s">
        <v>9</v>
      </c>
      <c r="C3912" s="2" t="s">
        <v>4634</v>
      </c>
      <c r="D3912" s="2" t="s">
        <v>4638</v>
      </c>
      <c r="E3912" s="1">
        <v>0</v>
      </c>
      <c r="F3912" s="2" t="s">
        <v>4641</v>
      </c>
      <c r="H3912" s="1" t="str">
        <f t="shared" si="63"/>
        <v/>
      </c>
      <c r="K3912" s="1">
        <f>IF(E3912=0,SUMPRODUCT(($A$2:$A$4734=A3912)*($B$2:$B$4734=B3912)*($D$2:$D$4734=D3912)*($E$2:$E$4734=0)),0)</f>
        <v>6</v>
      </c>
      <c r="L3912" s="1">
        <f>IF(E3912=0,SUMPRODUCT(MIN($K$2:$K$4734+((($A$2:$A$4734&lt;&gt;A3912)+($E$2:$E$4734&lt;&gt;0))&gt;0)*1000000)),"")</f>
        <v>3</v>
      </c>
      <c r="M3912" s="1">
        <f>IF(AND(E3912=0,COUNTIFS($A$2:A3912,A3912,$E$2:E3912,0)=1),L3912,0)</f>
        <v>0</v>
      </c>
    </row>
    <row r="3913" spans="1:13" ht="15" customHeight="1">
      <c r="A3913" s="1">
        <v>195</v>
      </c>
      <c r="B3913" s="1" t="s">
        <v>9</v>
      </c>
      <c r="C3913" s="2" t="s">
        <v>4634</v>
      </c>
      <c r="D3913" s="2" t="s">
        <v>4638</v>
      </c>
      <c r="E3913" s="1">
        <v>0</v>
      </c>
      <c r="F3913" s="2" t="s">
        <v>4642</v>
      </c>
      <c r="H3913" s="1" t="str">
        <f t="shared" si="63"/>
        <v/>
      </c>
      <c r="K3913" s="1">
        <f>IF(E3913=0,SUMPRODUCT(($A$2:$A$4734=A3913)*($B$2:$B$4734=B3913)*($D$2:$D$4734=D3913)*($E$2:$E$4734=0)),0)</f>
        <v>6</v>
      </c>
      <c r="L3913" s="1">
        <f>IF(E3913=0,SUMPRODUCT(MIN($K$2:$K$4734+((($A$2:$A$4734&lt;&gt;A3913)+($E$2:$E$4734&lt;&gt;0))&gt;0)*1000000)),"")</f>
        <v>3</v>
      </c>
      <c r="M3913" s="1">
        <f>IF(AND(E3913=0,COUNTIFS($A$2:A3913,A3913,$E$2:E3913,0)=1),L3913,0)</f>
        <v>0</v>
      </c>
    </row>
    <row r="3914" spans="1:13" ht="15" customHeight="1">
      <c r="A3914" s="1">
        <v>195</v>
      </c>
      <c r="B3914" s="1" t="s">
        <v>9</v>
      </c>
      <c r="C3914" s="2" t="s">
        <v>4634</v>
      </c>
      <c r="D3914" s="2" t="s">
        <v>4638</v>
      </c>
      <c r="E3914" s="1">
        <v>0</v>
      </c>
      <c r="F3914" s="2" t="s">
        <v>4643</v>
      </c>
      <c r="H3914" s="1" t="str">
        <f t="shared" si="63"/>
        <v/>
      </c>
      <c r="K3914" s="1">
        <f>IF(E3914=0,SUMPRODUCT(($A$2:$A$4734=A3914)*($B$2:$B$4734=B3914)*($D$2:$D$4734=D3914)*($E$2:$E$4734=0)),0)</f>
        <v>6</v>
      </c>
      <c r="L3914" s="1">
        <f>IF(E3914=0,SUMPRODUCT(MIN($K$2:$K$4734+((($A$2:$A$4734&lt;&gt;A3914)+($E$2:$E$4734&lt;&gt;0))&gt;0)*1000000)),"")</f>
        <v>3</v>
      </c>
      <c r="M3914" s="1">
        <f>IF(AND(E3914=0,COUNTIFS($A$2:A3914,A3914,$E$2:E3914,0)=1),L3914,0)</f>
        <v>0</v>
      </c>
    </row>
    <row r="3915" spans="1:13" ht="15" customHeight="1">
      <c r="A3915" s="1">
        <v>195</v>
      </c>
      <c r="B3915" s="1" t="s">
        <v>9</v>
      </c>
      <c r="C3915" s="2" t="s">
        <v>4634</v>
      </c>
      <c r="D3915" s="2" t="s">
        <v>4638</v>
      </c>
      <c r="E3915" s="1">
        <v>0</v>
      </c>
      <c r="F3915" s="2" t="s">
        <v>4644</v>
      </c>
      <c r="H3915" s="1" t="str">
        <f t="shared" si="63"/>
        <v/>
      </c>
      <c r="K3915" s="1">
        <f>IF(E3915=0,SUMPRODUCT(($A$2:$A$4734=A3915)*($B$2:$B$4734=B3915)*($D$2:$D$4734=D3915)*($E$2:$E$4734=0)),0)</f>
        <v>6</v>
      </c>
      <c r="L3915" s="1">
        <f>IF(E3915=0,SUMPRODUCT(MIN($K$2:$K$4734+((($A$2:$A$4734&lt;&gt;A3915)+($E$2:$E$4734&lt;&gt;0))&gt;0)*1000000)),"")</f>
        <v>3</v>
      </c>
      <c r="M3915" s="1">
        <f>IF(AND(E3915=0,COUNTIFS($A$2:A3915,A3915,$E$2:E3915,0)=1),L3915,0)</f>
        <v>0</v>
      </c>
    </row>
    <row r="3916" spans="1:13" ht="15" customHeight="1">
      <c r="A3916" s="1">
        <v>196</v>
      </c>
      <c r="B3916" s="1" t="s">
        <v>9</v>
      </c>
      <c r="C3916" s="2" t="s">
        <v>4645</v>
      </c>
      <c r="D3916" s="2" t="s">
        <v>4646</v>
      </c>
      <c r="E3916" s="1">
        <v>0</v>
      </c>
      <c r="F3916" s="2" t="s">
        <v>4647</v>
      </c>
      <c r="H3916" s="1" t="str">
        <f t="shared" si="63"/>
        <v/>
      </c>
      <c r="K3916" s="1">
        <f>IF(E3916=0,SUMPRODUCT(($A$2:$A$4734=A3916)*($B$2:$B$4734=B3916)*($D$2:$D$4734=D3916)*($E$2:$E$4734=0)),0)</f>
        <v>2</v>
      </c>
      <c r="L3916" s="1">
        <f>IF(E3916=0,SUMPRODUCT(MIN($K$2:$K$4734+((($A$2:$A$4734&lt;&gt;A3916)+($E$2:$E$4734&lt;&gt;0))&gt;0)*1000000)),"")</f>
        <v>2</v>
      </c>
      <c r="M3916" s="1">
        <f>IF(AND(E3916=0,COUNTIFS($A$2:A3916,A3916,$E$2:E3916,0)=1),L3916,0)</f>
        <v>2</v>
      </c>
    </row>
    <row r="3917" spans="1:13" ht="15" customHeight="1">
      <c r="A3917" s="1">
        <v>196</v>
      </c>
      <c r="B3917" s="1" t="s">
        <v>9</v>
      </c>
      <c r="C3917" s="2" t="s">
        <v>4645</v>
      </c>
      <c r="D3917" s="2" t="s">
        <v>4646</v>
      </c>
      <c r="E3917" s="1">
        <v>0</v>
      </c>
      <c r="F3917" s="2" t="s">
        <v>4648</v>
      </c>
      <c r="H3917" s="1" t="str">
        <f t="shared" si="63"/>
        <v/>
      </c>
      <c r="K3917" s="1">
        <f>IF(E3917=0,SUMPRODUCT(($A$2:$A$4734=A3917)*($B$2:$B$4734=B3917)*($D$2:$D$4734=D3917)*($E$2:$E$4734=0)),0)</f>
        <v>2</v>
      </c>
      <c r="L3917" s="1">
        <f>IF(E3917=0,SUMPRODUCT(MIN($K$2:$K$4734+((($A$2:$A$4734&lt;&gt;A3917)+($E$2:$E$4734&lt;&gt;0))&gt;0)*1000000)),"")</f>
        <v>2</v>
      </c>
      <c r="M3917" s="1">
        <f>IF(AND(E3917=0,COUNTIFS($A$2:A3917,A3917,$E$2:E3917,0)=1),L3917,0)</f>
        <v>0</v>
      </c>
    </row>
    <row r="3918" spans="1:13" ht="15" customHeight="1">
      <c r="A3918" s="1">
        <v>197</v>
      </c>
      <c r="B3918" s="1" t="s">
        <v>9</v>
      </c>
      <c r="C3918" s="2" t="s">
        <v>4649</v>
      </c>
      <c r="D3918" s="2" t="s">
        <v>4650</v>
      </c>
      <c r="E3918" s="1">
        <v>1</v>
      </c>
      <c r="F3918" s="2" t="s">
        <v>679</v>
      </c>
      <c r="G3918" s="1">
        <v>1</v>
      </c>
      <c r="H3918" s="1" t="str">
        <f t="shared" si="63"/>
        <v>k197_1</v>
      </c>
      <c r="K3918" s="1">
        <f>IF(E3918=0,SUMPRODUCT(($A$2:$A$4734=A3918)*($B$2:$B$4734=B3918)*($D$2:$D$4734=D3918)*($E$2:$E$4734=0)),0)</f>
        <v>0</v>
      </c>
      <c r="L3918" s="1" t="str">
        <f>IF(E3918=0,SUMPRODUCT(MIN($K$2:$K$4734+((($A$2:$A$4734&lt;&gt;A3918)+($E$2:$E$4734&lt;&gt;0))&gt;0)*1000000)),"")</f>
        <v/>
      </c>
      <c r="M3918" s="1">
        <f>IF(AND(E3918=0,COUNTIFS($A$2:A3918,A3918,$E$2:E3918,0)=1),L3918,0)</f>
        <v>0</v>
      </c>
    </row>
    <row r="3919" spans="1:13" ht="15" customHeight="1">
      <c r="A3919" s="1">
        <v>197</v>
      </c>
      <c r="B3919" s="1" t="s">
        <v>9</v>
      </c>
      <c r="C3919" s="2" t="s">
        <v>4649</v>
      </c>
      <c r="D3919" s="2" t="s">
        <v>4650</v>
      </c>
      <c r="E3919" s="1">
        <v>1</v>
      </c>
      <c r="F3919" s="2" t="s">
        <v>4651</v>
      </c>
      <c r="G3919" s="1">
        <v>2</v>
      </c>
      <c r="H3919" s="1" t="str">
        <f t="shared" si="63"/>
        <v>k197_2</v>
      </c>
      <c r="K3919" s="1">
        <f>IF(E3919=0,SUMPRODUCT(($A$2:$A$4734=A3919)*($B$2:$B$4734=B3919)*($D$2:$D$4734=D3919)*($E$2:$E$4734=0)),0)</f>
        <v>0</v>
      </c>
      <c r="L3919" s="1" t="str">
        <f>IF(E3919=0,SUMPRODUCT(MIN($K$2:$K$4734+((($A$2:$A$4734&lt;&gt;A3919)+($E$2:$E$4734&lt;&gt;0))&gt;0)*1000000)),"")</f>
        <v/>
      </c>
      <c r="M3919" s="1">
        <f>IF(AND(E3919=0,COUNTIFS($A$2:A3919,A3919,$E$2:E3919,0)=1),L3919,0)</f>
        <v>0</v>
      </c>
    </row>
    <row r="3920" spans="1:13" ht="15" customHeight="1">
      <c r="A3920" s="1">
        <v>197</v>
      </c>
      <c r="B3920" s="1" t="s">
        <v>9</v>
      </c>
      <c r="C3920" s="2" t="s">
        <v>4649</v>
      </c>
      <c r="D3920" s="2" t="s">
        <v>4650</v>
      </c>
      <c r="E3920" s="1">
        <v>1</v>
      </c>
      <c r="F3920" s="2" t="s">
        <v>4652</v>
      </c>
      <c r="G3920" s="1">
        <v>3</v>
      </c>
      <c r="H3920" s="1" t="str">
        <f t="shared" si="63"/>
        <v>k197_3</v>
      </c>
      <c r="K3920" s="1">
        <f>IF(E3920=0,SUMPRODUCT(($A$2:$A$4734=A3920)*($B$2:$B$4734=B3920)*($D$2:$D$4734=D3920)*($E$2:$E$4734=0)),0)</f>
        <v>0</v>
      </c>
      <c r="L3920" s="1" t="str">
        <f>IF(E3920=0,SUMPRODUCT(MIN($K$2:$K$4734+((($A$2:$A$4734&lt;&gt;A3920)+($E$2:$E$4734&lt;&gt;0))&gt;0)*1000000)),"")</f>
        <v/>
      </c>
      <c r="M3920" s="1">
        <f>IF(AND(E3920=0,COUNTIFS($A$2:A3920,A3920,$E$2:E3920,0)=1),L3920,0)</f>
        <v>0</v>
      </c>
    </row>
    <row r="3921" spans="1:13" ht="15" customHeight="1">
      <c r="A3921" s="1">
        <v>197</v>
      </c>
      <c r="B3921" s="1" t="s">
        <v>9</v>
      </c>
      <c r="C3921" s="2" t="s">
        <v>4649</v>
      </c>
      <c r="D3921" s="2" t="s">
        <v>4650</v>
      </c>
      <c r="E3921" s="1">
        <v>1</v>
      </c>
      <c r="F3921" s="2" t="s">
        <v>4651</v>
      </c>
      <c r="G3921" s="1">
        <v>5</v>
      </c>
      <c r="H3921" s="1" t="str">
        <f t="shared" si="63"/>
        <v>k197_5</v>
      </c>
      <c r="K3921" s="1">
        <f>IF(E3921=0,SUMPRODUCT(($A$2:$A$4734=A3921)*($B$2:$B$4734=B3921)*($D$2:$D$4734=D3921)*($E$2:$E$4734=0)),0)</f>
        <v>0</v>
      </c>
      <c r="L3921" s="1" t="str">
        <f>IF(E3921=0,SUMPRODUCT(MIN($K$2:$K$4734+((($A$2:$A$4734&lt;&gt;A3921)+($E$2:$E$4734&lt;&gt;0))&gt;0)*1000000)),"")</f>
        <v/>
      </c>
      <c r="M3921" s="1">
        <f>IF(AND(E3921=0,COUNTIFS($A$2:A3921,A3921,$E$2:E3921,0)=1),L3921,0)</f>
        <v>0</v>
      </c>
    </row>
    <row r="3922" spans="1:13" ht="15" customHeight="1">
      <c r="A3922" s="1">
        <v>197</v>
      </c>
      <c r="B3922" s="1" t="s">
        <v>9</v>
      </c>
      <c r="C3922" s="2" t="s">
        <v>4649</v>
      </c>
      <c r="D3922" s="2" t="s">
        <v>4650</v>
      </c>
      <c r="E3922" s="1">
        <v>1</v>
      </c>
      <c r="F3922" s="2" t="s">
        <v>4652</v>
      </c>
      <c r="G3922" s="1">
        <v>6</v>
      </c>
      <c r="H3922" s="1" t="str">
        <f t="shared" si="63"/>
        <v>k197_6</v>
      </c>
      <c r="K3922" s="1">
        <f>IF(E3922=0,SUMPRODUCT(($A$2:$A$4734=A3922)*($B$2:$B$4734=B3922)*($D$2:$D$4734=D3922)*($E$2:$E$4734=0)),0)</f>
        <v>0</v>
      </c>
      <c r="L3922" s="1" t="str">
        <f>IF(E3922=0,SUMPRODUCT(MIN($K$2:$K$4734+((($A$2:$A$4734&lt;&gt;A3922)+($E$2:$E$4734&lt;&gt;0))&gt;0)*1000000)),"")</f>
        <v/>
      </c>
      <c r="M3922" s="1">
        <f>IF(AND(E3922=0,COUNTIFS($A$2:A3922,A3922,$E$2:E3922,0)=1),L3922,0)</f>
        <v>0</v>
      </c>
    </row>
    <row r="3923" spans="1:13" ht="15" customHeight="1">
      <c r="A3923" s="1">
        <v>197</v>
      </c>
      <c r="B3923" s="1" t="s">
        <v>9</v>
      </c>
      <c r="C3923" s="2" t="s">
        <v>4649</v>
      </c>
      <c r="D3923" s="2" t="s">
        <v>4650</v>
      </c>
      <c r="E3923" s="1">
        <v>1</v>
      </c>
      <c r="F3923" s="2" t="s">
        <v>4653</v>
      </c>
      <c r="G3923" s="1">
        <v>4</v>
      </c>
      <c r="H3923" s="1" t="str">
        <f t="shared" ref="H3923:H3984" si="64">IF(OR(E3923&lt;&gt;1,G3923=""),"","k"&amp;A3923&amp;"_"&amp;G3923)</f>
        <v>k197_4</v>
      </c>
      <c r="K3923" s="1">
        <f>IF(E3923=0,SUMPRODUCT(($A$2:$A$4734=A3923)*($B$2:$B$4734=B3923)*($D$2:$D$4734=D3923)*($E$2:$E$4734=0)),0)</f>
        <v>0</v>
      </c>
      <c r="L3923" s="1" t="str">
        <f>IF(E3923=0,SUMPRODUCT(MIN($K$2:$K$4734+((($A$2:$A$4734&lt;&gt;A3923)+($E$2:$E$4734&lt;&gt;0))&gt;0)*1000000)),"")</f>
        <v/>
      </c>
      <c r="M3923" s="1">
        <f>IF(AND(E3923=0,COUNTIFS($A$2:A3923,A3923,$E$2:E3923,0)=1),L3923,0)</f>
        <v>0</v>
      </c>
    </row>
    <row r="3924" spans="1:13" ht="15" customHeight="1">
      <c r="A3924" s="1">
        <v>197</v>
      </c>
      <c r="B3924" s="1" t="s">
        <v>9</v>
      </c>
      <c r="C3924" s="2" t="s">
        <v>4649</v>
      </c>
      <c r="D3924" s="2" t="s">
        <v>4654</v>
      </c>
      <c r="E3924" s="1">
        <v>1</v>
      </c>
      <c r="F3924" s="2" t="s">
        <v>4655</v>
      </c>
      <c r="G3924" s="1">
        <v>1</v>
      </c>
      <c r="H3924" s="1" t="str">
        <f t="shared" si="64"/>
        <v>k197_1</v>
      </c>
      <c r="K3924" s="1">
        <f>IF(E3924=0,SUMPRODUCT(($A$2:$A$4734=A3924)*($B$2:$B$4734=B3924)*($D$2:$D$4734=D3924)*($E$2:$E$4734=0)),0)</f>
        <v>0</v>
      </c>
      <c r="L3924" s="1" t="str">
        <f>IF(E3924=0,SUMPRODUCT(MIN($K$2:$K$4734+((($A$2:$A$4734&lt;&gt;A3924)+($E$2:$E$4734&lt;&gt;0))&gt;0)*1000000)),"")</f>
        <v/>
      </c>
      <c r="M3924" s="1">
        <f>IF(AND(E3924=0,COUNTIFS($A$2:A3924,A3924,$E$2:E3924,0)=1),L3924,0)</f>
        <v>0</v>
      </c>
    </row>
    <row r="3925" spans="1:13" ht="15" customHeight="1">
      <c r="A3925" s="1">
        <v>197</v>
      </c>
      <c r="B3925" s="1" t="s">
        <v>9</v>
      </c>
      <c r="C3925" s="2" t="s">
        <v>4649</v>
      </c>
      <c r="D3925" s="2" t="s">
        <v>4654</v>
      </c>
      <c r="E3925" s="1">
        <v>1</v>
      </c>
      <c r="F3925" s="2" t="s">
        <v>4656</v>
      </c>
      <c r="G3925" s="1">
        <v>2</v>
      </c>
      <c r="H3925" s="1" t="str">
        <f t="shared" si="64"/>
        <v>k197_2</v>
      </c>
      <c r="K3925" s="1">
        <f>IF(E3925=0,SUMPRODUCT(($A$2:$A$4734=A3925)*($B$2:$B$4734=B3925)*($D$2:$D$4734=D3925)*($E$2:$E$4734=0)),0)</f>
        <v>0</v>
      </c>
      <c r="L3925" s="1" t="str">
        <f>IF(E3925=0,SUMPRODUCT(MIN($K$2:$K$4734+((($A$2:$A$4734&lt;&gt;A3925)+($E$2:$E$4734&lt;&gt;0))&gt;0)*1000000)),"")</f>
        <v/>
      </c>
      <c r="M3925" s="1">
        <f>IF(AND(E3925=0,COUNTIFS($A$2:A3925,A3925,$E$2:E3925,0)=1),L3925,0)</f>
        <v>0</v>
      </c>
    </row>
    <row r="3926" spans="1:13" ht="15" customHeight="1">
      <c r="A3926" s="1">
        <v>197</v>
      </c>
      <c r="B3926" s="1" t="s">
        <v>9</v>
      </c>
      <c r="C3926" s="2" t="s">
        <v>4649</v>
      </c>
      <c r="D3926" s="2" t="s">
        <v>4654</v>
      </c>
      <c r="E3926" s="1">
        <v>1</v>
      </c>
      <c r="F3926" s="2" t="s">
        <v>4657</v>
      </c>
      <c r="G3926" s="1">
        <v>3</v>
      </c>
      <c r="H3926" s="1" t="str">
        <f t="shared" si="64"/>
        <v>k197_3</v>
      </c>
      <c r="K3926" s="1">
        <f>IF(E3926=0,SUMPRODUCT(($A$2:$A$4734=A3926)*($B$2:$B$4734=B3926)*($D$2:$D$4734=D3926)*($E$2:$E$4734=0)),0)</f>
        <v>0</v>
      </c>
      <c r="L3926" s="1" t="str">
        <f>IF(E3926=0,SUMPRODUCT(MIN($K$2:$K$4734+((($A$2:$A$4734&lt;&gt;A3926)+($E$2:$E$4734&lt;&gt;0))&gt;0)*1000000)),"")</f>
        <v/>
      </c>
      <c r="M3926" s="1">
        <f>IF(AND(E3926=0,COUNTIFS($A$2:A3926,A3926,$E$2:E3926,0)=1),L3926,0)</f>
        <v>0</v>
      </c>
    </row>
    <row r="3927" spans="1:13" ht="15" customHeight="1">
      <c r="A3927" s="1">
        <v>197</v>
      </c>
      <c r="B3927" s="1" t="s">
        <v>9</v>
      </c>
      <c r="C3927" s="2" t="s">
        <v>4649</v>
      </c>
      <c r="D3927" s="2" t="s">
        <v>4654</v>
      </c>
      <c r="E3927" s="1">
        <v>1</v>
      </c>
      <c r="F3927" s="2" t="s">
        <v>4658</v>
      </c>
      <c r="G3927" s="1">
        <v>4</v>
      </c>
      <c r="H3927" s="1" t="str">
        <f t="shared" si="64"/>
        <v>k197_4</v>
      </c>
      <c r="K3927" s="1">
        <f>IF(E3927=0,SUMPRODUCT(($A$2:$A$4734=A3927)*($B$2:$B$4734=B3927)*($D$2:$D$4734=D3927)*($E$2:$E$4734=0)),0)</f>
        <v>0</v>
      </c>
      <c r="L3927" s="1" t="str">
        <f>IF(E3927=0,SUMPRODUCT(MIN($K$2:$K$4734+((($A$2:$A$4734&lt;&gt;A3927)+($E$2:$E$4734&lt;&gt;0))&gt;0)*1000000)),"")</f>
        <v/>
      </c>
      <c r="M3927" s="1">
        <f>IF(AND(E3927=0,COUNTIFS($A$2:A3927,A3927,$E$2:E3927,0)=1),L3927,0)</f>
        <v>0</v>
      </c>
    </row>
    <row r="3928" spans="1:13" ht="15" customHeight="1">
      <c r="A3928" s="1">
        <v>197</v>
      </c>
      <c r="B3928" s="1" t="s">
        <v>9</v>
      </c>
      <c r="C3928" s="2" t="s">
        <v>4649</v>
      </c>
      <c r="D3928" s="2" t="s">
        <v>4654</v>
      </c>
      <c r="E3928" s="1">
        <v>1</v>
      </c>
      <c r="F3928" s="2" t="s">
        <v>4659</v>
      </c>
      <c r="G3928" s="1">
        <v>5</v>
      </c>
      <c r="H3928" s="1" t="str">
        <f t="shared" si="64"/>
        <v>k197_5</v>
      </c>
      <c r="K3928" s="1">
        <f>IF(E3928=0,SUMPRODUCT(($A$2:$A$4734=A3928)*($B$2:$B$4734=B3928)*($D$2:$D$4734=D3928)*($E$2:$E$4734=0)),0)</f>
        <v>0</v>
      </c>
      <c r="L3928" s="1" t="str">
        <f>IF(E3928=0,SUMPRODUCT(MIN($K$2:$K$4734+((($A$2:$A$4734&lt;&gt;A3928)+($E$2:$E$4734&lt;&gt;0))&gt;0)*1000000)),"")</f>
        <v/>
      </c>
      <c r="M3928" s="1">
        <f>IF(AND(E3928=0,COUNTIFS($A$2:A3928,A3928,$E$2:E3928,0)=1),L3928,0)</f>
        <v>0</v>
      </c>
    </row>
    <row r="3929" spans="1:13" ht="15" customHeight="1">
      <c r="A3929" s="1">
        <v>197</v>
      </c>
      <c r="B3929" s="1" t="s">
        <v>9</v>
      </c>
      <c r="C3929" s="2" t="s">
        <v>4649</v>
      </c>
      <c r="D3929" s="2" t="s">
        <v>4654</v>
      </c>
      <c r="E3929" s="1">
        <v>1</v>
      </c>
      <c r="F3929" s="2" t="s">
        <v>4660</v>
      </c>
      <c r="G3929" s="1">
        <v>6</v>
      </c>
      <c r="H3929" s="1" t="str">
        <f t="shared" si="64"/>
        <v>k197_6</v>
      </c>
      <c r="K3929" s="1">
        <f>IF(E3929=0,SUMPRODUCT(($A$2:$A$4734=A3929)*($B$2:$B$4734=B3929)*($D$2:$D$4734=D3929)*($E$2:$E$4734=0)),0)</f>
        <v>0</v>
      </c>
      <c r="L3929" s="1" t="str">
        <f>IF(E3929=0,SUMPRODUCT(MIN($K$2:$K$4734+((($A$2:$A$4734&lt;&gt;A3929)+($E$2:$E$4734&lt;&gt;0))&gt;0)*1000000)),"")</f>
        <v/>
      </c>
      <c r="M3929" s="1">
        <f>IF(AND(E3929=0,COUNTIFS($A$2:A3929,A3929,$E$2:E3929,0)=1),L3929,0)</f>
        <v>0</v>
      </c>
    </row>
    <row r="3930" spans="1:13" ht="15" customHeight="1">
      <c r="A3930" s="1">
        <v>197</v>
      </c>
      <c r="B3930" s="1" t="s">
        <v>16</v>
      </c>
      <c r="C3930" s="2" t="s">
        <v>4649</v>
      </c>
      <c r="D3930" s="2" t="s">
        <v>993</v>
      </c>
      <c r="E3930" s="1">
        <v>1</v>
      </c>
      <c r="F3930" s="2" t="s">
        <v>3131</v>
      </c>
      <c r="G3930" s="1">
        <v>1</v>
      </c>
      <c r="H3930" s="1" t="str">
        <f t="shared" si="64"/>
        <v>k197_1</v>
      </c>
      <c r="K3930" s="1">
        <f>IF(E3930=0,SUMPRODUCT(($A$2:$A$4734=A3930)*($B$2:$B$4734=B3930)*($D$2:$D$4734=D3930)*($E$2:$E$4734=0)),0)</f>
        <v>0</v>
      </c>
      <c r="L3930" s="1" t="str">
        <f>IF(E3930=0,SUMPRODUCT(MIN($K$2:$K$4734+((($A$2:$A$4734&lt;&gt;A3930)+($E$2:$E$4734&lt;&gt;0))&gt;0)*1000000)),"")</f>
        <v/>
      </c>
      <c r="M3930" s="1">
        <f>IF(AND(E3930=0,COUNTIFS($A$2:A3930,A3930,$E$2:E3930,0)=1),L3930,0)</f>
        <v>0</v>
      </c>
    </row>
    <row r="3931" spans="1:13" ht="15" customHeight="1">
      <c r="A3931" s="1">
        <v>197</v>
      </c>
      <c r="B3931" s="1" t="s">
        <v>16</v>
      </c>
      <c r="C3931" s="2" t="s">
        <v>4649</v>
      </c>
      <c r="D3931" s="2" t="s">
        <v>993</v>
      </c>
      <c r="E3931" s="1">
        <v>1</v>
      </c>
      <c r="F3931" s="2" t="s">
        <v>997</v>
      </c>
      <c r="G3931" s="1">
        <v>2</v>
      </c>
      <c r="H3931" s="1" t="str">
        <f t="shared" si="64"/>
        <v>k197_2</v>
      </c>
      <c r="K3931" s="1">
        <f>IF(E3931=0,SUMPRODUCT(($A$2:$A$4734=A3931)*($B$2:$B$4734=B3931)*($D$2:$D$4734=D3931)*($E$2:$E$4734=0)),0)</f>
        <v>0</v>
      </c>
      <c r="L3931" s="1" t="str">
        <f>IF(E3931=0,SUMPRODUCT(MIN($K$2:$K$4734+((($A$2:$A$4734&lt;&gt;A3931)+($E$2:$E$4734&lt;&gt;0))&gt;0)*1000000)),"")</f>
        <v/>
      </c>
      <c r="M3931" s="1">
        <f>IF(AND(E3931=0,COUNTIFS($A$2:A3931,A3931,$E$2:E3931,0)=1),L3931,0)</f>
        <v>0</v>
      </c>
    </row>
    <row r="3932" spans="1:13" ht="15" customHeight="1">
      <c r="A3932" s="1">
        <v>197</v>
      </c>
      <c r="B3932" s="1" t="s">
        <v>16</v>
      </c>
      <c r="C3932" s="2" t="s">
        <v>4649</v>
      </c>
      <c r="D3932" s="2" t="s">
        <v>993</v>
      </c>
      <c r="E3932" s="1">
        <v>1</v>
      </c>
      <c r="F3932" s="2" t="s">
        <v>2432</v>
      </c>
      <c r="G3932" s="1">
        <v>3</v>
      </c>
      <c r="H3932" s="1" t="str">
        <f t="shared" si="64"/>
        <v>k197_3</v>
      </c>
      <c r="K3932" s="1">
        <f>IF(E3932=0,SUMPRODUCT(($A$2:$A$4734=A3932)*($B$2:$B$4734=B3932)*($D$2:$D$4734=D3932)*($E$2:$E$4734=0)),0)</f>
        <v>0</v>
      </c>
      <c r="L3932" s="1" t="str">
        <f>IF(E3932=0,SUMPRODUCT(MIN($K$2:$K$4734+((($A$2:$A$4734&lt;&gt;A3932)+($E$2:$E$4734&lt;&gt;0))&gt;0)*1000000)),"")</f>
        <v/>
      </c>
      <c r="M3932" s="1">
        <f>IF(AND(E3932=0,COUNTIFS($A$2:A3932,A3932,$E$2:E3932,0)=1),L3932,0)</f>
        <v>0</v>
      </c>
    </row>
    <row r="3933" spans="1:13" ht="15" customHeight="1">
      <c r="A3933" s="1">
        <v>197</v>
      </c>
      <c r="B3933" s="1" t="s">
        <v>16</v>
      </c>
      <c r="C3933" s="2" t="s">
        <v>4649</v>
      </c>
      <c r="D3933" s="2" t="s">
        <v>993</v>
      </c>
      <c r="E3933" s="1">
        <v>1</v>
      </c>
      <c r="F3933" s="2" t="s">
        <v>996</v>
      </c>
      <c r="G3933" s="1">
        <v>4</v>
      </c>
      <c r="H3933" s="1" t="str">
        <f t="shared" si="64"/>
        <v>k197_4</v>
      </c>
      <c r="K3933" s="1">
        <f>IF(E3933=0,SUMPRODUCT(($A$2:$A$4734=A3933)*($B$2:$B$4734=B3933)*($D$2:$D$4734=D3933)*($E$2:$E$4734=0)),0)</f>
        <v>0</v>
      </c>
      <c r="L3933" s="1" t="str">
        <f>IF(E3933=0,SUMPRODUCT(MIN($K$2:$K$4734+((($A$2:$A$4734&lt;&gt;A3933)+($E$2:$E$4734&lt;&gt;0))&gt;0)*1000000)),"")</f>
        <v/>
      </c>
      <c r="M3933" s="1">
        <f>IF(AND(E3933=0,COUNTIFS($A$2:A3933,A3933,$E$2:E3933,0)=1),L3933,0)</f>
        <v>0</v>
      </c>
    </row>
    <row r="3934" spans="1:13" ht="15" customHeight="1">
      <c r="A3934" s="1">
        <v>197</v>
      </c>
      <c r="B3934" s="1" t="s">
        <v>16</v>
      </c>
      <c r="C3934" s="2" t="s">
        <v>4649</v>
      </c>
      <c r="D3934" s="2" t="s">
        <v>993</v>
      </c>
      <c r="E3934" s="1">
        <v>1</v>
      </c>
      <c r="F3934" s="2" t="s">
        <v>994</v>
      </c>
      <c r="G3934" s="1">
        <v>5</v>
      </c>
      <c r="H3934" s="1" t="str">
        <f t="shared" si="64"/>
        <v>k197_5</v>
      </c>
      <c r="K3934" s="1">
        <f>IF(E3934=0,SUMPRODUCT(($A$2:$A$4734=A3934)*($B$2:$B$4734=B3934)*($D$2:$D$4734=D3934)*($E$2:$E$4734=0)),0)</f>
        <v>0</v>
      </c>
      <c r="L3934" s="1" t="str">
        <f>IF(E3934=0,SUMPRODUCT(MIN($K$2:$K$4734+((($A$2:$A$4734&lt;&gt;A3934)+($E$2:$E$4734&lt;&gt;0))&gt;0)*1000000)),"")</f>
        <v/>
      </c>
      <c r="M3934" s="1">
        <f>IF(AND(E3934=0,COUNTIFS($A$2:A3934,A3934,$E$2:E3934,0)=1),L3934,0)</f>
        <v>0</v>
      </c>
    </row>
    <row r="3935" spans="1:13" ht="15" customHeight="1">
      <c r="A3935" s="1">
        <v>197</v>
      </c>
      <c r="B3935" s="1" t="s">
        <v>16</v>
      </c>
      <c r="C3935" s="2" t="s">
        <v>4649</v>
      </c>
      <c r="D3935" s="2" t="s">
        <v>993</v>
      </c>
      <c r="E3935" s="1">
        <v>1</v>
      </c>
      <c r="F3935" s="2" t="s">
        <v>994</v>
      </c>
      <c r="G3935" s="1">
        <v>6</v>
      </c>
      <c r="H3935" s="1" t="str">
        <f t="shared" si="64"/>
        <v>k197_6</v>
      </c>
      <c r="K3935" s="1">
        <f>IF(E3935=0,SUMPRODUCT(($A$2:$A$4734=A3935)*($B$2:$B$4734=B3935)*($D$2:$D$4734=D3935)*($E$2:$E$4734=0)),0)</f>
        <v>0</v>
      </c>
      <c r="L3935" s="1" t="str">
        <f>IF(E3935=0,SUMPRODUCT(MIN($K$2:$K$4734+((($A$2:$A$4734&lt;&gt;A3935)+($E$2:$E$4734&lt;&gt;0))&gt;0)*1000000)),"")</f>
        <v/>
      </c>
      <c r="M3935" s="1">
        <f>IF(AND(E3935=0,COUNTIFS($A$2:A3935,A3935,$E$2:E3935,0)=1),L3935,0)</f>
        <v>0</v>
      </c>
    </row>
    <row r="3936" spans="1:13" ht="15" customHeight="1">
      <c r="A3936" s="1">
        <v>197</v>
      </c>
      <c r="B3936" s="1" t="s">
        <v>167</v>
      </c>
      <c r="C3936" s="2" t="s">
        <v>4649</v>
      </c>
      <c r="D3936" s="1" t="s">
        <v>3655</v>
      </c>
      <c r="E3936" s="1">
        <v>1</v>
      </c>
      <c r="F3936" s="2" t="s">
        <v>4661</v>
      </c>
      <c r="G3936" s="1">
        <v>1</v>
      </c>
      <c r="H3936" s="1" t="str">
        <f t="shared" si="64"/>
        <v>k197_1</v>
      </c>
      <c r="K3936" s="1">
        <f>IF(E3936=0,SUMPRODUCT(($A$2:$A$4734=A3936)*($B$2:$B$4734=B3936)*($D$2:$D$4734=D3936)*($E$2:$E$4734=0)),0)</f>
        <v>0</v>
      </c>
      <c r="L3936" s="1" t="str">
        <f>IF(E3936=0,SUMPRODUCT(MIN($K$2:$K$4734+((($A$2:$A$4734&lt;&gt;A3936)+($E$2:$E$4734&lt;&gt;0))&gt;0)*1000000)),"")</f>
        <v/>
      </c>
      <c r="M3936" s="1">
        <f>IF(AND(E3936=0,COUNTIFS($A$2:A3936,A3936,$E$2:E3936,0)=1),L3936,0)</f>
        <v>0</v>
      </c>
    </row>
    <row r="3937" spans="1:13" ht="15" customHeight="1">
      <c r="A3937" s="1">
        <v>197</v>
      </c>
      <c r="B3937" s="1" t="s">
        <v>167</v>
      </c>
      <c r="C3937" s="2" t="s">
        <v>4649</v>
      </c>
      <c r="D3937" s="1" t="s">
        <v>3655</v>
      </c>
      <c r="E3937" s="1">
        <v>1</v>
      </c>
      <c r="F3937" s="2" t="s">
        <v>4628</v>
      </c>
      <c r="G3937" s="1">
        <v>2</v>
      </c>
      <c r="H3937" s="1" t="str">
        <f t="shared" si="64"/>
        <v>k197_2</v>
      </c>
      <c r="K3937" s="1">
        <f>IF(E3937=0,SUMPRODUCT(($A$2:$A$4734=A3937)*($B$2:$B$4734=B3937)*($D$2:$D$4734=D3937)*($E$2:$E$4734=0)),0)</f>
        <v>0</v>
      </c>
      <c r="L3937" s="1" t="str">
        <f>IF(E3937=0,SUMPRODUCT(MIN($K$2:$K$4734+((($A$2:$A$4734&lt;&gt;A3937)+($E$2:$E$4734&lt;&gt;0))&gt;0)*1000000)),"")</f>
        <v/>
      </c>
      <c r="M3937" s="1">
        <f>IF(AND(E3937=0,COUNTIFS($A$2:A3937,A3937,$E$2:E3937,0)=1),L3937,0)</f>
        <v>0</v>
      </c>
    </row>
    <row r="3938" spans="1:13" ht="15" customHeight="1">
      <c r="A3938" s="1">
        <v>197</v>
      </c>
      <c r="B3938" s="1" t="s">
        <v>167</v>
      </c>
      <c r="C3938" s="2" t="s">
        <v>4649</v>
      </c>
      <c r="D3938" s="1" t="s">
        <v>3655</v>
      </c>
      <c r="E3938" s="1">
        <v>1</v>
      </c>
      <c r="F3938" s="2" t="s">
        <v>4662</v>
      </c>
      <c r="G3938" s="1">
        <v>3</v>
      </c>
      <c r="H3938" s="1" t="str">
        <f t="shared" si="64"/>
        <v>k197_3</v>
      </c>
      <c r="K3938" s="1">
        <f>IF(E3938=0,SUMPRODUCT(($A$2:$A$4734=A3938)*($B$2:$B$4734=B3938)*($D$2:$D$4734=D3938)*($E$2:$E$4734=0)),0)</f>
        <v>0</v>
      </c>
      <c r="L3938" s="1" t="str">
        <f>IF(E3938=0,SUMPRODUCT(MIN($K$2:$K$4734+((($A$2:$A$4734&lt;&gt;A3938)+($E$2:$E$4734&lt;&gt;0))&gt;0)*1000000)),"")</f>
        <v/>
      </c>
      <c r="M3938" s="1">
        <f>IF(AND(E3938=0,COUNTIFS($A$2:A3938,A3938,$E$2:E3938,0)=1),L3938,0)</f>
        <v>0</v>
      </c>
    </row>
    <row r="3939" spans="1:13" ht="15" customHeight="1">
      <c r="A3939" s="1">
        <v>197</v>
      </c>
      <c r="B3939" s="1" t="s">
        <v>167</v>
      </c>
      <c r="C3939" s="2" t="s">
        <v>4649</v>
      </c>
      <c r="D3939" s="1" t="s">
        <v>3655</v>
      </c>
      <c r="E3939" s="1">
        <v>1</v>
      </c>
      <c r="F3939" s="2" t="s">
        <v>4663</v>
      </c>
      <c r="G3939" s="1">
        <v>4</v>
      </c>
      <c r="H3939" s="1" t="str">
        <f t="shared" si="64"/>
        <v>k197_4</v>
      </c>
      <c r="K3939" s="1">
        <f>IF(E3939=0,SUMPRODUCT(($A$2:$A$4734=A3939)*($B$2:$B$4734=B3939)*($D$2:$D$4734=D3939)*($E$2:$E$4734=0)),0)</f>
        <v>0</v>
      </c>
      <c r="L3939" s="1" t="str">
        <f>IF(E3939=0,SUMPRODUCT(MIN($K$2:$K$4734+((($A$2:$A$4734&lt;&gt;A3939)+($E$2:$E$4734&lt;&gt;0))&gt;0)*1000000)),"")</f>
        <v/>
      </c>
      <c r="M3939" s="1">
        <f>IF(AND(E3939=0,COUNTIFS($A$2:A3939,A3939,$E$2:E3939,0)=1),L3939,0)</f>
        <v>0</v>
      </c>
    </row>
    <row r="3940" spans="1:13" ht="15" customHeight="1">
      <c r="A3940" s="1">
        <v>197</v>
      </c>
      <c r="B3940" s="1" t="s">
        <v>167</v>
      </c>
      <c r="C3940" s="2" t="s">
        <v>4649</v>
      </c>
      <c r="D3940" s="1" t="s">
        <v>3655</v>
      </c>
      <c r="E3940" s="1">
        <v>1</v>
      </c>
      <c r="F3940" s="2" t="s">
        <v>4664</v>
      </c>
      <c r="G3940" s="1">
        <v>5</v>
      </c>
      <c r="H3940" s="1" t="str">
        <f t="shared" si="64"/>
        <v>k197_5</v>
      </c>
      <c r="K3940" s="1">
        <f>IF(E3940=0,SUMPRODUCT(($A$2:$A$4734=A3940)*($B$2:$B$4734=B3940)*($D$2:$D$4734=D3940)*($E$2:$E$4734=0)),0)</f>
        <v>0</v>
      </c>
      <c r="L3940" s="1" t="str">
        <f>IF(E3940=0,SUMPRODUCT(MIN($K$2:$K$4734+((($A$2:$A$4734&lt;&gt;A3940)+($E$2:$E$4734&lt;&gt;0))&gt;0)*1000000)),"")</f>
        <v/>
      </c>
      <c r="M3940" s="1">
        <f>IF(AND(E3940=0,COUNTIFS($A$2:A3940,A3940,$E$2:E3940,0)=1),L3940,0)</f>
        <v>0</v>
      </c>
    </row>
    <row r="3941" spans="1:13" ht="15" customHeight="1">
      <c r="A3941" s="1">
        <v>197</v>
      </c>
      <c r="B3941" s="1" t="s">
        <v>167</v>
      </c>
      <c r="C3941" s="2" t="s">
        <v>4649</v>
      </c>
      <c r="D3941" s="1" t="s">
        <v>3655</v>
      </c>
      <c r="E3941" s="1">
        <v>1</v>
      </c>
      <c r="F3941" s="2" t="s">
        <v>4048</v>
      </c>
      <c r="G3941" s="1">
        <v>6</v>
      </c>
      <c r="H3941" s="1" t="str">
        <f t="shared" si="64"/>
        <v>k197_6</v>
      </c>
      <c r="K3941" s="1">
        <f>IF(E3941=0,SUMPRODUCT(($A$2:$A$4734=A3941)*($B$2:$B$4734=B3941)*($D$2:$D$4734=D3941)*($E$2:$E$4734=0)),0)</f>
        <v>0</v>
      </c>
      <c r="L3941" s="1" t="str">
        <f>IF(E3941=0,SUMPRODUCT(MIN($K$2:$K$4734+((($A$2:$A$4734&lt;&gt;A3941)+($E$2:$E$4734&lt;&gt;0))&gt;0)*1000000)),"")</f>
        <v/>
      </c>
      <c r="M3941" s="1">
        <f>IF(AND(E3941=0,COUNTIFS($A$2:A3941,A3941,$E$2:E3941,0)=1),L3941,0)</f>
        <v>0</v>
      </c>
    </row>
    <row r="3942" spans="1:13" ht="15" customHeight="1">
      <c r="A3942" s="1">
        <v>198</v>
      </c>
      <c r="B3942" s="1" t="s">
        <v>144</v>
      </c>
      <c r="C3942" s="2" t="s">
        <v>4665</v>
      </c>
      <c r="D3942" s="2" t="s">
        <v>4666</v>
      </c>
      <c r="E3942" s="1">
        <v>1</v>
      </c>
      <c r="F3942" s="2" t="s">
        <v>4667</v>
      </c>
      <c r="G3942" s="1">
        <v>1</v>
      </c>
      <c r="H3942" s="1" t="str">
        <f t="shared" si="64"/>
        <v>k198_1</v>
      </c>
      <c r="K3942" s="1">
        <f>IF(E3942=0,SUMPRODUCT(($A$2:$A$4734=A3942)*($B$2:$B$4734=B3942)*($D$2:$D$4734=D3942)*($E$2:$E$4734=0)),0)</f>
        <v>0</v>
      </c>
      <c r="L3942" s="1" t="str">
        <f>IF(E3942=0,SUMPRODUCT(MIN($K$2:$K$4734+((($A$2:$A$4734&lt;&gt;A3942)+($E$2:$E$4734&lt;&gt;0))&gt;0)*1000000)),"")</f>
        <v/>
      </c>
      <c r="M3942" s="1">
        <f>IF(AND(E3942=0,COUNTIFS($A$2:A3942,A3942,$E$2:E3942,0)=1),L3942,0)</f>
        <v>0</v>
      </c>
    </row>
    <row r="3943" spans="1:13" ht="15" customHeight="1">
      <c r="A3943" s="1">
        <v>198</v>
      </c>
      <c r="B3943" s="1" t="s">
        <v>144</v>
      </c>
      <c r="C3943" s="2" t="s">
        <v>4665</v>
      </c>
      <c r="D3943" s="2" t="s">
        <v>4666</v>
      </c>
      <c r="E3943" s="1">
        <v>1</v>
      </c>
      <c r="F3943" s="2" t="s">
        <v>4668</v>
      </c>
      <c r="G3943" s="1">
        <v>2</v>
      </c>
      <c r="H3943" s="1" t="str">
        <f t="shared" si="64"/>
        <v>k198_2</v>
      </c>
      <c r="K3943" s="1">
        <f>IF(E3943=0,SUMPRODUCT(($A$2:$A$4734=A3943)*($B$2:$B$4734=B3943)*($D$2:$D$4734=D3943)*($E$2:$E$4734=0)),0)</f>
        <v>0</v>
      </c>
      <c r="L3943" s="1" t="str">
        <f>IF(E3943=0,SUMPRODUCT(MIN($K$2:$K$4734+((($A$2:$A$4734&lt;&gt;A3943)+($E$2:$E$4734&lt;&gt;0))&gt;0)*1000000)),"")</f>
        <v/>
      </c>
      <c r="M3943" s="1">
        <f>IF(AND(E3943=0,COUNTIFS($A$2:A3943,A3943,$E$2:E3943,0)=1),L3943,0)</f>
        <v>0</v>
      </c>
    </row>
    <row r="3944" spans="1:13" ht="15" customHeight="1">
      <c r="A3944" s="1">
        <v>198</v>
      </c>
      <c r="B3944" s="1" t="s">
        <v>144</v>
      </c>
      <c r="C3944" s="2" t="s">
        <v>4665</v>
      </c>
      <c r="D3944" s="2" t="s">
        <v>4666</v>
      </c>
      <c r="E3944" s="1">
        <v>1</v>
      </c>
      <c r="F3944" s="2" t="s">
        <v>4669</v>
      </c>
      <c r="G3944" s="1">
        <v>3</v>
      </c>
      <c r="H3944" s="1" t="str">
        <f t="shared" si="64"/>
        <v>k198_3</v>
      </c>
      <c r="K3944" s="1">
        <f>IF(E3944=0,SUMPRODUCT(($A$2:$A$4734=A3944)*($B$2:$B$4734=B3944)*($D$2:$D$4734=D3944)*($E$2:$E$4734=0)),0)</f>
        <v>0</v>
      </c>
      <c r="L3944" s="1" t="str">
        <f>IF(E3944=0,SUMPRODUCT(MIN($K$2:$K$4734+((($A$2:$A$4734&lt;&gt;A3944)+($E$2:$E$4734&lt;&gt;0))&gt;0)*1000000)),"")</f>
        <v/>
      </c>
      <c r="M3944" s="1">
        <f>IF(AND(E3944=0,COUNTIFS($A$2:A3944,A3944,$E$2:E3944,0)=1),L3944,0)</f>
        <v>0</v>
      </c>
    </row>
    <row r="3945" spans="1:13" ht="15" customHeight="1">
      <c r="A3945" s="1">
        <v>198</v>
      </c>
      <c r="B3945" s="1" t="s">
        <v>144</v>
      </c>
      <c r="C3945" s="2" t="s">
        <v>4665</v>
      </c>
      <c r="D3945" s="2" t="s">
        <v>4666</v>
      </c>
      <c r="E3945" s="1">
        <v>1</v>
      </c>
      <c r="F3945" s="2" t="s">
        <v>4670</v>
      </c>
      <c r="G3945" s="1">
        <v>4</v>
      </c>
      <c r="H3945" s="1" t="str">
        <f t="shared" si="64"/>
        <v>k198_4</v>
      </c>
      <c r="K3945" s="1">
        <f>IF(E3945=0,SUMPRODUCT(($A$2:$A$4734=A3945)*($B$2:$B$4734=B3945)*($D$2:$D$4734=D3945)*($E$2:$E$4734=0)),0)</f>
        <v>0</v>
      </c>
      <c r="L3945" s="1" t="str">
        <f>IF(E3945=0,SUMPRODUCT(MIN($K$2:$K$4734+((($A$2:$A$4734&lt;&gt;A3945)+($E$2:$E$4734&lt;&gt;0))&gt;0)*1000000)),"")</f>
        <v/>
      </c>
      <c r="M3945" s="1">
        <f>IF(AND(E3945=0,COUNTIFS($A$2:A3945,A3945,$E$2:E3945,0)=1),L3945,0)</f>
        <v>0</v>
      </c>
    </row>
    <row r="3946" spans="1:13" ht="15" customHeight="1">
      <c r="A3946" s="1">
        <v>199</v>
      </c>
      <c r="B3946" s="1" t="s">
        <v>9</v>
      </c>
      <c r="C3946" s="2" t="s">
        <v>4671</v>
      </c>
      <c r="D3946" s="2" t="s">
        <v>4672</v>
      </c>
      <c r="E3946" s="1">
        <v>0</v>
      </c>
      <c r="F3946" s="2" t="s">
        <v>4673</v>
      </c>
      <c r="H3946" s="1" t="str">
        <f t="shared" si="64"/>
        <v/>
      </c>
      <c r="K3946" s="1">
        <f>IF(E3946=0,SUMPRODUCT(($A$2:$A$4734=A3946)*($B$2:$B$4734=B3946)*($D$2:$D$4734=D3946)*($E$2:$E$4734=0)),0)</f>
        <v>4</v>
      </c>
      <c r="L3946" s="1">
        <f>IF(E3946=0,SUMPRODUCT(MIN($K$2:$K$4734+((($A$2:$A$4734&lt;&gt;A3946)+($E$2:$E$4734&lt;&gt;0))&gt;0)*1000000)),"")</f>
        <v>4</v>
      </c>
      <c r="M3946" s="1">
        <f>IF(AND(E3946=0,COUNTIFS($A$2:A3946,A3946,$E$2:E3946,0)=1),L3946,0)</f>
        <v>4</v>
      </c>
    </row>
    <row r="3947" spans="1:13" ht="15" customHeight="1">
      <c r="A3947" s="1">
        <v>199</v>
      </c>
      <c r="B3947" s="1" t="s">
        <v>9</v>
      </c>
      <c r="C3947" s="2" t="s">
        <v>4671</v>
      </c>
      <c r="D3947" s="2" t="s">
        <v>4672</v>
      </c>
      <c r="E3947" s="1">
        <v>0</v>
      </c>
      <c r="F3947" s="2" t="s">
        <v>4674</v>
      </c>
      <c r="H3947" s="1" t="str">
        <f t="shared" si="64"/>
        <v/>
      </c>
      <c r="K3947" s="1">
        <f>IF(E3947=0,SUMPRODUCT(($A$2:$A$4734=A3947)*($B$2:$B$4734=B3947)*($D$2:$D$4734=D3947)*($E$2:$E$4734=0)),0)</f>
        <v>4</v>
      </c>
      <c r="L3947" s="1">
        <f>IF(E3947=0,SUMPRODUCT(MIN($K$2:$K$4734+((($A$2:$A$4734&lt;&gt;A3947)+($E$2:$E$4734&lt;&gt;0))&gt;0)*1000000)),"")</f>
        <v>4</v>
      </c>
      <c r="M3947" s="1">
        <f>IF(AND(E3947=0,COUNTIFS($A$2:A3947,A3947,$E$2:E3947,0)=1),L3947,0)</f>
        <v>0</v>
      </c>
    </row>
    <row r="3948" spans="1:13" ht="15" customHeight="1">
      <c r="A3948" s="1">
        <v>199</v>
      </c>
      <c r="B3948" s="1" t="s">
        <v>9</v>
      </c>
      <c r="C3948" s="2" t="s">
        <v>4671</v>
      </c>
      <c r="D3948" s="2" t="s">
        <v>4672</v>
      </c>
      <c r="E3948" s="1">
        <v>0</v>
      </c>
      <c r="F3948" s="2" t="s">
        <v>4675</v>
      </c>
      <c r="H3948" s="1" t="str">
        <f t="shared" si="64"/>
        <v/>
      </c>
      <c r="K3948" s="1">
        <f>IF(E3948=0,SUMPRODUCT(($A$2:$A$4734=A3948)*($B$2:$B$4734=B3948)*($D$2:$D$4734=D3948)*($E$2:$E$4734=0)),0)</f>
        <v>4</v>
      </c>
      <c r="L3948" s="1">
        <f>IF(E3948=0,SUMPRODUCT(MIN($K$2:$K$4734+((($A$2:$A$4734&lt;&gt;A3948)+($E$2:$E$4734&lt;&gt;0))&gt;0)*1000000)),"")</f>
        <v>4</v>
      </c>
      <c r="M3948" s="1">
        <f>IF(AND(E3948=0,COUNTIFS($A$2:A3948,A3948,$E$2:E3948,0)=1),L3948,0)</f>
        <v>0</v>
      </c>
    </row>
    <row r="3949" spans="1:13" ht="15" customHeight="1">
      <c r="A3949" s="1">
        <v>199</v>
      </c>
      <c r="B3949" s="1" t="s">
        <v>9</v>
      </c>
      <c r="C3949" s="2" t="s">
        <v>4671</v>
      </c>
      <c r="D3949" s="2" t="s">
        <v>4672</v>
      </c>
      <c r="E3949" s="1">
        <v>0</v>
      </c>
      <c r="F3949" s="2" t="s">
        <v>4676</v>
      </c>
      <c r="H3949" s="1" t="str">
        <f t="shared" si="64"/>
        <v/>
      </c>
      <c r="K3949" s="1">
        <f>IF(E3949=0,SUMPRODUCT(($A$2:$A$4734=A3949)*($B$2:$B$4734=B3949)*($D$2:$D$4734=D3949)*($E$2:$E$4734=0)),0)</f>
        <v>4</v>
      </c>
      <c r="L3949" s="1">
        <f>IF(E3949=0,SUMPRODUCT(MIN($K$2:$K$4734+((($A$2:$A$4734&lt;&gt;A3949)+($E$2:$E$4734&lt;&gt;0))&gt;0)*1000000)),"")</f>
        <v>4</v>
      </c>
      <c r="M3949" s="1">
        <f>IF(AND(E3949=0,COUNTIFS($A$2:A3949,A3949,$E$2:E3949,0)=1),L3949,0)</f>
        <v>0</v>
      </c>
    </row>
    <row r="3950" spans="1:13" ht="15" customHeight="1">
      <c r="A3950" s="1">
        <v>199</v>
      </c>
      <c r="B3950" s="1" t="s">
        <v>16</v>
      </c>
      <c r="C3950" s="2" t="s">
        <v>4671</v>
      </c>
      <c r="D3950" s="2" t="s">
        <v>4677</v>
      </c>
      <c r="E3950" s="1">
        <v>0</v>
      </c>
      <c r="F3950" s="2" t="s">
        <v>4678</v>
      </c>
      <c r="H3950" s="1" t="str">
        <f t="shared" si="64"/>
        <v/>
      </c>
      <c r="K3950" s="1">
        <f>IF(E3950=0,SUMPRODUCT(($A$2:$A$4734=A3950)*($B$2:$B$4734=B3950)*($D$2:$D$4734=D3950)*($E$2:$E$4734=0)),0)</f>
        <v>5</v>
      </c>
      <c r="L3950" s="1">
        <f>IF(E3950=0,SUMPRODUCT(MIN($K$2:$K$4734+((($A$2:$A$4734&lt;&gt;A3950)+($E$2:$E$4734&lt;&gt;0))&gt;0)*1000000)),"")</f>
        <v>4</v>
      </c>
      <c r="M3950" s="1">
        <f>IF(AND(E3950=0,COUNTIFS($A$2:A3950,A3950,$E$2:E3950,0)=1),L3950,0)</f>
        <v>0</v>
      </c>
    </row>
    <row r="3951" spans="1:13" ht="15" customHeight="1">
      <c r="A3951" s="1">
        <v>199</v>
      </c>
      <c r="B3951" s="1" t="s">
        <v>16</v>
      </c>
      <c r="C3951" s="2" t="s">
        <v>4671</v>
      </c>
      <c r="D3951" s="2" t="s">
        <v>4677</v>
      </c>
      <c r="E3951" s="1">
        <v>0</v>
      </c>
      <c r="F3951" s="2" t="s">
        <v>4679</v>
      </c>
      <c r="H3951" s="1" t="str">
        <f t="shared" si="64"/>
        <v/>
      </c>
      <c r="K3951" s="1">
        <f>IF(E3951=0,SUMPRODUCT(($A$2:$A$4734=A3951)*($B$2:$B$4734=B3951)*($D$2:$D$4734=D3951)*($E$2:$E$4734=0)),0)</f>
        <v>5</v>
      </c>
      <c r="L3951" s="1">
        <f>IF(E3951=0,SUMPRODUCT(MIN($K$2:$K$4734+((($A$2:$A$4734&lt;&gt;A3951)+($E$2:$E$4734&lt;&gt;0))&gt;0)*1000000)),"")</f>
        <v>4</v>
      </c>
      <c r="M3951" s="1">
        <f>IF(AND(E3951=0,COUNTIFS($A$2:A3951,A3951,$E$2:E3951,0)=1),L3951,0)</f>
        <v>0</v>
      </c>
    </row>
    <row r="3952" spans="1:13" ht="15" customHeight="1">
      <c r="A3952" s="1">
        <v>199</v>
      </c>
      <c r="B3952" s="1" t="s">
        <v>16</v>
      </c>
      <c r="C3952" s="2" t="s">
        <v>4671</v>
      </c>
      <c r="D3952" s="2" t="s">
        <v>4677</v>
      </c>
      <c r="E3952" s="1">
        <v>0</v>
      </c>
      <c r="F3952" s="2" t="s">
        <v>4680</v>
      </c>
      <c r="H3952" s="1" t="str">
        <f t="shared" si="64"/>
        <v/>
      </c>
      <c r="K3952" s="1">
        <f>IF(E3952=0,SUMPRODUCT(($A$2:$A$4734=A3952)*($B$2:$B$4734=B3952)*($D$2:$D$4734=D3952)*($E$2:$E$4734=0)),0)</f>
        <v>5</v>
      </c>
      <c r="L3952" s="1">
        <f>IF(E3952=0,SUMPRODUCT(MIN($K$2:$K$4734+((($A$2:$A$4734&lt;&gt;A3952)+($E$2:$E$4734&lt;&gt;0))&gt;0)*1000000)),"")</f>
        <v>4</v>
      </c>
      <c r="M3952" s="1">
        <f>IF(AND(E3952=0,COUNTIFS($A$2:A3952,A3952,$E$2:E3952,0)=1),L3952,0)</f>
        <v>0</v>
      </c>
    </row>
    <row r="3953" spans="1:13" ht="15" customHeight="1">
      <c r="A3953" s="1">
        <v>199</v>
      </c>
      <c r="B3953" s="1" t="s">
        <v>16</v>
      </c>
      <c r="C3953" s="2" t="s">
        <v>4671</v>
      </c>
      <c r="D3953" s="2" t="s">
        <v>4677</v>
      </c>
      <c r="E3953" s="1">
        <v>0</v>
      </c>
      <c r="F3953" s="2" t="s">
        <v>4681</v>
      </c>
      <c r="H3953" s="1" t="str">
        <f t="shared" si="64"/>
        <v/>
      </c>
      <c r="K3953" s="1">
        <f>IF(E3953=0,SUMPRODUCT(($A$2:$A$4734=A3953)*($B$2:$B$4734=B3953)*($D$2:$D$4734=D3953)*($E$2:$E$4734=0)),0)</f>
        <v>5</v>
      </c>
      <c r="L3953" s="1">
        <f>IF(E3953=0,SUMPRODUCT(MIN($K$2:$K$4734+((($A$2:$A$4734&lt;&gt;A3953)+($E$2:$E$4734&lt;&gt;0))&gt;0)*1000000)),"")</f>
        <v>4</v>
      </c>
      <c r="M3953" s="1">
        <f>IF(AND(E3953=0,COUNTIFS($A$2:A3953,A3953,$E$2:E3953,0)=1),L3953,0)</f>
        <v>0</v>
      </c>
    </row>
    <row r="3954" spans="1:13" ht="15" customHeight="1">
      <c r="A3954" s="1">
        <v>199</v>
      </c>
      <c r="B3954" s="1" t="s">
        <v>16</v>
      </c>
      <c r="C3954" s="2" t="s">
        <v>4671</v>
      </c>
      <c r="D3954" s="2" t="s">
        <v>4677</v>
      </c>
      <c r="E3954" s="1">
        <v>0</v>
      </c>
      <c r="F3954" s="2" t="s">
        <v>4682</v>
      </c>
      <c r="H3954" s="1" t="str">
        <f t="shared" si="64"/>
        <v/>
      </c>
      <c r="K3954" s="1">
        <f>IF(E3954=0,SUMPRODUCT(($A$2:$A$4734=A3954)*($B$2:$B$4734=B3954)*($D$2:$D$4734=D3954)*($E$2:$E$4734=0)),0)</f>
        <v>5</v>
      </c>
      <c r="L3954" s="1">
        <f>IF(E3954=0,SUMPRODUCT(MIN($K$2:$K$4734+((($A$2:$A$4734&lt;&gt;A3954)+($E$2:$E$4734&lt;&gt;0))&gt;0)*1000000)),"")</f>
        <v>4</v>
      </c>
      <c r="M3954" s="1">
        <f>IF(AND(E3954=0,COUNTIFS($A$2:A3954,A3954,$E$2:E3954,0)=1),L3954,0)</f>
        <v>0</v>
      </c>
    </row>
    <row r="3955" spans="1:13" ht="15" customHeight="1">
      <c r="A3955" s="1">
        <v>199</v>
      </c>
      <c r="B3955" s="1" t="s">
        <v>9</v>
      </c>
      <c r="C3955" s="2" t="s">
        <v>4671</v>
      </c>
      <c r="D3955" s="2" t="s">
        <v>4683</v>
      </c>
      <c r="E3955" s="1">
        <v>0</v>
      </c>
      <c r="F3955" s="2" t="s">
        <v>4684</v>
      </c>
      <c r="H3955" s="1" t="str">
        <f t="shared" si="64"/>
        <v/>
      </c>
      <c r="K3955" s="1">
        <f>IF(E3955=0,SUMPRODUCT(($A$2:$A$4734=A3955)*($B$2:$B$4734=B3955)*($D$2:$D$4734=D3955)*($E$2:$E$4734=0)),0)</f>
        <v>4</v>
      </c>
      <c r="L3955" s="1">
        <f>IF(E3955=0,SUMPRODUCT(MIN($K$2:$K$4734+((($A$2:$A$4734&lt;&gt;A3955)+($E$2:$E$4734&lt;&gt;0))&gt;0)*1000000)),"")</f>
        <v>4</v>
      </c>
      <c r="M3955" s="1">
        <f>IF(AND(E3955=0,COUNTIFS($A$2:A3955,A3955,$E$2:E3955,0)=1),L3955,0)</f>
        <v>0</v>
      </c>
    </row>
    <row r="3956" spans="1:13" ht="15" customHeight="1">
      <c r="A3956" s="1">
        <v>199</v>
      </c>
      <c r="B3956" s="1" t="s">
        <v>9</v>
      </c>
      <c r="C3956" s="2" t="s">
        <v>4671</v>
      </c>
      <c r="D3956" s="2" t="s">
        <v>4683</v>
      </c>
      <c r="E3956" s="1">
        <v>0</v>
      </c>
      <c r="F3956" s="2" t="s">
        <v>4685</v>
      </c>
      <c r="H3956" s="1" t="str">
        <f t="shared" si="64"/>
        <v/>
      </c>
      <c r="K3956" s="1">
        <f>IF(E3956=0,SUMPRODUCT(($A$2:$A$4734=A3956)*($B$2:$B$4734=B3956)*($D$2:$D$4734=D3956)*($E$2:$E$4734=0)),0)</f>
        <v>4</v>
      </c>
      <c r="L3956" s="1">
        <f>IF(E3956=0,SUMPRODUCT(MIN($K$2:$K$4734+((($A$2:$A$4734&lt;&gt;A3956)+($E$2:$E$4734&lt;&gt;0))&gt;0)*1000000)),"")</f>
        <v>4</v>
      </c>
      <c r="M3956" s="1">
        <f>IF(AND(E3956=0,COUNTIFS($A$2:A3956,A3956,$E$2:E3956,0)=1),L3956,0)</f>
        <v>0</v>
      </c>
    </row>
    <row r="3957" spans="1:13" ht="15" customHeight="1">
      <c r="A3957" s="1">
        <v>199</v>
      </c>
      <c r="B3957" s="1" t="s">
        <v>9</v>
      </c>
      <c r="C3957" s="2" t="s">
        <v>4671</v>
      </c>
      <c r="D3957" s="2" t="s">
        <v>4683</v>
      </c>
      <c r="E3957" s="1">
        <v>0</v>
      </c>
      <c r="F3957" s="2" t="s">
        <v>4686</v>
      </c>
      <c r="H3957" s="1" t="str">
        <f t="shared" si="64"/>
        <v/>
      </c>
      <c r="K3957" s="1">
        <f>IF(E3957=0,SUMPRODUCT(($A$2:$A$4734=A3957)*($B$2:$B$4734=B3957)*($D$2:$D$4734=D3957)*($E$2:$E$4734=0)),0)</f>
        <v>4</v>
      </c>
      <c r="L3957" s="1">
        <f>IF(E3957=0,SUMPRODUCT(MIN($K$2:$K$4734+((($A$2:$A$4734&lt;&gt;A3957)+($E$2:$E$4734&lt;&gt;0))&gt;0)*1000000)),"")</f>
        <v>4</v>
      </c>
      <c r="M3957" s="1">
        <f>IF(AND(E3957=0,COUNTIFS($A$2:A3957,A3957,$E$2:E3957,0)=1),L3957,0)</f>
        <v>0</v>
      </c>
    </row>
    <row r="3958" spans="1:13" ht="15" customHeight="1">
      <c r="A3958" s="1">
        <v>199</v>
      </c>
      <c r="B3958" s="1" t="s">
        <v>9</v>
      </c>
      <c r="C3958" s="2" t="s">
        <v>4671</v>
      </c>
      <c r="D3958" s="2" t="s">
        <v>4683</v>
      </c>
      <c r="E3958" s="1">
        <v>0</v>
      </c>
      <c r="F3958" s="2" t="s">
        <v>4687</v>
      </c>
      <c r="H3958" s="1" t="str">
        <f t="shared" si="64"/>
        <v/>
      </c>
      <c r="K3958" s="1">
        <f>IF(E3958=0,SUMPRODUCT(($A$2:$A$4734=A3958)*($B$2:$B$4734=B3958)*($D$2:$D$4734=D3958)*($E$2:$E$4734=0)),0)</f>
        <v>4</v>
      </c>
      <c r="L3958" s="1">
        <f>IF(E3958=0,SUMPRODUCT(MIN($K$2:$K$4734+((($A$2:$A$4734&lt;&gt;A3958)+($E$2:$E$4734&lt;&gt;0))&gt;0)*1000000)),"")</f>
        <v>4</v>
      </c>
      <c r="M3958" s="1">
        <f>IF(AND(E3958=0,COUNTIFS($A$2:A3958,A3958,$E$2:E3958,0)=1),L3958,0)</f>
        <v>0</v>
      </c>
    </row>
    <row r="3959" spans="1:13" ht="15" customHeight="1">
      <c r="A3959" s="1">
        <v>199</v>
      </c>
      <c r="B3959" s="1" t="s">
        <v>9</v>
      </c>
      <c r="C3959" s="2" t="s">
        <v>4671</v>
      </c>
      <c r="D3959" s="2" t="s">
        <v>696</v>
      </c>
      <c r="E3959" s="1">
        <v>0</v>
      </c>
      <c r="F3959" s="2" t="s">
        <v>1908</v>
      </c>
      <c r="H3959" s="1" t="str">
        <f t="shared" si="64"/>
        <v/>
      </c>
      <c r="K3959" s="1">
        <f>IF(E3959=0,SUMPRODUCT(($A$2:$A$4734=A3959)*($B$2:$B$4734=B3959)*($D$2:$D$4734=D3959)*($E$2:$E$4734=0)),0)</f>
        <v>4</v>
      </c>
      <c r="L3959" s="1">
        <f>IF(E3959=0,SUMPRODUCT(MIN($K$2:$K$4734+((($A$2:$A$4734&lt;&gt;A3959)+($E$2:$E$4734&lt;&gt;0))&gt;0)*1000000)),"")</f>
        <v>4</v>
      </c>
      <c r="M3959" s="1">
        <f>IF(AND(E3959=0,COUNTIFS($A$2:A3959,A3959,$E$2:E3959,0)=1),L3959,0)</f>
        <v>0</v>
      </c>
    </row>
    <row r="3960" spans="1:13" ht="15" customHeight="1">
      <c r="A3960" s="1">
        <v>199</v>
      </c>
      <c r="B3960" s="1" t="s">
        <v>9</v>
      </c>
      <c r="C3960" s="2" t="s">
        <v>4671</v>
      </c>
      <c r="D3960" s="2" t="s">
        <v>696</v>
      </c>
      <c r="E3960" s="1">
        <v>0</v>
      </c>
      <c r="F3960" s="2" t="s">
        <v>4688</v>
      </c>
      <c r="H3960" s="1" t="str">
        <f t="shared" si="64"/>
        <v/>
      </c>
      <c r="K3960" s="1">
        <f>IF(E3960=0,SUMPRODUCT(($A$2:$A$4734=A3960)*($B$2:$B$4734=B3960)*($D$2:$D$4734=D3960)*($E$2:$E$4734=0)),0)</f>
        <v>4</v>
      </c>
      <c r="L3960" s="1">
        <f>IF(E3960=0,SUMPRODUCT(MIN($K$2:$K$4734+((($A$2:$A$4734&lt;&gt;A3960)+($E$2:$E$4734&lt;&gt;0))&gt;0)*1000000)),"")</f>
        <v>4</v>
      </c>
      <c r="M3960" s="1">
        <f>IF(AND(E3960=0,COUNTIFS($A$2:A3960,A3960,$E$2:E3960,0)=1),L3960,0)</f>
        <v>0</v>
      </c>
    </row>
    <row r="3961" spans="1:13" ht="15" customHeight="1">
      <c r="A3961" s="1">
        <v>199</v>
      </c>
      <c r="B3961" s="1" t="s">
        <v>9</v>
      </c>
      <c r="C3961" s="2" t="s">
        <v>4671</v>
      </c>
      <c r="D3961" s="2" t="s">
        <v>696</v>
      </c>
      <c r="E3961" s="1">
        <v>0</v>
      </c>
      <c r="F3961" s="2" t="s">
        <v>933</v>
      </c>
      <c r="H3961" s="1" t="str">
        <f t="shared" si="64"/>
        <v/>
      </c>
      <c r="K3961" s="1">
        <f>IF(E3961=0,SUMPRODUCT(($A$2:$A$4734=A3961)*($B$2:$B$4734=B3961)*($D$2:$D$4734=D3961)*($E$2:$E$4734=0)),0)</f>
        <v>4</v>
      </c>
      <c r="L3961" s="1">
        <f>IF(E3961=0,SUMPRODUCT(MIN($K$2:$K$4734+((($A$2:$A$4734&lt;&gt;A3961)+($E$2:$E$4734&lt;&gt;0))&gt;0)*1000000)),"")</f>
        <v>4</v>
      </c>
      <c r="M3961" s="1">
        <f>IF(AND(E3961=0,COUNTIFS($A$2:A3961,A3961,$E$2:E3961,0)=1),L3961,0)</f>
        <v>0</v>
      </c>
    </row>
    <row r="3962" spans="1:13" ht="15" customHeight="1">
      <c r="A3962" s="1">
        <v>199</v>
      </c>
      <c r="B3962" s="1" t="s">
        <v>9</v>
      </c>
      <c r="C3962" s="2" t="s">
        <v>4671</v>
      </c>
      <c r="D3962" s="2" t="s">
        <v>696</v>
      </c>
      <c r="E3962" s="1">
        <v>0</v>
      </c>
      <c r="F3962" s="2" t="s">
        <v>931</v>
      </c>
      <c r="H3962" s="1" t="str">
        <f t="shared" si="64"/>
        <v/>
      </c>
      <c r="K3962" s="1">
        <f>IF(E3962=0,SUMPRODUCT(($A$2:$A$4734=A3962)*($B$2:$B$4734=B3962)*($D$2:$D$4734=D3962)*($E$2:$E$4734=0)),0)</f>
        <v>4</v>
      </c>
      <c r="L3962" s="1">
        <f>IF(E3962=0,SUMPRODUCT(MIN($K$2:$K$4734+((($A$2:$A$4734&lt;&gt;A3962)+($E$2:$E$4734&lt;&gt;0))&gt;0)*1000000)),"")</f>
        <v>4</v>
      </c>
      <c r="M3962" s="1">
        <f>IF(AND(E3962=0,COUNTIFS($A$2:A3962,A3962,$E$2:E3962,0)=1),L3962,0)</f>
        <v>0</v>
      </c>
    </row>
    <row r="3963" spans="1:13" ht="15" customHeight="1">
      <c r="A3963" s="1">
        <v>200</v>
      </c>
      <c r="B3963" s="1" t="s">
        <v>9</v>
      </c>
      <c r="C3963" s="2" t="s">
        <v>4689</v>
      </c>
      <c r="D3963" s="2" t="s">
        <v>4690</v>
      </c>
      <c r="E3963" s="1">
        <v>0</v>
      </c>
      <c r="F3963" s="2" t="s">
        <v>3407</v>
      </c>
      <c r="H3963" s="1" t="str">
        <f t="shared" si="64"/>
        <v/>
      </c>
      <c r="K3963" s="1">
        <f>IF(E3963=0,SUMPRODUCT(($A$2:$A$4734=A3963)*($B$2:$B$4734=B3963)*($D$2:$D$4734=D3963)*($E$2:$E$4734=0)),0)</f>
        <v>3</v>
      </c>
      <c r="L3963" s="1">
        <f>IF(E3963=0,SUMPRODUCT(MIN($K$2:$K$4734+((($A$2:$A$4734&lt;&gt;A3963)+($E$2:$E$4734&lt;&gt;0))&gt;0)*1000000)),"")</f>
        <v>3</v>
      </c>
      <c r="M3963" s="1">
        <f>IF(AND(E3963=0,COUNTIFS($A$2:A3963,A3963,$E$2:E3963,0)=1),L3963,0)</f>
        <v>3</v>
      </c>
    </row>
    <row r="3964" spans="1:13" ht="15" customHeight="1">
      <c r="A3964" s="1">
        <v>200</v>
      </c>
      <c r="B3964" s="1" t="s">
        <v>9</v>
      </c>
      <c r="C3964" s="2" t="s">
        <v>4689</v>
      </c>
      <c r="D3964" s="2" t="s">
        <v>4690</v>
      </c>
      <c r="E3964" s="1">
        <v>0</v>
      </c>
      <c r="F3964" s="2" t="s">
        <v>4691</v>
      </c>
      <c r="H3964" s="1" t="str">
        <f t="shared" si="64"/>
        <v/>
      </c>
      <c r="K3964" s="1">
        <f>IF(E3964=0,SUMPRODUCT(($A$2:$A$4734=A3964)*($B$2:$B$4734=B3964)*($D$2:$D$4734=D3964)*($E$2:$E$4734=0)),0)</f>
        <v>3</v>
      </c>
      <c r="L3964" s="1">
        <f>IF(E3964=0,SUMPRODUCT(MIN($K$2:$K$4734+((($A$2:$A$4734&lt;&gt;A3964)+($E$2:$E$4734&lt;&gt;0))&gt;0)*1000000)),"")</f>
        <v>3</v>
      </c>
      <c r="M3964" s="1">
        <f>IF(AND(E3964=0,COUNTIFS($A$2:A3964,A3964,$E$2:E3964,0)=1),L3964,0)</f>
        <v>0</v>
      </c>
    </row>
    <row r="3965" spans="1:13" ht="15" customHeight="1">
      <c r="A3965" s="1">
        <v>200</v>
      </c>
      <c r="B3965" s="1" t="s">
        <v>9</v>
      </c>
      <c r="C3965" s="2" t="s">
        <v>4689</v>
      </c>
      <c r="D3965" s="2" t="s">
        <v>4690</v>
      </c>
      <c r="E3965" s="1">
        <v>0</v>
      </c>
      <c r="F3965" s="2" t="s">
        <v>4692</v>
      </c>
      <c r="H3965" s="1" t="str">
        <f t="shared" si="64"/>
        <v/>
      </c>
      <c r="K3965" s="1">
        <f>IF(E3965=0,SUMPRODUCT(($A$2:$A$4734=A3965)*($B$2:$B$4734=B3965)*($D$2:$D$4734=D3965)*($E$2:$E$4734=0)),0)</f>
        <v>3</v>
      </c>
      <c r="L3965" s="1">
        <f>IF(E3965=0,SUMPRODUCT(MIN($K$2:$K$4734+((($A$2:$A$4734&lt;&gt;A3965)+($E$2:$E$4734&lt;&gt;0))&gt;0)*1000000)),"")</f>
        <v>3</v>
      </c>
      <c r="M3965" s="1">
        <f>IF(AND(E3965=0,COUNTIFS($A$2:A3965,A3965,$E$2:E3965,0)=1),L3965,0)</f>
        <v>0</v>
      </c>
    </row>
    <row r="3966" spans="1:13" ht="15" customHeight="1">
      <c r="A3966" s="1">
        <v>201</v>
      </c>
      <c r="B3966" s="1" t="s">
        <v>9</v>
      </c>
      <c r="C3966" s="2" t="s">
        <v>4693</v>
      </c>
      <c r="D3966" s="2" t="s">
        <v>3174</v>
      </c>
      <c r="E3966" s="1">
        <v>0</v>
      </c>
      <c r="F3966" s="2" t="s">
        <v>4694</v>
      </c>
      <c r="H3966" s="1" t="str">
        <f t="shared" si="64"/>
        <v/>
      </c>
      <c r="K3966" s="1">
        <f>IF(E3966=0,SUMPRODUCT(($A$2:$A$4734=A3966)*($B$2:$B$4734=B3966)*($D$2:$D$4734=D3966)*($E$2:$E$4734=0)),0)</f>
        <v>3</v>
      </c>
      <c r="L3966" s="1">
        <f>IF(E3966=0,SUMPRODUCT(MIN($K$2:$K$4734+((($A$2:$A$4734&lt;&gt;A3966)+($E$2:$E$4734&lt;&gt;0))&gt;0)*1000000)),"")</f>
        <v>3</v>
      </c>
      <c r="M3966" s="1">
        <f>IF(AND(E3966=0,COUNTIFS($A$2:A3966,A3966,$E$2:E3966,0)=1),L3966,0)</f>
        <v>3</v>
      </c>
    </row>
    <row r="3967" spans="1:13" ht="15" customHeight="1">
      <c r="A3967" s="1">
        <v>201</v>
      </c>
      <c r="B3967" s="1" t="s">
        <v>9</v>
      </c>
      <c r="C3967" s="2" t="s">
        <v>4693</v>
      </c>
      <c r="D3967" s="2" t="s">
        <v>3174</v>
      </c>
      <c r="E3967" s="1">
        <v>0</v>
      </c>
      <c r="F3967" s="2" t="s">
        <v>4463</v>
      </c>
      <c r="H3967" s="1" t="str">
        <f t="shared" si="64"/>
        <v/>
      </c>
      <c r="K3967" s="1">
        <f>IF(E3967=0,SUMPRODUCT(($A$2:$A$4734=A3967)*($B$2:$B$4734=B3967)*($D$2:$D$4734=D3967)*($E$2:$E$4734=0)),0)</f>
        <v>3</v>
      </c>
      <c r="L3967" s="1">
        <f>IF(E3967=0,SUMPRODUCT(MIN($K$2:$K$4734+((($A$2:$A$4734&lt;&gt;A3967)+($E$2:$E$4734&lt;&gt;0))&gt;0)*1000000)),"")</f>
        <v>3</v>
      </c>
      <c r="M3967" s="1">
        <f>IF(AND(E3967=0,COUNTIFS($A$2:A3967,A3967,$E$2:E3967,0)=1),L3967,0)</f>
        <v>0</v>
      </c>
    </row>
    <row r="3968" spans="1:13" ht="15" customHeight="1">
      <c r="A3968" s="1">
        <v>201</v>
      </c>
      <c r="B3968" s="1" t="s">
        <v>9</v>
      </c>
      <c r="C3968" s="2" t="s">
        <v>4693</v>
      </c>
      <c r="D3968" s="2" t="s">
        <v>3174</v>
      </c>
      <c r="E3968" s="1">
        <v>0</v>
      </c>
      <c r="F3968" s="2" t="s">
        <v>4695</v>
      </c>
      <c r="H3968" s="1" t="str">
        <f t="shared" si="64"/>
        <v/>
      </c>
      <c r="K3968" s="1">
        <f>IF(E3968=0,SUMPRODUCT(($A$2:$A$4734=A3968)*($B$2:$B$4734=B3968)*($D$2:$D$4734=D3968)*($E$2:$E$4734=0)),0)</f>
        <v>3</v>
      </c>
      <c r="L3968" s="1">
        <f>IF(E3968=0,SUMPRODUCT(MIN($K$2:$K$4734+((($A$2:$A$4734&lt;&gt;A3968)+($E$2:$E$4734&lt;&gt;0))&gt;0)*1000000)),"")</f>
        <v>3</v>
      </c>
      <c r="M3968" s="1">
        <f>IF(AND(E3968=0,COUNTIFS($A$2:A3968,A3968,$E$2:E3968,0)=1),L3968,0)</f>
        <v>0</v>
      </c>
    </row>
    <row r="3969" spans="1:13" ht="15" customHeight="1">
      <c r="A3969" s="1">
        <v>202</v>
      </c>
      <c r="B3969" s="1" t="s">
        <v>9</v>
      </c>
      <c r="C3969" s="2" t="s">
        <v>4696</v>
      </c>
      <c r="D3969" s="2" t="s">
        <v>4697</v>
      </c>
      <c r="E3969" s="1">
        <v>0</v>
      </c>
      <c r="F3969" s="2" t="s">
        <v>4698</v>
      </c>
      <c r="H3969" s="1" t="str">
        <f t="shared" si="64"/>
        <v/>
      </c>
      <c r="K3969" s="1">
        <f>IF(E3969=0,SUMPRODUCT(($A$2:$A$4734=A3969)*($B$2:$B$4734=B3969)*($D$2:$D$4734=D3969)*($E$2:$E$4734=0)),0)</f>
        <v>5</v>
      </c>
      <c r="L3969" s="1">
        <f>IF(E3969=0,SUMPRODUCT(MIN($K$2:$K$4734+((($A$2:$A$4734&lt;&gt;A3969)+($E$2:$E$4734&lt;&gt;0))&gt;0)*1000000)),"")</f>
        <v>3</v>
      </c>
      <c r="M3969" s="1">
        <f>IF(AND(E3969=0,COUNTIFS($A$2:A3969,A3969,$E$2:E3969,0)=1),L3969,0)</f>
        <v>3</v>
      </c>
    </row>
    <row r="3970" spans="1:13" ht="15" customHeight="1">
      <c r="A3970" s="1">
        <v>202</v>
      </c>
      <c r="B3970" s="1" t="s">
        <v>9</v>
      </c>
      <c r="C3970" s="2" t="s">
        <v>4696</v>
      </c>
      <c r="D3970" s="2" t="s">
        <v>4697</v>
      </c>
      <c r="E3970" s="1">
        <v>0</v>
      </c>
      <c r="F3970" s="2" t="s">
        <v>4699</v>
      </c>
      <c r="H3970" s="1" t="str">
        <f t="shared" si="64"/>
        <v/>
      </c>
      <c r="K3970" s="1">
        <f>IF(E3970=0,SUMPRODUCT(($A$2:$A$4734=A3970)*($B$2:$B$4734=B3970)*($D$2:$D$4734=D3970)*($E$2:$E$4734=0)),0)</f>
        <v>5</v>
      </c>
      <c r="L3970" s="1">
        <f>IF(E3970=0,SUMPRODUCT(MIN($K$2:$K$4734+((($A$2:$A$4734&lt;&gt;A3970)+($E$2:$E$4734&lt;&gt;0))&gt;0)*1000000)),"")</f>
        <v>3</v>
      </c>
      <c r="M3970" s="1">
        <f>IF(AND(E3970=0,COUNTIFS($A$2:A3970,A3970,$E$2:E3970,0)=1),L3970,0)</f>
        <v>0</v>
      </c>
    </row>
    <row r="3971" spans="1:13" ht="15" customHeight="1">
      <c r="A3971" s="1">
        <v>202</v>
      </c>
      <c r="B3971" s="1" t="s">
        <v>9</v>
      </c>
      <c r="C3971" s="2" t="s">
        <v>4696</v>
      </c>
      <c r="D3971" s="2" t="s">
        <v>4697</v>
      </c>
      <c r="E3971" s="1">
        <v>0</v>
      </c>
      <c r="F3971" s="2" t="s">
        <v>4700</v>
      </c>
      <c r="H3971" s="1" t="str">
        <f t="shared" si="64"/>
        <v/>
      </c>
      <c r="K3971" s="1">
        <f>IF(E3971=0,SUMPRODUCT(($A$2:$A$4734=A3971)*($B$2:$B$4734=B3971)*($D$2:$D$4734=D3971)*($E$2:$E$4734=0)),0)</f>
        <v>5</v>
      </c>
      <c r="L3971" s="1">
        <f>IF(E3971=0,SUMPRODUCT(MIN($K$2:$K$4734+((($A$2:$A$4734&lt;&gt;A3971)+($E$2:$E$4734&lt;&gt;0))&gt;0)*1000000)),"")</f>
        <v>3</v>
      </c>
      <c r="M3971" s="1">
        <f>IF(AND(E3971=0,COUNTIFS($A$2:A3971,A3971,$E$2:E3971,0)=1),L3971,0)</f>
        <v>0</v>
      </c>
    </row>
    <row r="3972" spans="1:13" ht="15" customHeight="1">
      <c r="A3972" s="1">
        <v>202</v>
      </c>
      <c r="B3972" s="1" t="s">
        <v>9</v>
      </c>
      <c r="C3972" s="2" t="s">
        <v>4696</v>
      </c>
      <c r="D3972" s="2" t="s">
        <v>4697</v>
      </c>
      <c r="E3972" s="1">
        <v>0</v>
      </c>
      <c r="F3972" s="2" t="s">
        <v>4701</v>
      </c>
      <c r="H3972" s="1" t="str">
        <f t="shared" si="64"/>
        <v/>
      </c>
      <c r="K3972" s="1">
        <f>IF(E3972=0,SUMPRODUCT(($A$2:$A$4734=A3972)*($B$2:$B$4734=B3972)*($D$2:$D$4734=D3972)*($E$2:$E$4734=0)),0)</f>
        <v>5</v>
      </c>
      <c r="L3972" s="1">
        <f>IF(E3972=0,SUMPRODUCT(MIN($K$2:$K$4734+((($A$2:$A$4734&lt;&gt;A3972)+($E$2:$E$4734&lt;&gt;0))&gt;0)*1000000)),"")</f>
        <v>3</v>
      </c>
      <c r="M3972" s="1">
        <f>IF(AND(E3972=0,COUNTIFS($A$2:A3972,A3972,$E$2:E3972,0)=1),L3972,0)</f>
        <v>0</v>
      </c>
    </row>
    <row r="3973" spans="1:13" ht="15" customHeight="1">
      <c r="A3973" s="1">
        <v>202</v>
      </c>
      <c r="B3973" s="1" t="s">
        <v>9</v>
      </c>
      <c r="C3973" s="2" t="s">
        <v>4696</v>
      </c>
      <c r="D3973" s="2" t="s">
        <v>4697</v>
      </c>
      <c r="E3973" s="1">
        <v>0</v>
      </c>
      <c r="F3973" s="2" t="s">
        <v>4702</v>
      </c>
      <c r="H3973" s="1" t="str">
        <f t="shared" si="64"/>
        <v/>
      </c>
      <c r="K3973" s="1">
        <f>IF(E3973=0,SUMPRODUCT(($A$2:$A$4734=A3973)*($B$2:$B$4734=B3973)*($D$2:$D$4734=D3973)*($E$2:$E$4734=0)),0)</f>
        <v>5</v>
      </c>
      <c r="L3973" s="1">
        <f>IF(E3973=0,SUMPRODUCT(MIN($K$2:$K$4734+((($A$2:$A$4734&lt;&gt;A3973)+($E$2:$E$4734&lt;&gt;0))&gt;0)*1000000)),"")</f>
        <v>3</v>
      </c>
      <c r="M3973" s="1">
        <f>IF(AND(E3973=0,COUNTIFS($A$2:A3973,A3973,$E$2:E3973,0)=1),L3973,0)</f>
        <v>0</v>
      </c>
    </row>
    <row r="3974" spans="1:13" ht="15" customHeight="1">
      <c r="A3974" s="1">
        <v>202</v>
      </c>
      <c r="B3974" s="1" t="s">
        <v>16</v>
      </c>
      <c r="C3974" s="2" t="s">
        <v>4696</v>
      </c>
      <c r="D3974" s="2" t="s">
        <v>4703</v>
      </c>
      <c r="E3974" s="1">
        <v>0</v>
      </c>
      <c r="F3974" s="2" t="s">
        <v>4704</v>
      </c>
      <c r="H3974" s="1" t="str">
        <f t="shared" si="64"/>
        <v/>
      </c>
      <c r="K3974" s="1">
        <f>IF(E3974=0,SUMPRODUCT(($A$2:$A$4734=A3974)*($B$2:$B$4734=B3974)*($D$2:$D$4734=D3974)*($E$2:$E$4734=0)),0)</f>
        <v>3</v>
      </c>
      <c r="L3974" s="1">
        <f>IF(E3974=0,SUMPRODUCT(MIN($K$2:$K$4734+((($A$2:$A$4734&lt;&gt;A3974)+($E$2:$E$4734&lt;&gt;0))&gt;0)*1000000)),"")</f>
        <v>3</v>
      </c>
      <c r="M3974" s="1">
        <f>IF(AND(E3974=0,COUNTIFS($A$2:A3974,A3974,$E$2:E3974,0)=1),L3974,0)</f>
        <v>0</v>
      </c>
    </row>
    <row r="3975" spans="1:13" ht="15" customHeight="1">
      <c r="A3975" s="1">
        <v>202</v>
      </c>
      <c r="B3975" s="1" t="s">
        <v>16</v>
      </c>
      <c r="C3975" s="2" t="s">
        <v>4696</v>
      </c>
      <c r="D3975" s="2" t="s">
        <v>4703</v>
      </c>
      <c r="E3975" s="1">
        <v>0</v>
      </c>
      <c r="F3975" s="2" t="s">
        <v>4705</v>
      </c>
      <c r="H3975" s="1" t="str">
        <f t="shared" si="64"/>
        <v/>
      </c>
      <c r="K3975" s="1">
        <f>IF(E3975=0,SUMPRODUCT(($A$2:$A$4734=A3975)*($B$2:$B$4734=B3975)*($D$2:$D$4734=D3975)*($E$2:$E$4734=0)),0)</f>
        <v>3</v>
      </c>
      <c r="L3975" s="1">
        <f>IF(E3975=0,SUMPRODUCT(MIN($K$2:$K$4734+((($A$2:$A$4734&lt;&gt;A3975)+($E$2:$E$4734&lt;&gt;0))&gt;0)*1000000)),"")</f>
        <v>3</v>
      </c>
      <c r="M3975" s="1">
        <f>IF(AND(E3975=0,COUNTIFS($A$2:A3975,A3975,$E$2:E3975,0)=1),L3975,0)</f>
        <v>0</v>
      </c>
    </row>
    <row r="3976" spans="1:13" ht="15" customHeight="1">
      <c r="A3976" s="1">
        <v>202</v>
      </c>
      <c r="B3976" s="1" t="s">
        <v>16</v>
      </c>
      <c r="C3976" s="2" t="s">
        <v>4696</v>
      </c>
      <c r="D3976" s="2" t="s">
        <v>4703</v>
      </c>
      <c r="E3976" s="1">
        <v>0</v>
      </c>
      <c r="F3976" s="2" t="s">
        <v>4706</v>
      </c>
      <c r="H3976" s="1" t="str">
        <f t="shared" si="64"/>
        <v/>
      </c>
      <c r="K3976" s="1">
        <f>IF(E3976=0,SUMPRODUCT(($A$2:$A$4734=A3976)*($B$2:$B$4734=B3976)*($D$2:$D$4734=D3976)*($E$2:$E$4734=0)),0)</f>
        <v>3</v>
      </c>
      <c r="L3976" s="1">
        <f>IF(E3976=0,SUMPRODUCT(MIN($K$2:$K$4734+((($A$2:$A$4734&lt;&gt;A3976)+($E$2:$E$4734&lt;&gt;0))&gt;0)*1000000)),"")</f>
        <v>3</v>
      </c>
      <c r="M3976" s="1">
        <f>IF(AND(E3976=0,COUNTIFS($A$2:A3976,A3976,$E$2:E3976,0)=1),L3976,0)</f>
        <v>0</v>
      </c>
    </row>
    <row r="3977" spans="1:13" ht="15" customHeight="1">
      <c r="A3977" s="1">
        <v>202</v>
      </c>
      <c r="B3977" s="1" t="s">
        <v>9</v>
      </c>
      <c r="C3977" s="2" t="s">
        <v>4696</v>
      </c>
      <c r="D3977" s="2" t="s">
        <v>4707</v>
      </c>
      <c r="E3977" s="1">
        <v>0</v>
      </c>
      <c r="F3977" s="2" t="s">
        <v>3575</v>
      </c>
      <c r="H3977" s="1" t="str">
        <f t="shared" si="64"/>
        <v/>
      </c>
      <c r="K3977" s="1">
        <f>IF(E3977=0,SUMPRODUCT(($A$2:$A$4734=A3977)*($B$2:$B$4734=B3977)*($D$2:$D$4734=D3977)*($E$2:$E$4734=0)),0)</f>
        <v>6</v>
      </c>
      <c r="L3977" s="1">
        <f>IF(E3977=0,SUMPRODUCT(MIN($K$2:$K$4734+((($A$2:$A$4734&lt;&gt;A3977)+($E$2:$E$4734&lt;&gt;0))&gt;0)*1000000)),"")</f>
        <v>3</v>
      </c>
      <c r="M3977" s="1">
        <f>IF(AND(E3977=0,COUNTIFS($A$2:A3977,A3977,$E$2:E3977,0)=1),L3977,0)</f>
        <v>0</v>
      </c>
    </row>
    <row r="3978" spans="1:13" ht="15" customHeight="1">
      <c r="A3978" s="1">
        <v>202</v>
      </c>
      <c r="B3978" s="1" t="s">
        <v>9</v>
      </c>
      <c r="C3978" s="2" t="s">
        <v>4696</v>
      </c>
      <c r="D3978" s="2" t="s">
        <v>4707</v>
      </c>
      <c r="E3978" s="1">
        <v>0</v>
      </c>
      <c r="F3978" s="2" t="s">
        <v>4708</v>
      </c>
      <c r="H3978" s="1" t="str">
        <f t="shared" si="64"/>
        <v/>
      </c>
      <c r="K3978" s="1">
        <f>IF(E3978=0,SUMPRODUCT(($A$2:$A$4734=A3978)*($B$2:$B$4734=B3978)*($D$2:$D$4734=D3978)*($E$2:$E$4734=0)),0)</f>
        <v>6</v>
      </c>
      <c r="L3978" s="1">
        <f>IF(E3978=0,SUMPRODUCT(MIN($K$2:$K$4734+((($A$2:$A$4734&lt;&gt;A3978)+($E$2:$E$4734&lt;&gt;0))&gt;0)*1000000)),"")</f>
        <v>3</v>
      </c>
      <c r="M3978" s="1">
        <f>IF(AND(E3978=0,COUNTIFS($A$2:A3978,A3978,$E$2:E3978,0)=1),L3978,0)</f>
        <v>0</v>
      </c>
    </row>
    <row r="3979" spans="1:13" ht="15" customHeight="1">
      <c r="A3979" s="1">
        <v>202</v>
      </c>
      <c r="B3979" s="1" t="s">
        <v>9</v>
      </c>
      <c r="C3979" s="2" t="s">
        <v>4696</v>
      </c>
      <c r="D3979" s="2" t="s">
        <v>4707</v>
      </c>
      <c r="E3979" s="1">
        <v>0</v>
      </c>
      <c r="F3979" s="2" t="s">
        <v>4709</v>
      </c>
      <c r="H3979" s="1" t="str">
        <f t="shared" si="64"/>
        <v/>
      </c>
      <c r="K3979" s="1">
        <f>IF(E3979=0,SUMPRODUCT(($A$2:$A$4734=A3979)*($B$2:$B$4734=B3979)*($D$2:$D$4734=D3979)*($E$2:$E$4734=0)),0)</f>
        <v>6</v>
      </c>
      <c r="L3979" s="1">
        <f>IF(E3979=0,SUMPRODUCT(MIN($K$2:$K$4734+((($A$2:$A$4734&lt;&gt;A3979)+($E$2:$E$4734&lt;&gt;0))&gt;0)*1000000)),"")</f>
        <v>3</v>
      </c>
      <c r="M3979" s="1">
        <f>IF(AND(E3979=0,COUNTIFS($A$2:A3979,A3979,$E$2:E3979,0)=1),L3979,0)</f>
        <v>0</v>
      </c>
    </row>
    <row r="3980" spans="1:13" ht="15" customHeight="1">
      <c r="A3980" s="1">
        <v>202</v>
      </c>
      <c r="B3980" s="1" t="s">
        <v>9</v>
      </c>
      <c r="C3980" s="2" t="s">
        <v>4696</v>
      </c>
      <c r="D3980" s="2" t="s">
        <v>4707</v>
      </c>
      <c r="E3980" s="1">
        <v>0</v>
      </c>
      <c r="F3980" s="2" t="s">
        <v>4710</v>
      </c>
      <c r="H3980" s="1" t="str">
        <f t="shared" si="64"/>
        <v/>
      </c>
      <c r="K3980" s="1">
        <f>IF(E3980=0,SUMPRODUCT(($A$2:$A$4734=A3980)*($B$2:$B$4734=B3980)*($D$2:$D$4734=D3980)*($E$2:$E$4734=0)),0)</f>
        <v>6</v>
      </c>
      <c r="L3980" s="1">
        <f>IF(E3980=0,SUMPRODUCT(MIN($K$2:$K$4734+((($A$2:$A$4734&lt;&gt;A3980)+($E$2:$E$4734&lt;&gt;0))&gt;0)*1000000)),"")</f>
        <v>3</v>
      </c>
      <c r="M3980" s="1">
        <f>IF(AND(E3980=0,COUNTIFS($A$2:A3980,A3980,$E$2:E3980,0)=1),L3980,0)</f>
        <v>0</v>
      </c>
    </row>
    <row r="3981" spans="1:13" ht="15" customHeight="1">
      <c r="A3981" s="1">
        <v>202</v>
      </c>
      <c r="B3981" s="1" t="s">
        <v>9</v>
      </c>
      <c r="C3981" s="2" t="s">
        <v>4696</v>
      </c>
      <c r="D3981" s="2" t="s">
        <v>4707</v>
      </c>
      <c r="E3981" s="1">
        <v>0</v>
      </c>
      <c r="F3981" s="2" t="s">
        <v>4711</v>
      </c>
      <c r="H3981" s="1" t="str">
        <f t="shared" si="64"/>
        <v/>
      </c>
      <c r="K3981" s="1">
        <f>IF(E3981=0,SUMPRODUCT(($A$2:$A$4734=A3981)*($B$2:$B$4734=B3981)*($D$2:$D$4734=D3981)*($E$2:$E$4734=0)),0)</f>
        <v>6</v>
      </c>
      <c r="L3981" s="1">
        <f>IF(E3981=0,SUMPRODUCT(MIN($K$2:$K$4734+((($A$2:$A$4734&lt;&gt;A3981)+($E$2:$E$4734&lt;&gt;0))&gt;0)*1000000)),"")</f>
        <v>3</v>
      </c>
      <c r="M3981" s="1">
        <f>IF(AND(E3981=0,COUNTIFS($A$2:A3981,A3981,$E$2:E3981,0)=1),L3981,0)</f>
        <v>0</v>
      </c>
    </row>
    <row r="3982" spans="1:13" ht="15" customHeight="1">
      <c r="A3982" s="1">
        <v>202</v>
      </c>
      <c r="B3982" s="1" t="s">
        <v>9</v>
      </c>
      <c r="C3982" s="2" t="s">
        <v>4696</v>
      </c>
      <c r="D3982" s="2" t="s">
        <v>4707</v>
      </c>
      <c r="E3982" s="1">
        <v>0</v>
      </c>
      <c r="F3982" s="2" t="s">
        <v>4712</v>
      </c>
      <c r="H3982" s="1" t="str">
        <f t="shared" si="64"/>
        <v/>
      </c>
      <c r="K3982" s="1">
        <f>IF(E3982=0,SUMPRODUCT(($A$2:$A$4734=A3982)*($B$2:$B$4734=B3982)*($D$2:$D$4734=D3982)*($E$2:$E$4734=0)),0)</f>
        <v>6</v>
      </c>
      <c r="L3982" s="1">
        <f>IF(E3982=0,SUMPRODUCT(MIN($K$2:$K$4734+((($A$2:$A$4734&lt;&gt;A3982)+($E$2:$E$4734&lt;&gt;0))&gt;0)*1000000)),"")</f>
        <v>3</v>
      </c>
      <c r="M3982" s="1">
        <f>IF(AND(E3982=0,COUNTIFS($A$2:A3982,A3982,$E$2:E3982,0)=1),L3982,0)</f>
        <v>0</v>
      </c>
    </row>
    <row r="3983" spans="1:13" ht="15" customHeight="1">
      <c r="A3983" s="1">
        <v>203</v>
      </c>
      <c r="B3983" s="1" t="s">
        <v>9</v>
      </c>
      <c r="C3983" s="2" t="s">
        <v>4713</v>
      </c>
      <c r="D3983" s="2" t="s">
        <v>4714</v>
      </c>
      <c r="E3983" s="1">
        <v>1</v>
      </c>
      <c r="F3983" s="2" t="s">
        <v>4715</v>
      </c>
      <c r="G3983" s="1">
        <v>1</v>
      </c>
      <c r="H3983" s="1" t="str">
        <f t="shared" si="64"/>
        <v>k203_1</v>
      </c>
      <c r="K3983" s="1">
        <f>IF(E3983=0,SUMPRODUCT(($A$2:$A$4734=A3983)*($B$2:$B$4734=B3983)*($D$2:$D$4734=D3983)*($E$2:$E$4734=0)),0)</f>
        <v>0</v>
      </c>
      <c r="L3983" s="1" t="str">
        <f>IF(E3983=0,SUMPRODUCT(MIN($K$2:$K$4734+((($A$2:$A$4734&lt;&gt;A3983)+($E$2:$E$4734&lt;&gt;0))&gt;0)*1000000)),"")</f>
        <v/>
      </c>
      <c r="M3983" s="1">
        <f>IF(AND(E3983=0,COUNTIFS($A$2:A3983,A3983,$E$2:E3983,0)=1),L3983,0)</f>
        <v>0</v>
      </c>
    </row>
    <row r="3984" spans="1:13" ht="15" customHeight="1">
      <c r="A3984" s="1">
        <v>203</v>
      </c>
      <c r="B3984" s="1" t="s">
        <v>9</v>
      </c>
      <c r="C3984" s="2" t="s">
        <v>4713</v>
      </c>
      <c r="D3984" s="2" t="s">
        <v>4714</v>
      </c>
      <c r="E3984" s="1">
        <v>1</v>
      </c>
      <c r="F3984" s="2" t="s">
        <v>4716</v>
      </c>
      <c r="G3984" s="1">
        <v>2</v>
      </c>
      <c r="H3984" s="1" t="str">
        <f t="shared" si="64"/>
        <v>k203_2</v>
      </c>
      <c r="K3984" s="1">
        <f>IF(E3984=0,SUMPRODUCT(($A$2:$A$4734=A3984)*($B$2:$B$4734=B3984)*($D$2:$D$4734=D3984)*($E$2:$E$4734=0)),0)</f>
        <v>0</v>
      </c>
      <c r="L3984" s="1" t="str">
        <f>IF(E3984=0,SUMPRODUCT(MIN($K$2:$K$4734+((($A$2:$A$4734&lt;&gt;A3984)+($E$2:$E$4734&lt;&gt;0))&gt;0)*1000000)),"")</f>
        <v/>
      </c>
      <c r="M3984" s="1">
        <f>IF(AND(E3984=0,COUNTIFS($A$2:A3984,A3984,$E$2:E3984,0)=1),L3984,0)</f>
        <v>0</v>
      </c>
    </row>
    <row r="3985" spans="1:13" ht="15" customHeight="1">
      <c r="A3985" s="1">
        <v>203</v>
      </c>
      <c r="B3985" s="1" t="s">
        <v>9</v>
      </c>
      <c r="C3985" s="2" t="s">
        <v>4713</v>
      </c>
      <c r="D3985" s="2" t="s">
        <v>4714</v>
      </c>
      <c r="E3985" s="1">
        <v>1</v>
      </c>
      <c r="F3985" s="2" t="s">
        <v>4717</v>
      </c>
      <c r="G3985" s="1">
        <v>3</v>
      </c>
      <c r="H3985" s="1" t="str">
        <f t="shared" ref="H3985:H4046" si="65">IF(OR(E3985&lt;&gt;1,G3985=""),"","k"&amp;A3985&amp;"_"&amp;G3985)</f>
        <v>k203_3</v>
      </c>
      <c r="K3985" s="1">
        <f>IF(E3985=0,SUMPRODUCT(($A$2:$A$4734=A3985)*($B$2:$B$4734=B3985)*($D$2:$D$4734=D3985)*($E$2:$E$4734=0)),0)</f>
        <v>0</v>
      </c>
      <c r="L3985" s="1" t="str">
        <f>IF(E3985=0,SUMPRODUCT(MIN($K$2:$K$4734+((($A$2:$A$4734&lt;&gt;A3985)+($E$2:$E$4734&lt;&gt;0))&gt;0)*1000000)),"")</f>
        <v/>
      </c>
      <c r="M3985" s="1">
        <f>IF(AND(E3985=0,COUNTIFS($A$2:A3985,A3985,$E$2:E3985,0)=1),L3985,0)</f>
        <v>0</v>
      </c>
    </row>
    <row r="3986" spans="1:13" ht="15" customHeight="1">
      <c r="A3986" s="1">
        <v>203</v>
      </c>
      <c r="B3986" s="1" t="s">
        <v>9</v>
      </c>
      <c r="C3986" s="2" t="s">
        <v>4713</v>
      </c>
      <c r="D3986" s="2" t="s">
        <v>4714</v>
      </c>
      <c r="E3986" s="1">
        <v>1</v>
      </c>
      <c r="F3986" s="2" t="s">
        <v>4718</v>
      </c>
      <c r="G3986" s="1">
        <v>4</v>
      </c>
      <c r="H3986" s="1" t="str">
        <f t="shared" si="65"/>
        <v>k203_4</v>
      </c>
      <c r="K3986" s="1">
        <f>IF(E3986=0,SUMPRODUCT(($A$2:$A$4734=A3986)*($B$2:$B$4734=B3986)*($D$2:$D$4734=D3986)*($E$2:$E$4734=0)),0)</f>
        <v>0</v>
      </c>
      <c r="L3986" s="1" t="str">
        <f>IF(E3986=0,SUMPRODUCT(MIN($K$2:$K$4734+((($A$2:$A$4734&lt;&gt;A3986)+($E$2:$E$4734&lt;&gt;0))&gt;0)*1000000)),"")</f>
        <v/>
      </c>
      <c r="M3986" s="1">
        <f>IF(AND(E3986=0,COUNTIFS($A$2:A3986,A3986,$E$2:E3986,0)=1),L3986,0)</f>
        <v>0</v>
      </c>
    </row>
    <row r="3987" spans="1:13" ht="15" customHeight="1">
      <c r="A3987" s="1">
        <v>203</v>
      </c>
      <c r="B3987" s="1" t="s">
        <v>9</v>
      </c>
      <c r="C3987" s="2" t="s">
        <v>4713</v>
      </c>
      <c r="D3987" s="2" t="s">
        <v>4714</v>
      </c>
      <c r="E3987" s="1">
        <v>1</v>
      </c>
      <c r="F3987" s="2" t="s">
        <v>4719</v>
      </c>
      <c r="G3987" s="1">
        <v>5</v>
      </c>
      <c r="H3987" s="1" t="str">
        <f t="shared" si="65"/>
        <v>k203_5</v>
      </c>
      <c r="K3987" s="1">
        <f>IF(E3987=0,SUMPRODUCT(($A$2:$A$4734=A3987)*($B$2:$B$4734=B3987)*($D$2:$D$4734=D3987)*($E$2:$E$4734=0)),0)</f>
        <v>0</v>
      </c>
      <c r="L3987" s="1" t="str">
        <f>IF(E3987=0,SUMPRODUCT(MIN($K$2:$K$4734+((($A$2:$A$4734&lt;&gt;A3987)+($E$2:$E$4734&lt;&gt;0))&gt;0)*1000000)),"")</f>
        <v/>
      </c>
      <c r="M3987" s="1">
        <f>IF(AND(E3987=0,COUNTIFS($A$2:A3987,A3987,$E$2:E3987,0)=1),L3987,0)</f>
        <v>0</v>
      </c>
    </row>
    <row r="3988" spans="1:13" ht="15" customHeight="1">
      <c r="A3988" s="1">
        <v>203</v>
      </c>
      <c r="B3988" s="1" t="s">
        <v>9</v>
      </c>
      <c r="C3988" s="2" t="s">
        <v>4713</v>
      </c>
      <c r="D3988" s="2" t="s">
        <v>4714</v>
      </c>
      <c r="E3988" s="1">
        <v>1</v>
      </c>
      <c r="F3988" s="2" t="s">
        <v>4719</v>
      </c>
      <c r="G3988" s="1">
        <v>6</v>
      </c>
      <c r="H3988" s="1" t="str">
        <f t="shared" si="65"/>
        <v>k203_6</v>
      </c>
      <c r="K3988" s="1">
        <f>IF(E3988=0,SUMPRODUCT(($A$2:$A$4734=A3988)*($B$2:$B$4734=B3988)*($D$2:$D$4734=D3988)*($E$2:$E$4734=0)),0)</f>
        <v>0</v>
      </c>
      <c r="L3988" s="1" t="str">
        <f>IF(E3988=0,SUMPRODUCT(MIN($K$2:$K$4734+((($A$2:$A$4734&lt;&gt;A3988)+($E$2:$E$4734&lt;&gt;0))&gt;0)*1000000)),"")</f>
        <v/>
      </c>
      <c r="M3988" s="1">
        <f>IF(AND(E3988=0,COUNTIFS($A$2:A3988,A3988,$E$2:E3988,0)=1),L3988,0)</f>
        <v>0</v>
      </c>
    </row>
    <row r="3989" spans="1:13" ht="15" customHeight="1">
      <c r="A3989" s="1">
        <v>203</v>
      </c>
      <c r="B3989" s="1" t="s">
        <v>167</v>
      </c>
      <c r="C3989" s="2" t="s">
        <v>4713</v>
      </c>
      <c r="D3989" s="1" t="s">
        <v>3435</v>
      </c>
      <c r="E3989" s="1">
        <v>1</v>
      </c>
      <c r="F3989" s="2" t="s">
        <v>4720</v>
      </c>
      <c r="G3989" s="1">
        <v>1</v>
      </c>
      <c r="H3989" s="1" t="str">
        <f t="shared" si="65"/>
        <v>k203_1</v>
      </c>
      <c r="K3989" s="1">
        <f>IF(E3989=0,SUMPRODUCT(($A$2:$A$4734=A3989)*($B$2:$B$4734=B3989)*($D$2:$D$4734=D3989)*($E$2:$E$4734=0)),0)</f>
        <v>0</v>
      </c>
      <c r="L3989" s="1" t="str">
        <f>IF(E3989=0,SUMPRODUCT(MIN($K$2:$K$4734+((($A$2:$A$4734&lt;&gt;A3989)+($E$2:$E$4734&lt;&gt;0))&gt;0)*1000000)),"")</f>
        <v/>
      </c>
      <c r="M3989" s="1">
        <f>IF(AND(E3989=0,COUNTIFS($A$2:A3989,A3989,$E$2:E3989,0)=1),L3989,0)</f>
        <v>0</v>
      </c>
    </row>
    <row r="3990" spans="1:13" ht="15" customHeight="1">
      <c r="A3990" s="1">
        <v>203</v>
      </c>
      <c r="B3990" s="1" t="s">
        <v>167</v>
      </c>
      <c r="C3990" s="2" t="s">
        <v>4713</v>
      </c>
      <c r="D3990" s="1" t="s">
        <v>3435</v>
      </c>
      <c r="E3990" s="1">
        <v>1</v>
      </c>
      <c r="F3990" s="2" t="s">
        <v>4721</v>
      </c>
      <c r="G3990" s="1">
        <v>2</v>
      </c>
      <c r="H3990" s="1" t="str">
        <f t="shared" si="65"/>
        <v>k203_2</v>
      </c>
      <c r="K3990" s="1">
        <f>IF(E3990=0,SUMPRODUCT(($A$2:$A$4734=A3990)*($B$2:$B$4734=B3990)*($D$2:$D$4734=D3990)*($E$2:$E$4734=0)),0)</f>
        <v>0</v>
      </c>
      <c r="L3990" s="1" t="str">
        <f>IF(E3990=0,SUMPRODUCT(MIN($K$2:$K$4734+((($A$2:$A$4734&lt;&gt;A3990)+($E$2:$E$4734&lt;&gt;0))&gt;0)*1000000)),"")</f>
        <v/>
      </c>
      <c r="M3990" s="1">
        <f>IF(AND(E3990=0,COUNTIFS($A$2:A3990,A3990,$E$2:E3990,0)=1),L3990,0)</f>
        <v>0</v>
      </c>
    </row>
    <row r="3991" spans="1:13" ht="15" customHeight="1">
      <c r="A3991" s="1">
        <v>203</v>
      </c>
      <c r="B3991" s="1" t="s">
        <v>167</v>
      </c>
      <c r="C3991" s="2" t="s">
        <v>4713</v>
      </c>
      <c r="D3991" s="1" t="s">
        <v>3435</v>
      </c>
      <c r="E3991" s="1">
        <v>1</v>
      </c>
      <c r="F3991" s="2" t="s">
        <v>4722</v>
      </c>
      <c r="G3991" s="1">
        <v>3</v>
      </c>
      <c r="H3991" s="1" t="str">
        <f t="shared" si="65"/>
        <v>k203_3</v>
      </c>
      <c r="K3991" s="1">
        <f>IF(E3991=0,SUMPRODUCT(($A$2:$A$4734=A3991)*($B$2:$B$4734=B3991)*($D$2:$D$4734=D3991)*($E$2:$E$4734=0)),0)</f>
        <v>0</v>
      </c>
      <c r="L3991" s="1" t="str">
        <f>IF(E3991=0,SUMPRODUCT(MIN($K$2:$K$4734+((($A$2:$A$4734&lt;&gt;A3991)+($E$2:$E$4734&lt;&gt;0))&gt;0)*1000000)),"")</f>
        <v/>
      </c>
      <c r="M3991" s="1">
        <f>IF(AND(E3991=0,COUNTIFS($A$2:A3991,A3991,$E$2:E3991,0)=1),L3991,0)</f>
        <v>0</v>
      </c>
    </row>
    <row r="3992" spans="1:13" ht="15" customHeight="1">
      <c r="A3992" s="1">
        <v>203</v>
      </c>
      <c r="B3992" s="1" t="s">
        <v>167</v>
      </c>
      <c r="C3992" s="2" t="s">
        <v>4713</v>
      </c>
      <c r="D3992" s="1" t="s">
        <v>3435</v>
      </c>
      <c r="E3992" s="1">
        <v>1</v>
      </c>
      <c r="F3992" s="2" t="s">
        <v>4723</v>
      </c>
      <c r="G3992" s="1">
        <v>4</v>
      </c>
      <c r="H3992" s="1" t="str">
        <f t="shared" si="65"/>
        <v>k203_4</v>
      </c>
      <c r="K3992" s="1">
        <f>IF(E3992=0,SUMPRODUCT(($A$2:$A$4734=A3992)*($B$2:$B$4734=B3992)*($D$2:$D$4734=D3992)*($E$2:$E$4734=0)),0)</f>
        <v>0</v>
      </c>
      <c r="L3992" s="1" t="str">
        <f>IF(E3992=0,SUMPRODUCT(MIN($K$2:$K$4734+((($A$2:$A$4734&lt;&gt;A3992)+($E$2:$E$4734&lt;&gt;0))&gt;0)*1000000)),"")</f>
        <v/>
      </c>
      <c r="M3992" s="1">
        <f>IF(AND(E3992=0,COUNTIFS($A$2:A3992,A3992,$E$2:E3992,0)=1),L3992,0)</f>
        <v>0</v>
      </c>
    </row>
    <row r="3993" spans="1:13" ht="15" customHeight="1">
      <c r="A3993" s="1">
        <v>203</v>
      </c>
      <c r="B3993" s="1" t="s">
        <v>167</v>
      </c>
      <c r="C3993" s="2" t="s">
        <v>4713</v>
      </c>
      <c r="D3993" s="1" t="s">
        <v>3435</v>
      </c>
      <c r="E3993" s="1">
        <v>1</v>
      </c>
      <c r="F3993" s="2" t="s">
        <v>4724</v>
      </c>
      <c r="G3993" s="1">
        <v>5</v>
      </c>
      <c r="H3993" s="1" t="str">
        <f t="shared" si="65"/>
        <v>k203_5</v>
      </c>
      <c r="K3993" s="1">
        <f>IF(E3993=0,SUMPRODUCT(($A$2:$A$4734=A3993)*($B$2:$B$4734=B3993)*($D$2:$D$4734=D3993)*($E$2:$E$4734=0)),0)</f>
        <v>0</v>
      </c>
      <c r="L3993" s="1" t="str">
        <f>IF(E3993=0,SUMPRODUCT(MIN($K$2:$K$4734+((($A$2:$A$4734&lt;&gt;A3993)+($E$2:$E$4734&lt;&gt;0))&gt;0)*1000000)),"")</f>
        <v/>
      </c>
      <c r="M3993" s="1">
        <f>IF(AND(E3993=0,COUNTIFS($A$2:A3993,A3993,$E$2:E3993,0)=1),L3993,0)</f>
        <v>0</v>
      </c>
    </row>
    <row r="3994" spans="1:13" ht="15" customHeight="1">
      <c r="A3994" s="1">
        <v>203</v>
      </c>
      <c r="B3994" s="1" t="s">
        <v>167</v>
      </c>
      <c r="C3994" s="2" t="s">
        <v>4713</v>
      </c>
      <c r="D3994" s="1" t="s">
        <v>3435</v>
      </c>
      <c r="E3994" s="1">
        <v>1</v>
      </c>
      <c r="F3994" s="2" t="s">
        <v>4725</v>
      </c>
      <c r="G3994" s="1">
        <v>6</v>
      </c>
      <c r="H3994" s="1" t="str">
        <f t="shared" si="65"/>
        <v>k203_6</v>
      </c>
      <c r="K3994" s="1">
        <f>IF(E3994=0,SUMPRODUCT(($A$2:$A$4734=A3994)*($B$2:$B$4734=B3994)*($D$2:$D$4734=D3994)*($E$2:$E$4734=0)),0)</f>
        <v>0</v>
      </c>
      <c r="L3994" s="1" t="str">
        <f>IF(E3994=0,SUMPRODUCT(MIN($K$2:$K$4734+((($A$2:$A$4734&lt;&gt;A3994)+($E$2:$E$4734&lt;&gt;0))&gt;0)*1000000)),"")</f>
        <v/>
      </c>
      <c r="M3994" s="1">
        <f>IF(AND(E3994=0,COUNTIFS($A$2:A3994,A3994,$E$2:E3994,0)=1),L3994,0)</f>
        <v>0</v>
      </c>
    </row>
    <row r="3995" spans="1:13" ht="15" customHeight="1">
      <c r="A3995" s="1">
        <v>204</v>
      </c>
      <c r="B3995" s="1" t="s">
        <v>16</v>
      </c>
      <c r="C3995" s="2" t="s">
        <v>4726</v>
      </c>
      <c r="D3995" s="2" t="s">
        <v>4727</v>
      </c>
      <c r="E3995" s="1">
        <v>1</v>
      </c>
      <c r="F3995" s="2" t="s">
        <v>4728</v>
      </c>
      <c r="G3995" s="1">
        <v>1</v>
      </c>
      <c r="H3995" s="1" t="str">
        <f t="shared" si="65"/>
        <v>k204_1</v>
      </c>
      <c r="K3995" s="1">
        <f>IF(E3995=0,SUMPRODUCT(($A$2:$A$4734=A3995)*($B$2:$B$4734=B3995)*($D$2:$D$4734=D3995)*($E$2:$E$4734=0)),0)</f>
        <v>0</v>
      </c>
      <c r="L3995" s="1" t="str">
        <f>IF(E3995=0,SUMPRODUCT(MIN($K$2:$K$4734+((($A$2:$A$4734&lt;&gt;A3995)+($E$2:$E$4734&lt;&gt;0))&gt;0)*1000000)),"")</f>
        <v/>
      </c>
      <c r="M3995" s="1">
        <f>IF(AND(E3995=0,COUNTIFS($A$2:A3995,A3995,$E$2:E3995,0)=1),L3995,0)</f>
        <v>0</v>
      </c>
    </row>
    <row r="3996" spans="1:13" ht="15" customHeight="1">
      <c r="A3996" s="1">
        <v>204</v>
      </c>
      <c r="B3996" s="1" t="s">
        <v>16</v>
      </c>
      <c r="C3996" s="2" t="s">
        <v>4726</v>
      </c>
      <c r="D3996" s="2" t="s">
        <v>4727</v>
      </c>
      <c r="E3996" s="1">
        <v>1</v>
      </c>
      <c r="F3996" s="2" t="s">
        <v>4729</v>
      </c>
      <c r="G3996" s="1">
        <v>2</v>
      </c>
      <c r="H3996" s="1" t="str">
        <f t="shared" si="65"/>
        <v>k204_2</v>
      </c>
      <c r="K3996" s="1">
        <f>IF(E3996=0,SUMPRODUCT(($A$2:$A$4734=A3996)*($B$2:$B$4734=B3996)*($D$2:$D$4734=D3996)*($E$2:$E$4734=0)),0)</f>
        <v>0</v>
      </c>
      <c r="L3996" s="1" t="str">
        <f>IF(E3996=0,SUMPRODUCT(MIN($K$2:$K$4734+((($A$2:$A$4734&lt;&gt;A3996)+($E$2:$E$4734&lt;&gt;0))&gt;0)*1000000)),"")</f>
        <v/>
      </c>
      <c r="M3996" s="1">
        <f>IF(AND(E3996=0,COUNTIFS($A$2:A3996,A3996,$E$2:E3996,0)=1),L3996,0)</f>
        <v>0</v>
      </c>
    </row>
    <row r="3997" spans="1:13" ht="15" customHeight="1">
      <c r="A3997" s="1">
        <v>204</v>
      </c>
      <c r="B3997" s="1" t="s">
        <v>16</v>
      </c>
      <c r="C3997" s="2" t="s">
        <v>4726</v>
      </c>
      <c r="D3997" s="2" t="s">
        <v>4727</v>
      </c>
      <c r="E3997" s="1">
        <v>1</v>
      </c>
      <c r="F3997" s="2" t="s">
        <v>4730</v>
      </c>
      <c r="G3997" s="1">
        <v>3</v>
      </c>
      <c r="H3997" s="1" t="str">
        <f t="shared" si="65"/>
        <v>k204_3</v>
      </c>
      <c r="K3997" s="1">
        <f>IF(E3997=0,SUMPRODUCT(($A$2:$A$4734=A3997)*($B$2:$B$4734=B3997)*($D$2:$D$4734=D3997)*($E$2:$E$4734=0)),0)</f>
        <v>0</v>
      </c>
      <c r="L3997" s="1" t="str">
        <f>IF(E3997=0,SUMPRODUCT(MIN($K$2:$K$4734+((($A$2:$A$4734&lt;&gt;A3997)+($E$2:$E$4734&lt;&gt;0))&gt;0)*1000000)),"")</f>
        <v/>
      </c>
      <c r="M3997" s="1">
        <f>IF(AND(E3997=0,COUNTIFS($A$2:A3997,A3997,$E$2:E3997,0)=1),L3997,0)</f>
        <v>0</v>
      </c>
    </row>
    <row r="3998" spans="1:13" ht="15" customHeight="1">
      <c r="A3998" s="1">
        <v>204</v>
      </c>
      <c r="B3998" s="1" t="s">
        <v>16</v>
      </c>
      <c r="C3998" s="2" t="s">
        <v>4726</v>
      </c>
      <c r="D3998" s="2" t="s">
        <v>4727</v>
      </c>
      <c r="E3998" s="1">
        <v>1</v>
      </c>
      <c r="F3998" s="2" t="s">
        <v>4731</v>
      </c>
      <c r="G3998" s="1">
        <v>4</v>
      </c>
      <c r="H3998" s="1" t="str">
        <f t="shared" si="65"/>
        <v>k204_4</v>
      </c>
      <c r="K3998" s="1">
        <f>IF(E3998=0,SUMPRODUCT(($A$2:$A$4734=A3998)*($B$2:$B$4734=B3998)*($D$2:$D$4734=D3998)*($E$2:$E$4734=0)),0)</f>
        <v>0</v>
      </c>
      <c r="L3998" s="1" t="str">
        <f>IF(E3998=0,SUMPRODUCT(MIN($K$2:$K$4734+((($A$2:$A$4734&lt;&gt;A3998)+($E$2:$E$4734&lt;&gt;0))&gt;0)*1000000)),"")</f>
        <v/>
      </c>
      <c r="M3998" s="1">
        <f>IF(AND(E3998=0,COUNTIFS($A$2:A3998,A3998,$E$2:E3998,0)=1),L3998,0)</f>
        <v>0</v>
      </c>
    </row>
    <row r="3999" spans="1:13" ht="15" customHeight="1">
      <c r="A3999" s="1">
        <v>204</v>
      </c>
      <c r="B3999" s="1" t="s">
        <v>16</v>
      </c>
      <c r="C3999" s="2" t="s">
        <v>4726</v>
      </c>
      <c r="D3999" s="2" t="s">
        <v>4727</v>
      </c>
      <c r="E3999" s="1">
        <v>1</v>
      </c>
      <c r="F3999" s="2" t="s">
        <v>4732</v>
      </c>
      <c r="G3999" s="1">
        <v>5</v>
      </c>
      <c r="H3999" s="1" t="str">
        <f t="shared" si="65"/>
        <v>k204_5</v>
      </c>
      <c r="K3999" s="1">
        <f>IF(E3999=0,SUMPRODUCT(($A$2:$A$4734=A3999)*($B$2:$B$4734=B3999)*($D$2:$D$4734=D3999)*($E$2:$E$4734=0)),0)</f>
        <v>0</v>
      </c>
      <c r="L3999" s="1" t="str">
        <f>IF(E3999=0,SUMPRODUCT(MIN($K$2:$K$4734+((($A$2:$A$4734&lt;&gt;A3999)+($E$2:$E$4734&lt;&gt;0))&gt;0)*1000000)),"")</f>
        <v/>
      </c>
      <c r="M3999" s="1">
        <f>IF(AND(E3999=0,COUNTIFS($A$2:A3999,A3999,$E$2:E3999,0)=1),L3999,0)</f>
        <v>0</v>
      </c>
    </row>
    <row r="4000" spans="1:13" ht="15" customHeight="1">
      <c r="A4000" s="1">
        <v>204</v>
      </c>
      <c r="B4000" s="1" t="s">
        <v>16</v>
      </c>
      <c r="C4000" s="2" t="s">
        <v>4726</v>
      </c>
      <c r="D4000" s="2" t="s">
        <v>4733</v>
      </c>
      <c r="E4000" s="1">
        <v>1</v>
      </c>
      <c r="F4000" s="2" t="s">
        <v>4734</v>
      </c>
      <c r="G4000" s="1">
        <v>1</v>
      </c>
      <c r="H4000" s="1" t="str">
        <f t="shared" si="65"/>
        <v>k204_1</v>
      </c>
      <c r="K4000" s="1">
        <f>IF(E4000=0,SUMPRODUCT(($A$2:$A$4734=A4000)*($B$2:$B$4734=B4000)*($D$2:$D$4734=D4000)*($E$2:$E$4734=0)),0)</f>
        <v>0</v>
      </c>
      <c r="L4000" s="1" t="str">
        <f>IF(E4000=0,SUMPRODUCT(MIN($K$2:$K$4734+((($A$2:$A$4734&lt;&gt;A4000)+($E$2:$E$4734&lt;&gt;0))&gt;0)*1000000)),"")</f>
        <v/>
      </c>
      <c r="M4000" s="1">
        <f>IF(AND(E4000=0,COUNTIFS($A$2:A4000,A4000,$E$2:E4000,0)=1),L4000,0)</f>
        <v>0</v>
      </c>
    </row>
    <row r="4001" spans="1:13" ht="15" customHeight="1">
      <c r="A4001" s="1">
        <v>204</v>
      </c>
      <c r="B4001" s="1" t="s">
        <v>16</v>
      </c>
      <c r="C4001" s="2" t="s">
        <v>4726</v>
      </c>
      <c r="D4001" s="2" t="s">
        <v>4733</v>
      </c>
      <c r="E4001" s="1">
        <v>1</v>
      </c>
      <c r="F4001" s="2" t="s">
        <v>4735</v>
      </c>
      <c r="G4001" s="1">
        <v>2</v>
      </c>
      <c r="H4001" s="1" t="str">
        <f t="shared" si="65"/>
        <v>k204_2</v>
      </c>
      <c r="K4001" s="1">
        <f>IF(E4001=0,SUMPRODUCT(($A$2:$A$4734=A4001)*($B$2:$B$4734=B4001)*($D$2:$D$4734=D4001)*($E$2:$E$4734=0)),0)</f>
        <v>0</v>
      </c>
      <c r="L4001" s="1" t="str">
        <f>IF(E4001=0,SUMPRODUCT(MIN($K$2:$K$4734+((($A$2:$A$4734&lt;&gt;A4001)+($E$2:$E$4734&lt;&gt;0))&gt;0)*1000000)),"")</f>
        <v/>
      </c>
      <c r="M4001" s="1">
        <f>IF(AND(E4001=0,COUNTIFS($A$2:A4001,A4001,$E$2:E4001,0)=1),L4001,0)</f>
        <v>0</v>
      </c>
    </row>
    <row r="4002" spans="1:13" ht="15" customHeight="1">
      <c r="A4002" s="1">
        <v>204</v>
      </c>
      <c r="B4002" s="1" t="s">
        <v>16</v>
      </c>
      <c r="C4002" s="2" t="s">
        <v>4726</v>
      </c>
      <c r="D4002" s="2" t="s">
        <v>4733</v>
      </c>
      <c r="E4002" s="1">
        <v>1</v>
      </c>
      <c r="F4002" s="2" t="s">
        <v>4736</v>
      </c>
      <c r="G4002" s="1">
        <v>3</v>
      </c>
      <c r="H4002" s="1" t="str">
        <f t="shared" si="65"/>
        <v>k204_3</v>
      </c>
      <c r="K4002" s="1">
        <f>IF(E4002=0,SUMPRODUCT(($A$2:$A$4734=A4002)*($B$2:$B$4734=B4002)*($D$2:$D$4734=D4002)*($E$2:$E$4734=0)),0)</f>
        <v>0</v>
      </c>
      <c r="L4002" s="1" t="str">
        <f>IF(E4002=0,SUMPRODUCT(MIN($K$2:$K$4734+((($A$2:$A$4734&lt;&gt;A4002)+($E$2:$E$4734&lt;&gt;0))&gt;0)*1000000)),"")</f>
        <v/>
      </c>
      <c r="M4002" s="1">
        <f>IF(AND(E4002=0,COUNTIFS($A$2:A4002,A4002,$E$2:E4002,0)=1),L4002,0)</f>
        <v>0</v>
      </c>
    </row>
    <row r="4003" spans="1:13" ht="15" customHeight="1">
      <c r="A4003" s="1">
        <v>204</v>
      </c>
      <c r="B4003" s="1" t="s">
        <v>16</v>
      </c>
      <c r="C4003" s="2" t="s">
        <v>4726</v>
      </c>
      <c r="D4003" s="2" t="s">
        <v>4733</v>
      </c>
      <c r="E4003" s="1">
        <v>1</v>
      </c>
      <c r="F4003" s="2" t="s">
        <v>4737</v>
      </c>
      <c r="G4003" s="1">
        <v>4</v>
      </c>
      <c r="H4003" s="1" t="str">
        <f t="shared" si="65"/>
        <v>k204_4</v>
      </c>
      <c r="K4003" s="1">
        <f>IF(E4003=0,SUMPRODUCT(($A$2:$A$4734=A4003)*($B$2:$B$4734=B4003)*($D$2:$D$4734=D4003)*($E$2:$E$4734=0)),0)</f>
        <v>0</v>
      </c>
      <c r="L4003" s="1" t="str">
        <f>IF(E4003=0,SUMPRODUCT(MIN($K$2:$K$4734+((($A$2:$A$4734&lt;&gt;A4003)+($E$2:$E$4734&lt;&gt;0))&gt;0)*1000000)),"")</f>
        <v/>
      </c>
      <c r="M4003" s="1">
        <f>IF(AND(E4003=0,COUNTIFS($A$2:A4003,A4003,$E$2:E4003,0)=1),L4003,0)</f>
        <v>0</v>
      </c>
    </row>
    <row r="4004" spans="1:13" ht="15" customHeight="1">
      <c r="A4004" s="1">
        <v>204</v>
      </c>
      <c r="B4004" s="1" t="s">
        <v>16</v>
      </c>
      <c r="C4004" s="2" t="s">
        <v>4726</v>
      </c>
      <c r="D4004" s="2" t="s">
        <v>4733</v>
      </c>
      <c r="E4004" s="1">
        <v>1</v>
      </c>
      <c r="F4004" s="2" t="s">
        <v>4738</v>
      </c>
      <c r="G4004" s="1">
        <v>5</v>
      </c>
      <c r="H4004" s="1" t="str">
        <f t="shared" si="65"/>
        <v>k204_5</v>
      </c>
      <c r="K4004" s="1">
        <f>IF(E4004=0,SUMPRODUCT(($A$2:$A$4734=A4004)*($B$2:$B$4734=B4004)*($D$2:$D$4734=D4004)*($E$2:$E$4734=0)),0)</f>
        <v>0</v>
      </c>
      <c r="L4004" s="1" t="str">
        <f>IF(E4004=0,SUMPRODUCT(MIN($K$2:$K$4734+((($A$2:$A$4734&lt;&gt;A4004)+($E$2:$E$4734&lt;&gt;0))&gt;0)*1000000)),"")</f>
        <v/>
      </c>
      <c r="M4004" s="1">
        <f>IF(AND(E4004=0,COUNTIFS($A$2:A4004,A4004,$E$2:E4004,0)=1),L4004,0)</f>
        <v>0</v>
      </c>
    </row>
    <row r="4005" spans="1:13" ht="15" customHeight="1">
      <c r="A4005" s="1">
        <v>204</v>
      </c>
      <c r="B4005" s="1" t="s">
        <v>161</v>
      </c>
      <c r="C4005" s="2" t="s">
        <v>4726</v>
      </c>
      <c r="D4005" s="2" t="s">
        <v>4726</v>
      </c>
      <c r="E4005" s="1">
        <v>1</v>
      </c>
      <c r="F4005" s="2" t="s">
        <v>4739</v>
      </c>
      <c r="G4005" s="1">
        <v>1</v>
      </c>
      <c r="H4005" s="1" t="str">
        <f t="shared" si="65"/>
        <v>k204_1</v>
      </c>
      <c r="K4005" s="1">
        <f>IF(E4005=0,SUMPRODUCT(($A$2:$A$4734=A4005)*($B$2:$B$4734=B4005)*($D$2:$D$4734=D4005)*($E$2:$E$4734=0)),0)</f>
        <v>0</v>
      </c>
      <c r="L4005" s="1" t="str">
        <f>IF(E4005=0,SUMPRODUCT(MIN($K$2:$K$4734+((($A$2:$A$4734&lt;&gt;A4005)+($E$2:$E$4734&lt;&gt;0))&gt;0)*1000000)),"")</f>
        <v/>
      </c>
      <c r="M4005" s="1">
        <f>IF(AND(E4005=0,COUNTIFS($A$2:A4005,A4005,$E$2:E4005,0)=1),L4005,0)</f>
        <v>0</v>
      </c>
    </row>
    <row r="4006" spans="1:13" ht="15" customHeight="1">
      <c r="A4006" s="1">
        <v>204</v>
      </c>
      <c r="B4006" s="1" t="s">
        <v>161</v>
      </c>
      <c r="C4006" s="2" t="s">
        <v>4726</v>
      </c>
      <c r="D4006" s="2" t="s">
        <v>4726</v>
      </c>
      <c r="E4006" s="1">
        <v>1</v>
      </c>
      <c r="F4006" s="2" t="s">
        <v>4740</v>
      </c>
      <c r="G4006" s="1">
        <v>2</v>
      </c>
      <c r="H4006" s="1" t="str">
        <f t="shared" si="65"/>
        <v>k204_2</v>
      </c>
      <c r="K4006" s="1">
        <f>IF(E4006=0,SUMPRODUCT(($A$2:$A$4734=A4006)*($B$2:$B$4734=B4006)*($D$2:$D$4734=D4006)*($E$2:$E$4734=0)),0)</f>
        <v>0</v>
      </c>
      <c r="L4006" s="1" t="str">
        <f>IF(E4006=0,SUMPRODUCT(MIN($K$2:$K$4734+((($A$2:$A$4734&lt;&gt;A4006)+($E$2:$E$4734&lt;&gt;0))&gt;0)*1000000)),"")</f>
        <v/>
      </c>
      <c r="M4006" s="1">
        <f>IF(AND(E4006=0,COUNTIFS($A$2:A4006,A4006,$E$2:E4006,0)=1),L4006,0)</f>
        <v>0</v>
      </c>
    </row>
    <row r="4007" spans="1:13" ht="15" customHeight="1">
      <c r="A4007" s="1">
        <v>204</v>
      </c>
      <c r="B4007" s="1" t="s">
        <v>161</v>
      </c>
      <c r="C4007" s="2" t="s">
        <v>4726</v>
      </c>
      <c r="D4007" s="2" t="s">
        <v>4726</v>
      </c>
      <c r="E4007" s="1">
        <v>1</v>
      </c>
      <c r="F4007" s="2" t="s">
        <v>4741</v>
      </c>
      <c r="G4007" s="1">
        <v>3</v>
      </c>
      <c r="H4007" s="1" t="str">
        <f t="shared" si="65"/>
        <v>k204_3</v>
      </c>
      <c r="K4007" s="1">
        <f>IF(E4007=0,SUMPRODUCT(($A$2:$A$4734=A4007)*($B$2:$B$4734=B4007)*($D$2:$D$4734=D4007)*($E$2:$E$4734=0)),0)</f>
        <v>0</v>
      </c>
      <c r="L4007" s="1" t="str">
        <f>IF(E4007=0,SUMPRODUCT(MIN($K$2:$K$4734+((($A$2:$A$4734&lt;&gt;A4007)+($E$2:$E$4734&lt;&gt;0))&gt;0)*1000000)),"")</f>
        <v/>
      </c>
      <c r="M4007" s="1">
        <f>IF(AND(E4007=0,COUNTIFS($A$2:A4007,A4007,$E$2:E4007,0)=1),L4007,0)</f>
        <v>0</v>
      </c>
    </row>
    <row r="4008" spans="1:13" ht="15" customHeight="1">
      <c r="A4008" s="1">
        <v>204</v>
      </c>
      <c r="B4008" s="1" t="s">
        <v>161</v>
      </c>
      <c r="C4008" s="2" t="s">
        <v>4726</v>
      </c>
      <c r="D4008" s="2" t="s">
        <v>4726</v>
      </c>
      <c r="E4008" s="1">
        <v>1</v>
      </c>
      <c r="F4008" s="2" t="s">
        <v>4742</v>
      </c>
      <c r="G4008" s="1">
        <v>4</v>
      </c>
      <c r="H4008" s="1" t="str">
        <f t="shared" si="65"/>
        <v>k204_4</v>
      </c>
      <c r="K4008" s="1">
        <f>IF(E4008=0,SUMPRODUCT(($A$2:$A$4734=A4008)*($B$2:$B$4734=B4008)*($D$2:$D$4734=D4008)*($E$2:$E$4734=0)),0)</f>
        <v>0</v>
      </c>
      <c r="L4008" s="1" t="str">
        <f>IF(E4008=0,SUMPRODUCT(MIN($K$2:$K$4734+((($A$2:$A$4734&lt;&gt;A4008)+($E$2:$E$4734&lt;&gt;0))&gt;0)*1000000)),"")</f>
        <v/>
      </c>
      <c r="M4008" s="1">
        <f>IF(AND(E4008=0,COUNTIFS($A$2:A4008,A4008,$E$2:E4008,0)=1),L4008,0)</f>
        <v>0</v>
      </c>
    </row>
    <row r="4009" spans="1:13" ht="15" customHeight="1">
      <c r="A4009" s="1">
        <v>204</v>
      </c>
      <c r="B4009" s="1" t="s">
        <v>161</v>
      </c>
      <c r="C4009" s="2" t="s">
        <v>4726</v>
      </c>
      <c r="D4009" s="2" t="s">
        <v>4726</v>
      </c>
      <c r="E4009" s="1">
        <v>1</v>
      </c>
      <c r="F4009" s="2" t="s">
        <v>4743</v>
      </c>
      <c r="G4009" s="1">
        <v>5</v>
      </c>
      <c r="H4009" s="1" t="str">
        <f t="shared" si="65"/>
        <v>k204_5</v>
      </c>
      <c r="K4009" s="1">
        <f>IF(E4009=0,SUMPRODUCT(($A$2:$A$4734=A4009)*($B$2:$B$4734=B4009)*($D$2:$D$4734=D4009)*($E$2:$E$4734=0)),0)</f>
        <v>0</v>
      </c>
      <c r="L4009" s="1" t="str">
        <f>IF(E4009=0,SUMPRODUCT(MIN($K$2:$K$4734+((($A$2:$A$4734&lt;&gt;A4009)+($E$2:$E$4734&lt;&gt;0))&gt;0)*1000000)),"")</f>
        <v/>
      </c>
      <c r="M4009" s="1">
        <f>IF(AND(E4009=0,COUNTIFS($A$2:A4009,A4009,$E$2:E4009,0)=1),L4009,0)</f>
        <v>0</v>
      </c>
    </row>
    <row r="4010" spans="1:13" ht="15" customHeight="1">
      <c r="A4010" s="1">
        <v>205</v>
      </c>
      <c r="B4010" s="1" t="s">
        <v>9</v>
      </c>
      <c r="C4010" s="2" t="s">
        <v>4744</v>
      </c>
      <c r="D4010" s="2" t="s">
        <v>4745</v>
      </c>
      <c r="E4010" s="1">
        <v>0</v>
      </c>
      <c r="F4010" s="2" t="s">
        <v>4746</v>
      </c>
      <c r="H4010" s="1" t="str">
        <f t="shared" si="65"/>
        <v/>
      </c>
      <c r="K4010" s="1">
        <f>IF(E4010=0,SUMPRODUCT(($A$2:$A$4734=A4010)*($B$2:$B$4734=B4010)*($D$2:$D$4734=D4010)*($E$2:$E$4734=0)),0)</f>
        <v>3</v>
      </c>
      <c r="L4010" s="1">
        <f>IF(E4010=0,SUMPRODUCT(MIN($K$2:$K$4734+((($A$2:$A$4734&lt;&gt;A4010)+($E$2:$E$4734&lt;&gt;0))&gt;0)*1000000)),"")</f>
        <v>3</v>
      </c>
      <c r="M4010" s="1">
        <f>IF(AND(E4010=0,COUNTIFS($A$2:A4010,A4010,$E$2:E4010,0)=1),L4010,0)</f>
        <v>3</v>
      </c>
    </row>
    <row r="4011" spans="1:13" ht="15" customHeight="1">
      <c r="A4011" s="1">
        <v>205</v>
      </c>
      <c r="B4011" s="1" t="s">
        <v>9</v>
      </c>
      <c r="C4011" s="2" t="s">
        <v>4747</v>
      </c>
      <c r="D4011" s="2" t="s">
        <v>4745</v>
      </c>
      <c r="E4011" s="1">
        <v>0</v>
      </c>
      <c r="F4011" s="2" t="s">
        <v>4748</v>
      </c>
      <c r="H4011" s="1" t="str">
        <f t="shared" si="65"/>
        <v/>
      </c>
      <c r="K4011" s="1">
        <f>IF(E4011=0,SUMPRODUCT(($A$2:$A$4734=A4011)*($B$2:$B$4734=B4011)*($D$2:$D$4734=D4011)*($E$2:$E$4734=0)),0)</f>
        <v>3</v>
      </c>
      <c r="L4011" s="1">
        <f>IF(E4011=0,SUMPRODUCT(MIN($K$2:$K$4734+((($A$2:$A$4734&lt;&gt;A4011)+($E$2:$E$4734&lt;&gt;0))&gt;0)*1000000)),"")</f>
        <v>3</v>
      </c>
      <c r="M4011" s="1">
        <f>IF(AND(E4011=0,COUNTIFS($A$2:A4011,A4011,$E$2:E4011,0)=1),L4011,0)</f>
        <v>0</v>
      </c>
    </row>
    <row r="4012" spans="1:13" ht="15" customHeight="1">
      <c r="A4012" s="1">
        <v>205</v>
      </c>
      <c r="B4012" s="1" t="s">
        <v>9</v>
      </c>
      <c r="C4012" s="2" t="s">
        <v>4749</v>
      </c>
      <c r="D4012" s="2" t="s">
        <v>4745</v>
      </c>
      <c r="E4012" s="1">
        <v>0</v>
      </c>
      <c r="F4012" s="2" t="s">
        <v>4750</v>
      </c>
      <c r="H4012" s="1" t="str">
        <f t="shared" si="65"/>
        <v/>
      </c>
      <c r="K4012" s="1">
        <f>IF(E4012=0,SUMPRODUCT(($A$2:$A$4734=A4012)*($B$2:$B$4734=B4012)*($D$2:$D$4734=D4012)*($E$2:$E$4734=0)),0)</f>
        <v>3</v>
      </c>
      <c r="L4012" s="1">
        <f>IF(E4012=0,SUMPRODUCT(MIN($K$2:$K$4734+((($A$2:$A$4734&lt;&gt;A4012)+($E$2:$E$4734&lt;&gt;0))&gt;0)*1000000)),"")</f>
        <v>3</v>
      </c>
      <c r="M4012" s="1">
        <f>IF(AND(E4012=0,COUNTIFS($A$2:A4012,A4012,$E$2:E4012,0)=1),L4012,0)</f>
        <v>0</v>
      </c>
    </row>
    <row r="4013" spans="1:13" ht="15" customHeight="1">
      <c r="A4013" s="1">
        <v>205</v>
      </c>
      <c r="B4013" s="1" t="s">
        <v>9</v>
      </c>
      <c r="C4013" s="2" t="s">
        <v>4751</v>
      </c>
      <c r="D4013" s="2" t="s">
        <v>4752</v>
      </c>
      <c r="E4013" s="1">
        <v>0</v>
      </c>
      <c r="F4013" s="2" t="s">
        <v>4753</v>
      </c>
      <c r="H4013" s="1" t="str">
        <f t="shared" si="65"/>
        <v/>
      </c>
      <c r="K4013" s="1">
        <f>IF(E4013=0,SUMPRODUCT(($A$2:$A$4734=A4013)*($B$2:$B$4734=B4013)*($D$2:$D$4734=D4013)*($E$2:$E$4734=0)),0)</f>
        <v>6</v>
      </c>
      <c r="L4013" s="1">
        <f>IF(E4013=0,SUMPRODUCT(MIN($K$2:$K$4734+((($A$2:$A$4734&lt;&gt;A4013)+($E$2:$E$4734&lt;&gt;0))&gt;0)*1000000)),"")</f>
        <v>3</v>
      </c>
      <c r="M4013" s="1">
        <f>IF(AND(E4013=0,COUNTIFS($A$2:A4013,A4013,$E$2:E4013,0)=1),L4013,0)</f>
        <v>0</v>
      </c>
    </row>
    <row r="4014" spans="1:13" ht="15" customHeight="1">
      <c r="A4014" s="1">
        <v>205</v>
      </c>
      <c r="B4014" s="1" t="s">
        <v>9</v>
      </c>
      <c r="C4014" s="2" t="s">
        <v>4754</v>
      </c>
      <c r="D4014" s="2" t="s">
        <v>4752</v>
      </c>
      <c r="E4014" s="1">
        <v>0</v>
      </c>
      <c r="F4014" s="2" t="s">
        <v>4755</v>
      </c>
      <c r="H4014" s="1" t="str">
        <f t="shared" si="65"/>
        <v/>
      </c>
      <c r="K4014" s="1">
        <f>IF(E4014=0,SUMPRODUCT(($A$2:$A$4734=A4014)*($B$2:$B$4734=B4014)*($D$2:$D$4734=D4014)*($E$2:$E$4734=0)),0)</f>
        <v>6</v>
      </c>
      <c r="L4014" s="1">
        <f>IF(E4014=0,SUMPRODUCT(MIN($K$2:$K$4734+((($A$2:$A$4734&lt;&gt;A4014)+($E$2:$E$4734&lt;&gt;0))&gt;0)*1000000)),"")</f>
        <v>3</v>
      </c>
      <c r="M4014" s="1">
        <f>IF(AND(E4014=0,COUNTIFS($A$2:A4014,A4014,$E$2:E4014,0)=1),L4014,0)</f>
        <v>0</v>
      </c>
    </row>
    <row r="4015" spans="1:13" ht="15" customHeight="1">
      <c r="A4015" s="1">
        <v>205</v>
      </c>
      <c r="B4015" s="1" t="s">
        <v>9</v>
      </c>
      <c r="C4015" s="2" t="s">
        <v>4756</v>
      </c>
      <c r="D4015" s="2" t="s">
        <v>4752</v>
      </c>
      <c r="E4015" s="1">
        <v>0</v>
      </c>
      <c r="F4015" s="2" t="s">
        <v>4757</v>
      </c>
      <c r="H4015" s="1" t="str">
        <f t="shared" si="65"/>
        <v/>
      </c>
      <c r="K4015" s="1">
        <f>IF(E4015=0,SUMPRODUCT(($A$2:$A$4734=A4015)*($B$2:$B$4734=B4015)*($D$2:$D$4734=D4015)*($E$2:$E$4734=0)),0)</f>
        <v>6</v>
      </c>
      <c r="L4015" s="1">
        <f>IF(E4015=0,SUMPRODUCT(MIN($K$2:$K$4734+((($A$2:$A$4734&lt;&gt;A4015)+($E$2:$E$4734&lt;&gt;0))&gt;0)*1000000)),"")</f>
        <v>3</v>
      </c>
      <c r="M4015" s="1">
        <f>IF(AND(E4015=0,COUNTIFS($A$2:A4015,A4015,$E$2:E4015,0)=1),L4015,0)</f>
        <v>0</v>
      </c>
    </row>
    <row r="4016" spans="1:13" ht="15" customHeight="1">
      <c r="A4016" s="1">
        <v>205</v>
      </c>
      <c r="B4016" s="1" t="s">
        <v>9</v>
      </c>
      <c r="C4016" s="2" t="s">
        <v>4758</v>
      </c>
      <c r="D4016" s="2" t="s">
        <v>4752</v>
      </c>
      <c r="E4016" s="1">
        <v>0</v>
      </c>
      <c r="F4016" s="2" t="s">
        <v>4759</v>
      </c>
      <c r="H4016" s="1" t="str">
        <f t="shared" si="65"/>
        <v/>
      </c>
      <c r="K4016" s="1">
        <f>IF(E4016=0,SUMPRODUCT(($A$2:$A$4734=A4016)*($B$2:$B$4734=B4016)*($D$2:$D$4734=D4016)*($E$2:$E$4734=0)),0)</f>
        <v>6</v>
      </c>
      <c r="L4016" s="1">
        <f>IF(E4016=0,SUMPRODUCT(MIN($K$2:$K$4734+((($A$2:$A$4734&lt;&gt;A4016)+($E$2:$E$4734&lt;&gt;0))&gt;0)*1000000)),"")</f>
        <v>3</v>
      </c>
      <c r="M4016" s="1">
        <f>IF(AND(E4016=0,COUNTIFS($A$2:A4016,A4016,$E$2:E4016,0)=1),L4016,0)</f>
        <v>0</v>
      </c>
    </row>
    <row r="4017" spans="1:13" ht="15" customHeight="1">
      <c r="A4017" s="1">
        <v>205</v>
      </c>
      <c r="B4017" s="1" t="s">
        <v>9</v>
      </c>
      <c r="C4017" s="2" t="s">
        <v>4760</v>
      </c>
      <c r="D4017" s="2" t="s">
        <v>4752</v>
      </c>
      <c r="E4017" s="1">
        <v>0</v>
      </c>
      <c r="F4017" s="2" t="s">
        <v>4761</v>
      </c>
      <c r="H4017" s="1" t="str">
        <f t="shared" si="65"/>
        <v/>
      </c>
      <c r="K4017" s="1">
        <f>IF(E4017=0,SUMPRODUCT(($A$2:$A$4734=A4017)*($B$2:$B$4734=B4017)*($D$2:$D$4734=D4017)*($E$2:$E$4734=0)),0)</f>
        <v>6</v>
      </c>
      <c r="L4017" s="1">
        <f>IF(E4017=0,SUMPRODUCT(MIN($K$2:$K$4734+((($A$2:$A$4734&lt;&gt;A4017)+($E$2:$E$4734&lt;&gt;0))&gt;0)*1000000)),"")</f>
        <v>3</v>
      </c>
      <c r="M4017" s="1">
        <f>IF(AND(E4017=0,COUNTIFS($A$2:A4017,A4017,$E$2:E4017,0)=1),L4017,0)</f>
        <v>0</v>
      </c>
    </row>
    <row r="4018" spans="1:13" ht="15" customHeight="1">
      <c r="A4018" s="1">
        <v>205</v>
      </c>
      <c r="B4018" s="1" t="s">
        <v>9</v>
      </c>
      <c r="C4018" s="2" t="s">
        <v>4762</v>
      </c>
      <c r="D4018" s="2" t="s">
        <v>4752</v>
      </c>
      <c r="E4018" s="1">
        <v>0</v>
      </c>
      <c r="F4018" s="2" t="s">
        <v>4763</v>
      </c>
      <c r="H4018" s="1" t="str">
        <f t="shared" si="65"/>
        <v/>
      </c>
      <c r="K4018" s="1">
        <f>IF(E4018=0,SUMPRODUCT(($A$2:$A$4734=A4018)*($B$2:$B$4734=B4018)*($D$2:$D$4734=D4018)*($E$2:$E$4734=0)),0)</f>
        <v>6</v>
      </c>
      <c r="L4018" s="1">
        <f>IF(E4018=0,SUMPRODUCT(MIN($K$2:$K$4734+((($A$2:$A$4734&lt;&gt;A4018)+($E$2:$E$4734&lt;&gt;0))&gt;0)*1000000)),"")</f>
        <v>3</v>
      </c>
      <c r="M4018" s="1">
        <f>IF(AND(E4018=0,COUNTIFS($A$2:A4018,A4018,$E$2:E4018,0)=1),L4018,0)</f>
        <v>0</v>
      </c>
    </row>
    <row r="4019" spans="1:13" ht="15" customHeight="1">
      <c r="A4019" s="1">
        <v>206</v>
      </c>
      <c r="B4019" s="1" t="s">
        <v>167</v>
      </c>
      <c r="C4019" s="2" t="s">
        <v>4764</v>
      </c>
      <c r="D4019" s="1" t="s">
        <v>4765</v>
      </c>
      <c r="E4019" s="1">
        <v>1</v>
      </c>
      <c r="F4019" s="2" t="s">
        <v>4766</v>
      </c>
      <c r="G4019" s="1">
        <v>1</v>
      </c>
      <c r="H4019" s="1" t="str">
        <f t="shared" si="65"/>
        <v>k206_1</v>
      </c>
      <c r="K4019" s="1">
        <f>IF(E4019=0,SUMPRODUCT(($A$2:$A$4734=A4019)*($B$2:$B$4734=B4019)*($D$2:$D$4734=D4019)*($E$2:$E$4734=0)),0)</f>
        <v>0</v>
      </c>
      <c r="L4019" s="1" t="str">
        <f>IF(E4019=0,SUMPRODUCT(MIN($K$2:$K$4734+((($A$2:$A$4734&lt;&gt;A4019)+($E$2:$E$4734&lt;&gt;0))&gt;0)*1000000)),"")</f>
        <v/>
      </c>
      <c r="M4019" s="1">
        <f>IF(AND(E4019=0,COUNTIFS($A$2:A4019,A4019,$E$2:E4019,0)=1),L4019,0)</f>
        <v>0</v>
      </c>
    </row>
    <row r="4020" spans="1:13" ht="15" customHeight="1">
      <c r="A4020" s="1">
        <v>206</v>
      </c>
      <c r="B4020" s="1" t="s">
        <v>167</v>
      </c>
      <c r="C4020" s="2" t="s">
        <v>4764</v>
      </c>
      <c r="D4020" s="1" t="s">
        <v>4765</v>
      </c>
      <c r="E4020" s="1">
        <v>1</v>
      </c>
      <c r="F4020" s="2" t="s">
        <v>4767</v>
      </c>
      <c r="G4020" s="1">
        <v>2</v>
      </c>
      <c r="H4020" s="1" t="str">
        <f t="shared" si="65"/>
        <v>k206_2</v>
      </c>
      <c r="K4020" s="1">
        <f>IF(E4020=0,SUMPRODUCT(($A$2:$A$4734=A4020)*($B$2:$B$4734=B4020)*($D$2:$D$4734=D4020)*($E$2:$E$4734=0)),0)</f>
        <v>0</v>
      </c>
      <c r="L4020" s="1" t="str">
        <f>IF(E4020=0,SUMPRODUCT(MIN($K$2:$K$4734+((($A$2:$A$4734&lt;&gt;A4020)+($E$2:$E$4734&lt;&gt;0))&gt;0)*1000000)),"")</f>
        <v/>
      </c>
      <c r="M4020" s="1">
        <f>IF(AND(E4020=0,COUNTIFS($A$2:A4020,A4020,$E$2:E4020,0)=1),L4020,0)</f>
        <v>0</v>
      </c>
    </row>
    <row r="4021" spans="1:13" ht="15" customHeight="1">
      <c r="A4021" s="1">
        <v>206</v>
      </c>
      <c r="B4021" s="1" t="s">
        <v>167</v>
      </c>
      <c r="C4021" s="2" t="s">
        <v>4764</v>
      </c>
      <c r="D4021" s="1" t="s">
        <v>4765</v>
      </c>
      <c r="E4021" s="1">
        <v>1</v>
      </c>
      <c r="F4021" s="2" t="s">
        <v>4768</v>
      </c>
      <c r="G4021" s="1">
        <v>3</v>
      </c>
      <c r="H4021" s="1" t="str">
        <f t="shared" si="65"/>
        <v>k206_3</v>
      </c>
      <c r="K4021" s="1">
        <f>IF(E4021=0,SUMPRODUCT(($A$2:$A$4734=A4021)*($B$2:$B$4734=B4021)*($D$2:$D$4734=D4021)*($E$2:$E$4734=0)),0)</f>
        <v>0</v>
      </c>
      <c r="L4021" s="1" t="str">
        <f>IF(E4021=0,SUMPRODUCT(MIN($K$2:$K$4734+((($A$2:$A$4734&lt;&gt;A4021)+($E$2:$E$4734&lt;&gt;0))&gt;0)*1000000)),"")</f>
        <v/>
      </c>
      <c r="M4021" s="1">
        <f>IF(AND(E4021=0,COUNTIFS($A$2:A4021,A4021,$E$2:E4021,0)=1),L4021,0)</f>
        <v>0</v>
      </c>
    </row>
    <row r="4022" spans="1:13" ht="15" customHeight="1">
      <c r="A4022" s="1">
        <v>206</v>
      </c>
      <c r="B4022" s="1" t="s">
        <v>167</v>
      </c>
      <c r="C4022" s="2" t="s">
        <v>4764</v>
      </c>
      <c r="D4022" s="1" t="s">
        <v>4765</v>
      </c>
      <c r="E4022" s="1">
        <v>1</v>
      </c>
      <c r="F4022" s="2" t="s">
        <v>4769</v>
      </c>
      <c r="G4022" s="1">
        <v>4</v>
      </c>
      <c r="H4022" s="1" t="str">
        <f t="shared" si="65"/>
        <v>k206_4</v>
      </c>
      <c r="K4022" s="1">
        <f>IF(E4022=0,SUMPRODUCT(($A$2:$A$4734=A4022)*($B$2:$B$4734=B4022)*($D$2:$D$4734=D4022)*($E$2:$E$4734=0)),0)</f>
        <v>0</v>
      </c>
      <c r="L4022" s="1" t="str">
        <f>IF(E4022=0,SUMPRODUCT(MIN($K$2:$K$4734+((($A$2:$A$4734&lt;&gt;A4022)+($E$2:$E$4734&lt;&gt;0))&gt;0)*1000000)),"")</f>
        <v/>
      </c>
      <c r="M4022" s="1">
        <f>IF(AND(E4022=0,COUNTIFS($A$2:A4022,A4022,$E$2:E4022,0)=1),L4022,0)</f>
        <v>0</v>
      </c>
    </row>
    <row r="4023" spans="1:13" ht="15" customHeight="1">
      <c r="A4023" s="1">
        <v>207</v>
      </c>
      <c r="B4023" s="1" t="s">
        <v>144</v>
      </c>
      <c r="C4023" s="2" t="s">
        <v>4770</v>
      </c>
      <c r="D4023" s="2" t="s">
        <v>4771</v>
      </c>
      <c r="E4023" s="1">
        <v>1</v>
      </c>
      <c r="F4023" s="2" t="s">
        <v>4772</v>
      </c>
      <c r="G4023" s="1">
        <v>1</v>
      </c>
      <c r="H4023" s="1" t="str">
        <f t="shared" si="65"/>
        <v>k207_1</v>
      </c>
      <c r="K4023" s="1">
        <f>IF(E4023=0,SUMPRODUCT(($A$2:$A$4734=A4023)*($B$2:$B$4734=B4023)*($D$2:$D$4734=D4023)*($E$2:$E$4734=0)),0)</f>
        <v>0</v>
      </c>
      <c r="L4023" s="1" t="str">
        <f>IF(E4023=0,SUMPRODUCT(MIN($K$2:$K$4734+((($A$2:$A$4734&lt;&gt;A4023)+($E$2:$E$4734&lt;&gt;0))&gt;0)*1000000)),"")</f>
        <v/>
      </c>
      <c r="M4023" s="1">
        <f>IF(AND(E4023=0,COUNTIFS($A$2:A4023,A4023,$E$2:E4023,0)=1),L4023,0)</f>
        <v>0</v>
      </c>
    </row>
    <row r="4024" spans="1:13" ht="15" customHeight="1">
      <c r="A4024" s="1">
        <v>207</v>
      </c>
      <c r="B4024" s="1" t="s">
        <v>144</v>
      </c>
      <c r="C4024" s="2" t="s">
        <v>4770</v>
      </c>
      <c r="D4024" s="2" t="s">
        <v>4771</v>
      </c>
      <c r="E4024" s="1">
        <v>1</v>
      </c>
      <c r="F4024" s="2" t="s">
        <v>4773</v>
      </c>
      <c r="G4024" s="1">
        <v>2</v>
      </c>
      <c r="H4024" s="1" t="str">
        <f t="shared" si="65"/>
        <v>k207_2</v>
      </c>
      <c r="K4024" s="1">
        <f>IF(E4024=0,SUMPRODUCT(($A$2:$A$4734=A4024)*($B$2:$B$4734=B4024)*($D$2:$D$4734=D4024)*($E$2:$E$4734=0)),0)</f>
        <v>0</v>
      </c>
      <c r="L4024" s="1" t="str">
        <f>IF(E4024=0,SUMPRODUCT(MIN($K$2:$K$4734+((($A$2:$A$4734&lt;&gt;A4024)+($E$2:$E$4734&lt;&gt;0))&gt;0)*1000000)),"")</f>
        <v/>
      </c>
      <c r="M4024" s="1">
        <f>IF(AND(E4024=0,COUNTIFS($A$2:A4024,A4024,$E$2:E4024,0)=1),L4024,0)</f>
        <v>0</v>
      </c>
    </row>
    <row r="4025" spans="1:13" ht="15" customHeight="1">
      <c r="A4025" s="1">
        <v>207</v>
      </c>
      <c r="B4025" s="1" t="s">
        <v>144</v>
      </c>
      <c r="C4025" s="2" t="s">
        <v>4770</v>
      </c>
      <c r="D4025" s="2" t="s">
        <v>4771</v>
      </c>
      <c r="E4025" s="1">
        <v>1</v>
      </c>
      <c r="F4025" s="2" t="s">
        <v>4774</v>
      </c>
      <c r="G4025" s="1">
        <v>3</v>
      </c>
      <c r="H4025" s="1" t="str">
        <f t="shared" si="65"/>
        <v>k207_3</v>
      </c>
      <c r="K4025" s="1">
        <f>IF(E4025=0,SUMPRODUCT(($A$2:$A$4734=A4025)*($B$2:$B$4734=B4025)*($D$2:$D$4734=D4025)*($E$2:$E$4734=0)),0)</f>
        <v>0</v>
      </c>
      <c r="L4025" s="1" t="str">
        <f>IF(E4025=0,SUMPRODUCT(MIN($K$2:$K$4734+((($A$2:$A$4734&lt;&gt;A4025)+($E$2:$E$4734&lt;&gt;0))&gt;0)*1000000)),"")</f>
        <v/>
      </c>
      <c r="M4025" s="1">
        <f>IF(AND(E4025=0,COUNTIFS($A$2:A4025,A4025,$E$2:E4025,0)=1),L4025,0)</f>
        <v>0</v>
      </c>
    </row>
    <row r="4026" spans="1:13" ht="15" customHeight="1">
      <c r="A4026" s="1">
        <v>207</v>
      </c>
      <c r="B4026" s="1" t="s">
        <v>144</v>
      </c>
      <c r="C4026" s="2" t="s">
        <v>4770</v>
      </c>
      <c r="D4026" s="2" t="s">
        <v>4771</v>
      </c>
      <c r="E4026" s="1">
        <v>1</v>
      </c>
      <c r="F4026" s="2" t="s">
        <v>4775</v>
      </c>
      <c r="G4026" s="1">
        <v>4</v>
      </c>
      <c r="H4026" s="1" t="str">
        <f t="shared" si="65"/>
        <v>k207_4</v>
      </c>
      <c r="K4026" s="1">
        <f>IF(E4026=0,SUMPRODUCT(($A$2:$A$4734=A4026)*($B$2:$B$4734=B4026)*($D$2:$D$4734=D4026)*($E$2:$E$4734=0)),0)</f>
        <v>0</v>
      </c>
      <c r="L4026" s="1" t="str">
        <f>IF(E4026=0,SUMPRODUCT(MIN($K$2:$K$4734+((($A$2:$A$4734&lt;&gt;A4026)+($E$2:$E$4734&lt;&gt;0))&gt;0)*1000000)),"")</f>
        <v/>
      </c>
      <c r="M4026" s="1">
        <f>IF(AND(E4026=0,COUNTIFS($A$2:A4026,A4026,$E$2:E4026,0)=1),L4026,0)</f>
        <v>0</v>
      </c>
    </row>
    <row r="4027" spans="1:13" ht="15" customHeight="1">
      <c r="A4027" s="1">
        <v>207</v>
      </c>
      <c r="B4027" s="1" t="s">
        <v>144</v>
      </c>
      <c r="C4027" s="2" t="s">
        <v>4770</v>
      </c>
      <c r="D4027" s="2" t="s">
        <v>4771</v>
      </c>
      <c r="E4027" s="1">
        <v>1</v>
      </c>
      <c r="F4027" s="2" t="s">
        <v>4772</v>
      </c>
      <c r="G4027" s="1">
        <v>5</v>
      </c>
      <c r="H4027" s="1" t="str">
        <f t="shared" si="65"/>
        <v>k207_5</v>
      </c>
      <c r="K4027" s="1">
        <f>IF(E4027=0,SUMPRODUCT(($A$2:$A$4734=A4027)*($B$2:$B$4734=B4027)*($D$2:$D$4734=D4027)*($E$2:$E$4734=0)),0)</f>
        <v>0</v>
      </c>
      <c r="L4027" s="1" t="str">
        <f>IF(E4027=0,SUMPRODUCT(MIN($K$2:$K$4734+((($A$2:$A$4734&lt;&gt;A4027)+($E$2:$E$4734&lt;&gt;0))&gt;0)*1000000)),"")</f>
        <v/>
      </c>
      <c r="M4027" s="1">
        <f>IF(AND(E4027=0,COUNTIFS($A$2:A4027,A4027,$E$2:E4027,0)=1),L4027,0)</f>
        <v>0</v>
      </c>
    </row>
    <row r="4028" spans="1:13" ht="15" customHeight="1">
      <c r="A4028" s="1">
        <v>207</v>
      </c>
      <c r="B4028" s="1" t="s">
        <v>144</v>
      </c>
      <c r="C4028" s="2" t="s">
        <v>4770</v>
      </c>
      <c r="D4028" s="2" t="s">
        <v>4771</v>
      </c>
      <c r="E4028" s="1">
        <v>1</v>
      </c>
      <c r="F4028" s="2" t="s">
        <v>4773</v>
      </c>
      <c r="G4028" s="1">
        <v>6</v>
      </c>
      <c r="H4028" s="1" t="str">
        <f t="shared" si="65"/>
        <v>k207_6</v>
      </c>
      <c r="K4028" s="1">
        <f>IF(E4028=0,SUMPRODUCT(($A$2:$A$4734=A4028)*($B$2:$B$4734=B4028)*($D$2:$D$4734=D4028)*($E$2:$E$4734=0)),0)</f>
        <v>0</v>
      </c>
      <c r="L4028" s="1" t="str">
        <f>IF(E4028=0,SUMPRODUCT(MIN($K$2:$K$4734+((($A$2:$A$4734&lt;&gt;A4028)+($E$2:$E$4734&lt;&gt;0))&gt;0)*1000000)),"")</f>
        <v/>
      </c>
      <c r="M4028" s="1">
        <f>IF(AND(E4028=0,COUNTIFS($A$2:A4028,A4028,$E$2:E4028,0)=1),L4028,0)</f>
        <v>0</v>
      </c>
    </row>
    <row r="4029" spans="1:13" ht="15" customHeight="1">
      <c r="A4029" s="1">
        <v>207</v>
      </c>
      <c r="B4029" s="1" t="s">
        <v>9</v>
      </c>
      <c r="C4029" s="2" t="s">
        <v>4770</v>
      </c>
      <c r="D4029" s="2" t="s">
        <v>4776</v>
      </c>
      <c r="E4029" s="1">
        <v>1</v>
      </c>
      <c r="F4029" s="2" t="s">
        <v>4777</v>
      </c>
      <c r="G4029" s="1">
        <v>1</v>
      </c>
      <c r="H4029" s="1" t="str">
        <f t="shared" si="65"/>
        <v>k207_1</v>
      </c>
      <c r="K4029" s="1">
        <f>IF(E4029=0,SUMPRODUCT(($A$2:$A$4734=A4029)*($B$2:$B$4734=B4029)*($D$2:$D$4734=D4029)*($E$2:$E$4734=0)),0)</f>
        <v>0</v>
      </c>
      <c r="L4029" s="1" t="str">
        <f>IF(E4029=0,SUMPRODUCT(MIN($K$2:$K$4734+((($A$2:$A$4734&lt;&gt;A4029)+($E$2:$E$4734&lt;&gt;0))&gt;0)*1000000)),"")</f>
        <v/>
      </c>
      <c r="M4029" s="1">
        <f>IF(AND(E4029=0,COUNTIFS($A$2:A4029,A4029,$E$2:E4029,0)=1),L4029,0)</f>
        <v>0</v>
      </c>
    </row>
    <row r="4030" spans="1:13" ht="15" customHeight="1">
      <c r="A4030" s="1">
        <v>207</v>
      </c>
      <c r="B4030" s="1" t="s">
        <v>9</v>
      </c>
      <c r="C4030" s="2" t="s">
        <v>4770</v>
      </c>
      <c r="D4030" s="2" t="s">
        <v>4776</v>
      </c>
      <c r="E4030" s="1">
        <v>1</v>
      </c>
      <c r="F4030" s="2" t="s">
        <v>4778</v>
      </c>
      <c r="G4030" s="1">
        <v>2</v>
      </c>
      <c r="H4030" s="1" t="str">
        <f t="shared" si="65"/>
        <v>k207_2</v>
      </c>
      <c r="K4030" s="1">
        <f>IF(E4030=0,SUMPRODUCT(($A$2:$A$4734=A4030)*($B$2:$B$4734=B4030)*($D$2:$D$4734=D4030)*($E$2:$E$4734=0)),0)</f>
        <v>0</v>
      </c>
      <c r="L4030" s="1" t="str">
        <f>IF(E4030=0,SUMPRODUCT(MIN($K$2:$K$4734+((($A$2:$A$4734&lt;&gt;A4030)+($E$2:$E$4734&lt;&gt;0))&gt;0)*1000000)),"")</f>
        <v/>
      </c>
      <c r="M4030" s="1">
        <f>IF(AND(E4030=0,COUNTIFS($A$2:A4030,A4030,$E$2:E4030,0)=1),L4030,0)</f>
        <v>0</v>
      </c>
    </row>
    <row r="4031" spans="1:13" ht="15" customHeight="1">
      <c r="A4031" s="1">
        <v>207</v>
      </c>
      <c r="B4031" s="1" t="s">
        <v>9</v>
      </c>
      <c r="C4031" s="2" t="s">
        <v>4770</v>
      </c>
      <c r="D4031" s="2" t="s">
        <v>4776</v>
      </c>
      <c r="E4031" s="1">
        <v>1</v>
      </c>
      <c r="F4031" s="2" t="s">
        <v>4779</v>
      </c>
      <c r="G4031" s="1">
        <v>3</v>
      </c>
      <c r="H4031" s="1" t="str">
        <f t="shared" si="65"/>
        <v>k207_3</v>
      </c>
      <c r="K4031" s="1">
        <f>IF(E4031=0,SUMPRODUCT(($A$2:$A$4734=A4031)*($B$2:$B$4734=B4031)*($D$2:$D$4734=D4031)*($E$2:$E$4734=0)),0)</f>
        <v>0</v>
      </c>
      <c r="L4031" s="1" t="str">
        <f>IF(E4031=0,SUMPRODUCT(MIN($K$2:$K$4734+((($A$2:$A$4734&lt;&gt;A4031)+($E$2:$E$4734&lt;&gt;0))&gt;0)*1000000)),"")</f>
        <v/>
      </c>
      <c r="M4031" s="1">
        <f>IF(AND(E4031=0,COUNTIFS($A$2:A4031,A4031,$E$2:E4031,0)=1),L4031,0)</f>
        <v>0</v>
      </c>
    </row>
    <row r="4032" spans="1:13" ht="15" customHeight="1">
      <c r="A4032" s="1">
        <v>207</v>
      </c>
      <c r="B4032" s="1" t="s">
        <v>9</v>
      </c>
      <c r="C4032" s="2" t="s">
        <v>4770</v>
      </c>
      <c r="D4032" s="2" t="s">
        <v>4776</v>
      </c>
      <c r="E4032" s="1">
        <v>1</v>
      </c>
      <c r="F4032" s="2" t="s">
        <v>4777</v>
      </c>
      <c r="G4032" s="1">
        <v>4</v>
      </c>
      <c r="H4032" s="1" t="str">
        <f t="shared" si="65"/>
        <v>k207_4</v>
      </c>
      <c r="K4032" s="1">
        <f>IF(E4032=0,SUMPRODUCT(($A$2:$A$4734=A4032)*($B$2:$B$4734=B4032)*($D$2:$D$4734=D4032)*($E$2:$E$4734=0)),0)</f>
        <v>0</v>
      </c>
      <c r="L4032" s="1" t="str">
        <f>IF(E4032=0,SUMPRODUCT(MIN($K$2:$K$4734+((($A$2:$A$4734&lt;&gt;A4032)+($E$2:$E$4734&lt;&gt;0))&gt;0)*1000000)),"")</f>
        <v/>
      </c>
      <c r="M4032" s="1">
        <f>IF(AND(E4032=0,COUNTIFS($A$2:A4032,A4032,$E$2:E4032,0)=1),L4032,0)</f>
        <v>0</v>
      </c>
    </row>
    <row r="4033" spans="1:13" ht="15" customHeight="1">
      <c r="A4033" s="1">
        <v>207</v>
      </c>
      <c r="B4033" s="1" t="s">
        <v>9</v>
      </c>
      <c r="C4033" s="2" t="s">
        <v>4770</v>
      </c>
      <c r="D4033" s="2" t="s">
        <v>4776</v>
      </c>
      <c r="E4033" s="1">
        <v>1</v>
      </c>
      <c r="F4033" s="2" t="s">
        <v>4779</v>
      </c>
      <c r="G4033" s="1">
        <v>5</v>
      </c>
      <c r="H4033" s="1" t="str">
        <f t="shared" si="65"/>
        <v>k207_5</v>
      </c>
      <c r="K4033" s="1">
        <f>IF(E4033=0,SUMPRODUCT(($A$2:$A$4734=A4033)*($B$2:$B$4734=B4033)*($D$2:$D$4734=D4033)*($E$2:$E$4734=0)),0)</f>
        <v>0</v>
      </c>
      <c r="L4033" s="1" t="str">
        <f>IF(E4033=0,SUMPRODUCT(MIN($K$2:$K$4734+((($A$2:$A$4734&lt;&gt;A4033)+($E$2:$E$4734&lt;&gt;0))&gt;0)*1000000)),"")</f>
        <v/>
      </c>
      <c r="M4033" s="1">
        <f>IF(AND(E4033=0,COUNTIFS($A$2:A4033,A4033,$E$2:E4033,0)=1),L4033,0)</f>
        <v>0</v>
      </c>
    </row>
    <row r="4034" spans="1:13" ht="15" customHeight="1">
      <c r="A4034" s="1">
        <v>207</v>
      </c>
      <c r="B4034" s="1" t="s">
        <v>9</v>
      </c>
      <c r="C4034" s="2" t="s">
        <v>4770</v>
      </c>
      <c r="D4034" s="2" t="s">
        <v>4776</v>
      </c>
      <c r="E4034" s="1">
        <v>1</v>
      </c>
      <c r="F4034" s="2" t="s">
        <v>4780</v>
      </c>
      <c r="G4034" s="1">
        <v>6</v>
      </c>
      <c r="H4034" s="1" t="str">
        <f t="shared" si="65"/>
        <v>k207_6</v>
      </c>
      <c r="K4034" s="1">
        <f>IF(E4034=0,SUMPRODUCT(($A$2:$A$4734=A4034)*($B$2:$B$4734=B4034)*($D$2:$D$4734=D4034)*($E$2:$E$4734=0)),0)</f>
        <v>0</v>
      </c>
      <c r="L4034" s="1" t="str">
        <f>IF(E4034=0,SUMPRODUCT(MIN($K$2:$K$4734+((($A$2:$A$4734&lt;&gt;A4034)+($E$2:$E$4734&lt;&gt;0))&gt;0)*1000000)),"")</f>
        <v/>
      </c>
      <c r="M4034" s="1">
        <f>IF(AND(E4034=0,COUNTIFS($A$2:A4034,A4034,$E$2:E4034,0)=1),L4034,0)</f>
        <v>0</v>
      </c>
    </row>
    <row r="4035" spans="1:13" ht="15" customHeight="1">
      <c r="A4035" s="1">
        <v>208</v>
      </c>
      <c r="B4035" s="1" t="s">
        <v>144</v>
      </c>
      <c r="C4035" s="2" t="s">
        <v>4781</v>
      </c>
      <c r="D4035" s="2" t="s">
        <v>4782</v>
      </c>
      <c r="E4035" s="1">
        <v>1</v>
      </c>
      <c r="F4035" s="2" t="s">
        <v>4783</v>
      </c>
      <c r="G4035" s="1">
        <v>1</v>
      </c>
      <c r="H4035" s="1" t="str">
        <f t="shared" si="65"/>
        <v>k208_1</v>
      </c>
      <c r="K4035" s="1">
        <f>IF(E4035=0,SUMPRODUCT(($A$2:$A$4734=A4035)*($B$2:$B$4734=B4035)*($D$2:$D$4734=D4035)*($E$2:$E$4734=0)),0)</f>
        <v>0</v>
      </c>
      <c r="L4035" s="1" t="str">
        <f>IF(E4035=0,SUMPRODUCT(MIN($K$2:$K$4734+((($A$2:$A$4734&lt;&gt;A4035)+($E$2:$E$4734&lt;&gt;0))&gt;0)*1000000)),"")</f>
        <v/>
      </c>
      <c r="M4035" s="1">
        <f>IF(AND(E4035=0,COUNTIFS($A$2:A4035,A4035,$E$2:E4035,0)=1),L4035,0)</f>
        <v>0</v>
      </c>
    </row>
    <row r="4036" spans="1:13" ht="15" customHeight="1">
      <c r="A4036" s="1">
        <v>208</v>
      </c>
      <c r="B4036" s="1" t="s">
        <v>144</v>
      </c>
      <c r="C4036" s="2" t="s">
        <v>4781</v>
      </c>
      <c r="D4036" s="2" t="s">
        <v>4782</v>
      </c>
      <c r="E4036" s="1">
        <v>1</v>
      </c>
      <c r="F4036" s="2" t="s">
        <v>4784</v>
      </c>
      <c r="G4036" s="1">
        <v>2</v>
      </c>
      <c r="H4036" s="1" t="str">
        <f t="shared" si="65"/>
        <v>k208_2</v>
      </c>
      <c r="K4036" s="1">
        <f>IF(E4036=0,SUMPRODUCT(($A$2:$A$4734=A4036)*($B$2:$B$4734=B4036)*($D$2:$D$4734=D4036)*($E$2:$E$4734=0)),0)</f>
        <v>0</v>
      </c>
      <c r="L4036" s="1" t="str">
        <f>IF(E4036=0,SUMPRODUCT(MIN($K$2:$K$4734+((($A$2:$A$4734&lt;&gt;A4036)+($E$2:$E$4734&lt;&gt;0))&gt;0)*1000000)),"")</f>
        <v/>
      </c>
      <c r="M4036" s="1">
        <f>IF(AND(E4036=0,COUNTIFS($A$2:A4036,A4036,$E$2:E4036,0)=1),L4036,0)</f>
        <v>0</v>
      </c>
    </row>
    <row r="4037" spans="1:13" ht="15" customHeight="1">
      <c r="A4037" s="1">
        <v>208</v>
      </c>
      <c r="B4037" s="1" t="s">
        <v>144</v>
      </c>
      <c r="C4037" s="2" t="s">
        <v>4781</v>
      </c>
      <c r="D4037" s="2" t="s">
        <v>4782</v>
      </c>
      <c r="E4037" s="1">
        <v>1</v>
      </c>
      <c r="F4037" s="2" t="s">
        <v>4785</v>
      </c>
      <c r="G4037" s="1">
        <v>3</v>
      </c>
      <c r="H4037" s="1" t="str">
        <f t="shared" si="65"/>
        <v>k208_3</v>
      </c>
      <c r="K4037" s="1">
        <f>IF(E4037=0,SUMPRODUCT(($A$2:$A$4734=A4037)*($B$2:$B$4734=B4037)*($D$2:$D$4734=D4037)*($E$2:$E$4734=0)),0)</f>
        <v>0</v>
      </c>
      <c r="L4037" s="1" t="str">
        <f>IF(E4037=0,SUMPRODUCT(MIN($K$2:$K$4734+((($A$2:$A$4734&lt;&gt;A4037)+($E$2:$E$4734&lt;&gt;0))&gt;0)*1000000)),"")</f>
        <v/>
      </c>
      <c r="M4037" s="1">
        <f>IF(AND(E4037=0,COUNTIFS($A$2:A4037,A4037,$E$2:E4037,0)=1),L4037,0)</f>
        <v>0</v>
      </c>
    </row>
    <row r="4038" spans="1:13" ht="15" customHeight="1">
      <c r="A4038" s="1">
        <v>209</v>
      </c>
      <c r="B4038" s="1" t="s">
        <v>9</v>
      </c>
      <c r="C4038" s="2" t="s">
        <v>4786</v>
      </c>
      <c r="D4038" s="2" t="s">
        <v>4787</v>
      </c>
      <c r="E4038" s="1">
        <v>0</v>
      </c>
      <c r="F4038" s="2" t="s">
        <v>4788</v>
      </c>
      <c r="H4038" s="1" t="str">
        <f t="shared" si="65"/>
        <v/>
      </c>
      <c r="K4038" s="1">
        <f>IF(E4038=0,SUMPRODUCT(($A$2:$A$4734=A4038)*($B$2:$B$4734=B4038)*($D$2:$D$4734=D4038)*($E$2:$E$4734=0)),0)</f>
        <v>6</v>
      </c>
      <c r="L4038" s="1">
        <f>IF(E4038=0,SUMPRODUCT(MIN($K$2:$K$4734+((($A$2:$A$4734&lt;&gt;A4038)+($E$2:$E$4734&lt;&gt;0))&gt;0)*1000000)),"")</f>
        <v>4</v>
      </c>
      <c r="M4038" s="1">
        <f>IF(AND(E4038=0,COUNTIFS($A$2:A4038,A4038,$E$2:E4038,0)=1),L4038,0)</f>
        <v>4</v>
      </c>
    </row>
    <row r="4039" spans="1:13" ht="15" customHeight="1">
      <c r="A4039" s="1">
        <v>209</v>
      </c>
      <c r="B4039" s="1" t="s">
        <v>9</v>
      </c>
      <c r="C4039" s="2" t="s">
        <v>4786</v>
      </c>
      <c r="D4039" s="2" t="s">
        <v>4787</v>
      </c>
      <c r="E4039" s="1">
        <v>0</v>
      </c>
      <c r="F4039" s="2" t="s">
        <v>2591</v>
      </c>
      <c r="H4039" s="1" t="str">
        <f t="shared" si="65"/>
        <v/>
      </c>
      <c r="K4039" s="1">
        <f>IF(E4039=0,SUMPRODUCT(($A$2:$A$4734=A4039)*($B$2:$B$4734=B4039)*($D$2:$D$4734=D4039)*($E$2:$E$4734=0)),0)</f>
        <v>6</v>
      </c>
      <c r="L4039" s="1">
        <f>IF(E4039=0,SUMPRODUCT(MIN($K$2:$K$4734+((($A$2:$A$4734&lt;&gt;A4039)+($E$2:$E$4734&lt;&gt;0))&gt;0)*1000000)),"")</f>
        <v>4</v>
      </c>
      <c r="M4039" s="1">
        <f>IF(AND(E4039=0,COUNTIFS($A$2:A4039,A4039,$E$2:E4039,0)=1),L4039,0)</f>
        <v>0</v>
      </c>
    </row>
    <row r="4040" spans="1:13" ht="15" customHeight="1">
      <c r="A4040" s="1">
        <v>209</v>
      </c>
      <c r="B4040" s="1" t="s">
        <v>9</v>
      </c>
      <c r="C4040" s="2" t="s">
        <v>4786</v>
      </c>
      <c r="D4040" s="2" t="s">
        <v>4787</v>
      </c>
      <c r="E4040" s="1">
        <v>0</v>
      </c>
      <c r="F4040" s="2" t="s">
        <v>4789</v>
      </c>
      <c r="H4040" s="1" t="str">
        <f t="shared" si="65"/>
        <v/>
      </c>
      <c r="K4040" s="1">
        <f>IF(E4040=0,SUMPRODUCT(($A$2:$A$4734=A4040)*($B$2:$B$4734=B4040)*($D$2:$D$4734=D4040)*($E$2:$E$4734=0)),0)</f>
        <v>6</v>
      </c>
      <c r="L4040" s="1">
        <f>IF(E4040=0,SUMPRODUCT(MIN($K$2:$K$4734+((($A$2:$A$4734&lt;&gt;A4040)+($E$2:$E$4734&lt;&gt;0))&gt;0)*1000000)),"")</f>
        <v>4</v>
      </c>
      <c r="M4040" s="1">
        <f>IF(AND(E4040=0,COUNTIFS($A$2:A4040,A4040,$E$2:E4040,0)=1),L4040,0)</f>
        <v>0</v>
      </c>
    </row>
    <row r="4041" spans="1:13" ht="15" customHeight="1">
      <c r="A4041" s="1">
        <v>209</v>
      </c>
      <c r="B4041" s="1" t="s">
        <v>9</v>
      </c>
      <c r="C4041" s="2" t="s">
        <v>4786</v>
      </c>
      <c r="D4041" s="2" t="s">
        <v>4787</v>
      </c>
      <c r="E4041" s="1">
        <v>0</v>
      </c>
      <c r="F4041" s="2" t="s">
        <v>4790</v>
      </c>
      <c r="H4041" s="1" t="str">
        <f t="shared" si="65"/>
        <v/>
      </c>
      <c r="K4041" s="1">
        <f>IF(E4041=0,SUMPRODUCT(($A$2:$A$4734=A4041)*($B$2:$B$4734=B4041)*($D$2:$D$4734=D4041)*($E$2:$E$4734=0)),0)</f>
        <v>6</v>
      </c>
      <c r="L4041" s="1">
        <f>IF(E4041=0,SUMPRODUCT(MIN($K$2:$K$4734+((($A$2:$A$4734&lt;&gt;A4041)+($E$2:$E$4734&lt;&gt;0))&gt;0)*1000000)),"")</f>
        <v>4</v>
      </c>
      <c r="M4041" s="1">
        <f>IF(AND(E4041=0,COUNTIFS($A$2:A4041,A4041,$E$2:E4041,0)=1),L4041,0)</f>
        <v>0</v>
      </c>
    </row>
    <row r="4042" spans="1:13" ht="15" customHeight="1">
      <c r="A4042" s="1">
        <v>209</v>
      </c>
      <c r="B4042" s="1" t="s">
        <v>9</v>
      </c>
      <c r="C4042" s="2" t="s">
        <v>4786</v>
      </c>
      <c r="D4042" s="2" t="s">
        <v>4787</v>
      </c>
      <c r="E4042" s="1">
        <v>0</v>
      </c>
      <c r="F4042" s="2" t="s">
        <v>2588</v>
      </c>
      <c r="H4042" s="1" t="str">
        <f t="shared" si="65"/>
        <v/>
      </c>
      <c r="K4042" s="1">
        <f>IF(E4042=0,SUMPRODUCT(($A$2:$A$4734=A4042)*($B$2:$B$4734=B4042)*($D$2:$D$4734=D4042)*($E$2:$E$4734=0)),0)</f>
        <v>6</v>
      </c>
      <c r="L4042" s="1">
        <f>IF(E4042=0,SUMPRODUCT(MIN($K$2:$K$4734+((($A$2:$A$4734&lt;&gt;A4042)+($E$2:$E$4734&lt;&gt;0))&gt;0)*1000000)),"")</f>
        <v>4</v>
      </c>
      <c r="M4042" s="1">
        <f>IF(AND(E4042=0,COUNTIFS($A$2:A4042,A4042,$E$2:E4042,0)=1),L4042,0)</f>
        <v>0</v>
      </c>
    </row>
    <row r="4043" spans="1:13" ht="15" customHeight="1">
      <c r="A4043" s="1">
        <v>209</v>
      </c>
      <c r="B4043" s="1" t="s">
        <v>9</v>
      </c>
      <c r="C4043" s="2" t="s">
        <v>4786</v>
      </c>
      <c r="D4043" s="2" t="s">
        <v>4787</v>
      </c>
      <c r="E4043" s="1">
        <v>0</v>
      </c>
      <c r="F4043" s="2" t="s">
        <v>4791</v>
      </c>
      <c r="H4043" s="1" t="str">
        <f t="shared" si="65"/>
        <v/>
      </c>
      <c r="K4043" s="1">
        <f>IF(E4043=0,SUMPRODUCT(($A$2:$A$4734=A4043)*($B$2:$B$4734=B4043)*($D$2:$D$4734=D4043)*($E$2:$E$4734=0)),0)</f>
        <v>6</v>
      </c>
      <c r="L4043" s="1">
        <f>IF(E4043=0,SUMPRODUCT(MIN($K$2:$K$4734+((($A$2:$A$4734&lt;&gt;A4043)+($E$2:$E$4734&lt;&gt;0))&gt;0)*1000000)),"")</f>
        <v>4</v>
      </c>
      <c r="M4043" s="1">
        <f>IF(AND(E4043=0,COUNTIFS($A$2:A4043,A4043,$E$2:E4043,0)=1),L4043,0)</f>
        <v>0</v>
      </c>
    </row>
    <row r="4044" spans="1:13" ht="15" customHeight="1">
      <c r="A4044" s="1">
        <v>209</v>
      </c>
      <c r="B4044" s="1" t="s">
        <v>16</v>
      </c>
      <c r="C4044" s="2" t="s">
        <v>4786</v>
      </c>
      <c r="D4044" s="2" t="s">
        <v>75</v>
      </c>
      <c r="E4044" s="1">
        <v>0</v>
      </c>
      <c r="F4044" s="2" t="s">
        <v>4792</v>
      </c>
      <c r="H4044" s="1" t="str">
        <f t="shared" si="65"/>
        <v/>
      </c>
      <c r="K4044" s="1">
        <f>IF(E4044=0,SUMPRODUCT(($A$2:$A$4734=A4044)*($B$2:$B$4734=B4044)*($D$2:$D$4734=D4044)*($E$2:$E$4734=0)),0)</f>
        <v>4</v>
      </c>
      <c r="L4044" s="1">
        <f>IF(E4044=0,SUMPRODUCT(MIN($K$2:$K$4734+((($A$2:$A$4734&lt;&gt;A4044)+($E$2:$E$4734&lt;&gt;0))&gt;0)*1000000)),"")</f>
        <v>4</v>
      </c>
      <c r="M4044" s="1">
        <f>IF(AND(E4044=0,COUNTIFS($A$2:A4044,A4044,$E$2:E4044,0)=1),L4044,0)</f>
        <v>0</v>
      </c>
    </row>
    <row r="4045" spans="1:13" ht="15" customHeight="1">
      <c r="A4045" s="1">
        <v>209</v>
      </c>
      <c r="B4045" s="1" t="s">
        <v>16</v>
      </c>
      <c r="C4045" s="2" t="s">
        <v>4786</v>
      </c>
      <c r="D4045" s="2" t="s">
        <v>75</v>
      </c>
      <c r="E4045" s="1">
        <v>0</v>
      </c>
      <c r="F4045" s="2" t="s">
        <v>4793</v>
      </c>
      <c r="H4045" s="1" t="str">
        <f t="shared" si="65"/>
        <v/>
      </c>
      <c r="K4045" s="1">
        <f>IF(E4045=0,SUMPRODUCT(($A$2:$A$4734=A4045)*($B$2:$B$4734=B4045)*($D$2:$D$4734=D4045)*($E$2:$E$4734=0)),0)</f>
        <v>4</v>
      </c>
      <c r="L4045" s="1">
        <f>IF(E4045=0,SUMPRODUCT(MIN($K$2:$K$4734+((($A$2:$A$4734&lt;&gt;A4045)+($E$2:$E$4734&lt;&gt;0))&gt;0)*1000000)),"")</f>
        <v>4</v>
      </c>
      <c r="M4045" s="1">
        <f>IF(AND(E4045=0,COUNTIFS($A$2:A4045,A4045,$E$2:E4045,0)=1),L4045,0)</f>
        <v>0</v>
      </c>
    </row>
    <row r="4046" spans="1:13" ht="15" customHeight="1">
      <c r="A4046" s="1">
        <v>209</v>
      </c>
      <c r="B4046" s="1" t="s">
        <v>16</v>
      </c>
      <c r="C4046" s="2" t="s">
        <v>4786</v>
      </c>
      <c r="D4046" s="2" t="s">
        <v>75</v>
      </c>
      <c r="E4046" s="1">
        <v>0</v>
      </c>
      <c r="F4046" s="2" t="s">
        <v>4794</v>
      </c>
      <c r="H4046" s="1" t="str">
        <f t="shared" si="65"/>
        <v/>
      </c>
      <c r="K4046" s="1">
        <f>IF(E4046=0,SUMPRODUCT(($A$2:$A$4734=A4046)*($B$2:$B$4734=B4046)*($D$2:$D$4734=D4046)*($E$2:$E$4734=0)),0)</f>
        <v>4</v>
      </c>
      <c r="L4046" s="1">
        <f>IF(E4046=0,SUMPRODUCT(MIN($K$2:$K$4734+((($A$2:$A$4734&lt;&gt;A4046)+($E$2:$E$4734&lt;&gt;0))&gt;0)*1000000)),"")</f>
        <v>4</v>
      </c>
      <c r="M4046" s="1">
        <f>IF(AND(E4046=0,COUNTIFS($A$2:A4046,A4046,$E$2:E4046,0)=1),L4046,0)</f>
        <v>0</v>
      </c>
    </row>
    <row r="4047" spans="1:13" ht="15" customHeight="1">
      <c r="A4047" s="1">
        <v>209</v>
      </c>
      <c r="B4047" s="1" t="s">
        <v>16</v>
      </c>
      <c r="C4047" s="2" t="s">
        <v>4786</v>
      </c>
      <c r="D4047" s="2" t="s">
        <v>75</v>
      </c>
      <c r="E4047" s="1">
        <v>0</v>
      </c>
      <c r="F4047" s="2" t="s">
        <v>4795</v>
      </c>
      <c r="H4047" s="1" t="str">
        <f t="shared" ref="H4047:H4105" si="66">IF(OR(E4047&lt;&gt;1,G4047=""),"","k"&amp;A4047&amp;"_"&amp;G4047)</f>
        <v/>
      </c>
      <c r="K4047" s="1">
        <f>IF(E4047=0,SUMPRODUCT(($A$2:$A$4734=A4047)*($B$2:$B$4734=B4047)*($D$2:$D$4734=D4047)*($E$2:$E$4734=0)),0)</f>
        <v>4</v>
      </c>
      <c r="L4047" s="1">
        <f>IF(E4047=0,SUMPRODUCT(MIN($K$2:$K$4734+((($A$2:$A$4734&lt;&gt;A4047)+($E$2:$E$4734&lt;&gt;0))&gt;0)*1000000)),"")</f>
        <v>4</v>
      </c>
      <c r="M4047" s="1">
        <f>IF(AND(E4047=0,COUNTIFS($A$2:A4047,A4047,$E$2:E4047,0)=1),L4047,0)</f>
        <v>0</v>
      </c>
    </row>
    <row r="4048" spans="1:13" ht="15" customHeight="1">
      <c r="A4048" s="1">
        <v>209</v>
      </c>
      <c r="B4048" s="1" t="s">
        <v>9</v>
      </c>
      <c r="C4048" s="2" t="s">
        <v>4786</v>
      </c>
      <c r="D4048" s="1" t="s">
        <v>4796</v>
      </c>
      <c r="E4048" s="1">
        <v>0</v>
      </c>
      <c r="F4048" s="2" t="s">
        <v>4797</v>
      </c>
      <c r="H4048" s="1" t="str">
        <f t="shared" si="66"/>
        <v/>
      </c>
      <c r="K4048" s="1">
        <f>IF(E4048=0,SUMPRODUCT(($A$2:$A$4734=A4048)*($B$2:$B$4734=B4048)*($D$2:$D$4734=D4048)*($E$2:$E$4734=0)),0)</f>
        <v>4</v>
      </c>
      <c r="L4048" s="1">
        <f>IF(E4048=0,SUMPRODUCT(MIN($K$2:$K$4734+((($A$2:$A$4734&lt;&gt;A4048)+($E$2:$E$4734&lt;&gt;0))&gt;0)*1000000)),"")</f>
        <v>4</v>
      </c>
      <c r="M4048" s="1">
        <f>IF(AND(E4048=0,COUNTIFS($A$2:A4048,A4048,$E$2:E4048,0)=1),L4048,0)</f>
        <v>0</v>
      </c>
    </row>
    <row r="4049" spans="1:13" ht="15" customHeight="1">
      <c r="A4049" s="1">
        <v>209</v>
      </c>
      <c r="B4049" s="1" t="s">
        <v>9</v>
      </c>
      <c r="C4049" s="2" t="s">
        <v>4786</v>
      </c>
      <c r="D4049" s="1" t="s">
        <v>4796</v>
      </c>
      <c r="E4049" s="1">
        <v>0</v>
      </c>
      <c r="F4049" s="2" t="s">
        <v>4798</v>
      </c>
      <c r="H4049" s="1" t="str">
        <f t="shared" si="66"/>
        <v/>
      </c>
      <c r="K4049" s="1">
        <f>IF(E4049=0,SUMPRODUCT(($A$2:$A$4734=A4049)*($B$2:$B$4734=B4049)*($D$2:$D$4734=D4049)*($E$2:$E$4734=0)),0)</f>
        <v>4</v>
      </c>
      <c r="L4049" s="1">
        <f>IF(E4049=0,SUMPRODUCT(MIN($K$2:$K$4734+((($A$2:$A$4734&lt;&gt;A4049)+($E$2:$E$4734&lt;&gt;0))&gt;0)*1000000)),"")</f>
        <v>4</v>
      </c>
      <c r="M4049" s="1">
        <f>IF(AND(E4049=0,COUNTIFS($A$2:A4049,A4049,$E$2:E4049,0)=1),L4049,0)</f>
        <v>0</v>
      </c>
    </row>
    <row r="4050" spans="1:13" ht="15" customHeight="1">
      <c r="A4050" s="1">
        <v>209</v>
      </c>
      <c r="B4050" s="1" t="s">
        <v>9</v>
      </c>
      <c r="C4050" s="2" t="s">
        <v>4786</v>
      </c>
      <c r="D4050" s="1" t="s">
        <v>4796</v>
      </c>
      <c r="E4050" s="1">
        <v>0</v>
      </c>
      <c r="F4050" s="2" t="s">
        <v>4799</v>
      </c>
      <c r="H4050" s="1" t="str">
        <f t="shared" si="66"/>
        <v/>
      </c>
      <c r="K4050" s="1">
        <f>IF(E4050=0,SUMPRODUCT(($A$2:$A$4734=A4050)*($B$2:$B$4734=B4050)*($D$2:$D$4734=D4050)*($E$2:$E$4734=0)),0)</f>
        <v>4</v>
      </c>
      <c r="L4050" s="1">
        <f>IF(E4050=0,SUMPRODUCT(MIN($K$2:$K$4734+((($A$2:$A$4734&lt;&gt;A4050)+($E$2:$E$4734&lt;&gt;0))&gt;0)*1000000)),"")</f>
        <v>4</v>
      </c>
      <c r="M4050" s="1">
        <f>IF(AND(E4050=0,COUNTIFS($A$2:A4050,A4050,$E$2:E4050,0)=1),L4050,0)</f>
        <v>0</v>
      </c>
    </row>
    <row r="4051" spans="1:13" ht="15" customHeight="1">
      <c r="A4051" s="1">
        <v>209</v>
      </c>
      <c r="B4051" s="1" t="s">
        <v>9</v>
      </c>
      <c r="C4051" s="2" t="s">
        <v>4786</v>
      </c>
      <c r="D4051" s="1" t="s">
        <v>4796</v>
      </c>
      <c r="E4051" s="1">
        <v>0</v>
      </c>
      <c r="F4051" s="2" t="s">
        <v>4800</v>
      </c>
      <c r="H4051" s="1" t="str">
        <f t="shared" si="66"/>
        <v/>
      </c>
      <c r="K4051" s="1">
        <f>IF(E4051=0,SUMPRODUCT(($A$2:$A$4734=A4051)*($B$2:$B$4734=B4051)*($D$2:$D$4734=D4051)*($E$2:$E$4734=0)),0)</f>
        <v>4</v>
      </c>
      <c r="L4051" s="1">
        <f>IF(E4051=0,SUMPRODUCT(MIN($K$2:$K$4734+((($A$2:$A$4734&lt;&gt;A4051)+($E$2:$E$4734&lt;&gt;0))&gt;0)*1000000)),"")</f>
        <v>4</v>
      </c>
      <c r="M4051" s="1">
        <f>IF(AND(E4051=0,COUNTIFS($A$2:A4051,A4051,$E$2:E4051,0)=1),L4051,0)</f>
        <v>0</v>
      </c>
    </row>
    <row r="4052" spans="1:13" ht="15" customHeight="1">
      <c r="A4052" s="1">
        <v>209</v>
      </c>
      <c r="B4052" s="1" t="s">
        <v>9</v>
      </c>
      <c r="C4052" s="2" t="s">
        <v>4786</v>
      </c>
      <c r="D4052" s="2" t="s">
        <v>4801</v>
      </c>
      <c r="E4052" s="1">
        <v>0</v>
      </c>
      <c r="F4052" s="2" t="s">
        <v>4802</v>
      </c>
      <c r="H4052" s="1" t="str">
        <f t="shared" si="66"/>
        <v/>
      </c>
      <c r="K4052" s="1">
        <f>IF(E4052=0,SUMPRODUCT(($A$2:$A$4734=A4052)*($B$2:$B$4734=B4052)*($D$2:$D$4734=D4052)*($E$2:$E$4734=0)),0)</f>
        <v>4</v>
      </c>
      <c r="L4052" s="1">
        <f>IF(E4052=0,SUMPRODUCT(MIN($K$2:$K$4734+((($A$2:$A$4734&lt;&gt;A4052)+($E$2:$E$4734&lt;&gt;0))&gt;0)*1000000)),"")</f>
        <v>4</v>
      </c>
      <c r="M4052" s="1">
        <f>IF(AND(E4052=0,COUNTIFS($A$2:A4052,A4052,$E$2:E4052,0)=1),L4052,0)</f>
        <v>0</v>
      </c>
    </row>
    <row r="4053" spans="1:13" ht="15" customHeight="1">
      <c r="A4053" s="1">
        <v>209</v>
      </c>
      <c r="B4053" s="1" t="s">
        <v>9</v>
      </c>
      <c r="C4053" s="2" t="s">
        <v>4786</v>
      </c>
      <c r="D4053" s="2" t="s">
        <v>4801</v>
      </c>
      <c r="E4053" s="1">
        <v>0</v>
      </c>
      <c r="F4053" s="2" t="s">
        <v>4803</v>
      </c>
      <c r="H4053" s="1" t="str">
        <f t="shared" si="66"/>
        <v/>
      </c>
      <c r="K4053" s="1">
        <f>IF(E4053=0,SUMPRODUCT(($A$2:$A$4734=A4053)*($B$2:$B$4734=B4053)*($D$2:$D$4734=D4053)*($E$2:$E$4734=0)),0)</f>
        <v>4</v>
      </c>
      <c r="L4053" s="1">
        <f>IF(E4053=0,SUMPRODUCT(MIN($K$2:$K$4734+((($A$2:$A$4734&lt;&gt;A4053)+($E$2:$E$4734&lt;&gt;0))&gt;0)*1000000)),"")</f>
        <v>4</v>
      </c>
      <c r="M4053" s="1">
        <f>IF(AND(E4053=0,COUNTIFS($A$2:A4053,A4053,$E$2:E4053,0)=1),L4053,0)</f>
        <v>0</v>
      </c>
    </row>
    <row r="4054" spans="1:13" ht="15" customHeight="1">
      <c r="A4054" s="1">
        <v>209</v>
      </c>
      <c r="B4054" s="1" t="s">
        <v>9</v>
      </c>
      <c r="C4054" s="2" t="s">
        <v>4786</v>
      </c>
      <c r="D4054" s="2" t="s">
        <v>4801</v>
      </c>
      <c r="E4054" s="1">
        <v>0</v>
      </c>
      <c r="F4054" s="2" t="s">
        <v>4804</v>
      </c>
      <c r="H4054" s="1" t="str">
        <f t="shared" si="66"/>
        <v/>
      </c>
      <c r="K4054" s="1">
        <f>IF(E4054=0,SUMPRODUCT(($A$2:$A$4734=A4054)*($B$2:$B$4734=B4054)*($D$2:$D$4734=D4054)*($E$2:$E$4734=0)),0)</f>
        <v>4</v>
      </c>
      <c r="L4054" s="1">
        <f>IF(E4054=0,SUMPRODUCT(MIN($K$2:$K$4734+((($A$2:$A$4734&lt;&gt;A4054)+($E$2:$E$4734&lt;&gt;0))&gt;0)*1000000)),"")</f>
        <v>4</v>
      </c>
      <c r="M4054" s="1">
        <f>IF(AND(E4054=0,COUNTIFS($A$2:A4054,A4054,$E$2:E4054,0)=1),L4054,0)</f>
        <v>0</v>
      </c>
    </row>
    <row r="4055" spans="1:13" ht="15" customHeight="1">
      <c r="A4055" s="1">
        <v>209</v>
      </c>
      <c r="B4055" s="1" t="s">
        <v>9</v>
      </c>
      <c r="C4055" s="2" t="s">
        <v>4786</v>
      </c>
      <c r="D4055" s="2" t="s">
        <v>4801</v>
      </c>
      <c r="E4055" s="1">
        <v>0</v>
      </c>
      <c r="F4055" s="2" t="s">
        <v>4805</v>
      </c>
      <c r="H4055" s="1" t="str">
        <f t="shared" si="66"/>
        <v/>
      </c>
      <c r="K4055" s="1">
        <f>IF(E4055=0,SUMPRODUCT(($A$2:$A$4734=A4055)*($B$2:$B$4734=B4055)*($D$2:$D$4734=D4055)*($E$2:$E$4734=0)),0)</f>
        <v>4</v>
      </c>
      <c r="L4055" s="1">
        <f>IF(E4055=0,SUMPRODUCT(MIN($K$2:$K$4734+((($A$2:$A$4734&lt;&gt;A4055)+($E$2:$E$4734&lt;&gt;0))&gt;0)*1000000)),"")</f>
        <v>4</v>
      </c>
      <c r="M4055" s="1">
        <f>IF(AND(E4055=0,COUNTIFS($A$2:A4055,A4055,$E$2:E4055,0)=1),L4055,0)</f>
        <v>0</v>
      </c>
    </row>
    <row r="4056" spans="1:13" ht="15" customHeight="1">
      <c r="A4056" s="1">
        <v>210</v>
      </c>
      <c r="B4056" s="1" t="s">
        <v>16</v>
      </c>
      <c r="C4056" s="2" t="s">
        <v>4806</v>
      </c>
      <c r="D4056" s="2" t="s">
        <v>993</v>
      </c>
      <c r="E4056" s="1">
        <v>1</v>
      </c>
      <c r="F4056" s="2" t="s">
        <v>3131</v>
      </c>
      <c r="G4056" s="1">
        <v>1</v>
      </c>
      <c r="H4056" s="1" t="str">
        <f t="shared" si="66"/>
        <v>k210_1</v>
      </c>
      <c r="K4056" s="1">
        <f>IF(E4056=0,SUMPRODUCT(($A$2:$A$4734=A4056)*($B$2:$B$4734=B4056)*($D$2:$D$4734=D4056)*($E$2:$E$4734=0)),0)</f>
        <v>0</v>
      </c>
      <c r="L4056" s="1" t="str">
        <f>IF(E4056=0,SUMPRODUCT(MIN($K$2:$K$4734+((($A$2:$A$4734&lt;&gt;A4056)+($E$2:$E$4734&lt;&gt;0))&gt;0)*1000000)),"")</f>
        <v/>
      </c>
      <c r="M4056" s="1">
        <f>IF(AND(E4056=0,COUNTIFS($A$2:A4056,A4056,$E$2:E4056,0)=1),L4056,0)</f>
        <v>0</v>
      </c>
    </row>
    <row r="4057" spans="1:13" ht="15" customHeight="1">
      <c r="A4057" s="1">
        <v>210</v>
      </c>
      <c r="B4057" s="1" t="s">
        <v>16</v>
      </c>
      <c r="C4057" s="2" t="s">
        <v>4806</v>
      </c>
      <c r="D4057" s="2" t="s">
        <v>993</v>
      </c>
      <c r="E4057" s="1">
        <v>1</v>
      </c>
      <c r="F4057" s="2" t="s">
        <v>995</v>
      </c>
      <c r="G4057" s="1">
        <v>2</v>
      </c>
      <c r="H4057" s="1" t="str">
        <f t="shared" si="66"/>
        <v>k210_2</v>
      </c>
      <c r="K4057" s="1">
        <f>IF(E4057=0,SUMPRODUCT(($A$2:$A$4734=A4057)*($B$2:$B$4734=B4057)*($D$2:$D$4734=D4057)*($E$2:$E$4734=0)),0)</f>
        <v>0</v>
      </c>
      <c r="L4057" s="1" t="str">
        <f>IF(E4057=0,SUMPRODUCT(MIN($K$2:$K$4734+((($A$2:$A$4734&lt;&gt;A4057)+($E$2:$E$4734&lt;&gt;0))&gt;0)*1000000)),"")</f>
        <v/>
      </c>
      <c r="M4057" s="1">
        <f>IF(AND(E4057=0,COUNTIFS($A$2:A4057,A4057,$E$2:E4057,0)=1),L4057,0)</f>
        <v>0</v>
      </c>
    </row>
    <row r="4058" spans="1:13" ht="15" customHeight="1">
      <c r="A4058" s="1">
        <v>210</v>
      </c>
      <c r="B4058" s="1" t="s">
        <v>16</v>
      </c>
      <c r="C4058" s="2" t="s">
        <v>4806</v>
      </c>
      <c r="D4058" s="2" t="s">
        <v>993</v>
      </c>
      <c r="E4058" s="1">
        <v>1</v>
      </c>
      <c r="F4058" s="2" t="s">
        <v>3411</v>
      </c>
      <c r="G4058" s="1">
        <v>3</v>
      </c>
      <c r="H4058" s="1" t="str">
        <f t="shared" si="66"/>
        <v>k210_3</v>
      </c>
      <c r="K4058" s="1">
        <f>IF(E4058=0,SUMPRODUCT(($A$2:$A$4734=A4058)*($B$2:$B$4734=B4058)*($D$2:$D$4734=D4058)*($E$2:$E$4734=0)),0)</f>
        <v>0</v>
      </c>
      <c r="L4058" s="1" t="str">
        <f>IF(E4058=0,SUMPRODUCT(MIN($K$2:$K$4734+((($A$2:$A$4734&lt;&gt;A4058)+($E$2:$E$4734&lt;&gt;0))&gt;0)*1000000)),"")</f>
        <v/>
      </c>
      <c r="M4058" s="1">
        <f>IF(AND(E4058=0,COUNTIFS($A$2:A4058,A4058,$E$2:E4058,0)=1),L4058,0)</f>
        <v>0</v>
      </c>
    </row>
    <row r="4059" spans="1:13" ht="15" customHeight="1">
      <c r="A4059" s="1">
        <v>210</v>
      </c>
      <c r="B4059" s="1" t="s">
        <v>16</v>
      </c>
      <c r="C4059" s="2" t="s">
        <v>4806</v>
      </c>
      <c r="D4059" s="2" t="s">
        <v>993</v>
      </c>
      <c r="E4059" s="1">
        <v>1</v>
      </c>
      <c r="F4059" s="2" t="s">
        <v>994</v>
      </c>
      <c r="G4059" s="1">
        <v>4</v>
      </c>
      <c r="H4059" s="1" t="str">
        <f t="shared" si="66"/>
        <v>k210_4</v>
      </c>
      <c r="K4059" s="1">
        <f>IF(E4059=0,SUMPRODUCT(($A$2:$A$4734=A4059)*($B$2:$B$4734=B4059)*($D$2:$D$4734=D4059)*($E$2:$E$4734=0)),0)</f>
        <v>0</v>
      </c>
      <c r="L4059" s="1" t="str">
        <f>IF(E4059=0,SUMPRODUCT(MIN($K$2:$K$4734+((($A$2:$A$4734&lt;&gt;A4059)+($E$2:$E$4734&lt;&gt;0))&gt;0)*1000000)),"")</f>
        <v/>
      </c>
      <c r="M4059" s="1">
        <f>IF(AND(E4059=0,COUNTIFS($A$2:A4059,A4059,$E$2:E4059,0)=1),L4059,0)</f>
        <v>0</v>
      </c>
    </row>
    <row r="4060" spans="1:13" ht="15" customHeight="1">
      <c r="A4060" s="1">
        <v>210</v>
      </c>
      <c r="B4060" s="1" t="s">
        <v>167</v>
      </c>
      <c r="C4060" s="2" t="s">
        <v>4806</v>
      </c>
      <c r="D4060" s="1" t="s">
        <v>3655</v>
      </c>
      <c r="E4060" s="1">
        <v>1</v>
      </c>
      <c r="F4060" s="2" t="s">
        <v>4807</v>
      </c>
      <c r="G4060" s="1">
        <v>1</v>
      </c>
      <c r="H4060" s="1" t="str">
        <f t="shared" si="66"/>
        <v>k210_1</v>
      </c>
      <c r="K4060" s="1">
        <f>IF(E4060=0,SUMPRODUCT(($A$2:$A$4734=A4060)*($B$2:$B$4734=B4060)*($D$2:$D$4734=D4060)*($E$2:$E$4734=0)),0)</f>
        <v>0</v>
      </c>
      <c r="L4060" s="1" t="str">
        <f>IF(E4060=0,SUMPRODUCT(MIN($K$2:$K$4734+((($A$2:$A$4734&lt;&gt;A4060)+($E$2:$E$4734&lt;&gt;0))&gt;0)*1000000)),"")</f>
        <v/>
      </c>
      <c r="M4060" s="1">
        <f>IF(AND(E4060=0,COUNTIFS($A$2:A4060,A4060,$E$2:E4060,0)=1),L4060,0)</f>
        <v>0</v>
      </c>
    </row>
    <row r="4061" spans="1:13" ht="15" customHeight="1">
      <c r="A4061" s="1">
        <v>210</v>
      </c>
      <c r="B4061" s="1" t="s">
        <v>167</v>
      </c>
      <c r="C4061" s="2" t="s">
        <v>4806</v>
      </c>
      <c r="D4061" s="1" t="s">
        <v>3655</v>
      </c>
      <c r="E4061" s="1">
        <v>1</v>
      </c>
      <c r="F4061" s="2" t="s">
        <v>4808</v>
      </c>
      <c r="G4061" s="1">
        <v>2</v>
      </c>
      <c r="H4061" s="1" t="str">
        <f t="shared" si="66"/>
        <v>k210_2</v>
      </c>
      <c r="K4061" s="1">
        <f>IF(E4061=0,SUMPRODUCT(($A$2:$A$4734=A4061)*($B$2:$B$4734=B4061)*($D$2:$D$4734=D4061)*($E$2:$E$4734=0)),0)</f>
        <v>0</v>
      </c>
      <c r="L4061" s="1" t="str">
        <f>IF(E4061=0,SUMPRODUCT(MIN($K$2:$K$4734+((($A$2:$A$4734&lt;&gt;A4061)+($E$2:$E$4734&lt;&gt;0))&gt;0)*1000000)),"")</f>
        <v/>
      </c>
      <c r="M4061" s="1">
        <f>IF(AND(E4061=0,COUNTIFS($A$2:A4061,A4061,$E$2:E4061,0)=1),L4061,0)</f>
        <v>0</v>
      </c>
    </row>
    <row r="4062" spans="1:13" ht="15" customHeight="1">
      <c r="A4062" s="1">
        <v>210</v>
      </c>
      <c r="B4062" s="1" t="s">
        <v>167</v>
      </c>
      <c r="C4062" s="2" t="s">
        <v>4806</v>
      </c>
      <c r="D4062" s="1" t="s">
        <v>3655</v>
      </c>
      <c r="E4062" s="1">
        <v>1</v>
      </c>
      <c r="F4062" s="2" t="s">
        <v>4809</v>
      </c>
      <c r="G4062" s="1">
        <v>3</v>
      </c>
      <c r="H4062" s="1" t="str">
        <f t="shared" si="66"/>
        <v>k210_3</v>
      </c>
      <c r="K4062" s="1">
        <f>IF(E4062=0,SUMPRODUCT(($A$2:$A$4734=A4062)*($B$2:$B$4734=B4062)*($D$2:$D$4734=D4062)*($E$2:$E$4734=0)),0)</f>
        <v>0</v>
      </c>
      <c r="L4062" s="1" t="str">
        <f>IF(E4062=0,SUMPRODUCT(MIN($K$2:$K$4734+((($A$2:$A$4734&lt;&gt;A4062)+($E$2:$E$4734&lt;&gt;0))&gt;0)*1000000)),"")</f>
        <v/>
      </c>
      <c r="M4062" s="1">
        <f>IF(AND(E4062=0,COUNTIFS($A$2:A4062,A4062,$E$2:E4062,0)=1),L4062,0)</f>
        <v>0</v>
      </c>
    </row>
    <row r="4063" spans="1:13" ht="15" customHeight="1">
      <c r="A4063" s="1">
        <v>210</v>
      </c>
      <c r="B4063" s="1" t="s">
        <v>167</v>
      </c>
      <c r="C4063" s="2" t="s">
        <v>4806</v>
      </c>
      <c r="D4063" s="1" t="s">
        <v>3655</v>
      </c>
      <c r="E4063" s="1">
        <v>1</v>
      </c>
      <c r="F4063" s="2" t="s">
        <v>4810</v>
      </c>
      <c r="G4063" s="1">
        <v>4</v>
      </c>
      <c r="H4063" s="1" t="str">
        <f t="shared" si="66"/>
        <v>k210_4</v>
      </c>
      <c r="K4063" s="1">
        <f>IF(E4063=0,SUMPRODUCT(($A$2:$A$4734=A4063)*($B$2:$B$4734=B4063)*($D$2:$D$4734=D4063)*($E$2:$E$4734=0)),0)</f>
        <v>0</v>
      </c>
      <c r="L4063" s="1" t="str">
        <f>IF(E4063=0,SUMPRODUCT(MIN($K$2:$K$4734+((($A$2:$A$4734&lt;&gt;A4063)+($E$2:$E$4734&lt;&gt;0))&gt;0)*1000000)),"")</f>
        <v/>
      </c>
      <c r="M4063" s="1">
        <f>IF(AND(E4063=0,COUNTIFS($A$2:A4063,A4063,$E$2:E4063,0)=1),L4063,0)</f>
        <v>0</v>
      </c>
    </row>
    <row r="4064" spans="1:13" ht="15" customHeight="1">
      <c r="A4064" s="1">
        <v>211</v>
      </c>
      <c r="B4064" s="1" t="s">
        <v>69</v>
      </c>
      <c r="C4064" s="2" t="s">
        <v>4811</v>
      </c>
      <c r="D4064" s="2" t="s">
        <v>4812</v>
      </c>
      <c r="E4064" s="1">
        <v>1</v>
      </c>
      <c r="F4064" s="2" t="s">
        <v>4813</v>
      </c>
      <c r="G4064" s="1">
        <v>1</v>
      </c>
      <c r="H4064" s="1" t="str">
        <f t="shared" si="66"/>
        <v>k211_1</v>
      </c>
      <c r="K4064" s="1">
        <f>IF(E4064=0,SUMPRODUCT(($A$2:$A$4734=A4064)*($B$2:$B$4734=B4064)*($D$2:$D$4734=D4064)*($E$2:$E$4734=0)),0)</f>
        <v>0</v>
      </c>
      <c r="L4064" s="1" t="str">
        <f>IF(E4064=0,SUMPRODUCT(MIN($K$2:$K$4734+((($A$2:$A$4734&lt;&gt;A4064)+($E$2:$E$4734&lt;&gt;0))&gt;0)*1000000)),"")</f>
        <v/>
      </c>
      <c r="M4064" s="1">
        <f>IF(AND(E4064=0,COUNTIFS($A$2:A4064,A4064,$E$2:E4064,0)=1),L4064,0)</f>
        <v>0</v>
      </c>
    </row>
    <row r="4065" spans="1:13" ht="15" customHeight="1">
      <c r="A4065" s="1">
        <v>211</v>
      </c>
      <c r="B4065" s="1" t="s">
        <v>69</v>
      </c>
      <c r="C4065" s="2" t="s">
        <v>4811</v>
      </c>
      <c r="D4065" s="2" t="s">
        <v>4812</v>
      </c>
      <c r="E4065" s="1">
        <v>1</v>
      </c>
      <c r="F4065" s="2" t="s">
        <v>4814</v>
      </c>
      <c r="G4065" s="1">
        <v>2</v>
      </c>
      <c r="H4065" s="1" t="str">
        <f t="shared" si="66"/>
        <v>k211_2</v>
      </c>
      <c r="K4065" s="1">
        <f>IF(E4065=0,SUMPRODUCT(($A$2:$A$4734=A4065)*($B$2:$B$4734=B4065)*($D$2:$D$4734=D4065)*($E$2:$E$4734=0)),0)</f>
        <v>0</v>
      </c>
      <c r="L4065" s="1" t="str">
        <f>IF(E4065=0,SUMPRODUCT(MIN($K$2:$K$4734+((($A$2:$A$4734&lt;&gt;A4065)+($E$2:$E$4734&lt;&gt;0))&gt;0)*1000000)),"")</f>
        <v/>
      </c>
      <c r="M4065" s="1">
        <f>IF(AND(E4065=0,COUNTIFS($A$2:A4065,A4065,$E$2:E4065,0)=1),L4065,0)</f>
        <v>0</v>
      </c>
    </row>
    <row r="4066" spans="1:13" ht="15" customHeight="1">
      <c r="A4066" s="1">
        <v>211</v>
      </c>
      <c r="B4066" s="1" t="s">
        <v>69</v>
      </c>
      <c r="C4066" s="2" t="s">
        <v>4811</v>
      </c>
      <c r="D4066" s="2" t="s">
        <v>4812</v>
      </c>
      <c r="E4066" s="1">
        <v>1</v>
      </c>
      <c r="F4066" s="2" t="s">
        <v>4815</v>
      </c>
      <c r="G4066" s="1">
        <v>3</v>
      </c>
      <c r="H4066" s="1" t="str">
        <f t="shared" si="66"/>
        <v>k211_3</v>
      </c>
      <c r="K4066" s="1">
        <f>IF(E4066=0,SUMPRODUCT(($A$2:$A$4734=A4066)*($B$2:$B$4734=B4066)*($D$2:$D$4734=D4066)*($E$2:$E$4734=0)),0)</f>
        <v>0</v>
      </c>
      <c r="L4066" s="1" t="str">
        <f>IF(E4066=0,SUMPRODUCT(MIN($K$2:$K$4734+((($A$2:$A$4734&lt;&gt;A4066)+($E$2:$E$4734&lt;&gt;0))&gt;0)*1000000)),"")</f>
        <v/>
      </c>
      <c r="M4066" s="1">
        <f>IF(AND(E4066=0,COUNTIFS($A$2:A4066,A4066,$E$2:E4066,0)=1),L4066,0)</f>
        <v>0</v>
      </c>
    </row>
    <row r="4067" spans="1:13" ht="15" customHeight="1">
      <c r="A4067" s="1">
        <v>211</v>
      </c>
      <c r="B4067" s="1" t="s">
        <v>69</v>
      </c>
      <c r="C4067" s="2" t="s">
        <v>4811</v>
      </c>
      <c r="D4067" s="2" t="s">
        <v>4812</v>
      </c>
      <c r="E4067" s="1">
        <v>1</v>
      </c>
      <c r="F4067" s="2" t="s">
        <v>4816</v>
      </c>
      <c r="G4067" s="1">
        <v>4</v>
      </c>
      <c r="H4067" s="1" t="str">
        <f t="shared" si="66"/>
        <v>k211_4</v>
      </c>
      <c r="K4067" s="1">
        <f>IF(E4067=0,SUMPRODUCT(($A$2:$A$4734=A4067)*($B$2:$B$4734=B4067)*($D$2:$D$4734=D4067)*($E$2:$E$4734=0)),0)</f>
        <v>0</v>
      </c>
      <c r="L4067" s="1" t="str">
        <f>IF(E4067=0,SUMPRODUCT(MIN($K$2:$K$4734+((($A$2:$A$4734&lt;&gt;A4067)+($E$2:$E$4734&lt;&gt;0))&gt;0)*1000000)),"")</f>
        <v/>
      </c>
      <c r="M4067" s="1">
        <f>IF(AND(E4067=0,COUNTIFS($A$2:A4067,A4067,$E$2:E4067,0)=1),L4067,0)</f>
        <v>0</v>
      </c>
    </row>
    <row r="4068" spans="1:13" ht="15" customHeight="1">
      <c r="A4068" s="1">
        <v>211</v>
      </c>
      <c r="B4068" s="1" t="s">
        <v>69</v>
      </c>
      <c r="C4068" s="2" t="s">
        <v>4811</v>
      </c>
      <c r="D4068" s="2" t="s">
        <v>4812</v>
      </c>
      <c r="E4068" s="1">
        <v>1</v>
      </c>
      <c r="F4068" s="2" t="s">
        <v>4817</v>
      </c>
      <c r="G4068" s="1">
        <v>5</v>
      </c>
      <c r="H4068" s="1" t="str">
        <f t="shared" si="66"/>
        <v>k211_5</v>
      </c>
      <c r="K4068" s="1">
        <f>IF(E4068=0,SUMPRODUCT(($A$2:$A$4734=A4068)*($B$2:$B$4734=B4068)*($D$2:$D$4734=D4068)*($E$2:$E$4734=0)),0)</f>
        <v>0</v>
      </c>
      <c r="L4068" s="1" t="str">
        <f>IF(E4068=0,SUMPRODUCT(MIN($K$2:$K$4734+((($A$2:$A$4734&lt;&gt;A4068)+($E$2:$E$4734&lt;&gt;0))&gt;0)*1000000)),"")</f>
        <v/>
      </c>
      <c r="M4068" s="1">
        <f>IF(AND(E4068=0,COUNTIFS($A$2:A4068,A4068,$E$2:E4068,0)=1),L4068,0)</f>
        <v>0</v>
      </c>
    </row>
    <row r="4069" spans="1:13" ht="15" customHeight="1">
      <c r="A4069" s="1">
        <v>212</v>
      </c>
      <c r="B4069" s="1" t="s">
        <v>16</v>
      </c>
      <c r="C4069" s="2" t="s">
        <v>4818</v>
      </c>
      <c r="D4069" s="2" t="s">
        <v>4819</v>
      </c>
      <c r="E4069" s="1">
        <v>1</v>
      </c>
      <c r="F4069" s="2" t="s">
        <v>4820</v>
      </c>
      <c r="G4069" s="1">
        <v>1</v>
      </c>
      <c r="H4069" s="1" t="str">
        <f t="shared" si="66"/>
        <v>k212_1</v>
      </c>
      <c r="K4069" s="1">
        <f>IF(E4069=0,SUMPRODUCT(($A$2:$A$4734=A4069)*($B$2:$B$4734=B4069)*($D$2:$D$4734=D4069)*($E$2:$E$4734=0)),0)</f>
        <v>0</v>
      </c>
      <c r="L4069" s="1" t="str">
        <f>IF(E4069=0,SUMPRODUCT(MIN($K$2:$K$4734+((($A$2:$A$4734&lt;&gt;A4069)+($E$2:$E$4734&lt;&gt;0))&gt;0)*1000000)),"")</f>
        <v/>
      </c>
      <c r="M4069" s="1">
        <f>IF(AND(E4069=0,COUNTIFS($A$2:A4069,A4069,$E$2:E4069,0)=1),L4069,0)</f>
        <v>0</v>
      </c>
    </row>
    <row r="4070" spans="1:13" ht="15" customHeight="1">
      <c r="A4070" s="1">
        <v>212</v>
      </c>
      <c r="B4070" s="1" t="s">
        <v>16</v>
      </c>
      <c r="C4070" s="2" t="s">
        <v>4818</v>
      </c>
      <c r="D4070" s="2" t="s">
        <v>4819</v>
      </c>
      <c r="E4070" s="1">
        <v>1</v>
      </c>
      <c r="F4070" s="2" t="s">
        <v>4821</v>
      </c>
      <c r="G4070" s="1">
        <v>2</v>
      </c>
      <c r="H4070" s="1" t="str">
        <f t="shared" si="66"/>
        <v>k212_2</v>
      </c>
      <c r="K4070" s="1">
        <f>IF(E4070=0,SUMPRODUCT(($A$2:$A$4734=A4070)*($B$2:$B$4734=B4070)*($D$2:$D$4734=D4070)*($E$2:$E$4734=0)),0)</f>
        <v>0</v>
      </c>
      <c r="L4070" s="1" t="str">
        <f>IF(E4070=0,SUMPRODUCT(MIN($K$2:$K$4734+((($A$2:$A$4734&lt;&gt;A4070)+($E$2:$E$4734&lt;&gt;0))&gt;0)*1000000)),"")</f>
        <v/>
      </c>
      <c r="M4070" s="1">
        <f>IF(AND(E4070=0,COUNTIFS($A$2:A4070,A4070,$E$2:E4070,0)=1),L4070,0)</f>
        <v>0</v>
      </c>
    </row>
    <row r="4071" spans="1:13" ht="15" customHeight="1">
      <c r="A4071" s="1">
        <v>212</v>
      </c>
      <c r="B4071" s="1" t="s">
        <v>16</v>
      </c>
      <c r="C4071" s="2" t="s">
        <v>4818</v>
      </c>
      <c r="D4071" s="2" t="s">
        <v>4819</v>
      </c>
      <c r="E4071" s="1">
        <v>1</v>
      </c>
      <c r="F4071" s="2" t="s">
        <v>4822</v>
      </c>
      <c r="G4071" s="1">
        <v>3</v>
      </c>
      <c r="H4071" s="1" t="str">
        <f t="shared" si="66"/>
        <v>k212_3</v>
      </c>
      <c r="K4071" s="1">
        <f>IF(E4071=0,SUMPRODUCT(($A$2:$A$4734=A4071)*($B$2:$B$4734=B4071)*($D$2:$D$4734=D4071)*($E$2:$E$4734=0)),0)</f>
        <v>0</v>
      </c>
      <c r="L4071" s="1" t="str">
        <f>IF(E4071=0,SUMPRODUCT(MIN($K$2:$K$4734+((($A$2:$A$4734&lt;&gt;A4071)+($E$2:$E$4734&lt;&gt;0))&gt;0)*1000000)),"")</f>
        <v/>
      </c>
      <c r="M4071" s="1">
        <f>IF(AND(E4071=0,COUNTIFS($A$2:A4071,A4071,$E$2:E4071,0)=1),L4071,0)</f>
        <v>0</v>
      </c>
    </row>
    <row r="4072" spans="1:13" ht="15" customHeight="1">
      <c r="A4072" s="1">
        <v>212</v>
      </c>
      <c r="B4072" s="1" t="s">
        <v>16</v>
      </c>
      <c r="C4072" s="2" t="s">
        <v>4818</v>
      </c>
      <c r="D4072" s="2" t="s">
        <v>4819</v>
      </c>
      <c r="E4072" s="1">
        <v>1</v>
      </c>
      <c r="F4072" s="2" t="s">
        <v>4823</v>
      </c>
      <c r="G4072" s="1">
        <v>4</v>
      </c>
      <c r="H4072" s="1" t="str">
        <f t="shared" si="66"/>
        <v>k212_4</v>
      </c>
      <c r="K4072" s="1">
        <f>IF(E4072=0,SUMPRODUCT(($A$2:$A$4734=A4072)*($B$2:$B$4734=B4072)*($D$2:$D$4734=D4072)*($E$2:$E$4734=0)),0)</f>
        <v>0</v>
      </c>
      <c r="L4072" s="1" t="str">
        <f>IF(E4072=0,SUMPRODUCT(MIN($K$2:$K$4734+((($A$2:$A$4734&lt;&gt;A4072)+($E$2:$E$4734&lt;&gt;0))&gt;0)*1000000)),"")</f>
        <v/>
      </c>
      <c r="M4072" s="1">
        <f>IF(AND(E4072=0,COUNTIFS($A$2:A4072,A4072,$E$2:E4072,0)=1),L4072,0)</f>
        <v>0</v>
      </c>
    </row>
    <row r="4073" spans="1:13" ht="15" customHeight="1">
      <c r="A4073" s="1">
        <v>212</v>
      </c>
      <c r="B4073" s="1" t="s">
        <v>16</v>
      </c>
      <c r="C4073" s="2" t="s">
        <v>4818</v>
      </c>
      <c r="D4073" s="2" t="s">
        <v>4819</v>
      </c>
      <c r="E4073" s="1">
        <v>1</v>
      </c>
      <c r="F4073" s="2" t="s">
        <v>4824</v>
      </c>
      <c r="G4073" s="1">
        <v>5</v>
      </c>
      <c r="H4073" s="1" t="str">
        <f t="shared" si="66"/>
        <v>k212_5</v>
      </c>
      <c r="K4073" s="1">
        <f>IF(E4073=0,SUMPRODUCT(($A$2:$A$4734=A4073)*($B$2:$B$4734=B4073)*($D$2:$D$4734=D4073)*($E$2:$E$4734=0)),0)</f>
        <v>0</v>
      </c>
      <c r="L4073" s="1" t="str">
        <f>IF(E4073=0,SUMPRODUCT(MIN($K$2:$K$4734+((($A$2:$A$4734&lt;&gt;A4073)+($E$2:$E$4734&lt;&gt;0))&gt;0)*1000000)),"")</f>
        <v/>
      </c>
      <c r="M4073" s="1">
        <f>IF(AND(E4073=0,COUNTIFS($A$2:A4073,A4073,$E$2:E4073,0)=1),L4073,0)</f>
        <v>0</v>
      </c>
    </row>
    <row r="4074" spans="1:13" ht="15" customHeight="1">
      <c r="A4074" s="1">
        <v>212</v>
      </c>
      <c r="B4074" s="1" t="s">
        <v>167</v>
      </c>
      <c r="C4074" s="2" t="s">
        <v>4818</v>
      </c>
      <c r="D4074" s="1" t="s">
        <v>4825</v>
      </c>
      <c r="E4074" s="1">
        <v>1</v>
      </c>
      <c r="F4074" s="2" t="s">
        <v>4826</v>
      </c>
      <c r="G4074" s="1">
        <v>1</v>
      </c>
      <c r="H4074" s="1" t="str">
        <f t="shared" si="66"/>
        <v>k212_1</v>
      </c>
      <c r="K4074" s="1">
        <f>IF(E4074=0,SUMPRODUCT(($A$2:$A$4734=A4074)*($B$2:$B$4734=B4074)*($D$2:$D$4734=D4074)*($E$2:$E$4734=0)),0)</f>
        <v>0</v>
      </c>
      <c r="L4074" s="1" t="str">
        <f>IF(E4074=0,SUMPRODUCT(MIN($K$2:$K$4734+((($A$2:$A$4734&lt;&gt;A4074)+($E$2:$E$4734&lt;&gt;0))&gt;0)*1000000)),"")</f>
        <v/>
      </c>
      <c r="M4074" s="1">
        <f>IF(AND(E4074=0,COUNTIFS($A$2:A4074,A4074,$E$2:E4074,0)=1),L4074,0)</f>
        <v>0</v>
      </c>
    </row>
    <row r="4075" spans="1:13" ht="15" customHeight="1">
      <c r="A4075" s="1">
        <v>212</v>
      </c>
      <c r="B4075" s="1" t="s">
        <v>167</v>
      </c>
      <c r="C4075" s="2" t="s">
        <v>4818</v>
      </c>
      <c r="D4075" s="1" t="s">
        <v>4825</v>
      </c>
      <c r="E4075" s="1">
        <v>1</v>
      </c>
      <c r="F4075" s="2" t="s">
        <v>4827</v>
      </c>
      <c r="G4075" s="1">
        <v>2</v>
      </c>
      <c r="H4075" s="1" t="str">
        <f t="shared" si="66"/>
        <v>k212_2</v>
      </c>
      <c r="K4075" s="1">
        <f>IF(E4075=0,SUMPRODUCT(($A$2:$A$4734=A4075)*($B$2:$B$4734=B4075)*($D$2:$D$4734=D4075)*($E$2:$E$4734=0)),0)</f>
        <v>0</v>
      </c>
      <c r="L4075" s="1" t="str">
        <f>IF(E4075=0,SUMPRODUCT(MIN($K$2:$K$4734+((($A$2:$A$4734&lt;&gt;A4075)+($E$2:$E$4734&lt;&gt;0))&gt;0)*1000000)),"")</f>
        <v/>
      </c>
      <c r="M4075" s="1">
        <f>IF(AND(E4075=0,COUNTIFS($A$2:A4075,A4075,$E$2:E4075,0)=1),L4075,0)</f>
        <v>0</v>
      </c>
    </row>
    <row r="4076" spans="1:13" ht="15" customHeight="1">
      <c r="A4076" s="1">
        <v>212</v>
      </c>
      <c r="B4076" s="1" t="s">
        <v>167</v>
      </c>
      <c r="C4076" s="2" t="s">
        <v>4818</v>
      </c>
      <c r="D4076" s="1" t="s">
        <v>4825</v>
      </c>
      <c r="E4076" s="1">
        <v>1</v>
      </c>
      <c r="F4076" s="2" t="s">
        <v>4828</v>
      </c>
      <c r="G4076" s="1">
        <v>3</v>
      </c>
      <c r="H4076" s="1" t="str">
        <f t="shared" si="66"/>
        <v>k212_3</v>
      </c>
      <c r="K4076" s="1">
        <f>IF(E4076=0,SUMPRODUCT(($A$2:$A$4734=A4076)*($B$2:$B$4734=B4076)*($D$2:$D$4734=D4076)*($E$2:$E$4734=0)),0)</f>
        <v>0</v>
      </c>
      <c r="L4076" s="1" t="str">
        <f>IF(E4076=0,SUMPRODUCT(MIN($K$2:$K$4734+((($A$2:$A$4734&lt;&gt;A4076)+($E$2:$E$4734&lt;&gt;0))&gt;0)*1000000)),"")</f>
        <v/>
      </c>
      <c r="M4076" s="1">
        <f>IF(AND(E4076=0,COUNTIFS($A$2:A4076,A4076,$E$2:E4076,0)=1),L4076,0)</f>
        <v>0</v>
      </c>
    </row>
    <row r="4077" spans="1:13" ht="15" customHeight="1">
      <c r="A4077" s="1">
        <v>212</v>
      </c>
      <c r="B4077" s="1" t="s">
        <v>167</v>
      </c>
      <c r="C4077" s="2" t="s">
        <v>4818</v>
      </c>
      <c r="D4077" s="1" t="s">
        <v>4825</v>
      </c>
      <c r="E4077" s="1">
        <v>1</v>
      </c>
      <c r="F4077" s="2" t="s">
        <v>4829</v>
      </c>
      <c r="G4077" s="1">
        <v>4</v>
      </c>
      <c r="H4077" s="1" t="str">
        <f t="shared" si="66"/>
        <v>k212_4</v>
      </c>
      <c r="K4077" s="1">
        <f>IF(E4077=0,SUMPRODUCT(($A$2:$A$4734=A4077)*($B$2:$B$4734=B4077)*($D$2:$D$4734=D4077)*($E$2:$E$4734=0)),0)</f>
        <v>0</v>
      </c>
      <c r="L4077" s="1" t="str">
        <f>IF(E4077=0,SUMPRODUCT(MIN($K$2:$K$4734+((($A$2:$A$4734&lt;&gt;A4077)+($E$2:$E$4734&lt;&gt;0))&gt;0)*1000000)),"")</f>
        <v/>
      </c>
      <c r="M4077" s="1">
        <f>IF(AND(E4077=0,COUNTIFS($A$2:A4077,A4077,$E$2:E4077,0)=1),L4077,0)</f>
        <v>0</v>
      </c>
    </row>
    <row r="4078" spans="1:13" ht="15" customHeight="1">
      <c r="A4078" s="1">
        <v>212</v>
      </c>
      <c r="B4078" s="1" t="s">
        <v>167</v>
      </c>
      <c r="C4078" s="2" t="s">
        <v>4818</v>
      </c>
      <c r="D4078" s="1" t="s">
        <v>4825</v>
      </c>
      <c r="E4078" s="1">
        <v>1</v>
      </c>
      <c r="F4078" s="2" t="s">
        <v>4830</v>
      </c>
      <c r="G4078" s="1">
        <v>5</v>
      </c>
      <c r="H4078" s="1" t="str">
        <f t="shared" si="66"/>
        <v>k212_5</v>
      </c>
      <c r="K4078" s="1">
        <f>IF(E4078=0,SUMPRODUCT(($A$2:$A$4734=A4078)*($B$2:$B$4734=B4078)*($D$2:$D$4734=D4078)*($E$2:$E$4734=0)),0)</f>
        <v>0</v>
      </c>
      <c r="L4078" s="1" t="str">
        <f>IF(E4078=0,SUMPRODUCT(MIN($K$2:$K$4734+((($A$2:$A$4734&lt;&gt;A4078)+($E$2:$E$4734&lt;&gt;0))&gt;0)*1000000)),"")</f>
        <v/>
      </c>
      <c r="M4078" s="1">
        <f>IF(AND(E4078=0,COUNTIFS($A$2:A4078,A4078,$E$2:E4078,0)=1),L4078,0)</f>
        <v>0</v>
      </c>
    </row>
    <row r="4079" spans="1:13" ht="15" customHeight="1">
      <c r="A4079" s="1">
        <v>213</v>
      </c>
      <c r="B4079" s="1" t="s">
        <v>144</v>
      </c>
      <c r="C4079" s="2" t="s">
        <v>4831</v>
      </c>
      <c r="D4079" s="2" t="s">
        <v>4832</v>
      </c>
      <c r="E4079" s="1">
        <v>1</v>
      </c>
      <c r="F4079" s="2" t="s">
        <v>4833</v>
      </c>
      <c r="G4079" s="1">
        <v>1</v>
      </c>
      <c r="H4079" s="1" t="str">
        <f t="shared" si="66"/>
        <v>k213_1</v>
      </c>
      <c r="K4079" s="1">
        <f>IF(E4079=0,SUMPRODUCT(($A$2:$A$4734=A4079)*($B$2:$B$4734=B4079)*($D$2:$D$4734=D4079)*($E$2:$E$4734=0)),0)</f>
        <v>0</v>
      </c>
      <c r="L4079" s="1" t="str">
        <f>IF(E4079=0,SUMPRODUCT(MIN($K$2:$K$4734+((($A$2:$A$4734&lt;&gt;A4079)+($E$2:$E$4734&lt;&gt;0))&gt;0)*1000000)),"")</f>
        <v/>
      </c>
      <c r="M4079" s="1">
        <f>IF(AND(E4079=0,COUNTIFS($A$2:A4079,A4079,$E$2:E4079,0)=1),L4079,0)</f>
        <v>0</v>
      </c>
    </row>
    <row r="4080" spans="1:13" ht="15" customHeight="1">
      <c r="A4080" s="1">
        <v>213</v>
      </c>
      <c r="B4080" s="1" t="s">
        <v>144</v>
      </c>
      <c r="C4080" s="2" t="s">
        <v>4834</v>
      </c>
      <c r="D4080" s="2" t="s">
        <v>4832</v>
      </c>
      <c r="E4080" s="1">
        <v>1</v>
      </c>
      <c r="F4080" s="2" t="s">
        <v>4835</v>
      </c>
      <c r="G4080" s="1">
        <v>2</v>
      </c>
      <c r="H4080" s="1" t="str">
        <f t="shared" si="66"/>
        <v>k213_2</v>
      </c>
      <c r="K4080" s="1">
        <f>IF(E4080=0,SUMPRODUCT(($A$2:$A$4734=A4080)*($B$2:$B$4734=B4080)*($D$2:$D$4734=D4080)*($E$2:$E$4734=0)),0)</f>
        <v>0</v>
      </c>
      <c r="L4080" s="1" t="str">
        <f>IF(E4080=0,SUMPRODUCT(MIN($K$2:$K$4734+((($A$2:$A$4734&lt;&gt;A4080)+($E$2:$E$4734&lt;&gt;0))&gt;0)*1000000)),"")</f>
        <v/>
      </c>
      <c r="M4080" s="1">
        <f>IF(AND(E4080=0,COUNTIFS($A$2:A4080,A4080,$E$2:E4080,0)=1),L4080,0)</f>
        <v>0</v>
      </c>
    </row>
    <row r="4081" spans="1:13" ht="15" customHeight="1">
      <c r="A4081" s="1">
        <v>213</v>
      </c>
      <c r="B4081" s="1" t="s">
        <v>144</v>
      </c>
      <c r="C4081" s="2" t="s">
        <v>4836</v>
      </c>
      <c r="D4081" s="2" t="s">
        <v>4832</v>
      </c>
      <c r="E4081" s="1">
        <v>1</v>
      </c>
      <c r="F4081" s="2" t="s">
        <v>4837</v>
      </c>
      <c r="G4081" s="1">
        <v>3</v>
      </c>
      <c r="H4081" s="1" t="str">
        <f t="shared" si="66"/>
        <v>k213_3</v>
      </c>
      <c r="K4081" s="1">
        <f>IF(E4081=0,SUMPRODUCT(($A$2:$A$4734=A4081)*($B$2:$B$4734=B4081)*($D$2:$D$4734=D4081)*($E$2:$E$4734=0)),0)</f>
        <v>0</v>
      </c>
      <c r="L4081" s="1" t="str">
        <f>IF(E4081=0,SUMPRODUCT(MIN($K$2:$K$4734+((($A$2:$A$4734&lt;&gt;A4081)+($E$2:$E$4734&lt;&gt;0))&gt;0)*1000000)),"")</f>
        <v/>
      </c>
      <c r="M4081" s="1">
        <f>IF(AND(E4081=0,COUNTIFS($A$2:A4081,A4081,$E$2:E4081,0)=1),L4081,0)</f>
        <v>0</v>
      </c>
    </row>
    <row r="4082" spans="1:13" ht="15" customHeight="1">
      <c r="A4082" s="1">
        <v>213</v>
      </c>
      <c r="B4082" s="1" t="s">
        <v>9</v>
      </c>
      <c r="C4082" s="2" t="s">
        <v>4838</v>
      </c>
      <c r="D4082" s="2" t="s">
        <v>4839</v>
      </c>
      <c r="E4082" s="1">
        <v>1</v>
      </c>
      <c r="F4082" s="2" t="s">
        <v>4840</v>
      </c>
      <c r="G4082" s="1">
        <v>1</v>
      </c>
      <c r="H4082" s="1" t="str">
        <f t="shared" si="66"/>
        <v>k213_1</v>
      </c>
      <c r="K4082" s="1">
        <f>IF(E4082=0,SUMPRODUCT(($A$2:$A$4734=A4082)*($B$2:$B$4734=B4082)*($D$2:$D$4734=D4082)*($E$2:$E$4734=0)),0)</f>
        <v>0</v>
      </c>
      <c r="L4082" s="1" t="str">
        <f>IF(E4082=0,SUMPRODUCT(MIN($K$2:$K$4734+((($A$2:$A$4734&lt;&gt;A4082)+($E$2:$E$4734&lt;&gt;0))&gt;0)*1000000)),"")</f>
        <v/>
      </c>
      <c r="M4082" s="1">
        <f>IF(AND(E4082=0,COUNTIFS($A$2:A4082,A4082,$E$2:E4082,0)=1),L4082,0)</f>
        <v>0</v>
      </c>
    </row>
    <row r="4083" spans="1:13" ht="15" customHeight="1">
      <c r="A4083" s="1">
        <v>213</v>
      </c>
      <c r="B4083" s="1" t="s">
        <v>9</v>
      </c>
      <c r="C4083" s="2" t="s">
        <v>4841</v>
      </c>
      <c r="D4083" s="2" t="s">
        <v>4839</v>
      </c>
      <c r="E4083" s="1">
        <v>1</v>
      </c>
      <c r="F4083" s="2" t="s">
        <v>1058</v>
      </c>
      <c r="G4083" s="1">
        <v>2</v>
      </c>
      <c r="H4083" s="1" t="str">
        <f t="shared" si="66"/>
        <v>k213_2</v>
      </c>
      <c r="K4083" s="1">
        <f>IF(E4083=0,SUMPRODUCT(($A$2:$A$4734=A4083)*($B$2:$B$4734=B4083)*($D$2:$D$4734=D4083)*($E$2:$E$4734=0)),0)</f>
        <v>0</v>
      </c>
      <c r="L4083" s="1" t="str">
        <f>IF(E4083=0,SUMPRODUCT(MIN($K$2:$K$4734+((($A$2:$A$4734&lt;&gt;A4083)+($E$2:$E$4734&lt;&gt;0))&gt;0)*1000000)),"")</f>
        <v/>
      </c>
      <c r="M4083" s="1">
        <f>IF(AND(E4083=0,COUNTIFS($A$2:A4083,A4083,$E$2:E4083,0)=1),L4083,0)</f>
        <v>0</v>
      </c>
    </row>
    <row r="4084" spans="1:13" ht="15" customHeight="1">
      <c r="A4084" s="1">
        <v>213</v>
      </c>
      <c r="B4084" s="1" t="s">
        <v>9</v>
      </c>
      <c r="C4084" s="2" t="s">
        <v>4842</v>
      </c>
      <c r="D4084" s="2" t="s">
        <v>4839</v>
      </c>
      <c r="E4084" s="1">
        <v>1</v>
      </c>
      <c r="F4084" s="2" t="s">
        <v>4238</v>
      </c>
      <c r="G4084" s="1">
        <v>3</v>
      </c>
      <c r="H4084" s="1" t="str">
        <f t="shared" si="66"/>
        <v>k213_3</v>
      </c>
      <c r="K4084" s="1">
        <f>IF(E4084=0,SUMPRODUCT(($A$2:$A$4734=A4084)*($B$2:$B$4734=B4084)*($D$2:$D$4734=D4084)*($E$2:$E$4734=0)),0)</f>
        <v>0</v>
      </c>
      <c r="L4084" s="1" t="str">
        <f>IF(E4084=0,SUMPRODUCT(MIN($K$2:$K$4734+((($A$2:$A$4734&lt;&gt;A4084)+($E$2:$E$4734&lt;&gt;0))&gt;0)*1000000)),"")</f>
        <v/>
      </c>
      <c r="M4084" s="1">
        <f>IF(AND(E4084=0,COUNTIFS($A$2:A4084,A4084,$E$2:E4084,0)=1),L4084,0)</f>
        <v>0</v>
      </c>
    </row>
    <row r="4085" spans="1:13" ht="15" customHeight="1">
      <c r="A4085" s="1">
        <v>213</v>
      </c>
      <c r="B4085" s="1" t="s">
        <v>9</v>
      </c>
      <c r="C4085" s="2" t="s">
        <v>4843</v>
      </c>
      <c r="D4085" s="2" t="s">
        <v>4844</v>
      </c>
      <c r="E4085" s="1">
        <v>1</v>
      </c>
      <c r="F4085" s="2" t="s">
        <v>4845</v>
      </c>
      <c r="G4085" s="1">
        <v>3</v>
      </c>
      <c r="H4085" s="1" t="str">
        <f t="shared" si="66"/>
        <v>k213_3</v>
      </c>
      <c r="K4085" s="1">
        <f>IF(E4085=0,SUMPRODUCT(($A$2:$A$4734=A4085)*($B$2:$B$4734=B4085)*($D$2:$D$4734=D4085)*($E$2:$E$4734=0)),0)</f>
        <v>0</v>
      </c>
      <c r="L4085" s="1" t="str">
        <f>IF(E4085=0,SUMPRODUCT(MIN($K$2:$K$4734+((($A$2:$A$4734&lt;&gt;A4085)+($E$2:$E$4734&lt;&gt;0))&gt;0)*1000000)),"")</f>
        <v/>
      </c>
      <c r="M4085" s="1">
        <f>IF(AND(E4085=0,COUNTIFS($A$2:A4085,A4085,$E$2:E4085,0)=1),L4085,0)</f>
        <v>0</v>
      </c>
    </row>
    <row r="4086" spans="1:13" ht="15" customHeight="1">
      <c r="A4086" s="1">
        <v>213</v>
      </c>
      <c r="B4086" s="1" t="s">
        <v>9</v>
      </c>
      <c r="C4086" s="2" t="s">
        <v>4846</v>
      </c>
      <c r="D4086" s="2" t="s">
        <v>4844</v>
      </c>
      <c r="E4086" s="1">
        <v>1</v>
      </c>
      <c r="F4086" s="2" t="s">
        <v>4847</v>
      </c>
      <c r="G4086" s="1">
        <v>1</v>
      </c>
      <c r="H4086" s="1" t="str">
        <f t="shared" si="66"/>
        <v>k213_1</v>
      </c>
      <c r="K4086" s="1">
        <f>IF(E4086=0,SUMPRODUCT(($A$2:$A$4734=A4086)*($B$2:$B$4734=B4086)*($D$2:$D$4734=D4086)*($E$2:$E$4734=0)),0)</f>
        <v>0</v>
      </c>
      <c r="L4086" s="1" t="str">
        <f>IF(E4086=0,SUMPRODUCT(MIN($K$2:$K$4734+((($A$2:$A$4734&lt;&gt;A4086)+($E$2:$E$4734&lt;&gt;0))&gt;0)*1000000)),"")</f>
        <v/>
      </c>
      <c r="M4086" s="1">
        <f>IF(AND(E4086=0,COUNTIFS($A$2:A4086,A4086,$E$2:E4086,0)=1),L4086,0)</f>
        <v>0</v>
      </c>
    </row>
    <row r="4087" spans="1:13" ht="15" customHeight="1">
      <c r="A4087" s="1">
        <v>213</v>
      </c>
      <c r="B4087" s="1" t="s">
        <v>9</v>
      </c>
      <c r="C4087" s="2" t="s">
        <v>4848</v>
      </c>
      <c r="D4087" s="2" t="s">
        <v>4844</v>
      </c>
      <c r="E4087" s="1">
        <v>1</v>
      </c>
      <c r="F4087" s="2" t="s">
        <v>4849</v>
      </c>
      <c r="G4087" s="1">
        <v>2</v>
      </c>
      <c r="H4087" s="1" t="str">
        <f t="shared" si="66"/>
        <v>k213_2</v>
      </c>
      <c r="K4087" s="1">
        <f>IF(E4087=0,SUMPRODUCT(($A$2:$A$4734=A4087)*($B$2:$B$4734=B4087)*($D$2:$D$4734=D4087)*($E$2:$E$4734=0)),0)</f>
        <v>0</v>
      </c>
      <c r="L4087" s="1" t="str">
        <f>IF(E4087=0,SUMPRODUCT(MIN($K$2:$K$4734+((($A$2:$A$4734&lt;&gt;A4087)+($E$2:$E$4734&lt;&gt;0))&gt;0)*1000000)),"")</f>
        <v/>
      </c>
      <c r="M4087" s="1">
        <f>IF(AND(E4087=0,COUNTIFS($A$2:A4087,A4087,$E$2:E4087,0)=1),L4087,0)</f>
        <v>0</v>
      </c>
    </row>
    <row r="4088" spans="1:13" ht="15" customHeight="1">
      <c r="A4088" s="1">
        <v>214</v>
      </c>
      <c r="B4088" s="1" t="s">
        <v>9</v>
      </c>
      <c r="C4088" s="2" t="s">
        <v>4850</v>
      </c>
      <c r="D4088" s="2" t="s">
        <v>4281</v>
      </c>
      <c r="E4088" s="1">
        <v>0</v>
      </c>
      <c r="F4088" s="2" t="s">
        <v>4238</v>
      </c>
      <c r="H4088" s="1" t="str">
        <f t="shared" si="66"/>
        <v/>
      </c>
      <c r="K4088" s="1">
        <f>IF(E4088=0,SUMPRODUCT(($A$2:$A$4734=A4088)*($B$2:$B$4734=B4088)*($D$2:$D$4734=D4088)*($E$2:$E$4734=0)),0)</f>
        <v>3</v>
      </c>
      <c r="L4088" s="1">
        <f>IF(E4088=0,SUMPRODUCT(MIN($K$2:$K$4734+((($A$2:$A$4734&lt;&gt;A4088)+($E$2:$E$4734&lt;&gt;0))&gt;0)*1000000)),"")</f>
        <v>3</v>
      </c>
      <c r="M4088" s="1">
        <f>IF(AND(E4088=0,COUNTIFS($A$2:A4088,A4088,$E$2:E4088,0)=1),L4088,0)</f>
        <v>3</v>
      </c>
    </row>
    <row r="4089" spans="1:13" ht="15" customHeight="1">
      <c r="A4089" s="1">
        <v>214</v>
      </c>
      <c r="B4089" s="1" t="s">
        <v>9</v>
      </c>
      <c r="C4089" s="2" t="s">
        <v>4850</v>
      </c>
      <c r="D4089" s="2" t="s">
        <v>4281</v>
      </c>
      <c r="E4089" s="1">
        <v>0</v>
      </c>
      <c r="F4089" s="2" t="s">
        <v>4851</v>
      </c>
      <c r="H4089" s="1" t="str">
        <f t="shared" si="66"/>
        <v/>
      </c>
      <c r="K4089" s="1">
        <f>IF(E4089=0,SUMPRODUCT(($A$2:$A$4734=A4089)*($B$2:$B$4734=B4089)*($D$2:$D$4734=D4089)*($E$2:$E$4734=0)),0)</f>
        <v>3</v>
      </c>
      <c r="L4089" s="1">
        <f>IF(E4089=0,SUMPRODUCT(MIN($K$2:$K$4734+((($A$2:$A$4734&lt;&gt;A4089)+($E$2:$E$4734&lt;&gt;0))&gt;0)*1000000)),"")</f>
        <v>3</v>
      </c>
      <c r="M4089" s="1">
        <f>IF(AND(E4089=0,COUNTIFS($A$2:A4089,A4089,$E$2:E4089,0)=1),L4089,0)</f>
        <v>0</v>
      </c>
    </row>
    <row r="4090" spans="1:13" ht="15" customHeight="1">
      <c r="A4090" s="1">
        <v>214</v>
      </c>
      <c r="B4090" s="1" t="s">
        <v>9</v>
      </c>
      <c r="C4090" s="2" t="s">
        <v>4850</v>
      </c>
      <c r="D4090" s="2" t="s">
        <v>4281</v>
      </c>
      <c r="E4090" s="1">
        <v>0</v>
      </c>
      <c r="F4090" s="2" t="s">
        <v>4852</v>
      </c>
      <c r="H4090" s="1" t="str">
        <f t="shared" si="66"/>
        <v/>
      </c>
      <c r="K4090" s="1">
        <f>IF(E4090=0,SUMPRODUCT(($A$2:$A$4734=A4090)*($B$2:$B$4734=B4090)*($D$2:$D$4734=D4090)*($E$2:$E$4734=0)),0)</f>
        <v>3</v>
      </c>
      <c r="L4090" s="1">
        <f>IF(E4090=0,SUMPRODUCT(MIN($K$2:$K$4734+((($A$2:$A$4734&lt;&gt;A4090)+($E$2:$E$4734&lt;&gt;0))&gt;0)*1000000)),"")</f>
        <v>3</v>
      </c>
      <c r="M4090" s="1">
        <f>IF(AND(E4090=0,COUNTIFS($A$2:A4090,A4090,$E$2:E4090,0)=1),L4090,0)</f>
        <v>0</v>
      </c>
    </row>
    <row r="4091" spans="1:13" ht="15" customHeight="1">
      <c r="A4091" s="1">
        <v>215</v>
      </c>
      <c r="B4091" s="1" t="s">
        <v>9</v>
      </c>
      <c r="C4091" s="2" t="s">
        <v>4853</v>
      </c>
      <c r="D4091" s="2" t="s">
        <v>4854</v>
      </c>
      <c r="E4091" s="1">
        <v>1</v>
      </c>
      <c r="F4091" s="2" t="s">
        <v>4855</v>
      </c>
      <c r="G4091" s="1">
        <v>1</v>
      </c>
      <c r="H4091" s="1" t="str">
        <f t="shared" si="66"/>
        <v>k215_1</v>
      </c>
      <c r="K4091" s="1">
        <f>IF(E4091=0,SUMPRODUCT(($A$2:$A$4734=A4091)*($B$2:$B$4734=B4091)*($D$2:$D$4734=D4091)*($E$2:$E$4734=0)),0)</f>
        <v>0</v>
      </c>
      <c r="L4091" s="1" t="str">
        <f>IF(E4091=0,SUMPRODUCT(MIN($K$2:$K$4734+((($A$2:$A$4734&lt;&gt;A4091)+($E$2:$E$4734&lt;&gt;0))&gt;0)*1000000)),"")</f>
        <v/>
      </c>
      <c r="M4091" s="1">
        <f>IF(AND(E4091=0,COUNTIFS($A$2:A4091,A4091,$E$2:E4091,0)=1),L4091,0)</f>
        <v>0</v>
      </c>
    </row>
    <row r="4092" spans="1:13" ht="15" customHeight="1">
      <c r="A4092" s="1">
        <v>215</v>
      </c>
      <c r="B4092" s="1" t="s">
        <v>9</v>
      </c>
      <c r="C4092" s="2" t="s">
        <v>4853</v>
      </c>
      <c r="D4092" s="2" t="s">
        <v>4854</v>
      </c>
      <c r="E4092" s="1">
        <v>1</v>
      </c>
      <c r="F4092" s="2" t="s">
        <v>4856</v>
      </c>
      <c r="G4092" s="1">
        <v>2</v>
      </c>
      <c r="H4092" s="1" t="str">
        <f t="shared" si="66"/>
        <v>k215_2</v>
      </c>
      <c r="K4092" s="1">
        <f>IF(E4092=0,SUMPRODUCT(($A$2:$A$4734=A4092)*($B$2:$B$4734=B4092)*($D$2:$D$4734=D4092)*($E$2:$E$4734=0)),0)</f>
        <v>0</v>
      </c>
      <c r="L4092" s="1" t="str">
        <f>IF(E4092=0,SUMPRODUCT(MIN($K$2:$K$4734+((($A$2:$A$4734&lt;&gt;A4092)+($E$2:$E$4734&lt;&gt;0))&gt;0)*1000000)),"")</f>
        <v/>
      </c>
      <c r="M4092" s="1">
        <f>IF(AND(E4092=0,COUNTIFS($A$2:A4092,A4092,$E$2:E4092,0)=1),L4092,0)</f>
        <v>0</v>
      </c>
    </row>
    <row r="4093" spans="1:13" ht="15" customHeight="1">
      <c r="A4093" s="1">
        <v>215</v>
      </c>
      <c r="B4093" s="1" t="s">
        <v>9</v>
      </c>
      <c r="C4093" s="2" t="s">
        <v>4853</v>
      </c>
      <c r="D4093" s="2" t="s">
        <v>4854</v>
      </c>
      <c r="E4093" s="1">
        <v>1</v>
      </c>
      <c r="F4093" s="2" t="s">
        <v>4857</v>
      </c>
      <c r="G4093" s="1">
        <v>3</v>
      </c>
      <c r="H4093" s="1" t="str">
        <f t="shared" si="66"/>
        <v>k215_3</v>
      </c>
      <c r="K4093" s="1">
        <f>IF(E4093=0,SUMPRODUCT(($A$2:$A$4734=A4093)*($B$2:$B$4734=B4093)*($D$2:$D$4734=D4093)*($E$2:$E$4734=0)),0)</f>
        <v>0</v>
      </c>
      <c r="L4093" s="1" t="str">
        <f>IF(E4093=0,SUMPRODUCT(MIN($K$2:$K$4734+((($A$2:$A$4734&lt;&gt;A4093)+($E$2:$E$4734&lt;&gt;0))&gt;0)*1000000)),"")</f>
        <v/>
      </c>
      <c r="M4093" s="1">
        <f>IF(AND(E4093=0,COUNTIFS($A$2:A4093,A4093,$E$2:E4093,0)=1),L4093,0)</f>
        <v>0</v>
      </c>
    </row>
    <row r="4094" spans="1:13" ht="15" customHeight="1">
      <c r="A4094" s="1">
        <v>215</v>
      </c>
      <c r="B4094" s="1" t="s">
        <v>9</v>
      </c>
      <c r="C4094" s="2" t="s">
        <v>4853</v>
      </c>
      <c r="D4094" s="2" t="s">
        <v>4854</v>
      </c>
      <c r="E4094" s="1">
        <v>1</v>
      </c>
      <c r="F4094" s="2" t="s">
        <v>4858</v>
      </c>
      <c r="G4094" s="1">
        <v>4</v>
      </c>
      <c r="H4094" s="1" t="str">
        <f t="shared" si="66"/>
        <v>k215_4</v>
      </c>
      <c r="K4094" s="1">
        <f>IF(E4094=0,SUMPRODUCT(($A$2:$A$4734=A4094)*($B$2:$B$4734=B4094)*($D$2:$D$4734=D4094)*($E$2:$E$4734=0)),0)</f>
        <v>0</v>
      </c>
      <c r="L4094" s="1" t="str">
        <f>IF(E4094=0,SUMPRODUCT(MIN($K$2:$K$4734+((($A$2:$A$4734&lt;&gt;A4094)+($E$2:$E$4734&lt;&gt;0))&gt;0)*1000000)),"")</f>
        <v/>
      </c>
      <c r="M4094" s="1">
        <f>IF(AND(E4094=0,COUNTIFS($A$2:A4094,A4094,$E$2:E4094,0)=1),L4094,0)</f>
        <v>0</v>
      </c>
    </row>
    <row r="4095" spans="1:13" ht="15" customHeight="1">
      <c r="A4095" s="1">
        <v>215</v>
      </c>
      <c r="B4095" s="1" t="s">
        <v>9</v>
      </c>
      <c r="C4095" s="2" t="s">
        <v>4853</v>
      </c>
      <c r="D4095" s="2" t="s">
        <v>4854</v>
      </c>
      <c r="E4095" s="1">
        <v>1</v>
      </c>
      <c r="F4095" s="2" t="s">
        <v>4859</v>
      </c>
      <c r="G4095" s="1">
        <v>5</v>
      </c>
      <c r="H4095" s="1" t="str">
        <f t="shared" si="66"/>
        <v>k215_5</v>
      </c>
      <c r="K4095" s="1">
        <f>IF(E4095=0,SUMPRODUCT(($A$2:$A$4734=A4095)*($B$2:$B$4734=B4095)*($D$2:$D$4734=D4095)*($E$2:$E$4734=0)),0)</f>
        <v>0</v>
      </c>
      <c r="L4095" s="1" t="str">
        <f>IF(E4095=0,SUMPRODUCT(MIN($K$2:$K$4734+((($A$2:$A$4734&lt;&gt;A4095)+($E$2:$E$4734&lt;&gt;0))&gt;0)*1000000)),"")</f>
        <v/>
      </c>
      <c r="M4095" s="1">
        <f>IF(AND(E4095=0,COUNTIFS($A$2:A4095,A4095,$E$2:E4095,0)=1),L4095,0)</f>
        <v>0</v>
      </c>
    </row>
    <row r="4096" spans="1:13" ht="15" customHeight="1">
      <c r="A4096" s="1">
        <v>215</v>
      </c>
      <c r="B4096" s="1" t="s">
        <v>161</v>
      </c>
      <c r="C4096" s="2" t="s">
        <v>4853</v>
      </c>
      <c r="D4096" s="2" t="s">
        <v>4860</v>
      </c>
      <c r="E4096" s="1">
        <v>1</v>
      </c>
      <c r="F4096" s="2" t="s">
        <v>4861</v>
      </c>
      <c r="G4096" s="1">
        <v>1</v>
      </c>
      <c r="H4096" s="1" t="str">
        <f t="shared" si="66"/>
        <v>k215_1</v>
      </c>
      <c r="K4096" s="1">
        <f>IF(E4096=0,SUMPRODUCT(($A$2:$A$4734=A4096)*($B$2:$B$4734=B4096)*($D$2:$D$4734=D4096)*($E$2:$E$4734=0)),0)</f>
        <v>0</v>
      </c>
      <c r="L4096" s="1" t="str">
        <f>IF(E4096=0,SUMPRODUCT(MIN($K$2:$K$4734+((($A$2:$A$4734&lt;&gt;A4096)+($E$2:$E$4734&lt;&gt;0))&gt;0)*1000000)),"")</f>
        <v/>
      </c>
      <c r="M4096" s="1">
        <f>IF(AND(E4096=0,COUNTIFS($A$2:A4096,A4096,$E$2:E4096,0)=1),L4096,0)</f>
        <v>0</v>
      </c>
    </row>
    <row r="4097" spans="1:13" ht="15" customHeight="1">
      <c r="A4097" s="1">
        <v>215</v>
      </c>
      <c r="B4097" s="1" t="s">
        <v>161</v>
      </c>
      <c r="C4097" s="2" t="s">
        <v>4853</v>
      </c>
      <c r="D4097" s="2" t="s">
        <v>4860</v>
      </c>
      <c r="E4097" s="1">
        <v>1</v>
      </c>
      <c r="F4097" s="2" t="s">
        <v>4862</v>
      </c>
      <c r="G4097" s="1">
        <v>2</v>
      </c>
      <c r="H4097" s="1" t="str">
        <f t="shared" si="66"/>
        <v>k215_2</v>
      </c>
      <c r="K4097" s="1">
        <f>IF(E4097=0,SUMPRODUCT(($A$2:$A$4734=A4097)*($B$2:$B$4734=B4097)*($D$2:$D$4734=D4097)*($E$2:$E$4734=0)),0)</f>
        <v>0</v>
      </c>
      <c r="L4097" s="1" t="str">
        <f>IF(E4097=0,SUMPRODUCT(MIN($K$2:$K$4734+((($A$2:$A$4734&lt;&gt;A4097)+($E$2:$E$4734&lt;&gt;0))&gt;0)*1000000)),"")</f>
        <v/>
      </c>
      <c r="M4097" s="1">
        <f>IF(AND(E4097=0,COUNTIFS($A$2:A4097,A4097,$E$2:E4097,0)=1),L4097,0)</f>
        <v>0</v>
      </c>
    </row>
    <row r="4098" spans="1:13" ht="15" customHeight="1">
      <c r="A4098" s="1">
        <v>215</v>
      </c>
      <c r="B4098" s="1" t="s">
        <v>161</v>
      </c>
      <c r="C4098" s="2" t="s">
        <v>4853</v>
      </c>
      <c r="D4098" s="2" t="s">
        <v>4860</v>
      </c>
      <c r="E4098" s="1">
        <v>1</v>
      </c>
      <c r="F4098" s="2" t="s">
        <v>4863</v>
      </c>
      <c r="G4098" s="1">
        <v>3</v>
      </c>
      <c r="H4098" s="1" t="str">
        <f t="shared" si="66"/>
        <v>k215_3</v>
      </c>
      <c r="K4098" s="1">
        <f>IF(E4098=0,SUMPRODUCT(($A$2:$A$4734=A4098)*($B$2:$B$4734=B4098)*($D$2:$D$4734=D4098)*($E$2:$E$4734=0)),0)</f>
        <v>0</v>
      </c>
      <c r="L4098" s="1" t="str">
        <f>IF(E4098=0,SUMPRODUCT(MIN($K$2:$K$4734+((($A$2:$A$4734&lt;&gt;A4098)+($E$2:$E$4734&lt;&gt;0))&gt;0)*1000000)),"")</f>
        <v/>
      </c>
      <c r="M4098" s="1">
        <f>IF(AND(E4098=0,COUNTIFS($A$2:A4098,A4098,$E$2:E4098,0)=1),L4098,0)</f>
        <v>0</v>
      </c>
    </row>
    <row r="4099" spans="1:13" ht="15" customHeight="1">
      <c r="A4099" s="1">
        <v>215</v>
      </c>
      <c r="B4099" s="1" t="s">
        <v>161</v>
      </c>
      <c r="C4099" s="2" t="s">
        <v>4853</v>
      </c>
      <c r="D4099" s="2" t="s">
        <v>4860</v>
      </c>
      <c r="E4099" s="1">
        <v>1</v>
      </c>
      <c r="F4099" s="2" t="s">
        <v>4864</v>
      </c>
      <c r="G4099" s="1">
        <v>4</v>
      </c>
      <c r="H4099" s="1" t="str">
        <f t="shared" si="66"/>
        <v>k215_4</v>
      </c>
      <c r="K4099" s="1">
        <f>IF(E4099=0,SUMPRODUCT(($A$2:$A$4734=A4099)*($B$2:$B$4734=B4099)*($D$2:$D$4734=D4099)*($E$2:$E$4734=0)),0)</f>
        <v>0</v>
      </c>
      <c r="L4099" s="1" t="str">
        <f>IF(E4099=0,SUMPRODUCT(MIN($K$2:$K$4734+((($A$2:$A$4734&lt;&gt;A4099)+($E$2:$E$4734&lt;&gt;0))&gt;0)*1000000)),"")</f>
        <v/>
      </c>
      <c r="M4099" s="1">
        <f>IF(AND(E4099=0,COUNTIFS($A$2:A4099,A4099,$E$2:E4099,0)=1),L4099,0)</f>
        <v>0</v>
      </c>
    </row>
    <row r="4100" spans="1:13" ht="15" customHeight="1">
      <c r="A4100" s="1">
        <v>215</v>
      </c>
      <c r="B4100" s="1" t="s">
        <v>161</v>
      </c>
      <c r="C4100" s="2" t="s">
        <v>4853</v>
      </c>
      <c r="D4100" s="2" t="s">
        <v>4860</v>
      </c>
      <c r="E4100" s="1">
        <v>1</v>
      </c>
      <c r="F4100" s="2" t="s">
        <v>4865</v>
      </c>
      <c r="G4100" s="1">
        <v>5</v>
      </c>
      <c r="H4100" s="1" t="str">
        <f t="shared" si="66"/>
        <v>k215_5</v>
      </c>
      <c r="K4100" s="1">
        <f>IF(E4100=0,SUMPRODUCT(($A$2:$A$4734=A4100)*($B$2:$B$4734=B4100)*($D$2:$D$4734=D4100)*($E$2:$E$4734=0)),0)</f>
        <v>0</v>
      </c>
      <c r="L4100" s="1" t="str">
        <f>IF(E4100=0,SUMPRODUCT(MIN($K$2:$K$4734+((($A$2:$A$4734&lt;&gt;A4100)+($E$2:$E$4734&lt;&gt;0))&gt;0)*1000000)),"")</f>
        <v/>
      </c>
      <c r="M4100" s="1">
        <f>IF(AND(E4100=0,COUNTIFS($A$2:A4100,A4100,$E$2:E4100,0)=1),L4100,0)</f>
        <v>0</v>
      </c>
    </row>
    <row r="4101" spans="1:13" ht="15" customHeight="1">
      <c r="A4101" s="1">
        <v>216</v>
      </c>
      <c r="B4101" s="1" t="s">
        <v>9</v>
      </c>
      <c r="C4101" s="2" t="s">
        <v>4866</v>
      </c>
      <c r="D4101" s="2" t="s">
        <v>4867</v>
      </c>
      <c r="E4101" s="1">
        <v>0</v>
      </c>
      <c r="F4101" s="2" t="s">
        <v>4868</v>
      </c>
      <c r="H4101" s="1" t="str">
        <f t="shared" si="66"/>
        <v/>
      </c>
      <c r="K4101" s="1">
        <f>IF(E4101=0,SUMPRODUCT(($A$2:$A$4734=A4101)*($B$2:$B$4734=B4101)*($D$2:$D$4734=D4101)*($E$2:$E$4734=0)),0)</f>
        <v>2</v>
      </c>
      <c r="L4101" s="1">
        <f>IF(E4101=0,SUMPRODUCT(MIN($K$2:$K$4734+((($A$2:$A$4734&lt;&gt;A4101)+($E$2:$E$4734&lt;&gt;0))&gt;0)*1000000)),"")</f>
        <v>2</v>
      </c>
      <c r="M4101" s="1">
        <f>IF(AND(E4101=0,COUNTIFS($A$2:A4101,A4101,$E$2:E4101,0)=1),L4101,0)</f>
        <v>2</v>
      </c>
    </row>
    <row r="4102" spans="1:13" ht="15" customHeight="1">
      <c r="A4102" s="1">
        <v>216</v>
      </c>
      <c r="B4102" s="1" t="s">
        <v>9</v>
      </c>
      <c r="C4102" s="2" t="s">
        <v>4866</v>
      </c>
      <c r="D4102" s="2" t="s">
        <v>4867</v>
      </c>
      <c r="E4102" s="1">
        <v>0</v>
      </c>
      <c r="F4102" s="2" t="s">
        <v>4869</v>
      </c>
      <c r="H4102" s="1" t="str">
        <f t="shared" si="66"/>
        <v/>
      </c>
      <c r="K4102" s="1">
        <f>IF(E4102=0,SUMPRODUCT(($A$2:$A$4734=A4102)*($B$2:$B$4734=B4102)*($D$2:$D$4734=D4102)*($E$2:$E$4734=0)),0)</f>
        <v>2</v>
      </c>
      <c r="L4102" s="1">
        <f>IF(E4102=0,SUMPRODUCT(MIN($K$2:$K$4734+((($A$2:$A$4734&lt;&gt;A4102)+($E$2:$E$4734&lt;&gt;0))&gt;0)*1000000)),"")</f>
        <v>2</v>
      </c>
      <c r="M4102" s="1">
        <f>IF(AND(E4102=0,COUNTIFS($A$2:A4102,A4102,$E$2:E4102,0)=1),L4102,0)</f>
        <v>0</v>
      </c>
    </row>
    <row r="4103" spans="1:13" ht="15" customHeight="1">
      <c r="A4103" s="1">
        <v>216</v>
      </c>
      <c r="B4103" s="1" t="s">
        <v>9</v>
      </c>
      <c r="C4103" s="2" t="s">
        <v>4866</v>
      </c>
      <c r="D4103" s="2" t="s">
        <v>4870</v>
      </c>
      <c r="E4103" s="1">
        <v>0</v>
      </c>
      <c r="F4103" s="2" t="s">
        <v>4871</v>
      </c>
      <c r="H4103" s="1" t="str">
        <f t="shared" si="66"/>
        <v/>
      </c>
      <c r="K4103" s="1">
        <f>IF(E4103=0,SUMPRODUCT(($A$2:$A$4734=A4103)*($B$2:$B$4734=B4103)*($D$2:$D$4734=D4103)*($E$2:$E$4734=0)),0)</f>
        <v>6</v>
      </c>
      <c r="L4103" s="1">
        <f>IF(E4103=0,SUMPRODUCT(MIN($K$2:$K$4734+((($A$2:$A$4734&lt;&gt;A4103)+($E$2:$E$4734&lt;&gt;0))&gt;0)*1000000)),"")</f>
        <v>2</v>
      </c>
      <c r="M4103" s="1">
        <f>IF(AND(E4103=0,COUNTIFS($A$2:A4103,A4103,$E$2:E4103,0)=1),L4103,0)</f>
        <v>0</v>
      </c>
    </row>
    <row r="4104" spans="1:13" ht="15" customHeight="1">
      <c r="A4104" s="1">
        <v>216</v>
      </c>
      <c r="B4104" s="1" t="s">
        <v>9</v>
      </c>
      <c r="C4104" s="2" t="s">
        <v>4866</v>
      </c>
      <c r="D4104" s="2" t="s">
        <v>4870</v>
      </c>
      <c r="E4104" s="1">
        <v>0</v>
      </c>
      <c r="F4104" s="2" t="s">
        <v>4872</v>
      </c>
      <c r="H4104" s="1" t="str">
        <f t="shared" si="66"/>
        <v/>
      </c>
      <c r="K4104" s="1">
        <f>IF(E4104=0,SUMPRODUCT(($A$2:$A$4734=A4104)*($B$2:$B$4734=B4104)*($D$2:$D$4734=D4104)*($E$2:$E$4734=0)),0)</f>
        <v>6</v>
      </c>
      <c r="L4104" s="1">
        <f>IF(E4104=0,SUMPRODUCT(MIN($K$2:$K$4734+((($A$2:$A$4734&lt;&gt;A4104)+($E$2:$E$4734&lt;&gt;0))&gt;0)*1000000)),"")</f>
        <v>2</v>
      </c>
      <c r="M4104" s="1">
        <f>IF(AND(E4104=0,COUNTIFS($A$2:A4104,A4104,$E$2:E4104,0)=1),L4104,0)</f>
        <v>0</v>
      </c>
    </row>
    <row r="4105" spans="1:13" ht="15" customHeight="1">
      <c r="A4105" s="1">
        <v>216</v>
      </c>
      <c r="B4105" s="1" t="s">
        <v>9</v>
      </c>
      <c r="C4105" s="2" t="s">
        <v>4866</v>
      </c>
      <c r="D4105" s="2" t="s">
        <v>4870</v>
      </c>
      <c r="E4105" s="1">
        <v>0</v>
      </c>
      <c r="F4105" s="2" t="s">
        <v>4873</v>
      </c>
      <c r="H4105" s="1" t="str">
        <f t="shared" si="66"/>
        <v/>
      </c>
      <c r="K4105" s="1">
        <f>IF(E4105=0,SUMPRODUCT(($A$2:$A$4734=A4105)*($B$2:$B$4734=B4105)*($D$2:$D$4734=D4105)*($E$2:$E$4734=0)),0)</f>
        <v>6</v>
      </c>
      <c r="L4105" s="1">
        <f>IF(E4105=0,SUMPRODUCT(MIN($K$2:$K$4734+((($A$2:$A$4734&lt;&gt;A4105)+($E$2:$E$4734&lt;&gt;0))&gt;0)*1000000)),"")</f>
        <v>2</v>
      </c>
      <c r="M4105" s="1">
        <f>IF(AND(E4105=0,COUNTIFS($A$2:A4105,A4105,$E$2:E4105,0)=1),L4105,0)</f>
        <v>0</v>
      </c>
    </row>
    <row r="4106" spans="1:13" ht="15" customHeight="1">
      <c r="A4106" s="1">
        <v>216</v>
      </c>
      <c r="B4106" s="1" t="s">
        <v>9</v>
      </c>
      <c r="C4106" s="2" t="s">
        <v>4866</v>
      </c>
      <c r="D4106" s="2" t="s">
        <v>4870</v>
      </c>
      <c r="E4106" s="1">
        <v>0</v>
      </c>
      <c r="F4106" s="2" t="s">
        <v>4874</v>
      </c>
      <c r="H4106" s="1" t="str">
        <f t="shared" ref="H4106:H4166" si="67">IF(OR(E4106&lt;&gt;1,G4106=""),"","k"&amp;A4106&amp;"_"&amp;G4106)</f>
        <v/>
      </c>
      <c r="K4106" s="1">
        <f>IF(E4106=0,SUMPRODUCT(($A$2:$A$4734=A4106)*($B$2:$B$4734=B4106)*($D$2:$D$4734=D4106)*($E$2:$E$4734=0)),0)</f>
        <v>6</v>
      </c>
      <c r="L4106" s="1">
        <f>IF(E4106=0,SUMPRODUCT(MIN($K$2:$K$4734+((($A$2:$A$4734&lt;&gt;A4106)+($E$2:$E$4734&lt;&gt;0))&gt;0)*1000000)),"")</f>
        <v>2</v>
      </c>
      <c r="M4106" s="1">
        <f>IF(AND(E4106=0,COUNTIFS($A$2:A4106,A4106,$E$2:E4106,0)=1),L4106,0)</f>
        <v>0</v>
      </c>
    </row>
    <row r="4107" spans="1:13" ht="15" customHeight="1">
      <c r="A4107" s="1">
        <v>216</v>
      </c>
      <c r="B4107" s="1" t="s">
        <v>9</v>
      </c>
      <c r="C4107" s="2" t="s">
        <v>4866</v>
      </c>
      <c r="D4107" s="2" t="s">
        <v>4870</v>
      </c>
      <c r="E4107" s="1">
        <v>0</v>
      </c>
      <c r="F4107" s="2" t="s">
        <v>4875</v>
      </c>
      <c r="H4107" s="1" t="str">
        <f t="shared" si="67"/>
        <v/>
      </c>
      <c r="K4107" s="1">
        <f>IF(E4107=0,SUMPRODUCT(($A$2:$A$4734=A4107)*($B$2:$B$4734=B4107)*($D$2:$D$4734=D4107)*($E$2:$E$4734=0)),0)</f>
        <v>6</v>
      </c>
      <c r="L4107" s="1">
        <f>IF(E4107=0,SUMPRODUCT(MIN($K$2:$K$4734+((($A$2:$A$4734&lt;&gt;A4107)+($E$2:$E$4734&lt;&gt;0))&gt;0)*1000000)),"")</f>
        <v>2</v>
      </c>
      <c r="M4107" s="1">
        <f>IF(AND(E4107=0,COUNTIFS($A$2:A4107,A4107,$E$2:E4107,0)=1),L4107,0)</f>
        <v>0</v>
      </c>
    </row>
    <row r="4108" spans="1:13" ht="15" customHeight="1">
      <c r="A4108" s="1">
        <v>216</v>
      </c>
      <c r="B4108" s="1" t="s">
        <v>9</v>
      </c>
      <c r="C4108" s="2" t="s">
        <v>4866</v>
      </c>
      <c r="D4108" s="2" t="s">
        <v>4870</v>
      </c>
      <c r="E4108" s="1">
        <v>0</v>
      </c>
      <c r="F4108" s="2" t="s">
        <v>4876</v>
      </c>
      <c r="H4108" s="1" t="str">
        <f t="shared" si="67"/>
        <v/>
      </c>
      <c r="K4108" s="1">
        <f>IF(E4108=0,SUMPRODUCT(($A$2:$A$4734=A4108)*($B$2:$B$4734=B4108)*($D$2:$D$4734=D4108)*($E$2:$E$4734=0)),0)</f>
        <v>6</v>
      </c>
      <c r="L4108" s="1">
        <f>IF(E4108=0,SUMPRODUCT(MIN($K$2:$K$4734+((($A$2:$A$4734&lt;&gt;A4108)+($E$2:$E$4734&lt;&gt;0))&gt;0)*1000000)),"")</f>
        <v>2</v>
      </c>
      <c r="M4108" s="1">
        <f>IF(AND(E4108=0,COUNTIFS($A$2:A4108,A4108,$E$2:E4108,0)=1),L4108,0)</f>
        <v>0</v>
      </c>
    </row>
    <row r="4109" spans="1:13" ht="15" customHeight="1">
      <c r="A4109" s="1">
        <v>217</v>
      </c>
      <c r="B4109" s="1" t="s">
        <v>16</v>
      </c>
      <c r="C4109" s="2" t="s">
        <v>4877</v>
      </c>
      <c r="D4109" s="2" t="s">
        <v>4878</v>
      </c>
      <c r="E4109" s="1">
        <v>0</v>
      </c>
      <c r="F4109" s="2" t="s">
        <v>4879</v>
      </c>
      <c r="H4109" s="1" t="str">
        <f t="shared" si="67"/>
        <v/>
      </c>
      <c r="K4109" s="1">
        <f>IF(E4109=0,SUMPRODUCT(($A$2:$A$4734=A4109)*($B$2:$B$4734=B4109)*($D$2:$D$4734=D4109)*($E$2:$E$4734=0)),0)</f>
        <v>6</v>
      </c>
      <c r="L4109" s="1">
        <f>IF(E4109=0,SUMPRODUCT(MIN($K$2:$K$4734+((($A$2:$A$4734&lt;&gt;A4109)+($E$2:$E$4734&lt;&gt;0))&gt;0)*1000000)),"")</f>
        <v>4</v>
      </c>
      <c r="M4109" s="1">
        <f>IF(AND(E4109=0,COUNTIFS($A$2:A4109,A4109,$E$2:E4109,0)=1),L4109,0)</f>
        <v>4</v>
      </c>
    </row>
    <row r="4110" spans="1:13" ht="15" customHeight="1">
      <c r="A4110" s="1">
        <v>217</v>
      </c>
      <c r="B4110" s="1" t="s">
        <v>16</v>
      </c>
      <c r="C4110" s="2" t="s">
        <v>4877</v>
      </c>
      <c r="D4110" s="2" t="s">
        <v>4878</v>
      </c>
      <c r="E4110" s="1">
        <v>0</v>
      </c>
      <c r="F4110" s="2" t="s">
        <v>4880</v>
      </c>
      <c r="H4110" s="1" t="str">
        <f t="shared" si="67"/>
        <v/>
      </c>
      <c r="K4110" s="1">
        <f>IF(E4110=0,SUMPRODUCT(($A$2:$A$4734=A4110)*($B$2:$B$4734=B4110)*($D$2:$D$4734=D4110)*($E$2:$E$4734=0)),0)</f>
        <v>6</v>
      </c>
      <c r="L4110" s="1">
        <f>IF(E4110=0,SUMPRODUCT(MIN($K$2:$K$4734+((($A$2:$A$4734&lt;&gt;A4110)+($E$2:$E$4734&lt;&gt;0))&gt;0)*1000000)),"")</f>
        <v>4</v>
      </c>
      <c r="M4110" s="1">
        <f>IF(AND(E4110=0,COUNTIFS($A$2:A4110,A4110,$E$2:E4110,0)=1),L4110,0)</f>
        <v>0</v>
      </c>
    </row>
    <row r="4111" spans="1:13" ht="15" customHeight="1">
      <c r="A4111" s="1">
        <v>217</v>
      </c>
      <c r="B4111" s="1" t="s">
        <v>16</v>
      </c>
      <c r="C4111" s="2" t="s">
        <v>4877</v>
      </c>
      <c r="D4111" s="2" t="s">
        <v>4878</v>
      </c>
      <c r="E4111" s="1">
        <v>0</v>
      </c>
      <c r="F4111" s="2" t="s">
        <v>4881</v>
      </c>
      <c r="H4111" s="1" t="str">
        <f t="shared" si="67"/>
        <v/>
      </c>
      <c r="K4111" s="1">
        <f>IF(E4111=0,SUMPRODUCT(($A$2:$A$4734=A4111)*($B$2:$B$4734=B4111)*($D$2:$D$4734=D4111)*($E$2:$E$4734=0)),0)</f>
        <v>6</v>
      </c>
      <c r="L4111" s="1">
        <f>IF(E4111=0,SUMPRODUCT(MIN($K$2:$K$4734+((($A$2:$A$4734&lt;&gt;A4111)+($E$2:$E$4734&lt;&gt;0))&gt;0)*1000000)),"")</f>
        <v>4</v>
      </c>
      <c r="M4111" s="1">
        <f>IF(AND(E4111=0,COUNTIFS($A$2:A4111,A4111,$E$2:E4111,0)=1),L4111,0)</f>
        <v>0</v>
      </c>
    </row>
    <row r="4112" spans="1:13" ht="15" customHeight="1">
      <c r="A4112" s="1">
        <v>217</v>
      </c>
      <c r="B4112" s="1" t="s">
        <v>16</v>
      </c>
      <c r="C4112" s="2" t="s">
        <v>4877</v>
      </c>
      <c r="D4112" s="2" t="s">
        <v>4878</v>
      </c>
      <c r="E4112" s="1">
        <v>0</v>
      </c>
      <c r="F4112" s="2" t="s">
        <v>4882</v>
      </c>
      <c r="H4112" s="1" t="str">
        <f t="shared" si="67"/>
        <v/>
      </c>
      <c r="K4112" s="1">
        <f>IF(E4112=0,SUMPRODUCT(($A$2:$A$4734=A4112)*($B$2:$B$4734=B4112)*($D$2:$D$4734=D4112)*($E$2:$E$4734=0)),0)</f>
        <v>6</v>
      </c>
      <c r="L4112" s="1">
        <f>IF(E4112=0,SUMPRODUCT(MIN($K$2:$K$4734+((($A$2:$A$4734&lt;&gt;A4112)+($E$2:$E$4734&lt;&gt;0))&gt;0)*1000000)),"")</f>
        <v>4</v>
      </c>
      <c r="M4112" s="1">
        <f>IF(AND(E4112=0,COUNTIFS($A$2:A4112,A4112,$E$2:E4112,0)=1),L4112,0)</f>
        <v>0</v>
      </c>
    </row>
    <row r="4113" spans="1:13" ht="15" customHeight="1">
      <c r="A4113" s="1">
        <v>217</v>
      </c>
      <c r="B4113" s="1" t="s">
        <v>16</v>
      </c>
      <c r="C4113" s="2" t="s">
        <v>4877</v>
      </c>
      <c r="D4113" s="2" t="s">
        <v>4878</v>
      </c>
      <c r="E4113" s="1">
        <v>0</v>
      </c>
      <c r="F4113" s="2" t="s">
        <v>4883</v>
      </c>
      <c r="H4113" s="1" t="str">
        <f t="shared" si="67"/>
        <v/>
      </c>
      <c r="K4113" s="1">
        <f>IF(E4113=0,SUMPRODUCT(($A$2:$A$4734=A4113)*($B$2:$B$4734=B4113)*($D$2:$D$4734=D4113)*($E$2:$E$4734=0)),0)</f>
        <v>6</v>
      </c>
      <c r="L4113" s="1">
        <f>IF(E4113=0,SUMPRODUCT(MIN($K$2:$K$4734+((($A$2:$A$4734&lt;&gt;A4113)+($E$2:$E$4734&lt;&gt;0))&gt;0)*1000000)),"")</f>
        <v>4</v>
      </c>
      <c r="M4113" s="1">
        <f>IF(AND(E4113=0,COUNTIFS($A$2:A4113,A4113,$E$2:E4113,0)=1),L4113,0)</f>
        <v>0</v>
      </c>
    </row>
    <row r="4114" spans="1:13" ht="15" customHeight="1">
      <c r="A4114" s="1">
        <v>217</v>
      </c>
      <c r="B4114" s="1" t="s">
        <v>16</v>
      </c>
      <c r="C4114" s="2" t="s">
        <v>4877</v>
      </c>
      <c r="D4114" s="2" t="s">
        <v>4878</v>
      </c>
      <c r="E4114" s="1">
        <v>0</v>
      </c>
      <c r="F4114" s="2" t="s">
        <v>4884</v>
      </c>
      <c r="H4114" s="1" t="str">
        <f t="shared" si="67"/>
        <v/>
      </c>
      <c r="K4114" s="1">
        <f>IF(E4114=0,SUMPRODUCT(($A$2:$A$4734=A4114)*($B$2:$B$4734=B4114)*($D$2:$D$4734=D4114)*($E$2:$E$4734=0)),0)</f>
        <v>6</v>
      </c>
      <c r="L4114" s="1">
        <f>IF(E4114=0,SUMPRODUCT(MIN($K$2:$K$4734+((($A$2:$A$4734&lt;&gt;A4114)+($E$2:$E$4734&lt;&gt;0))&gt;0)*1000000)),"")</f>
        <v>4</v>
      </c>
      <c r="M4114" s="1">
        <f>IF(AND(E4114=0,COUNTIFS($A$2:A4114,A4114,$E$2:E4114,0)=1),L4114,0)</f>
        <v>0</v>
      </c>
    </row>
    <row r="4115" spans="1:13" ht="15" customHeight="1">
      <c r="A4115" s="1">
        <v>217</v>
      </c>
      <c r="B4115" s="1" t="s">
        <v>16</v>
      </c>
      <c r="C4115" s="2" t="s">
        <v>4877</v>
      </c>
      <c r="D4115" s="2" t="s">
        <v>993</v>
      </c>
      <c r="E4115" s="1">
        <v>0</v>
      </c>
      <c r="F4115" s="2" t="s">
        <v>997</v>
      </c>
      <c r="H4115" s="1" t="str">
        <f t="shared" si="67"/>
        <v/>
      </c>
      <c r="K4115" s="1">
        <f>IF(E4115=0,SUMPRODUCT(($A$2:$A$4734=A4115)*($B$2:$B$4734=B4115)*($D$2:$D$4734=D4115)*($E$2:$E$4734=0)),0)</f>
        <v>4</v>
      </c>
      <c r="L4115" s="1">
        <f>IF(E4115=0,SUMPRODUCT(MIN($K$2:$K$4734+((($A$2:$A$4734&lt;&gt;A4115)+($E$2:$E$4734&lt;&gt;0))&gt;0)*1000000)),"")</f>
        <v>4</v>
      </c>
      <c r="M4115" s="1">
        <f>IF(AND(E4115=0,COUNTIFS($A$2:A4115,A4115,$E$2:E4115,0)=1),L4115,0)</f>
        <v>0</v>
      </c>
    </row>
    <row r="4116" spans="1:13" ht="15" customHeight="1">
      <c r="A4116" s="1">
        <v>217</v>
      </c>
      <c r="B4116" s="1" t="s">
        <v>16</v>
      </c>
      <c r="C4116" s="2" t="s">
        <v>4877</v>
      </c>
      <c r="D4116" s="2" t="s">
        <v>993</v>
      </c>
      <c r="E4116" s="1">
        <v>0</v>
      </c>
      <c r="F4116" s="2" t="s">
        <v>995</v>
      </c>
      <c r="H4116" s="1" t="str">
        <f t="shared" si="67"/>
        <v/>
      </c>
      <c r="K4116" s="1">
        <f>IF(E4116=0,SUMPRODUCT(($A$2:$A$4734=A4116)*($B$2:$B$4734=B4116)*($D$2:$D$4734=D4116)*($E$2:$E$4734=0)),0)</f>
        <v>4</v>
      </c>
      <c r="L4116" s="1">
        <f>IF(E4116=0,SUMPRODUCT(MIN($K$2:$K$4734+((($A$2:$A$4734&lt;&gt;A4116)+($E$2:$E$4734&lt;&gt;0))&gt;0)*1000000)),"")</f>
        <v>4</v>
      </c>
      <c r="M4116" s="1">
        <f>IF(AND(E4116=0,COUNTIFS($A$2:A4116,A4116,$E$2:E4116,0)=1),L4116,0)</f>
        <v>0</v>
      </c>
    </row>
    <row r="4117" spans="1:13" ht="15" customHeight="1">
      <c r="A4117" s="1">
        <v>217</v>
      </c>
      <c r="B4117" s="1" t="s">
        <v>16</v>
      </c>
      <c r="C4117" s="2" t="s">
        <v>4877</v>
      </c>
      <c r="D4117" s="2" t="s">
        <v>993</v>
      </c>
      <c r="E4117" s="1">
        <v>0</v>
      </c>
      <c r="F4117" s="2" t="s">
        <v>2432</v>
      </c>
      <c r="H4117" s="1" t="str">
        <f t="shared" si="67"/>
        <v/>
      </c>
      <c r="K4117" s="1">
        <f>IF(E4117=0,SUMPRODUCT(($A$2:$A$4734=A4117)*($B$2:$B$4734=B4117)*($D$2:$D$4734=D4117)*($E$2:$E$4734=0)),0)</f>
        <v>4</v>
      </c>
      <c r="L4117" s="1">
        <f>IF(E4117=0,SUMPRODUCT(MIN($K$2:$K$4734+((($A$2:$A$4734&lt;&gt;A4117)+($E$2:$E$4734&lt;&gt;0))&gt;0)*1000000)),"")</f>
        <v>4</v>
      </c>
      <c r="M4117" s="1">
        <f>IF(AND(E4117=0,COUNTIFS($A$2:A4117,A4117,$E$2:E4117,0)=1),L4117,0)</f>
        <v>0</v>
      </c>
    </row>
    <row r="4118" spans="1:13" ht="15" customHeight="1">
      <c r="A4118" s="1">
        <v>217</v>
      </c>
      <c r="B4118" s="1" t="s">
        <v>16</v>
      </c>
      <c r="C4118" s="2" t="s">
        <v>4877</v>
      </c>
      <c r="D4118" s="2" t="s">
        <v>993</v>
      </c>
      <c r="E4118" s="1">
        <v>0</v>
      </c>
      <c r="F4118" s="2" t="s">
        <v>3411</v>
      </c>
      <c r="H4118" s="1" t="str">
        <f t="shared" si="67"/>
        <v/>
      </c>
      <c r="K4118" s="1">
        <f>IF(E4118=0,SUMPRODUCT(($A$2:$A$4734=A4118)*($B$2:$B$4734=B4118)*($D$2:$D$4734=D4118)*($E$2:$E$4734=0)),0)</f>
        <v>4</v>
      </c>
      <c r="L4118" s="1">
        <f>IF(E4118=0,SUMPRODUCT(MIN($K$2:$K$4734+((($A$2:$A$4734&lt;&gt;A4118)+($E$2:$E$4734&lt;&gt;0))&gt;0)*1000000)),"")</f>
        <v>4</v>
      </c>
      <c r="M4118" s="1">
        <f>IF(AND(E4118=0,COUNTIFS($A$2:A4118,A4118,$E$2:E4118,0)=1),L4118,0)</f>
        <v>0</v>
      </c>
    </row>
    <row r="4119" spans="1:13" ht="15" customHeight="1">
      <c r="A4119" s="1">
        <v>217</v>
      </c>
      <c r="B4119" s="1" t="s">
        <v>9</v>
      </c>
      <c r="C4119" s="2" t="s">
        <v>4877</v>
      </c>
      <c r="D4119" s="2" t="s">
        <v>4885</v>
      </c>
      <c r="E4119" s="1">
        <v>0</v>
      </c>
      <c r="F4119" s="2" t="s">
        <v>2583</v>
      </c>
      <c r="H4119" s="1" t="str">
        <f t="shared" si="67"/>
        <v/>
      </c>
      <c r="K4119" s="1">
        <f>IF(E4119=0,SUMPRODUCT(($A$2:$A$4734=A4119)*($B$2:$B$4734=B4119)*($D$2:$D$4734=D4119)*($E$2:$E$4734=0)),0)</f>
        <v>5</v>
      </c>
      <c r="L4119" s="1">
        <f>IF(E4119=0,SUMPRODUCT(MIN($K$2:$K$4734+((($A$2:$A$4734&lt;&gt;A4119)+($E$2:$E$4734&lt;&gt;0))&gt;0)*1000000)),"")</f>
        <v>4</v>
      </c>
      <c r="M4119" s="1">
        <f>IF(AND(E4119=0,COUNTIFS($A$2:A4119,A4119,$E$2:E4119,0)=1),L4119,0)</f>
        <v>0</v>
      </c>
    </row>
    <row r="4120" spans="1:13" ht="15" customHeight="1">
      <c r="A4120" s="1">
        <v>217</v>
      </c>
      <c r="B4120" s="1" t="s">
        <v>9</v>
      </c>
      <c r="C4120" s="2" t="s">
        <v>4877</v>
      </c>
      <c r="D4120" s="2" t="s">
        <v>4885</v>
      </c>
      <c r="E4120" s="1">
        <v>0</v>
      </c>
      <c r="F4120" s="2" t="s">
        <v>4886</v>
      </c>
      <c r="H4120" s="1" t="str">
        <f t="shared" si="67"/>
        <v/>
      </c>
      <c r="K4120" s="1">
        <f>IF(E4120=0,SUMPRODUCT(($A$2:$A$4734=A4120)*($B$2:$B$4734=B4120)*($D$2:$D$4734=D4120)*($E$2:$E$4734=0)),0)</f>
        <v>5</v>
      </c>
      <c r="L4120" s="1">
        <f>IF(E4120=0,SUMPRODUCT(MIN($K$2:$K$4734+((($A$2:$A$4734&lt;&gt;A4120)+($E$2:$E$4734&lt;&gt;0))&gt;0)*1000000)),"")</f>
        <v>4</v>
      </c>
      <c r="M4120" s="1">
        <f>IF(AND(E4120=0,COUNTIFS($A$2:A4120,A4120,$E$2:E4120,0)=1),L4120,0)</f>
        <v>0</v>
      </c>
    </row>
    <row r="4121" spans="1:13" ht="15" customHeight="1">
      <c r="A4121" s="1">
        <v>217</v>
      </c>
      <c r="B4121" s="1" t="s">
        <v>9</v>
      </c>
      <c r="C4121" s="2" t="s">
        <v>4877</v>
      </c>
      <c r="D4121" s="2" t="s">
        <v>4885</v>
      </c>
      <c r="E4121" s="1">
        <v>0</v>
      </c>
      <c r="F4121" s="2" t="s">
        <v>4887</v>
      </c>
      <c r="H4121" s="1" t="str">
        <f t="shared" si="67"/>
        <v/>
      </c>
      <c r="K4121" s="1">
        <f>IF(E4121=0,SUMPRODUCT(($A$2:$A$4734=A4121)*($B$2:$B$4734=B4121)*($D$2:$D$4734=D4121)*($E$2:$E$4734=0)),0)</f>
        <v>5</v>
      </c>
      <c r="L4121" s="1">
        <f>IF(E4121=0,SUMPRODUCT(MIN($K$2:$K$4734+((($A$2:$A$4734&lt;&gt;A4121)+($E$2:$E$4734&lt;&gt;0))&gt;0)*1000000)),"")</f>
        <v>4</v>
      </c>
      <c r="M4121" s="1">
        <f>IF(AND(E4121=0,COUNTIFS($A$2:A4121,A4121,$E$2:E4121,0)=1),L4121,0)</f>
        <v>0</v>
      </c>
    </row>
    <row r="4122" spans="1:13" ht="15" customHeight="1">
      <c r="A4122" s="1">
        <v>217</v>
      </c>
      <c r="B4122" s="1" t="s">
        <v>9</v>
      </c>
      <c r="C4122" s="2" t="s">
        <v>4877</v>
      </c>
      <c r="D4122" s="2" t="s">
        <v>4885</v>
      </c>
      <c r="E4122" s="1">
        <v>0</v>
      </c>
      <c r="F4122" s="2" t="s">
        <v>4888</v>
      </c>
      <c r="H4122" s="1" t="str">
        <f t="shared" si="67"/>
        <v/>
      </c>
      <c r="K4122" s="1">
        <f>IF(E4122=0,SUMPRODUCT(($A$2:$A$4734=A4122)*($B$2:$B$4734=B4122)*($D$2:$D$4734=D4122)*($E$2:$E$4734=0)),0)</f>
        <v>5</v>
      </c>
      <c r="L4122" s="1">
        <f>IF(E4122=0,SUMPRODUCT(MIN($K$2:$K$4734+((($A$2:$A$4734&lt;&gt;A4122)+($E$2:$E$4734&lt;&gt;0))&gt;0)*1000000)),"")</f>
        <v>4</v>
      </c>
      <c r="M4122" s="1">
        <f>IF(AND(E4122=0,COUNTIFS($A$2:A4122,A4122,$E$2:E4122,0)=1),L4122,0)</f>
        <v>0</v>
      </c>
    </row>
    <row r="4123" spans="1:13" ht="15" customHeight="1">
      <c r="A4123" s="1">
        <v>217</v>
      </c>
      <c r="B4123" s="1" t="s">
        <v>9</v>
      </c>
      <c r="C4123" s="2" t="s">
        <v>4877</v>
      </c>
      <c r="D4123" s="2" t="s">
        <v>4885</v>
      </c>
      <c r="E4123" s="1">
        <v>0</v>
      </c>
      <c r="F4123" s="2" t="s">
        <v>4889</v>
      </c>
      <c r="H4123" s="1" t="str">
        <f t="shared" si="67"/>
        <v/>
      </c>
      <c r="K4123" s="1">
        <f>IF(E4123=0,SUMPRODUCT(($A$2:$A$4734=A4123)*($B$2:$B$4734=B4123)*($D$2:$D$4734=D4123)*($E$2:$E$4734=0)),0)</f>
        <v>5</v>
      </c>
      <c r="L4123" s="1">
        <f>IF(E4123=0,SUMPRODUCT(MIN($K$2:$K$4734+((($A$2:$A$4734&lt;&gt;A4123)+($E$2:$E$4734&lt;&gt;0))&gt;0)*1000000)),"")</f>
        <v>4</v>
      </c>
      <c r="M4123" s="1">
        <f>IF(AND(E4123=0,COUNTIFS($A$2:A4123,A4123,$E$2:E4123,0)=1),L4123,0)</f>
        <v>0</v>
      </c>
    </row>
    <row r="4124" spans="1:13" ht="15" customHeight="1">
      <c r="A4124" s="1">
        <v>217</v>
      </c>
      <c r="B4124" s="1" t="s">
        <v>9</v>
      </c>
      <c r="C4124" s="2" t="s">
        <v>4877</v>
      </c>
      <c r="D4124" s="2" t="s">
        <v>4890</v>
      </c>
      <c r="E4124" s="1">
        <v>0</v>
      </c>
      <c r="F4124" s="2" t="s">
        <v>4891</v>
      </c>
      <c r="H4124" s="1" t="str">
        <f t="shared" si="67"/>
        <v/>
      </c>
      <c r="K4124" s="1">
        <f>IF(E4124=0,SUMPRODUCT(($A$2:$A$4734=A4124)*($B$2:$B$4734=B4124)*($D$2:$D$4734=D4124)*($E$2:$E$4734=0)),0)</f>
        <v>5</v>
      </c>
      <c r="L4124" s="1">
        <f>IF(E4124=0,SUMPRODUCT(MIN($K$2:$K$4734+((($A$2:$A$4734&lt;&gt;A4124)+($E$2:$E$4734&lt;&gt;0))&gt;0)*1000000)),"")</f>
        <v>4</v>
      </c>
      <c r="M4124" s="1">
        <f>IF(AND(E4124=0,COUNTIFS($A$2:A4124,A4124,$E$2:E4124,0)=1),L4124,0)</f>
        <v>0</v>
      </c>
    </row>
    <row r="4125" spans="1:13" ht="15" customHeight="1">
      <c r="A4125" s="1">
        <v>217</v>
      </c>
      <c r="B4125" s="1" t="s">
        <v>9</v>
      </c>
      <c r="C4125" s="2" t="s">
        <v>4877</v>
      </c>
      <c r="D4125" s="2" t="s">
        <v>4890</v>
      </c>
      <c r="E4125" s="1">
        <v>0</v>
      </c>
      <c r="F4125" s="2" t="s">
        <v>4892</v>
      </c>
      <c r="H4125" s="1" t="str">
        <f t="shared" si="67"/>
        <v/>
      </c>
      <c r="K4125" s="1">
        <f>IF(E4125=0,SUMPRODUCT(($A$2:$A$4734=A4125)*($B$2:$B$4734=B4125)*($D$2:$D$4734=D4125)*($E$2:$E$4734=0)),0)</f>
        <v>5</v>
      </c>
      <c r="L4125" s="1">
        <f>IF(E4125=0,SUMPRODUCT(MIN($K$2:$K$4734+((($A$2:$A$4734&lt;&gt;A4125)+($E$2:$E$4734&lt;&gt;0))&gt;0)*1000000)),"")</f>
        <v>4</v>
      </c>
      <c r="M4125" s="1">
        <f>IF(AND(E4125=0,COUNTIFS($A$2:A4125,A4125,$E$2:E4125,0)=1),L4125,0)</f>
        <v>0</v>
      </c>
    </row>
    <row r="4126" spans="1:13" ht="15" customHeight="1">
      <c r="A4126" s="1">
        <v>217</v>
      </c>
      <c r="B4126" s="1" t="s">
        <v>9</v>
      </c>
      <c r="C4126" s="2" t="s">
        <v>4877</v>
      </c>
      <c r="D4126" s="2" t="s">
        <v>4890</v>
      </c>
      <c r="E4126" s="1">
        <v>0</v>
      </c>
      <c r="F4126" s="2" t="s">
        <v>4893</v>
      </c>
      <c r="H4126" s="1" t="str">
        <f t="shared" si="67"/>
        <v/>
      </c>
      <c r="K4126" s="1">
        <f>IF(E4126=0,SUMPRODUCT(($A$2:$A$4734=A4126)*($B$2:$B$4734=B4126)*($D$2:$D$4734=D4126)*($E$2:$E$4734=0)),0)</f>
        <v>5</v>
      </c>
      <c r="L4126" s="1">
        <f>IF(E4126=0,SUMPRODUCT(MIN($K$2:$K$4734+((($A$2:$A$4734&lt;&gt;A4126)+($E$2:$E$4734&lt;&gt;0))&gt;0)*1000000)),"")</f>
        <v>4</v>
      </c>
      <c r="M4126" s="1">
        <f>IF(AND(E4126=0,COUNTIFS($A$2:A4126,A4126,$E$2:E4126,0)=1),L4126,0)</f>
        <v>0</v>
      </c>
    </row>
    <row r="4127" spans="1:13" ht="15" customHeight="1">
      <c r="A4127" s="1">
        <v>217</v>
      </c>
      <c r="B4127" s="1" t="s">
        <v>9</v>
      </c>
      <c r="C4127" s="2" t="s">
        <v>4877</v>
      </c>
      <c r="D4127" s="2" t="s">
        <v>4890</v>
      </c>
      <c r="E4127" s="1">
        <v>0</v>
      </c>
      <c r="F4127" s="2" t="s">
        <v>4894</v>
      </c>
      <c r="H4127" s="1" t="str">
        <f t="shared" si="67"/>
        <v/>
      </c>
      <c r="K4127" s="1">
        <f>IF(E4127=0,SUMPRODUCT(($A$2:$A$4734=A4127)*($B$2:$B$4734=B4127)*($D$2:$D$4734=D4127)*($E$2:$E$4734=0)),0)</f>
        <v>5</v>
      </c>
      <c r="L4127" s="1">
        <f>IF(E4127=0,SUMPRODUCT(MIN($K$2:$K$4734+((($A$2:$A$4734&lt;&gt;A4127)+($E$2:$E$4734&lt;&gt;0))&gt;0)*1000000)),"")</f>
        <v>4</v>
      </c>
      <c r="M4127" s="1">
        <f>IF(AND(E4127=0,COUNTIFS($A$2:A4127,A4127,$E$2:E4127,0)=1),L4127,0)</f>
        <v>0</v>
      </c>
    </row>
    <row r="4128" spans="1:13" ht="15" customHeight="1">
      <c r="A4128" s="1">
        <v>217</v>
      </c>
      <c r="B4128" s="1" t="s">
        <v>9</v>
      </c>
      <c r="C4128" s="2" t="s">
        <v>4877</v>
      </c>
      <c r="D4128" s="2" t="s">
        <v>4890</v>
      </c>
      <c r="E4128" s="1">
        <v>0</v>
      </c>
      <c r="F4128" s="2" t="s">
        <v>4895</v>
      </c>
      <c r="H4128" s="1" t="str">
        <f t="shared" si="67"/>
        <v/>
      </c>
      <c r="K4128" s="1">
        <f>IF(E4128=0,SUMPRODUCT(($A$2:$A$4734=A4128)*($B$2:$B$4734=B4128)*($D$2:$D$4734=D4128)*($E$2:$E$4734=0)),0)</f>
        <v>5</v>
      </c>
      <c r="L4128" s="1">
        <f>IF(E4128=0,SUMPRODUCT(MIN($K$2:$K$4734+((($A$2:$A$4734&lt;&gt;A4128)+($E$2:$E$4734&lt;&gt;0))&gt;0)*1000000)),"")</f>
        <v>4</v>
      </c>
      <c r="M4128" s="1">
        <f>IF(AND(E4128=0,COUNTIFS($A$2:A4128,A4128,$E$2:E4128,0)=1),L4128,0)</f>
        <v>0</v>
      </c>
    </row>
    <row r="4129" spans="1:13" ht="15" customHeight="1">
      <c r="A4129" s="1">
        <v>218</v>
      </c>
      <c r="B4129" s="1" t="s">
        <v>69</v>
      </c>
      <c r="C4129" s="2" t="s">
        <v>4896</v>
      </c>
      <c r="D4129" s="2" t="s">
        <v>4897</v>
      </c>
      <c r="E4129" s="1">
        <v>1</v>
      </c>
      <c r="F4129" s="2" t="s">
        <v>4898</v>
      </c>
      <c r="G4129" s="1">
        <v>1</v>
      </c>
      <c r="H4129" s="1" t="str">
        <f t="shared" si="67"/>
        <v>k218_1</v>
      </c>
      <c r="K4129" s="1">
        <f>IF(E4129=0,SUMPRODUCT(($A$2:$A$4734=A4129)*($B$2:$B$4734=B4129)*($D$2:$D$4734=D4129)*($E$2:$E$4734=0)),0)</f>
        <v>0</v>
      </c>
      <c r="L4129" s="1" t="str">
        <f>IF(E4129=0,SUMPRODUCT(MIN($K$2:$K$4734+((($A$2:$A$4734&lt;&gt;A4129)+($E$2:$E$4734&lt;&gt;0))&gt;0)*1000000)),"")</f>
        <v/>
      </c>
      <c r="M4129" s="1">
        <f>IF(AND(E4129=0,COUNTIFS($A$2:A4129,A4129,$E$2:E4129,0)=1),L4129,0)</f>
        <v>0</v>
      </c>
    </row>
    <row r="4130" spans="1:13" ht="15" customHeight="1">
      <c r="A4130" s="1">
        <v>218</v>
      </c>
      <c r="B4130" s="1" t="s">
        <v>69</v>
      </c>
      <c r="C4130" s="2" t="s">
        <v>4896</v>
      </c>
      <c r="D4130" s="2" t="s">
        <v>4897</v>
      </c>
      <c r="E4130" s="1">
        <v>1</v>
      </c>
      <c r="F4130" s="2" t="s">
        <v>4899</v>
      </c>
      <c r="G4130" s="1">
        <v>2</v>
      </c>
      <c r="H4130" s="1" t="str">
        <f t="shared" si="67"/>
        <v>k218_2</v>
      </c>
      <c r="K4130" s="1">
        <f>IF(E4130=0,SUMPRODUCT(($A$2:$A$4734=A4130)*($B$2:$B$4734=B4130)*($D$2:$D$4734=D4130)*($E$2:$E$4734=0)),0)</f>
        <v>0</v>
      </c>
      <c r="L4130" s="1" t="str">
        <f>IF(E4130=0,SUMPRODUCT(MIN($K$2:$K$4734+((($A$2:$A$4734&lt;&gt;A4130)+($E$2:$E$4734&lt;&gt;0))&gt;0)*1000000)),"")</f>
        <v/>
      </c>
      <c r="M4130" s="1">
        <f>IF(AND(E4130=0,COUNTIFS($A$2:A4130,A4130,$E$2:E4130,0)=1),L4130,0)</f>
        <v>0</v>
      </c>
    </row>
    <row r="4131" spans="1:13" ht="15" customHeight="1">
      <c r="A4131" s="1">
        <v>218</v>
      </c>
      <c r="B4131" s="1" t="s">
        <v>69</v>
      </c>
      <c r="C4131" s="2" t="s">
        <v>4896</v>
      </c>
      <c r="D4131" s="2" t="s">
        <v>4897</v>
      </c>
      <c r="E4131" s="1">
        <v>1</v>
      </c>
      <c r="F4131" s="2" t="s">
        <v>4900</v>
      </c>
      <c r="G4131" s="1">
        <v>3</v>
      </c>
      <c r="H4131" s="1" t="str">
        <f t="shared" si="67"/>
        <v>k218_3</v>
      </c>
      <c r="K4131" s="1">
        <f>IF(E4131=0,SUMPRODUCT(($A$2:$A$4734=A4131)*($B$2:$B$4734=B4131)*($D$2:$D$4734=D4131)*($E$2:$E$4734=0)),0)</f>
        <v>0</v>
      </c>
      <c r="L4131" s="1" t="str">
        <f>IF(E4131=0,SUMPRODUCT(MIN($K$2:$K$4734+((($A$2:$A$4734&lt;&gt;A4131)+($E$2:$E$4734&lt;&gt;0))&gt;0)*1000000)),"")</f>
        <v/>
      </c>
      <c r="M4131" s="1">
        <f>IF(AND(E4131=0,COUNTIFS($A$2:A4131,A4131,$E$2:E4131,0)=1),L4131,0)</f>
        <v>0</v>
      </c>
    </row>
    <row r="4132" spans="1:13" ht="15" customHeight="1">
      <c r="A4132" s="1">
        <v>218</v>
      </c>
      <c r="B4132" s="1" t="s">
        <v>9</v>
      </c>
      <c r="C4132" s="2" t="s">
        <v>4896</v>
      </c>
      <c r="D4132" s="2" t="s">
        <v>4901</v>
      </c>
      <c r="E4132" s="1">
        <v>1</v>
      </c>
      <c r="F4132" s="2" t="s">
        <v>4902</v>
      </c>
      <c r="G4132" s="1">
        <v>2</v>
      </c>
      <c r="H4132" s="1" t="str">
        <f t="shared" si="67"/>
        <v>k218_2</v>
      </c>
      <c r="K4132" s="1">
        <f>IF(E4132=0,SUMPRODUCT(($A$2:$A$4734=A4132)*($B$2:$B$4734=B4132)*($D$2:$D$4734=D4132)*($E$2:$E$4734=0)),0)</f>
        <v>0</v>
      </c>
      <c r="L4132" s="1" t="str">
        <f>IF(E4132=0,SUMPRODUCT(MIN($K$2:$K$4734+((($A$2:$A$4734&lt;&gt;A4132)+($E$2:$E$4734&lt;&gt;0))&gt;0)*1000000)),"")</f>
        <v/>
      </c>
      <c r="M4132" s="1">
        <f>IF(AND(E4132=0,COUNTIFS($A$2:A4132,A4132,$E$2:E4132,0)=1),L4132,0)</f>
        <v>0</v>
      </c>
    </row>
    <row r="4133" spans="1:13" ht="15" customHeight="1">
      <c r="A4133" s="1">
        <v>218</v>
      </c>
      <c r="B4133" s="1" t="s">
        <v>9</v>
      </c>
      <c r="C4133" s="2" t="s">
        <v>4896</v>
      </c>
      <c r="D4133" s="2" t="s">
        <v>4901</v>
      </c>
      <c r="E4133" s="1">
        <v>1</v>
      </c>
      <c r="F4133" s="2" t="s">
        <v>4903</v>
      </c>
      <c r="G4133" s="1">
        <v>1</v>
      </c>
      <c r="H4133" s="1" t="str">
        <f t="shared" si="67"/>
        <v>k218_1</v>
      </c>
      <c r="K4133" s="1">
        <f>IF(E4133=0,SUMPRODUCT(($A$2:$A$4734=A4133)*($B$2:$B$4734=B4133)*($D$2:$D$4734=D4133)*($E$2:$E$4734=0)),0)</f>
        <v>0</v>
      </c>
      <c r="L4133" s="1" t="str">
        <f>IF(E4133=0,SUMPRODUCT(MIN($K$2:$K$4734+((($A$2:$A$4734&lt;&gt;A4133)+($E$2:$E$4734&lt;&gt;0))&gt;0)*1000000)),"")</f>
        <v/>
      </c>
      <c r="M4133" s="1">
        <f>IF(AND(E4133=0,COUNTIFS($A$2:A4133,A4133,$E$2:E4133,0)=1),L4133,0)</f>
        <v>0</v>
      </c>
    </row>
    <row r="4134" spans="1:13" ht="15" customHeight="1">
      <c r="A4134" s="1">
        <v>218</v>
      </c>
      <c r="B4134" s="1" t="s">
        <v>9</v>
      </c>
      <c r="C4134" s="2" t="s">
        <v>4896</v>
      </c>
      <c r="D4134" s="2" t="s">
        <v>4901</v>
      </c>
      <c r="E4134" s="1">
        <v>1</v>
      </c>
      <c r="F4134" s="2" t="s">
        <v>4904</v>
      </c>
      <c r="G4134" s="1">
        <v>3</v>
      </c>
      <c r="H4134" s="1" t="str">
        <f t="shared" si="67"/>
        <v>k218_3</v>
      </c>
      <c r="K4134" s="1">
        <f>IF(E4134=0,SUMPRODUCT(($A$2:$A$4734=A4134)*($B$2:$B$4734=B4134)*($D$2:$D$4734=D4134)*($E$2:$E$4734=0)),0)</f>
        <v>0</v>
      </c>
      <c r="L4134" s="1" t="str">
        <f>IF(E4134=0,SUMPRODUCT(MIN($K$2:$K$4734+((($A$2:$A$4734&lt;&gt;A4134)+($E$2:$E$4734&lt;&gt;0))&gt;0)*1000000)),"")</f>
        <v/>
      </c>
      <c r="M4134" s="1">
        <f>IF(AND(E4134=0,COUNTIFS($A$2:A4134,A4134,$E$2:E4134,0)=1),L4134,0)</f>
        <v>0</v>
      </c>
    </row>
    <row r="4135" spans="1:13" ht="15" customHeight="1">
      <c r="A4135" s="1">
        <v>218</v>
      </c>
      <c r="B4135" s="1" t="s">
        <v>9</v>
      </c>
      <c r="C4135" s="2" t="s">
        <v>4896</v>
      </c>
      <c r="D4135" s="2" t="s">
        <v>4905</v>
      </c>
      <c r="E4135" s="1">
        <v>1</v>
      </c>
      <c r="F4135" s="2" t="s">
        <v>4906</v>
      </c>
      <c r="G4135" s="1">
        <v>1</v>
      </c>
      <c r="H4135" s="1" t="str">
        <f t="shared" si="67"/>
        <v>k218_1</v>
      </c>
      <c r="K4135" s="1">
        <f>IF(E4135=0,SUMPRODUCT(($A$2:$A$4734=A4135)*($B$2:$B$4734=B4135)*($D$2:$D$4734=D4135)*($E$2:$E$4734=0)),0)</f>
        <v>0</v>
      </c>
      <c r="L4135" s="1" t="str">
        <f>IF(E4135=0,SUMPRODUCT(MIN($K$2:$K$4734+((($A$2:$A$4734&lt;&gt;A4135)+($E$2:$E$4734&lt;&gt;0))&gt;0)*1000000)),"")</f>
        <v/>
      </c>
      <c r="M4135" s="1">
        <f>IF(AND(E4135=0,COUNTIFS($A$2:A4135,A4135,$E$2:E4135,0)=1),L4135,0)</f>
        <v>0</v>
      </c>
    </row>
    <row r="4136" spans="1:13" ht="15" customHeight="1">
      <c r="A4136" s="1">
        <v>218</v>
      </c>
      <c r="B4136" s="1" t="s">
        <v>9</v>
      </c>
      <c r="C4136" s="2" t="s">
        <v>4896</v>
      </c>
      <c r="D4136" s="2" t="s">
        <v>4905</v>
      </c>
      <c r="E4136" s="1">
        <v>1</v>
      </c>
      <c r="F4136" s="2" t="s">
        <v>4907</v>
      </c>
      <c r="G4136" s="1">
        <v>2</v>
      </c>
      <c r="H4136" s="1" t="str">
        <f t="shared" si="67"/>
        <v>k218_2</v>
      </c>
      <c r="K4136" s="1">
        <f>IF(E4136=0,SUMPRODUCT(($A$2:$A$4734=A4136)*($B$2:$B$4734=B4136)*($D$2:$D$4734=D4136)*($E$2:$E$4734=0)),0)</f>
        <v>0</v>
      </c>
      <c r="L4136" s="1" t="str">
        <f>IF(E4136=0,SUMPRODUCT(MIN($K$2:$K$4734+((($A$2:$A$4734&lt;&gt;A4136)+($E$2:$E$4734&lt;&gt;0))&gt;0)*1000000)),"")</f>
        <v/>
      </c>
      <c r="M4136" s="1">
        <f>IF(AND(E4136=0,COUNTIFS($A$2:A4136,A4136,$E$2:E4136,0)=1),L4136,0)</f>
        <v>0</v>
      </c>
    </row>
    <row r="4137" spans="1:13" ht="15" customHeight="1">
      <c r="A4137" s="1">
        <v>218</v>
      </c>
      <c r="B4137" s="1" t="s">
        <v>9</v>
      </c>
      <c r="C4137" s="2" t="s">
        <v>4896</v>
      </c>
      <c r="D4137" s="2" t="s">
        <v>4905</v>
      </c>
      <c r="E4137" s="1">
        <v>1</v>
      </c>
      <c r="F4137" s="2" t="s">
        <v>4908</v>
      </c>
      <c r="G4137" s="1">
        <v>3</v>
      </c>
      <c r="H4137" s="1" t="str">
        <f t="shared" si="67"/>
        <v>k218_3</v>
      </c>
      <c r="K4137" s="1">
        <f>IF(E4137=0,SUMPRODUCT(($A$2:$A$4734=A4137)*($B$2:$B$4734=B4137)*($D$2:$D$4734=D4137)*($E$2:$E$4734=0)),0)</f>
        <v>0</v>
      </c>
      <c r="L4137" s="1" t="str">
        <f>IF(E4137=0,SUMPRODUCT(MIN($K$2:$K$4734+((($A$2:$A$4734&lt;&gt;A4137)+($E$2:$E$4734&lt;&gt;0))&gt;0)*1000000)),"")</f>
        <v/>
      </c>
      <c r="M4137" s="1">
        <f>IF(AND(E4137=0,COUNTIFS($A$2:A4137,A4137,$E$2:E4137,0)=1),L4137,0)</f>
        <v>0</v>
      </c>
    </row>
    <row r="4138" spans="1:13" ht="15" customHeight="1">
      <c r="A4138" s="1">
        <v>219</v>
      </c>
      <c r="B4138" s="1" t="s">
        <v>161</v>
      </c>
      <c r="C4138" s="2" t="s">
        <v>4909</v>
      </c>
      <c r="D4138" s="2" t="s">
        <v>4909</v>
      </c>
      <c r="E4138" s="1">
        <v>1</v>
      </c>
      <c r="F4138" s="2" t="s">
        <v>4910</v>
      </c>
      <c r="G4138" s="1">
        <v>1</v>
      </c>
      <c r="H4138" s="1" t="str">
        <f t="shared" si="67"/>
        <v>k219_1</v>
      </c>
      <c r="K4138" s="1">
        <f>IF(E4138=0,SUMPRODUCT(($A$2:$A$4734=A4138)*($B$2:$B$4734=B4138)*($D$2:$D$4734=D4138)*($E$2:$E$4734=0)),0)</f>
        <v>0</v>
      </c>
      <c r="L4138" s="1" t="str">
        <f>IF(E4138=0,SUMPRODUCT(MIN($K$2:$K$4734+((($A$2:$A$4734&lt;&gt;A4138)+($E$2:$E$4734&lt;&gt;0))&gt;0)*1000000)),"")</f>
        <v/>
      </c>
      <c r="M4138" s="1">
        <f>IF(AND(E4138=0,COUNTIFS($A$2:A4138,A4138,$E$2:E4138,0)=1),L4138,0)</f>
        <v>0</v>
      </c>
    </row>
    <row r="4139" spans="1:13" ht="15" customHeight="1">
      <c r="A4139" s="1">
        <v>219</v>
      </c>
      <c r="B4139" s="1" t="s">
        <v>161</v>
      </c>
      <c r="C4139" s="2" t="s">
        <v>4909</v>
      </c>
      <c r="D4139" s="2" t="s">
        <v>4909</v>
      </c>
      <c r="E4139" s="1">
        <v>1</v>
      </c>
      <c r="F4139" s="2" t="s">
        <v>4911</v>
      </c>
      <c r="G4139" s="1">
        <v>2</v>
      </c>
      <c r="H4139" s="1" t="str">
        <f t="shared" si="67"/>
        <v>k219_2</v>
      </c>
      <c r="K4139" s="1">
        <f>IF(E4139=0,SUMPRODUCT(($A$2:$A$4734=A4139)*($B$2:$B$4734=B4139)*($D$2:$D$4734=D4139)*($E$2:$E$4734=0)),0)</f>
        <v>0</v>
      </c>
      <c r="L4139" s="1" t="str">
        <f>IF(E4139=0,SUMPRODUCT(MIN($K$2:$K$4734+((($A$2:$A$4734&lt;&gt;A4139)+($E$2:$E$4734&lt;&gt;0))&gt;0)*1000000)),"")</f>
        <v/>
      </c>
      <c r="M4139" s="1">
        <f>IF(AND(E4139=0,COUNTIFS($A$2:A4139,A4139,$E$2:E4139,0)=1),L4139,0)</f>
        <v>0</v>
      </c>
    </row>
    <row r="4140" spans="1:13" ht="15" customHeight="1">
      <c r="A4140" s="1">
        <v>219</v>
      </c>
      <c r="B4140" s="1" t="s">
        <v>161</v>
      </c>
      <c r="C4140" s="2" t="s">
        <v>4909</v>
      </c>
      <c r="D4140" s="2" t="s">
        <v>4909</v>
      </c>
      <c r="E4140" s="1">
        <v>1</v>
      </c>
      <c r="F4140" s="2" t="s">
        <v>4912</v>
      </c>
      <c r="G4140" s="1">
        <v>3</v>
      </c>
      <c r="H4140" s="1" t="str">
        <f t="shared" si="67"/>
        <v>k219_3</v>
      </c>
      <c r="K4140" s="1">
        <f>IF(E4140=0,SUMPRODUCT(($A$2:$A$4734=A4140)*($B$2:$B$4734=B4140)*($D$2:$D$4734=D4140)*($E$2:$E$4734=0)),0)</f>
        <v>0</v>
      </c>
      <c r="L4140" s="1" t="str">
        <f>IF(E4140=0,SUMPRODUCT(MIN($K$2:$K$4734+((($A$2:$A$4734&lt;&gt;A4140)+($E$2:$E$4734&lt;&gt;0))&gt;0)*1000000)),"")</f>
        <v/>
      </c>
      <c r="M4140" s="1">
        <f>IF(AND(E4140=0,COUNTIFS($A$2:A4140,A4140,$E$2:E4140,0)=1),L4140,0)</f>
        <v>0</v>
      </c>
    </row>
    <row r="4141" spans="1:13" ht="15" customHeight="1">
      <c r="A4141" s="1">
        <v>219</v>
      </c>
      <c r="B4141" s="1" t="s">
        <v>161</v>
      </c>
      <c r="C4141" s="2" t="s">
        <v>4909</v>
      </c>
      <c r="D4141" s="2" t="s">
        <v>4909</v>
      </c>
      <c r="E4141" s="1">
        <v>1</v>
      </c>
      <c r="F4141" s="2" t="s">
        <v>4913</v>
      </c>
      <c r="G4141" s="1">
        <v>4</v>
      </c>
      <c r="H4141" s="1" t="str">
        <f t="shared" si="67"/>
        <v>k219_4</v>
      </c>
      <c r="K4141" s="1">
        <f>IF(E4141=0,SUMPRODUCT(($A$2:$A$4734=A4141)*($B$2:$B$4734=B4141)*($D$2:$D$4734=D4141)*($E$2:$E$4734=0)),0)</f>
        <v>0</v>
      </c>
      <c r="L4141" s="1" t="str">
        <f>IF(E4141=0,SUMPRODUCT(MIN($K$2:$K$4734+((($A$2:$A$4734&lt;&gt;A4141)+($E$2:$E$4734&lt;&gt;0))&gt;0)*1000000)),"")</f>
        <v/>
      </c>
      <c r="M4141" s="1">
        <f>IF(AND(E4141=0,COUNTIFS($A$2:A4141,A4141,$E$2:E4141,0)=1),L4141,0)</f>
        <v>0</v>
      </c>
    </row>
    <row r="4142" spans="1:13" ht="15" customHeight="1">
      <c r="A4142" s="1">
        <v>220</v>
      </c>
      <c r="B4142" s="1" t="s">
        <v>9</v>
      </c>
      <c r="C4142" s="2" t="s">
        <v>4914</v>
      </c>
      <c r="D4142" s="2" t="s">
        <v>4915</v>
      </c>
      <c r="E4142" s="1">
        <v>0</v>
      </c>
      <c r="F4142" s="2" t="s">
        <v>4916</v>
      </c>
      <c r="H4142" s="1" t="str">
        <f t="shared" si="67"/>
        <v/>
      </c>
      <c r="K4142" s="1">
        <f>IF(E4142=0,SUMPRODUCT(($A$2:$A$4734=A4142)*($B$2:$B$4734=B4142)*($D$2:$D$4734=D4142)*($E$2:$E$4734=0)),0)</f>
        <v>4</v>
      </c>
      <c r="L4142" s="1">
        <f>IF(E4142=0,SUMPRODUCT(MIN($K$2:$K$4734+((($A$2:$A$4734&lt;&gt;A4142)+($E$2:$E$4734&lt;&gt;0))&gt;0)*1000000)),"")</f>
        <v>4</v>
      </c>
      <c r="M4142" s="1">
        <f>IF(AND(E4142=0,COUNTIFS($A$2:A4142,A4142,$E$2:E4142,0)=1),L4142,0)</f>
        <v>4</v>
      </c>
    </row>
    <row r="4143" spans="1:13" ht="15" customHeight="1">
      <c r="A4143" s="1">
        <v>220</v>
      </c>
      <c r="B4143" s="1" t="s">
        <v>9</v>
      </c>
      <c r="C4143" s="2" t="s">
        <v>4914</v>
      </c>
      <c r="D4143" s="2" t="s">
        <v>4915</v>
      </c>
      <c r="E4143" s="1">
        <v>0</v>
      </c>
      <c r="F4143" s="2" t="s">
        <v>4917</v>
      </c>
      <c r="H4143" s="1" t="str">
        <f t="shared" si="67"/>
        <v/>
      </c>
      <c r="K4143" s="1">
        <f>IF(E4143=0,SUMPRODUCT(($A$2:$A$4734=A4143)*($B$2:$B$4734=B4143)*($D$2:$D$4734=D4143)*($E$2:$E$4734=0)),0)</f>
        <v>4</v>
      </c>
      <c r="L4143" s="1">
        <f>IF(E4143=0,SUMPRODUCT(MIN($K$2:$K$4734+((($A$2:$A$4734&lt;&gt;A4143)+($E$2:$E$4734&lt;&gt;0))&gt;0)*1000000)),"")</f>
        <v>4</v>
      </c>
      <c r="M4143" s="1">
        <f>IF(AND(E4143=0,COUNTIFS($A$2:A4143,A4143,$E$2:E4143,0)=1),L4143,0)</f>
        <v>0</v>
      </c>
    </row>
    <row r="4144" spans="1:13" ht="15" customHeight="1">
      <c r="A4144" s="1">
        <v>220</v>
      </c>
      <c r="B4144" s="1" t="s">
        <v>9</v>
      </c>
      <c r="C4144" s="2" t="s">
        <v>4914</v>
      </c>
      <c r="D4144" s="2" t="s">
        <v>4915</v>
      </c>
      <c r="E4144" s="1">
        <v>0</v>
      </c>
      <c r="F4144" s="2" t="s">
        <v>4918</v>
      </c>
      <c r="H4144" s="1" t="str">
        <f t="shared" si="67"/>
        <v/>
      </c>
      <c r="K4144" s="1">
        <f>IF(E4144=0,SUMPRODUCT(($A$2:$A$4734=A4144)*($B$2:$B$4734=B4144)*($D$2:$D$4734=D4144)*($E$2:$E$4734=0)),0)</f>
        <v>4</v>
      </c>
      <c r="L4144" s="1">
        <f>IF(E4144=0,SUMPRODUCT(MIN($K$2:$K$4734+((($A$2:$A$4734&lt;&gt;A4144)+($E$2:$E$4734&lt;&gt;0))&gt;0)*1000000)),"")</f>
        <v>4</v>
      </c>
      <c r="M4144" s="1">
        <f>IF(AND(E4144=0,COUNTIFS($A$2:A4144,A4144,$E$2:E4144,0)=1),L4144,0)</f>
        <v>0</v>
      </c>
    </row>
    <row r="4145" spans="1:13" ht="15" customHeight="1">
      <c r="A4145" s="1">
        <v>220</v>
      </c>
      <c r="B4145" s="1" t="s">
        <v>9</v>
      </c>
      <c r="C4145" s="2" t="s">
        <v>4914</v>
      </c>
      <c r="D4145" s="2" t="s">
        <v>4915</v>
      </c>
      <c r="E4145" s="1">
        <v>0</v>
      </c>
      <c r="F4145" s="2" t="s">
        <v>4919</v>
      </c>
      <c r="H4145" s="1" t="str">
        <f t="shared" si="67"/>
        <v/>
      </c>
      <c r="K4145" s="1">
        <f>IF(E4145=0,SUMPRODUCT(($A$2:$A$4734=A4145)*($B$2:$B$4734=B4145)*($D$2:$D$4734=D4145)*($E$2:$E$4734=0)),0)</f>
        <v>4</v>
      </c>
      <c r="L4145" s="1">
        <f>IF(E4145=0,SUMPRODUCT(MIN($K$2:$K$4734+((($A$2:$A$4734&lt;&gt;A4145)+($E$2:$E$4734&lt;&gt;0))&gt;0)*1000000)),"")</f>
        <v>4</v>
      </c>
      <c r="M4145" s="1">
        <f>IF(AND(E4145=0,COUNTIFS($A$2:A4145,A4145,$E$2:E4145,0)=1),L4145,0)</f>
        <v>0</v>
      </c>
    </row>
    <row r="4146" spans="1:13" ht="15" customHeight="1">
      <c r="A4146" s="1">
        <v>221</v>
      </c>
      <c r="B4146" s="1" t="s">
        <v>9</v>
      </c>
      <c r="C4146" s="2" t="s">
        <v>4920</v>
      </c>
      <c r="D4146" s="2" t="s">
        <v>4921</v>
      </c>
      <c r="E4146" s="1">
        <v>1</v>
      </c>
      <c r="F4146" s="2" t="s">
        <v>4922</v>
      </c>
      <c r="G4146" s="1">
        <v>1</v>
      </c>
      <c r="H4146" s="1" t="str">
        <f t="shared" si="67"/>
        <v>k221_1</v>
      </c>
      <c r="K4146" s="1">
        <f>IF(E4146=0,SUMPRODUCT(($A$2:$A$4734=A4146)*($B$2:$B$4734=B4146)*($D$2:$D$4734=D4146)*($E$2:$E$4734=0)),0)</f>
        <v>0</v>
      </c>
      <c r="L4146" s="1" t="str">
        <f>IF(E4146=0,SUMPRODUCT(MIN($K$2:$K$4734+((($A$2:$A$4734&lt;&gt;A4146)+($E$2:$E$4734&lt;&gt;0))&gt;0)*1000000)),"")</f>
        <v/>
      </c>
      <c r="M4146" s="1">
        <f>IF(AND(E4146=0,COUNTIFS($A$2:A4146,A4146,$E$2:E4146,0)=1),L4146,0)</f>
        <v>0</v>
      </c>
    </row>
    <row r="4147" spans="1:13" ht="15" customHeight="1">
      <c r="A4147" s="1">
        <v>221</v>
      </c>
      <c r="B4147" s="1" t="s">
        <v>9</v>
      </c>
      <c r="C4147" s="2" t="s">
        <v>4920</v>
      </c>
      <c r="D4147" s="2" t="s">
        <v>4921</v>
      </c>
      <c r="E4147" s="1">
        <v>1</v>
      </c>
      <c r="F4147" s="2" t="s">
        <v>4923</v>
      </c>
      <c r="G4147" s="1">
        <v>2</v>
      </c>
      <c r="H4147" s="1" t="str">
        <f t="shared" si="67"/>
        <v>k221_2</v>
      </c>
      <c r="K4147" s="1">
        <f>IF(E4147=0,SUMPRODUCT(($A$2:$A$4734=A4147)*($B$2:$B$4734=B4147)*($D$2:$D$4734=D4147)*($E$2:$E$4734=0)),0)</f>
        <v>0</v>
      </c>
      <c r="L4147" s="1" t="str">
        <f>IF(E4147=0,SUMPRODUCT(MIN($K$2:$K$4734+((($A$2:$A$4734&lt;&gt;A4147)+($E$2:$E$4734&lt;&gt;0))&gt;0)*1000000)),"")</f>
        <v/>
      </c>
      <c r="M4147" s="1">
        <f>IF(AND(E4147=0,COUNTIFS($A$2:A4147,A4147,$E$2:E4147,0)=1),L4147,0)</f>
        <v>0</v>
      </c>
    </row>
    <row r="4148" spans="1:13" ht="15" customHeight="1">
      <c r="A4148" s="1">
        <v>221</v>
      </c>
      <c r="B4148" s="1" t="s">
        <v>9</v>
      </c>
      <c r="C4148" s="2" t="s">
        <v>4920</v>
      </c>
      <c r="D4148" s="2" t="s">
        <v>4921</v>
      </c>
      <c r="E4148" s="1">
        <v>1</v>
      </c>
      <c r="F4148" s="2" t="s">
        <v>4924</v>
      </c>
      <c r="G4148" s="1">
        <v>3</v>
      </c>
      <c r="H4148" s="1" t="str">
        <f t="shared" si="67"/>
        <v>k221_3</v>
      </c>
      <c r="K4148" s="1">
        <f>IF(E4148=0,SUMPRODUCT(($A$2:$A$4734=A4148)*($B$2:$B$4734=B4148)*($D$2:$D$4734=D4148)*($E$2:$E$4734=0)),0)</f>
        <v>0</v>
      </c>
      <c r="L4148" s="1" t="str">
        <f>IF(E4148=0,SUMPRODUCT(MIN($K$2:$K$4734+((($A$2:$A$4734&lt;&gt;A4148)+($E$2:$E$4734&lt;&gt;0))&gt;0)*1000000)),"")</f>
        <v/>
      </c>
      <c r="M4148" s="1">
        <f>IF(AND(E4148=0,COUNTIFS($A$2:A4148,A4148,$E$2:E4148,0)=1),L4148,0)</f>
        <v>0</v>
      </c>
    </row>
    <row r="4149" spans="1:13" ht="15" customHeight="1">
      <c r="A4149" s="1">
        <v>221</v>
      </c>
      <c r="B4149" s="1" t="s">
        <v>9</v>
      </c>
      <c r="C4149" s="2" t="s">
        <v>4920</v>
      </c>
      <c r="D4149" s="2" t="s">
        <v>4921</v>
      </c>
      <c r="E4149" s="1">
        <v>1</v>
      </c>
      <c r="F4149" s="2" t="s">
        <v>4925</v>
      </c>
      <c r="G4149" s="1">
        <v>4</v>
      </c>
      <c r="H4149" s="1" t="str">
        <f t="shared" si="67"/>
        <v>k221_4</v>
      </c>
      <c r="K4149" s="1">
        <f>IF(E4149=0,SUMPRODUCT(($A$2:$A$4734=A4149)*($B$2:$B$4734=B4149)*($D$2:$D$4734=D4149)*($E$2:$E$4734=0)),0)</f>
        <v>0</v>
      </c>
      <c r="L4149" s="1" t="str">
        <f>IF(E4149=0,SUMPRODUCT(MIN($K$2:$K$4734+((($A$2:$A$4734&lt;&gt;A4149)+($E$2:$E$4734&lt;&gt;0))&gt;0)*1000000)),"")</f>
        <v/>
      </c>
      <c r="M4149" s="1">
        <f>IF(AND(E4149=0,COUNTIFS($A$2:A4149,A4149,$E$2:E4149,0)=1),L4149,0)</f>
        <v>0</v>
      </c>
    </row>
    <row r="4150" spans="1:13" ht="15" customHeight="1">
      <c r="A4150" s="1">
        <v>221</v>
      </c>
      <c r="B4150" s="1" t="s">
        <v>16</v>
      </c>
      <c r="C4150" s="2" t="s">
        <v>4920</v>
      </c>
      <c r="D4150" s="2" t="s">
        <v>4926</v>
      </c>
      <c r="E4150" s="1">
        <v>1</v>
      </c>
      <c r="F4150" s="2" t="s">
        <v>4927</v>
      </c>
      <c r="G4150" s="1">
        <v>1</v>
      </c>
      <c r="H4150" s="1" t="str">
        <f t="shared" si="67"/>
        <v>k221_1</v>
      </c>
      <c r="K4150" s="1">
        <f>IF(E4150=0,SUMPRODUCT(($A$2:$A$4734=A4150)*($B$2:$B$4734=B4150)*($D$2:$D$4734=D4150)*($E$2:$E$4734=0)),0)</f>
        <v>0</v>
      </c>
      <c r="L4150" s="1" t="str">
        <f>IF(E4150=0,SUMPRODUCT(MIN($K$2:$K$4734+((($A$2:$A$4734&lt;&gt;A4150)+($E$2:$E$4734&lt;&gt;0))&gt;0)*1000000)),"")</f>
        <v/>
      </c>
      <c r="M4150" s="1">
        <f>IF(AND(E4150=0,COUNTIFS($A$2:A4150,A4150,$E$2:E4150,0)=1),L4150,0)</f>
        <v>0</v>
      </c>
    </row>
    <row r="4151" spans="1:13" ht="15" customHeight="1">
      <c r="A4151" s="1">
        <v>221</v>
      </c>
      <c r="B4151" s="1" t="s">
        <v>16</v>
      </c>
      <c r="C4151" s="2" t="s">
        <v>4920</v>
      </c>
      <c r="D4151" s="2" t="s">
        <v>4926</v>
      </c>
      <c r="E4151" s="1">
        <v>1</v>
      </c>
      <c r="F4151" s="2" t="s">
        <v>2054</v>
      </c>
      <c r="G4151" s="1">
        <v>2</v>
      </c>
      <c r="H4151" s="1" t="str">
        <f t="shared" si="67"/>
        <v>k221_2</v>
      </c>
      <c r="K4151" s="1">
        <f>IF(E4151=0,SUMPRODUCT(($A$2:$A$4734=A4151)*($B$2:$B$4734=B4151)*($D$2:$D$4734=D4151)*($E$2:$E$4734=0)),0)</f>
        <v>0</v>
      </c>
      <c r="L4151" s="1" t="str">
        <f>IF(E4151=0,SUMPRODUCT(MIN($K$2:$K$4734+((($A$2:$A$4734&lt;&gt;A4151)+($E$2:$E$4734&lt;&gt;0))&gt;0)*1000000)),"")</f>
        <v/>
      </c>
      <c r="M4151" s="1">
        <f>IF(AND(E4151=0,COUNTIFS($A$2:A4151,A4151,$E$2:E4151,0)=1),L4151,0)</f>
        <v>0</v>
      </c>
    </row>
    <row r="4152" spans="1:13" ht="15" customHeight="1">
      <c r="A4152" s="1">
        <v>221</v>
      </c>
      <c r="B4152" s="1" t="s">
        <v>16</v>
      </c>
      <c r="C4152" s="2" t="s">
        <v>4920</v>
      </c>
      <c r="D4152" s="2" t="s">
        <v>4926</v>
      </c>
      <c r="E4152" s="1">
        <v>1</v>
      </c>
      <c r="F4152" s="2" t="s">
        <v>4928</v>
      </c>
      <c r="G4152" s="1">
        <v>3</v>
      </c>
      <c r="H4152" s="1" t="str">
        <f t="shared" si="67"/>
        <v>k221_3</v>
      </c>
      <c r="K4152" s="1">
        <f>IF(E4152=0,SUMPRODUCT(($A$2:$A$4734=A4152)*($B$2:$B$4734=B4152)*($D$2:$D$4734=D4152)*($E$2:$E$4734=0)),0)</f>
        <v>0</v>
      </c>
      <c r="L4152" s="1" t="str">
        <f>IF(E4152=0,SUMPRODUCT(MIN($K$2:$K$4734+((($A$2:$A$4734&lt;&gt;A4152)+($E$2:$E$4734&lt;&gt;0))&gt;0)*1000000)),"")</f>
        <v/>
      </c>
      <c r="M4152" s="1">
        <f>IF(AND(E4152=0,COUNTIFS($A$2:A4152,A4152,$E$2:E4152,0)=1),L4152,0)</f>
        <v>0</v>
      </c>
    </row>
    <row r="4153" spans="1:13" ht="15" customHeight="1">
      <c r="A4153" s="1">
        <v>221</v>
      </c>
      <c r="B4153" s="1" t="s">
        <v>16</v>
      </c>
      <c r="C4153" s="2" t="s">
        <v>4920</v>
      </c>
      <c r="D4153" s="2" t="s">
        <v>4926</v>
      </c>
      <c r="E4153" s="1">
        <v>1</v>
      </c>
      <c r="F4153" s="2" t="s">
        <v>4929</v>
      </c>
      <c r="G4153" s="1">
        <v>4</v>
      </c>
      <c r="H4153" s="1" t="str">
        <f t="shared" si="67"/>
        <v>k221_4</v>
      </c>
      <c r="K4153" s="1">
        <f>IF(E4153=0,SUMPRODUCT(($A$2:$A$4734=A4153)*($B$2:$B$4734=B4153)*($D$2:$D$4734=D4153)*($E$2:$E$4734=0)),0)</f>
        <v>0</v>
      </c>
      <c r="L4153" s="1" t="str">
        <f>IF(E4153=0,SUMPRODUCT(MIN($K$2:$K$4734+((($A$2:$A$4734&lt;&gt;A4153)+($E$2:$E$4734&lt;&gt;0))&gt;0)*1000000)),"")</f>
        <v/>
      </c>
      <c r="M4153" s="1">
        <f>IF(AND(E4153=0,COUNTIFS($A$2:A4153,A4153,$E$2:E4153,0)=1),L4153,0)</f>
        <v>0</v>
      </c>
    </row>
    <row r="4154" spans="1:13" ht="15" customHeight="1">
      <c r="A4154" s="1">
        <v>221</v>
      </c>
      <c r="B4154" s="1" t="s">
        <v>69</v>
      </c>
      <c r="C4154" s="2" t="s">
        <v>4920</v>
      </c>
      <c r="D4154" s="2" t="s">
        <v>4930</v>
      </c>
      <c r="E4154" s="1">
        <v>1</v>
      </c>
      <c r="F4154" s="2" t="s">
        <v>4931</v>
      </c>
      <c r="G4154" s="1">
        <v>1</v>
      </c>
      <c r="H4154" s="1" t="str">
        <f t="shared" si="67"/>
        <v>k221_1</v>
      </c>
      <c r="K4154" s="1">
        <f>IF(E4154=0,SUMPRODUCT(($A$2:$A$4734=A4154)*($B$2:$B$4734=B4154)*($D$2:$D$4734=D4154)*($E$2:$E$4734=0)),0)</f>
        <v>0</v>
      </c>
      <c r="L4154" s="1" t="str">
        <f>IF(E4154=0,SUMPRODUCT(MIN($K$2:$K$4734+((($A$2:$A$4734&lt;&gt;A4154)+($E$2:$E$4734&lt;&gt;0))&gt;0)*1000000)),"")</f>
        <v/>
      </c>
      <c r="M4154" s="1">
        <f>IF(AND(E4154=0,COUNTIFS($A$2:A4154,A4154,$E$2:E4154,0)=1),L4154,0)</f>
        <v>0</v>
      </c>
    </row>
    <row r="4155" spans="1:13" ht="15" customHeight="1">
      <c r="A4155" s="1">
        <v>221</v>
      </c>
      <c r="B4155" s="1" t="s">
        <v>69</v>
      </c>
      <c r="C4155" s="2" t="s">
        <v>4920</v>
      </c>
      <c r="D4155" s="2" t="s">
        <v>4930</v>
      </c>
      <c r="E4155" s="1">
        <v>1</v>
      </c>
      <c r="F4155" s="2" t="s">
        <v>4932</v>
      </c>
      <c r="G4155" s="1">
        <v>2</v>
      </c>
      <c r="H4155" s="1" t="str">
        <f t="shared" si="67"/>
        <v>k221_2</v>
      </c>
      <c r="K4155" s="1">
        <f>IF(E4155=0,SUMPRODUCT(($A$2:$A$4734=A4155)*($B$2:$B$4734=B4155)*($D$2:$D$4734=D4155)*($E$2:$E$4734=0)),0)</f>
        <v>0</v>
      </c>
      <c r="L4155" s="1" t="str">
        <f>IF(E4155=0,SUMPRODUCT(MIN($K$2:$K$4734+((($A$2:$A$4734&lt;&gt;A4155)+($E$2:$E$4734&lt;&gt;0))&gt;0)*1000000)),"")</f>
        <v/>
      </c>
      <c r="M4155" s="1">
        <f>IF(AND(E4155=0,COUNTIFS($A$2:A4155,A4155,$E$2:E4155,0)=1),L4155,0)</f>
        <v>0</v>
      </c>
    </row>
    <row r="4156" spans="1:13" ht="15" customHeight="1">
      <c r="A4156" s="1">
        <v>221</v>
      </c>
      <c r="B4156" s="1" t="s">
        <v>69</v>
      </c>
      <c r="C4156" s="2" t="s">
        <v>4920</v>
      </c>
      <c r="D4156" s="2" t="s">
        <v>4930</v>
      </c>
      <c r="E4156" s="1">
        <v>1</v>
      </c>
      <c r="F4156" s="2" t="s">
        <v>4933</v>
      </c>
      <c r="G4156" s="1">
        <v>3</v>
      </c>
      <c r="H4156" s="1" t="str">
        <f t="shared" si="67"/>
        <v>k221_3</v>
      </c>
      <c r="K4156" s="1">
        <f>IF(E4156=0,SUMPRODUCT(($A$2:$A$4734=A4156)*($B$2:$B$4734=B4156)*($D$2:$D$4734=D4156)*($E$2:$E$4734=0)),0)</f>
        <v>0</v>
      </c>
      <c r="L4156" s="1" t="str">
        <f>IF(E4156=0,SUMPRODUCT(MIN($K$2:$K$4734+((($A$2:$A$4734&lt;&gt;A4156)+($E$2:$E$4734&lt;&gt;0))&gt;0)*1000000)),"")</f>
        <v/>
      </c>
      <c r="M4156" s="1">
        <f>IF(AND(E4156=0,COUNTIFS($A$2:A4156,A4156,$E$2:E4156,0)=1),L4156,0)</f>
        <v>0</v>
      </c>
    </row>
    <row r="4157" spans="1:13" ht="15" customHeight="1">
      <c r="A4157" s="1">
        <v>221</v>
      </c>
      <c r="B4157" s="1" t="s">
        <v>69</v>
      </c>
      <c r="C4157" s="2" t="s">
        <v>4920</v>
      </c>
      <c r="D4157" s="2" t="s">
        <v>4930</v>
      </c>
      <c r="E4157" s="1">
        <v>1</v>
      </c>
      <c r="F4157" s="2" t="s">
        <v>4934</v>
      </c>
      <c r="G4157" s="1">
        <v>4</v>
      </c>
      <c r="H4157" s="1" t="str">
        <f t="shared" si="67"/>
        <v>k221_4</v>
      </c>
      <c r="K4157" s="1">
        <f>IF(E4157=0,SUMPRODUCT(($A$2:$A$4734=A4157)*($B$2:$B$4734=B4157)*($D$2:$D$4734=D4157)*($E$2:$E$4734=0)),0)</f>
        <v>0</v>
      </c>
      <c r="L4157" s="1" t="str">
        <f>IF(E4157=0,SUMPRODUCT(MIN($K$2:$K$4734+((($A$2:$A$4734&lt;&gt;A4157)+($E$2:$E$4734&lt;&gt;0))&gt;0)*1000000)),"")</f>
        <v/>
      </c>
      <c r="M4157" s="1">
        <f>IF(AND(E4157=0,COUNTIFS($A$2:A4157,A4157,$E$2:E4157,0)=1),L4157,0)</f>
        <v>0</v>
      </c>
    </row>
    <row r="4158" spans="1:13" ht="15" customHeight="1">
      <c r="A4158" s="1">
        <v>221</v>
      </c>
      <c r="B4158" s="1" t="s">
        <v>16</v>
      </c>
      <c r="C4158" s="2" t="s">
        <v>4920</v>
      </c>
      <c r="D4158" s="2" t="s">
        <v>4935</v>
      </c>
      <c r="E4158" s="1">
        <v>1</v>
      </c>
      <c r="F4158" s="2" t="s">
        <v>4936</v>
      </c>
      <c r="G4158" s="1">
        <v>1</v>
      </c>
      <c r="H4158" s="1" t="str">
        <f t="shared" si="67"/>
        <v>k221_1</v>
      </c>
      <c r="K4158" s="1">
        <f>IF(E4158=0,SUMPRODUCT(($A$2:$A$4734=A4158)*($B$2:$B$4734=B4158)*($D$2:$D$4734=D4158)*($E$2:$E$4734=0)),0)</f>
        <v>0</v>
      </c>
      <c r="L4158" s="1" t="str">
        <f>IF(E4158=0,SUMPRODUCT(MIN($K$2:$K$4734+((($A$2:$A$4734&lt;&gt;A4158)+($E$2:$E$4734&lt;&gt;0))&gt;0)*1000000)),"")</f>
        <v/>
      </c>
      <c r="M4158" s="1">
        <f>IF(AND(E4158=0,COUNTIFS($A$2:A4158,A4158,$E$2:E4158,0)=1),L4158,0)</f>
        <v>0</v>
      </c>
    </row>
    <row r="4159" spans="1:13" ht="15" customHeight="1">
      <c r="A4159" s="1">
        <v>221</v>
      </c>
      <c r="B4159" s="1" t="s">
        <v>16</v>
      </c>
      <c r="C4159" s="2" t="s">
        <v>4920</v>
      </c>
      <c r="D4159" s="2" t="s">
        <v>4935</v>
      </c>
      <c r="E4159" s="1">
        <v>1</v>
      </c>
      <c r="F4159" s="2" t="s">
        <v>4937</v>
      </c>
      <c r="G4159" s="1">
        <v>2</v>
      </c>
      <c r="H4159" s="1" t="str">
        <f t="shared" si="67"/>
        <v>k221_2</v>
      </c>
      <c r="K4159" s="1">
        <f>IF(E4159=0,SUMPRODUCT(($A$2:$A$4734=A4159)*($B$2:$B$4734=B4159)*($D$2:$D$4734=D4159)*($E$2:$E$4734=0)),0)</f>
        <v>0</v>
      </c>
      <c r="L4159" s="1" t="str">
        <f>IF(E4159=0,SUMPRODUCT(MIN($K$2:$K$4734+((($A$2:$A$4734&lt;&gt;A4159)+($E$2:$E$4734&lt;&gt;0))&gt;0)*1000000)),"")</f>
        <v/>
      </c>
      <c r="M4159" s="1">
        <f>IF(AND(E4159=0,COUNTIFS($A$2:A4159,A4159,$E$2:E4159,0)=1),L4159,0)</f>
        <v>0</v>
      </c>
    </row>
    <row r="4160" spans="1:13" ht="15" customHeight="1">
      <c r="A4160" s="1">
        <v>221</v>
      </c>
      <c r="B4160" s="1" t="s">
        <v>16</v>
      </c>
      <c r="C4160" s="2" t="s">
        <v>4920</v>
      </c>
      <c r="D4160" s="2" t="s">
        <v>4935</v>
      </c>
      <c r="E4160" s="1">
        <v>1</v>
      </c>
      <c r="F4160" s="2" t="s">
        <v>4938</v>
      </c>
      <c r="G4160" s="1">
        <v>3</v>
      </c>
      <c r="H4160" s="1" t="str">
        <f t="shared" si="67"/>
        <v>k221_3</v>
      </c>
      <c r="K4160" s="1">
        <f>IF(E4160=0,SUMPRODUCT(($A$2:$A$4734=A4160)*($B$2:$B$4734=B4160)*($D$2:$D$4734=D4160)*($E$2:$E$4734=0)),0)</f>
        <v>0</v>
      </c>
      <c r="L4160" s="1" t="str">
        <f>IF(E4160=0,SUMPRODUCT(MIN($K$2:$K$4734+((($A$2:$A$4734&lt;&gt;A4160)+($E$2:$E$4734&lt;&gt;0))&gt;0)*1000000)),"")</f>
        <v/>
      </c>
      <c r="M4160" s="1">
        <f>IF(AND(E4160=0,COUNTIFS($A$2:A4160,A4160,$E$2:E4160,0)=1),L4160,0)</f>
        <v>0</v>
      </c>
    </row>
    <row r="4161" spans="1:13" ht="15" customHeight="1">
      <c r="A4161" s="1">
        <v>221</v>
      </c>
      <c r="B4161" s="1" t="s">
        <v>16</v>
      </c>
      <c r="C4161" s="2" t="s">
        <v>4920</v>
      </c>
      <c r="D4161" s="2" t="s">
        <v>4935</v>
      </c>
      <c r="E4161" s="1">
        <v>1</v>
      </c>
      <c r="F4161" s="2" t="s">
        <v>4939</v>
      </c>
      <c r="G4161" s="1">
        <v>4</v>
      </c>
      <c r="H4161" s="1" t="str">
        <f t="shared" si="67"/>
        <v>k221_4</v>
      </c>
      <c r="K4161" s="1">
        <f>IF(E4161=0,SUMPRODUCT(($A$2:$A$4734=A4161)*($B$2:$B$4734=B4161)*($D$2:$D$4734=D4161)*($E$2:$E$4734=0)),0)</f>
        <v>0</v>
      </c>
      <c r="L4161" s="1" t="str">
        <f>IF(E4161=0,SUMPRODUCT(MIN($K$2:$K$4734+((($A$2:$A$4734&lt;&gt;A4161)+($E$2:$E$4734&lt;&gt;0))&gt;0)*1000000)),"")</f>
        <v/>
      </c>
      <c r="M4161" s="1">
        <f>IF(AND(E4161=0,COUNTIFS($A$2:A4161,A4161,$E$2:E4161,0)=1),L4161,0)</f>
        <v>0</v>
      </c>
    </row>
    <row r="4162" spans="1:13" ht="15" customHeight="1">
      <c r="A4162" s="1">
        <v>222</v>
      </c>
      <c r="B4162" s="1" t="s">
        <v>9</v>
      </c>
      <c r="C4162" s="2" t="s">
        <v>4940</v>
      </c>
      <c r="D4162" s="2" t="s">
        <v>4941</v>
      </c>
      <c r="E4162" s="1">
        <v>0</v>
      </c>
      <c r="F4162" s="2" t="s">
        <v>4942</v>
      </c>
      <c r="H4162" s="1" t="str">
        <f t="shared" si="67"/>
        <v/>
      </c>
      <c r="K4162" s="1">
        <f>IF(E4162=0,SUMPRODUCT(($A$2:$A$4734=A4162)*($B$2:$B$4734=B4162)*($D$2:$D$4734=D4162)*($E$2:$E$4734=0)),0)</f>
        <v>2</v>
      </c>
      <c r="L4162" s="1">
        <f>IF(E4162=0,SUMPRODUCT(MIN($K$2:$K$4734+((($A$2:$A$4734&lt;&gt;A4162)+($E$2:$E$4734&lt;&gt;0))&gt;0)*1000000)),"")</f>
        <v>2</v>
      </c>
      <c r="M4162" s="1">
        <f>IF(AND(E4162=0,COUNTIFS($A$2:A4162,A4162,$E$2:E4162,0)=1),L4162,0)</f>
        <v>2</v>
      </c>
    </row>
    <row r="4163" spans="1:13" ht="15" customHeight="1">
      <c r="A4163" s="1">
        <v>222</v>
      </c>
      <c r="B4163" s="1" t="s">
        <v>9</v>
      </c>
      <c r="C4163" s="2" t="s">
        <v>4940</v>
      </c>
      <c r="D4163" s="2" t="s">
        <v>4941</v>
      </c>
      <c r="E4163" s="1">
        <v>0</v>
      </c>
      <c r="F4163" s="2" t="s">
        <v>4943</v>
      </c>
      <c r="H4163" s="1" t="str">
        <f t="shared" si="67"/>
        <v/>
      </c>
      <c r="K4163" s="1">
        <f>IF(E4163=0,SUMPRODUCT(($A$2:$A$4734=A4163)*($B$2:$B$4734=B4163)*($D$2:$D$4734=D4163)*($E$2:$E$4734=0)),0)</f>
        <v>2</v>
      </c>
      <c r="L4163" s="1">
        <f>IF(E4163=0,SUMPRODUCT(MIN($K$2:$K$4734+((($A$2:$A$4734&lt;&gt;A4163)+($E$2:$E$4734&lt;&gt;0))&gt;0)*1000000)),"")</f>
        <v>2</v>
      </c>
      <c r="M4163" s="1">
        <f>IF(AND(E4163=0,COUNTIFS($A$2:A4163,A4163,$E$2:E4163,0)=1),L4163,0)</f>
        <v>0</v>
      </c>
    </row>
    <row r="4164" spans="1:13" ht="15" customHeight="1">
      <c r="A4164" s="1">
        <v>222</v>
      </c>
      <c r="B4164" s="1" t="s">
        <v>9</v>
      </c>
      <c r="C4164" s="2" t="s">
        <v>4940</v>
      </c>
      <c r="D4164" s="2" t="s">
        <v>4944</v>
      </c>
      <c r="E4164" s="1">
        <v>0</v>
      </c>
      <c r="F4164" s="2" t="s">
        <v>4945</v>
      </c>
      <c r="H4164" s="1" t="str">
        <f t="shared" si="67"/>
        <v/>
      </c>
      <c r="K4164" s="1">
        <f>IF(E4164=0,SUMPRODUCT(($A$2:$A$4734=A4164)*($B$2:$B$4734=B4164)*($D$2:$D$4734=D4164)*($E$2:$E$4734=0)),0)</f>
        <v>5</v>
      </c>
      <c r="L4164" s="1">
        <f>IF(E4164=0,SUMPRODUCT(MIN($K$2:$K$4734+((($A$2:$A$4734&lt;&gt;A4164)+($E$2:$E$4734&lt;&gt;0))&gt;0)*1000000)),"")</f>
        <v>2</v>
      </c>
      <c r="M4164" s="1">
        <f>IF(AND(E4164=0,COUNTIFS($A$2:A4164,A4164,$E$2:E4164,0)=1),L4164,0)</f>
        <v>0</v>
      </c>
    </row>
    <row r="4165" spans="1:13" ht="15" customHeight="1">
      <c r="A4165" s="1">
        <v>222</v>
      </c>
      <c r="B4165" s="1" t="s">
        <v>9</v>
      </c>
      <c r="C4165" s="2" t="s">
        <v>4940</v>
      </c>
      <c r="D4165" s="2" t="s">
        <v>4944</v>
      </c>
      <c r="E4165" s="1">
        <v>0</v>
      </c>
      <c r="F4165" s="2" t="s">
        <v>4946</v>
      </c>
      <c r="H4165" s="1" t="str">
        <f t="shared" si="67"/>
        <v/>
      </c>
      <c r="K4165" s="1">
        <f>IF(E4165=0,SUMPRODUCT(($A$2:$A$4734=A4165)*($B$2:$B$4734=B4165)*($D$2:$D$4734=D4165)*($E$2:$E$4734=0)),0)</f>
        <v>5</v>
      </c>
      <c r="L4165" s="1">
        <f>IF(E4165=0,SUMPRODUCT(MIN($K$2:$K$4734+((($A$2:$A$4734&lt;&gt;A4165)+($E$2:$E$4734&lt;&gt;0))&gt;0)*1000000)),"")</f>
        <v>2</v>
      </c>
      <c r="M4165" s="1">
        <f>IF(AND(E4165=0,COUNTIFS($A$2:A4165,A4165,$E$2:E4165,0)=1),L4165,0)</f>
        <v>0</v>
      </c>
    </row>
    <row r="4166" spans="1:13" ht="15" customHeight="1">
      <c r="A4166" s="1">
        <v>222</v>
      </c>
      <c r="B4166" s="1" t="s">
        <v>9</v>
      </c>
      <c r="C4166" s="2" t="s">
        <v>4940</v>
      </c>
      <c r="D4166" s="2" t="s">
        <v>4944</v>
      </c>
      <c r="E4166" s="1">
        <v>0</v>
      </c>
      <c r="F4166" s="2" t="s">
        <v>4947</v>
      </c>
      <c r="H4166" s="1" t="str">
        <f t="shared" si="67"/>
        <v/>
      </c>
      <c r="K4166" s="1">
        <f>IF(E4166=0,SUMPRODUCT(($A$2:$A$4734=A4166)*($B$2:$B$4734=B4166)*($D$2:$D$4734=D4166)*($E$2:$E$4734=0)),0)</f>
        <v>5</v>
      </c>
      <c r="L4166" s="1">
        <f>IF(E4166=0,SUMPRODUCT(MIN($K$2:$K$4734+((($A$2:$A$4734&lt;&gt;A4166)+($E$2:$E$4734&lt;&gt;0))&gt;0)*1000000)),"")</f>
        <v>2</v>
      </c>
      <c r="M4166" s="1">
        <f>IF(AND(E4166=0,COUNTIFS($A$2:A4166,A4166,$E$2:E4166,0)=1),L4166,0)</f>
        <v>0</v>
      </c>
    </row>
    <row r="4167" spans="1:13" ht="15" customHeight="1">
      <c r="A4167" s="1">
        <v>222</v>
      </c>
      <c r="B4167" s="1" t="s">
        <v>9</v>
      </c>
      <c r="C4167" s="2" t="s">
        <v>4940</v>
      </c>
      <c r="D4167" s="2" t="s">
        <v>4944</v>
      </c>
      <c r="E4167" s="1">
        <v>0</v>
      </c>
      <c r="F4167" s="2" t="s">
        <v>4948</v>
      </c>
      <c r="H4167" s="1" t="str">
        <f t="shared" ref="H4167:H4228" si="68">IF(OR(E4167&lt;&gt;1,G4167=""),"","k"&amp;A4167&amp;"_"&amp;G4167)</f>
        <v/>
      </c>
      <c r="K4167" s="1">
        <f>IF(E4167=0,SUMPRODUCT(($A$2:$A$4734=A4167)*($B$2:$B$4734=B4167)*($D$2:$D$4734=D4167)*($E$2:$E$4734=0)),0)</f>
        <v>5</v>
      </c>
      <c r="L4167" s="1">
        <f>IF(E4167=0,SUMPRODUCT(MIN($K$2:$K$4734+((($A$2:$A$4734&lt;&gt;A4167)+($E$2:$E$4734&lt;&gt;0))&gt;0)*1000000)),"")</f>
        <v>2</v>
      </c>
      <c r="M4167" s="1">
        <f>IF(AND(E4167=0,COUNTIFS($A$2:A4167,A4167,$E$2:E4167,0)=1),L4167,0)</f>
        <v>0</v>
      </c>
    </row>
    <row r="4168" spans="1:13" ht="15" customHeight="1">
      <c r="A4168" s="1">
        <v>222</v>
      </c>
      <c r="B4168" s="1" t="s">
        <v>9</v>
      </c>
      <c r="C4168" s="2" t="s">
        <v>4940</v>
      </c>
      <c r="D4168" s="2" t="s">
        <v>4944</v>
      </c>
      <c r="E4168" s="1">
        <v>0</v>
      </c>
      <c r="F4168" s="2" t="s">
        <v>4949</v>
      </c>
      <c r="H4168" s="1" t="str">
        <f t="shared" si="68"/>
        <v/>
      </c>
      <c r="K4168" s="1">
        <f>IF(E4168=0,SUMPRODUCT(($A$2:$A$4734=A4168)*($B$2:$B$4734=B4168)*($D$2:$D$4734=D4168)*($E$2:$E$4734=0)),0)</f>
        <v>5</v>
      </c>
      <c r="L4168" s="1">
        <f>IF(E4168=0,SUMPRODUCT(MIN($K$2:$K$4734+((($A$2:$A$4734&lt;&gt;A4168)+($E$2:$E$4734&lt;&gt;0))&gt;0)*1000000)),"")</f>
        <v>2</v>
      </c>
      <c r="M4168" s="1">
        <f>IF(AND(E4168=0,COUNTIFS($A$2:A4168,A4168,$E$2:E4168,0)=1),L4168,0)</f>
        <v>0</v>
      </c>
    </row>
    <row r="4169" spans="1:13" ht="15" customHeight="1">
      <c r="A4169" s="1">
        <v>223</v>
      </c>
      <c r="B4169" s="1" t="s">
        <v>393</v>
      </c>
      <c r="C4169" s="2" t="s">
        <v>4950</v>
      </c>
      <c r="D4169" s="2" t="s">
        <v>4951</v>
      </c>
      <c r="E4169" s="1">
        <v>1</v>
      </c>
      <c r="F4169" s="2" t="s">
        <v>4952</v>
      </c>
      <c r="G4169" s="1">
        <v>1</v>
      </c>
      <c r="H4169" s="1" t="str">
        <f t="shared" si="68"/>
        <v>k223_1</v>
      </c>
      <c r="K4169" s="1">
        <f>IF(E4169=0,SUMPRODUCT(($A$2:$A$4734=A4169)*($B$2:$B$4734=B4169)*($D$2:$D$4734=D4169)*($E$2:$E$4734=0)),0)</f>
        <v>0</v>
      </c>
      <c r="L4169" s="1" t="str">
        <f>IF(E4169=0,SUMPRODUCT(MIN($K$2:$K$4734+((($A$2:$A$4734&lt;&gt;A4169)+($E$2:$E$4734&lt;&gt;0))&gt;0)*1000000)),"")</f>
        <v/>
      </c>
      <c r="M4169" s="1">
        <f>IF(AND(E4169=0,COUNTIFS($A$2:A4169,A4169,$E$2:E4169,0)=1),L4169,0)</f>
        <v>0</v>
      </c>
    </row>
    <row r="4170" spans="1:13" ht="15" customHeight="1">
      <c r="A4170" s="1">
        <v>223</v>
      </c>
      <c r="B4170" s="1" t="s">
        <v>393</v>
      </c>
      <c r="C4170" s="2" t="s">
        <v>4953</v>
      </c>
      <c r="D4170" s="2" t="s">
        <v>4951</v>
      </c>
      <c r="E4170" s="1">
        <v>1</v>
      </c>
      <c r="F4170" s="2" t="s">
        <v>4954</v>
      </c>
      <c r="G4170" s="1">
        <v>2</v>
      </c>
      <c r="H4170" s="1" t="str">
        <f t="shared" si="68"/>
        <v>k223_2</v>
      </c>
      <c r="K4170" s="1">
        <f>IF(E4170=0,SUMPRODUCT(($A$2:$A$4734=A4170)*($B$2:$B$4734=B4170)*($D$2:$D$4734=D4170)*($E$2:$E$4734=0)),0)</f>
        <v>0</v>
      </c>
      <c r="L4170" s="1" t="str">
        <f>IF(E4170=0,SUMPRODUCT(MIN($K$2:$K$4734+((($A$2:$A$4734&lt;&gt;A4170)+($E$2:$E$4734&lt;&gt;0))&gt;0)*1000000)),"")</f>
        <v/>
      </c>
      <c r="M4170" s="1">
        <f>IF(AND(E4170=0,COUNTIFS($A$2:A4170,A4170,$E$2:E4170,0)=1),L4170,0)</f>
        <v>0</v>
      </c>
    </row>
    <row r="4171" spans="1:13" ht="15" customHeight="1">
      <c r="A4171" s="1">
        <v>223</v>
      </c>
      <c r="B4171" s="1" t="s">
        <v>393</v>
      </c>
      <c r="C4171" s="2" t="s">
        <v>4955</v>
      </c>
      <c r="D4171" s="2" t="s">
        <v>4951</v>
      </c>
      <c r="E4171" s="1">
        <v>1</v>
      </c>
      <c r="F4171" s="2" t="s">
        <v>4956</v>
      </c>
      <c r="G4171" s="1">
        <v>3</v>
      </c>
      <c r="H4171" s="1" t="str">
        <f t="shared" si="68"/>
        <v>k223_3</v>
      </c>
      <c r="K4171" s="1">
        <f>IF(E4171=0,SUMPRODUCT(($A$2:$A$4734=A4171)*($B$2:$B$4734=B4171)*($D$2:$D$4734=D4171)*($E$2:$E$4734=0)),0)</f>
        <v>0</v>
      </c>
      <c r="L4171" s="1" t="str">
        <f>IF(E4171=0,SUMPRODUCT(MIN($K$2:$K$4734+((($A$2:$A$4734&lt;&gt;A4171)+($E$2:$E$4734&lt;&gt;0))&gt;0)*1000000)),"")</f>
        <v/>
      </c>
      <c r="M4171" s="1">
        <f>IF(AND(E4171=0,COUNTIFS($A$2:A4171,A4171,$E$2:E4171,0)=1),L4171,0)</f>
        <v>0</v>
      </c>
    </row>
    <row r="4172" spans="1:13" ht="15" customHeight="1">
      <c r="A4172" s="1">
        <v>223</v>
      </c>
      <c r="B4172" s="1" t="s">
        <v>393</v>
      </c>
      <c r="C4172" s="2" t="s">
        <v>4957</v>
      </c>
      <c r="D4172" s="2" t="s">
        <v>4951</v>
      </c>
      <c r="E4172" s="1">
        <v>1</v>
      </c>
      <c r="F4172" s="2" t="s">
        <v>4958</v>
      </c>
      <c r="G4172" s="1">
        <v>4</v>
      </c>
      <c r="H4172" s="1" t="str">
        <f t="shared" si="68"/>
        <v>k223_4</v>
      </c>
      <c r="K4172" s="1">
        <f>IF(E4172=0,SUMPRODUCT(($A$2:$A$4734=A4172)*($B$2:$B$4734=B4172)*($D$2:$D$4734=D4172)*($E$2:$E$4734=0)),0)</f>
        <v>0</v>
      </c>
      <c r="L4172" s="1" t="str">
        <f>IF(E4172=0,SUMPRODUCT(MIN($K$2:$K$4734+((($A$2:$A$4734&lt;&gt;A4172)+($E$2:$E$4734&lt;&gt;0))&gt;0)*1000000)),"")</f>
        <v/>
      </c>
      <c r="M4172" s="1">
        <f>IF(AND(E4172=0,COUNTIFS($A$2:A4172,A4172,$E$2:E4172,0)=1),L4172,0)</f>
        <v>0</v>
      </c>
    </row>
    <row r="4173" spans="1:13" ht="15" customHeight="1">
      <c r="A4173" s="1">
        <v>223</v>
      </c>
      <c r="B4173" s="1" t="s">
        <v>393</v>
      </c>
      <c r="C4173" s="2" t="s">
        <v>4959</v>
      </c>
      <c r="D4173" s="2" t="s">
        <v>4951</v>
      </c>
      <c r="E4173" s="1">
        <v>1</v>
      </c>
      <c r="F4173" s="2" t="s">
        <v>4960</v>
      </c>
      <c r="G4173" s="1">
        <v>5</v>
      </c>
      <c r="H4173" s="1" t="str">
        <f t="shared" si="68"/>
        <v>k223_5</v>
      </c>
      <c r="K4173" s="1">
        <f>IF(E4173=0,SUMPRODUCT(($A$2:$A$4734=A4173)*($B$2:$B$4734=B4173)*($D$2:$D$4734=D4173)*($E$2:$E$4734=0)),0)</f>
        <v>0</v>
      </c>
      <c r="L4173" s="1" t="str">
        <f>IF(E4173=0,SUMPRODUCT(MIN($K$2:$K$4734+((($A$2:$A$4734&lt;&gt;A4173)+($E$2:$E$4734&lt;&gt;0))&gt;0)*1000000)),"")</f>
        <v/>
      </c>
      <c r="M4173" s="1">
        <f>IF(AND(E4173=0,COUNTIFS($A$2:A4173,A4173,$E$2:E4173,0)=1),L4173,0)</f>
        <v>0</v>
      </c>
    </row>
    <row r="4174" spans="1:13" ht="15" customHeight="1">
      <c r="A4174" s="1">
        <v>223</v>
      </c>
      <c r="B4174" s="1" t="s">
        <v>393</v>
      </c>
      <c r="C4174" s="2" t="s">
        <v>4961</v>
      </c>
      <c r="D4174" s="2" t="s">
        <v>4951</v>
      </c>
      <c r="E4174" s="1">
        <v>1</v>
      </c>
      <c r="F4174" s="2" t="s">
        <v>4962</v>
      </c>
      <c r="G4174" s="1">
        <v>6</v>
      </c>
      <c r="H4174" s="1" t="str">
        <f t="shared" si="68"/>
        <v>k223_6</v>
      </c>
      <c r="K4174" s="1">
        <f>IF(E4174=0,SUMPRODUCT(($A$2:$A$4734=A4174)*($B$2:$B$4734=B4174)*($D$2:$D$4734=D4174)*($E$2:$E$4734=0)),0)</f>
        <v>0</v>
      </c>
      <c r="L4174" s="1" t="str">
        <f>IF(E4174=0,SUMPRODUCT(MIN($K$2:$K$4734+((($A$2:$A$4734&lt;&gt;A4174)+($E$2:$E$4734&lt;&gt;0))&gt;0)*1000000)),"")</f>
        <v/>
      </c>
      <c r="M4174" s="1">
        <f>IF(AND(E4174=0,COUNTIFS($A$2:A4174,A4174,$E$2:E4174,0)=1),L4174,0)</f>
        <v>0</v>
      </c>
    </row>
    <row r="4175" spans="1:13" ht="15" customHeight="1">
      <c r="A4175" s="1">
        <v>224</v>
      </c>
      <c r="B4175" s="1" t="s">
        <v>9</v>
      </c>
      <c r="C4175" s="2" t="s">
        <v>4963</v>
      </c>
      <c r="D4175" s="2" t="s">
        <v>4964</v>
      </c>
      <c r="E4175" s="1">
        <v>1</v>
      </c>
      <c r="F4175" s="2" t="s">
        <v>4965</v>
      </c>
      <c r="G4175" s="1">
        <v>4</v>
      </c>
      <c r="H4175" s="1" t="str">
        <f t="shared" si="68"/>
        <v>k224_4</v>
      </c>
      <c r="K4175" s="1">
        <f>IF(E4175=0,SUMPRODUCT(($A$2:$A$4734=A4175)*($B$2:$B$4734=B4175)*($D$2:$D$4734=D4175)*($E$2:$E$4734=0)),0)</f>
        <v>0</v>
      </c>
      <c r="L4175" s="1" t="str">
        <f>IF(E4175=0,SUMPRODUCT(MIN($K$2:$K$4734+((($A$2:$A$4734&lt;&gt;A4175)+($E$2:$E$4734&lt;&gt;0))&gt;0)*1000000)),"")</f>
        <v/>
      </c>
      <c r="M4175" s="1">
        <f>IF(AND(E4175=0,COUNTIFS($A$2:A4175,A4175,$E$2:E4175,0)=1),L4175,0)</f>
        <v>0</v>
      </c>
    </row>
    <row r="4176" spans="1:13" ht="15" customHeight="1">
      <c r="A4176" s="1">
        <v>224</v>
      </c>
      <c r="B4176" s="1" t="s">
        <v>9</v>
      </c>
      <c r="C4176" s="2" t="s">
        <v>4963</v>
      </c>
      <c r="D4176" s="2" t="s">
        <v>4964</v>
      </c>
      <c r="E4176" s="1">
        <v>1</v>
      </c>
      <c r="F4176" s="2" t="s">
        <v>4965</v>
      </c>
      <c r="G4176" s="1">
        <v>5</v>
      </c>
      <c r="H4176" s="1" t="str">
        <f t="shared" si="68"/>
        <v>k224_5</v>
      </c>
      <c r="K4176" s="1">
        <f>IF(E4176=0,SUMPRODUCT(($A$2:$A$4734=A4176)*($B$2:$B$4734=B4176)*($D$2:$D$4734=D4176)*($E$2:$E$4734=0)),0)</f>
        <v>0</v>
      </c>
      <c r="L4176" s="1" t="str">
        <f>IF(E4176=0,SUMPRODUCT(MIN($K$2:$K$4734+((($A$2:$A$4734&lt;&gt;A4176)+($E$2:$E$4734&lt;&gt;0))&gt;0)*1000000)),"")</f>
        <v/>
      </c>
      <c r="M4176" s="1">
        <f>IF(AND(E4176=0,COUNTIFS($A$2:A4176,A4176,$E$2:E4176,0)=1),L4176,0)</f>
        <v>0</v>
      </c>
    </row>
    <row r="4177" spans="1:13" ht="15" customHeight="1">
      <c r="A4177" s="1">
        <v>224</v>
      </c>
      <c r="B4177" s="1" t="s">
        <v>9</v>
      </c>
      <c r="C4177" s="2" t="s">
        <v>4963</v>
      </c>
      <c r="D4177" s="2" t="s">
        <v>4964</v>
      </c>
      <c r="E4177" s="1">
        <v>1</v>
      </c>
      <c r="F4177" s="2" t="s">
        <v>4966</v>
      </c>
      <c r="G4177" s="1">
        <v>1</v>
      </c>
      <c r="H4177" s="1" t="str">
        <f t="shared" si="68"/>
        <v>k224_1</v>
      </c>
      <c r="K4177" s="1">
        <f>IF(E4177=0,SUMPRODUCT(($A$2:$A$4734=A4177)*($B$2:$B$4734=B4177)*($D$2:$D$4734=D4177)*($E$2:$E$4734=0)),0)</f>
        <v>0</v>
      </c>
      <c r="L4177" s="1" t="str">
        <f>IF(E4177=0,SUMPRODUCT(MIN($K$2:$K$4734+((($A$2:$A$4734&lt;&gt;A4177)+($E$2:$E$4734&lt;&gt;0))&gt;0)*1000000)),"")</f>
        <v/>
      </c>
      <c r="M4177" s="1">
        <f>IF(AND(E4177=0,COUNTIFS($A$2:A4177,A4177,$E$2:E4177,0)=1),L4177,0)</f>
        <v>0</v>
      </c>
    </row>
    <row r="4178" spans="1:13" ht="15" customHeight="1">
      <c r="A4178" s="1">
        <v>224</v>
      </c>
      <c r="B4178" s="1" t="s">
        <v>9</v>
      </c>
      <c r="C4178" s="2" t="s">
        <v>4963</v>
      </c>
      <c r="D4178" s="2" t="s">
        <v>4964</v>
      </c>
      <c r="E4178" s="1">
        <v>1</v>
      </c>
      <c r="F4178" s="2" t="s">
        <v>4966</v>
      </c>
      <c r="G4178" s="1">
        <v>2</v>
      </c>
      <c r="H4178" s="1" t="str">
        <f t="shared" si="68"/>
        <v>k224_2</v>
      </c>
      <c r="K4178" s="1">
        <f>IF(E4178=0,SUMPRODUCT(($A$2:$A$4734=A4178)*($B$2:$B$4734=B4178)*($D$2:$D$4734=D4178)*($E$2:$E$4734=0)),0)</f>
        <v>0</v>
      </c>
      <c r="L4178" s="1" t="str">
        <f>IF(E4178=0,SUMPRODUCT(MIN($K$2:$K$4734+((($A$2:$A$4734&lt;&gt;A4178)+($E$2:$E$4734&lt;&gt;0))&gt;0)*1000000)),"")</f>
        <v/>
      </c>
      <c r="M4178" s="1">
        <f>IF(AND(E4178=0,COUNTIFS($A$2:A4178,A4178,$E$2:E4178,0)=1),L4178,0)</f>
        <v>0</v>
      </c>
    </row>
    <row r="4179" spans="1:13" ht="15" customHeight="1">
      <c r="A4179" s="1">
        <v>224</v>
      </c>
      <c r="B4179" s="1" t="s">
        <v>9</v>
      </c>
      <c r="C4179" s="2" t="s">
        <v>4963</v>
      </c>
      <c r="D4179" s="2" t="s">
        <v>4964</v>
      </c>
      <c r="E4179" s="1">
        <v>1</v>
      </c>
      <c r="F4179" s="2" t="s">
        <v>4967</v>
      </c>
      <c r="G4179" s="1">
        <v>3</v>
      </c>
      <c r="H4179" s="1" t="str">
        <f t="shared" si="68"/>
        <v>k224_3</v>
      </c>
      <c r="K4179" s="1">
        <f>IF(E4179=0,SUMPRODUCT(($A$2:$A$4734=A4179)*($B$2:$B$4734=B4179)*($D$2:$D$4734=D4179)*($E$2:$E$4734=0)),0)</f>
        <v>0</v>
      </c>
      <c r="L4179" s="1" t="str">
        <f>IF(E4179=0,SUMPRODUCT(MIN($K$2:$K$4734+((($A$2:$A$4734&lt;&gt;A4179)+($E$2:$E$4734&lt;&gt;0))&gt;0)*1000000)),"")</f>
        <v/>
      </c>
      <c r="M4179" s="1">
        <f>IF(AND(E4179=0,COUNTIFS($A$2:A4179,A4179,$E$2:E4179,0)=1),L4179,0)</f>
        <v>0</v>
      </c>
    </row>
    <row r="4180" spans="1:13" ht="15" customHeight="1">
      <c r="A4180" s="1">
        <v>224</v>
      </c>
      <c r="B4180" s="1" t="s">
        <v>9</v>
      </c>
      <c r="C4180" s="2" t="s">
        <v>4963</v>
      </c>
      <c r="D4180" s="2" t="s">
        <v>4964</v>
      </c>
      <c r="E4180" s="1">
        <v>1</v>
      </c>
      <c r="F4180" s="2" t="s">
        <v>4968</v>
      </c>
      <c r="G4180" s="1">
        <v>6</v>
      </c>
      <c r="H4180" s="1" t="str">
        <f t="shared" si="68"/>
        <v>k224_6</v>
      </c>
      <c r="K4180" s="1">
        <f>IF(E4180=0,SUMPRODUCT(($A$2:$A$4734=A4180)*($B$2:$B$4734=B4180)*($D$2:$D$4734=D4180)*($E$2:$E$4734=0)),0)</f>
        <v>0</v>
      </c>
      <c r="L4180" s="1" t="str">
        <f>IF(E4180=0,SUMPRODUCT(MIN($K$2:$K$4734+((($A$2:$A$4734&lt;&gt;A4180)+($E$2:$E$4734&lt;&gt;0))&gt;0)*1000000)),"")</f>
        <v/>
      </c>
      <c r="M4180" s="1">
        <f>IF(AND(E4180=0,COUNTIFS($A$2:A4180,A4180,$E$2:E4180,0)=1),L4180,0)</f>
        <v>0</v>
      </c>
    </row>
    <row r="4181" spans="1:13" ht="15" customHeight="1">
      <c r="A4181" s="1">
        <v>224</v>
      </c>
      <c r="B4181" s="1" t="s">
        <v>161</v>
      </c>
      <c r="C4181" s="2" t="s">
        <v>4963</v>
      </c>
      <c r="D4181" s="2" t="s">
        <v>4969</v>
      </c>
      <c r="E4181" s="1">
        <v>1</v>
      </c>
      <c r="F4181" s="2" t="s">
        <v>4970</v>
      </c>
      <c r="G4181" s="1">
        <v>1</v>
      </c>
      <c r="H4181" s="1" t="str">
        <f t="shared" si="68"/>
        <v>k224_1</v>
      </c>
      <c r="K4181" s="1">
        <f>IF(E4181=0,SUMPRODUCT(($A$2:$A$4734=A4181)*($B$2:$B$4734=B4181)*($D$2:$D$4734=D4181)*($E$2:$E$4734=0)),0)</f>
        <v>0</v>
      </c>
      <c r="L4181" s="1" t="str">
        <f>IF(E4181=0,SUMPRODUCT(MIN($K$2:$K$4734+((($A$2:$A$4734&lt;&gt;A4181)+($E$2:$E$4734&lt;&gt;0))&gt;0)*1000000)),"")</f>
        <v/>
      </c>
      <c r="M4181" s="1">
        <f>IF(AND(E4181=0,COUNTIFS($A$2:A4181,A4181,$E$2:E4181,0)=1),L4181,0)</f>
        <v>0</v>
      </c>
    </row>
    <row r="4182" spans="1:13" ht="15" customHeight="1">
      <c r="A4182" s="1">
        <v>224</v>
      </c>
      <c r="B4182" s="1" t="s">
        <v>161</v>
      </c>
      <c r="C4182" s="2" t="s">
        <v>4963</v>
      </c>
      <c r="D4182" s="2" t="s">
        <v>4969</v>
      </c>
      <c r="E4182" s="1">
        <v>1</v>
      </c>
      <c r="F4182" s="2" t="s">
        <v>4970</v>
      </c>
      <c r="G4182" s="1">
        <v>2</v>
      </c>
      <c r="H4182" s="1" t="str">
        <f t="shared" si="68"/>
        <v>k224_2</v>
      </c>
      <c r="K4182" s="1">
        <f>IF(E4182=0,SUMPRODUCT(($A$2:$A$4734=A4182)*($B$2:$B$4734=B4182)*($D$2:$D$4734=D4182)*($E$2:$E$4734=0)),0)</f>
        <v>0</v>
      </c>
      <c r="L4182" s="1" t="str">
        <f>IF(E4182=0,SUMPRODUCT(MIN($K$2:$K$4734+((($A$2:$A$4734&lt;&gt;A4182)+($E$2:$E$4734&lt;&gt;0))&gt;0)*1000000)),"")</f>
        <v/>
      </c>
      <c r="M4182" s="1">
        <f>IF(AND(E4182=0,COUNTIFS($A$2:A4182,A4182,$E$2:E4182,0)=1),L4182,0)</f>
        <v>0</v>
      </c>
    </row>
    <row r="4183" spans="1:13" ht="15" customHeight="1">
      <c r="A4183" s="1">
        <v>224</v>
      </c>
      <c r="B4183" s="1" t="s">
        <v>161</v>
      </c>
      <c r="C4183" s="2" t="s">
        <v>4963</v>
      </c>
      <c r="D4183" s="2" t="s">
        <v>4969</v>
      </c>
      <c r="E4183" s="1">
        <v>1</v>
      </c>
      <c r="F4183" s="2" t="s">
        <v>4971</v>
      </c>
      <c r="G4183" s="1">
        <v>3</v>
      </c>
      <c r="H4183" s="1" t="str">
        <f t="shared" si="68"/>
        <v>k224_3</v>
      </c>
      <c r="K4183" s="1">
        <f>IF(E4183=0,SUMPRODUCT(($A$2:$A$4734=A4183)*($B$2:$B$4734=B4183)*($D$2:$D$4734=D4183)*($E$2:$E$4734=0)),0)</f>
        <v>0</v>
      </c>
      <c r="L4183" s="1" t="str">
        <f>IF(E4183=0,SUMPRODUCT(MIN($K$2:$K$4734+((($A$2:$A$4734&lt;&gt;A4183)+($E$2:$E$4734&lt;&gt;0))&gt;0)*1000000)),"")</f>
        <v/>
      </c>
      <c r="M4183" s="1">
        <f>IF(AND(E4183=0,COUNTIFS($A$2:A4183,A4183,$E$2:E4183,0)=1),L4183,0)</f>
        <v>0</v>
      </c>
    </row>
    <row r="4184" spans="1:13" ht="15" customHeight="1">
      <c r="A4184" s="1">
        <v>224</v>
      </c>
      <c r="B4184" s="1" t="s">
        <v>161</v>
      </c>
      <c r="C4184" s="2" t="s">
        <v>4963</v>
      </c>
      <c r="D4184" s="2" t="s">
        <v>4969</v>
      </c>
      <c r="E4184" s="1">
        <v>1</v>
      </c>
      <c r="F4184" s="2" t="s">
        <v>4972</v>
      </c>
      <c r="G4184" s="1">
        <v>4</v>
      </c>
      <c r="H4184" s="1" t="str">
        <f t="shared" si="68"/>
        <v>k224_4</v>
      </c>
      <c r="K4184" s="1">
        <f>IF(E4184=0,SUMPRODUCT(($A$2:$A$4734=A4184)*($B$2:$B$4734=B4184)*($D$2:$D$4734=D4184)*($E$2:$E$4734=0)),0)</f>
        <v>0</v>
      </c>
      <c r="L4184" s="1" t="str">
        <f>IF(E4184=0,SUMPRODUCT(MIN($K$2:$K$4734+((($A$2:$A$4734&lt;&gt;A4184)+($E$2:$E$4734&lt;&gt;0))&gt;0)*1000000)),"")</f>
        <v/>
      </c>
      <c r="M4184" s="1">
        <f>IF(AND(E4184=0,COUNTIFS($A$2:A4184,A4184,$E$2:E4184,0)=1),L4184,0)</f>
        <v>0</v>
      </c>
    </row>
    <row r="4185" spans="1:13" ht="15" customHeight="1">
      <c r="A4185" s="1">
        <v>224</v>
      </c>
      <c r="B4185" s="1" t="s">
        <v>161</v>
      </c>
      <c r="C4185" s="2" t="s">
        <v>4963</v>
      </c>
      <c r="D4185" s="2" t="s">
        <v>4969</v>
      </c>
      <c r="E4185" s="1">
        <v>1</v>
      </c>
      <c r="F4185" s="2" t="s">
        <v>4972</v>
      </c>
      <c r="G4185" s="1">
        <v>5</v>
      </c>
      <c r="H4185" s="1" t="str">
        <f t="shared" si="68"/>
        <v>k224_5</v>
      </c>
      <c r="K4185" s="1">
        <f>IF(E4185=0,SUMPRODUCT(($A$2:$A$4734=A4185)*($B$2:$B$4734=B4185)*($D$2:$D$4734=D4185)*($E$2:$E$4734=0)),0)</f>
        <v>0</v>
      </c>
      <c r="L4185" s="1" t="str">
        <f>IF(E4185=0,SUMPRODUCT(MIN($K$2:$K$4734+((($A$2:$A$4734&lt;&gt;A4185)+($E$2:$E$4734&lt;&gt;0))&gt;0)*1000000)),"")</f>
        <v/>
      </c>
      <c r="M4185" s="1">
        <f>IF(AND(E4185=0,COUNTIFS($A$2:A4185,A4185,$E$2:E4185,0)=1),L4185,0)</f>
        <v>0</v>
      </c>
    </row>
    <row r="4186" spans="1:13" ht="15" customHeight="1">
      <c r="A4186" s="1">
        <v>224</v>
      </c>
      <c r="B4186" s="1" t="s">
        <v>161</v>
      </c>
      <c r="C4186" s="2" t="s">
        <v>4963</v>
      </c>
      <c r="D4186" s="2" t="s">
        <v>4969</v>
      </c>
      <c r="E4186" s="1">
        <v>1</v>
      </c>
      <c r="F4186" s="2" t="s">
        <v>4973</v>
      </c>
      <c r="G4186" s="1">
        <v>6</v>
      </c>
      <c r="H4186" s="1" t="str">
        <f t="shared" si="68"/>
        <v>k224_6</v>
      </c>
      <c r="K4186" s="1">
        <f>IF(E4186=0,SUMPRODUCT(($A$2:$A$4734=A4186)*($B$2:$B$4734=B4186)*($D$2:$D$4734=D4186)*($E$2:$E$4734=0)),0)</f>
        <v>0</v>
      </c>
      <c r="L4186" s="1" t="str">
        <f>IF(E4186=0,SUMPRODUCT(MIN($K$2:$K$4734+((($A$2:$A$4734&lt;&gt;A4186)+($E$2:$E$4734&lt;&gt;0))&gt;0)*1000000)),"")</f>
        <v/>
      </c>
      <c r="M4186" s="1">
        <f>IF(AND(E4186=0,COUNTIFS($A$2:A4186,A4186,$E$2:E4186,0)=1),L4186,0)</f>
        <v>0</v>
      </c>
    </row>
    <row r="4187" spans="1:13" ht="15" customHeight="1">
      <c r="A4187" s="1">
        <v>224</v>
      </c>
      <c r="B4187" s="1" t="s">
        <v>9</v>
      </c>
      <c r="C4187" s="2" t="s">
        <v>4963</v>
      </c>
      <c r="D4187" s="2" t="s">
        <v>4974</v>
      </c>
      <c r="E4187" s="1">
        <v>1</v>
      </c>
      <c r="F4187" s="2" t="s">
        <v>4975</v>
      </c>
      <c r="G4187" s="1">
        <v>1</v>
      </c>
      <c r="H4187" s="1" t="str">
        <f t="shared" si="68"/>
        <v>k224_1</v>
      </c>
      <c r="K4187" s="1">
        <f>IF(E4187=0,SUMPRODUCT(($A$2:$A$4734=A4187)*($B$2:$B$4734=B4187)*($D$2:$D$4734=D4187)*($E$2:$E$4734=0)),0)</f>
        <v>0</v>
      </c>
      <c r="L4187" s="1" t="str">
        <f>IF(E4187=0,SUMPRODUCT(MIN($K$2:$K$4734+((($A$2:$A$4734&lt;&gt;A4187)+($E$2:$E$4734&lt;&gt;0))&gt;0)*1000000)),"")</f>
        <v/>
      </c>
      <c r="M4187" s="1">
        <f>IF(AND(E4187=0,COUNTIFS($A$2:A4187,A4187,$E$2:E4187,0)=1),L4187,0)</f>
        <v>0</v>
      </c>
    </row>
    <row r="4188" spans="1:13" ht="15" customHeight="1">
      <c r="A4188" s="1">
        <v>224</v>
      </c>
      <c r="B4188" s="1" t="s">
        <v>9</v>
      </c>
      <c r="C4188" s="2" t="s">
        <v>4963</v>
      </c>
      <c r="D4188" s="2" t="s">
        <v>4974</v>
      </c>
      <c r="E4188" s="1">
        <v>1</v>
      </c>
      <c r="F4188" s="2" t="s">
        <v>4976</v>
      </c>
      <c r="G4188" s="1">
        <v>6</v>
      </c>
      <c r="H4188" s="1" t="str">
        <f t="shared" si="68"/>
        <v>k224_6</v>
      </c>
      <c r="K4188" s="1">
        <f>IF(E4188=0,SUMPRODUCT(($A$2:$A$4734=A4188)*($B$2:$B$4734=B4188)*($D$2:$D$4734=D4188)*($E$2:$E$4734=0)),0)</f>
        <v>0</v>
      </c>
      <c r="L4188" s="1" t="str">
        <f>IF(E4188=0,SUMPRODUCT(MIN($K$2:$K$4734+((($A$2:$A$4734&lt;&gt;A4188)+($E$2:$E$4734&lt;&gt;0))&gt;0)*1000000)),"")</f>
        <v/>
      </c>
      <c r="M4188" s="1">
        <f>IF(AND(E4188=0,COUNTIFS($A$2:A4188,A4188,$E$2:E4188,0)=1),L4188,0)</f>
        <v>0</v>
      </c>
    </row>
    <row r="4189" spans="1:13" ht="15" customHeight="1">
      <c r="A4189" s="1">
        <v>224</v>
      </c>
      <c r="B4189" s="1" t="s">
        <v>9</v>
      </c>
      <c r="C4189" s="2" t="s">
        <v>4963</v>
      </c>
      <c r="D4189" s="2" t="s">
        <v>4974</v>
      </c>
      <c r="E4189" s="1">
        <v>1</v>
      </c>
      <c r="F4189" s="2" t="s">
        <v>4977</v>
      </c>
      <c r="G4189" s="1">
        <v>2</v>
      </c>
      <c r="H4189" s="1" t="str">
        <f t="shared" si="68"/>
        <v>k224_2</v>
      </c>
      <c r="K4189" s="1">
        <f>IF(E4189=0,SUMPRODUCT(($A$2:$A$4734=A4189)*($B$2:$B$4734=B4189)*($D$2:$D$4734=D4189)*($E$2:$E$4734=0)),0)</f>
        <v>0</v>
      </c>
      <c r="L4189" s="1" t="str">
        <f>IF(E4189=0,SUMPRODUCT(MIN($K$2:$K$4734+((($A$2:$A$4734&lt;&gt;A4189)+($E$2:$E$4734&lt;&gt;0))&gt;0)*1000000)),"")</f>
        <v/>
      </c>
      <c r="M4189" s="1">
        <f>IF(AND(E4189=0,COUNTIFS($A$2:A4189,A4189,$E$2:E4189,0)=1),L4189,0)</f>
        <v>0</v>
      </c>
    </row>
    <row r="4190" spans="1:13" ht="15" customHeight="1">
      <c r="A4190" s="1">
        <v>224</v>
      </c>
      <c r="B4190" s="1" t="s">
        <v>9</v>
      </c>
      <c r="C4190" s="2" t="s">
        <v>4963</v>
      </c>
      <c r="D4190" s="2" t="s">
        <v>4974</v>
      </c>
      <c r="E4190" s="1">
        <v>1</v>
      </c>
      <c r="F4190" s="2" t="s">
        <v>4978</v>
      </c>
      <c r="G4190" s="1">
        <v>5</v>
      </c>
      <c r="H4190" s="1" t="str">
        <f t="shared" si="68"/>
        <v>k224_5</v>
      </c>
      <c r="K4190" s="1">
        <f>IF(E4190=0,SUMPRODUCT(($A$2:$A$4734=A4190)*($B$2:$B$4734=B4190)*($D$2:$D$4734=D4190)*($E$2:$E$4734=0)),0)</f>
        <v>0</v>
      </c>
      <c r="L4190" s="1" t="str">
        <f>IF(E4190=0,SUMPRODUCT(MIN($K$2:$K$4734+((($A$2:$A$4734&lt;&gt;A4190)+($E$2:$E$4734&lt;&gt;0))&gt;0)*1000000)),"")</f>
        <v/>
      </c>
      <c r="M4190" s="1">
        <f>IF(AND(E4190=0,COUNTIFS($A$2:A4190,A4190,$E$2:E4190,0)=1),L4190,0)</f>
        <v>0</v>
      </c>
    </row>
    <row r="4191" spans="1:13" ht="15" customHeight="1">
      <c r="A4191" s="1">
        <v>224</v>
      </c>
      <c r="B4191" s="1" t="s">
        <v>9</v>
      </c>
      <c r="C4191" s="2" t="s">
        <v>4963</v>
      </c>
      <c r="D4191" s="2" t="s">
        <v>4974</v>
      </c>
      <c r="E4191" s="1">
        <v>1</v>
      </c>
      <c r="F4191" s="2" t="s">
        <v>4977</v>
      </c>
      <c r="G4191" s="1">
        <v>3</v>
      </c>
      <c r="H4191" s="1" t="str">
        <f t="shared" si="68"/>
        <v>k224_3</v>
      </c>
      <c r="K4191" s="1">
        <f>IF(E4191=0,SUMPRODUCT(($A$2:$A$4734=A4191)*($B$2:$B$4734=B4191)*($D$2:$D$4734=D4191)*($E$2:$E$4734=0)),0)</f>
        <v>0</v>
      </c>
      <c r="L4191" s="1" t="str">
        <f>IF(E4191=0,SUMPRODUCT(MIN($K$2:$K$4734+((($A$2:$A$4734&lt;&gt;A4191)+($E$2:$E$4734&lt;&gt;0))&gt;0)*1000000)),"")</f>
        <v/>
      </c>
      <c r="M4191" s="1">
        <f>IF(AND(E4191=0,COUNTIFS($A$2:A4191,A4191,$E$2:E4191,0)=1),L4191,0)</f>
        <v>0</v>
      </c>
    </row>
    <row r="4192" spans="1:13" ht="15" customHeight="1">
      <c r="A4192" s="1">
        <v>224</v>
      </c>
      <c r="B4192" s="1" t="s">
        <v>9</v>
      </c>
      <c r="C4192" s="2" t="s">
        <v>4963</v>
      </c>
      <c r="D4192" s="2" t="s">
        <v>4974</v>
      </c>
      <c r="E4192" s="1">
        <v>1</v>
      </c>
      <c r="F4192" s="2" t="s">
        <v>4978</v>
      </c>
      <c r="G4192" s="1">
        <v>4</v>
      </c>
      <c r="H4192" s="1" t="str">
        <f t="shared" si="68"/>
        <v>k224_4</v>
      </c>
      <c r="K4192" s="1">
        <f>IF(E4192=0,SUMPRODUCT(($A$2:$A$4734=A4192)*($B$2:$B$4734=B4192)*($D$2:$D$4734=D4192)*($E$2:$E$4734=0)),0)</f>
        <v>0</v>
      </c>
      <c r="L4192" s="1" t="str">
        <f>IF(E4192=0,SUMPRODUCT(MIN($K$2:$K$4734+((($A$2:$A$4734&lt;&gt;A4192)+($E$2:$E$4734&lt;&gt;0))&gt;0)*1000000)),"")</f>
        <v/>
      </c>
      <c r="M4192" s="1">
        <f>IF(AND(E4192=0,COUNTIFS($A$2:A4192,A4192,$E$2:E4192,0)=1),L4192,0)</f>
        <v>0</v>
      </c>
    </row>
    <row r="4193" spans="1:13" ht="15" customHeight="1">
      <c r="A4193" s="1">
        <v>225</v>
      </c>
      <c r="B4193" s="1" t="s">
        <v>9</v>
      </c>
      <c r="C4193" s="2" t="s">
        <v>4979</v>
      </c>
      <c r="D4193" s="2" t="s">
        <v>4980</v>
      </c>
      <c r="E4193" s="1">
        <v>1</v>
      </c>
      <c r="F4193" s="2" t="s">
        <v>4981</v>
      </c>
      <c r="G4193" s="1">
        <v>2</v>
      </c>
      <c r="H4193" s="1" t="str">
        <f t="shared" si="68"/>
        <v>k225_2</v>
      </c>
      <c r="K4193" s="1">
        <f>IF(E4193=0,SUMPRODUCT(($A$2:$A$4734=A4193)*($B$2:$B$4734=B4193)*($D$2:$D$4734=D4193)*($E$2:$E$4734=0)),0)</f>
        <v>0</v>
      </c>
      <c r="L4193" s="1" t="str">
        <f>IF(E4193=0,SUMPRODUCT(MIN($K$2:$K$4734+((($A$2:$A$4734&lt;&gt;A4193)+($E$2:$E$4734&lt;&gt;0))&gt;0)*1000000)),"")</f>
        <v/>
      </c>
      <c r="M4193" s="1">
        <f>IF(AND(E4193=0,COUNTIFS($A$2:A4193,A4193,$E$2:E4193,0)=1),L4193,0)</f>
        <v>0</v>
      </c>
    </row>
    <row r="4194" spans="1:13" ht="15" customHeight="1">
      <c r="A4194" s="1">
        <v>225</v>
      </c>
      <c r="B4194" s="1" t="s">
        <v>9</v>
      </c>
      <c r="C4194" s="2" t="s">
        <v>4979</v>
      </c>
      <c r="D4194" s="2" t="s">
        <v>4980</v>
      </c>
      <c r="E4194" s="1">
        <v>1</v>
      </c>
      <c r="F4194" s="2" t="s">
        <v>4982</v>
      </c>
      <c r="G4194" s="1">
        <v>3</v>
      </c>
      <c r="H4194" s="1" t="str">
        <f t="shared" si="68"/>
        <v>k225_3</v>
      </c>
      <c r="K4194" s="1">
        <f>IF(E4194=0,SUMPRODUCT(($A$2:$A$4734=A4194)*($B$2:$B$4734=B4194)*($D$2:$D$4734=D4194)*($E$2:$E$4734=0)),0)</f>
        <v>0</v>
      </c>
      <c r="L4194" s="1" t="str">
        <f>IF(E4194=0,SUMPRODUCT(MIN($K$2:$K$4734+((($A$2:$A$4734&lt;&gt;A4194)+($E$2:$E$4734&lt;&gt;0))&gt;0)*1000000)),"")</f>
        <v/>
      </c>
      <c r="M4194" s="1">
        <f>IF(AND(E4194=0,COUNTIFS($A$2:A4194,A4194,$E$2:E4194,0)=1),L4194,0)</f>
        <v>0</v>
      </c>
    </row>
    <row r="4195" spans="1:13" ht="15" customHeight="1">
      <c r="A4195" s="1">
        <v>225</v>
      </c>
      <c r="B4195" s="1" t="s">
        <v>9</v>
      </c>
      <c r="C4195" s="2" t="s">
        <v>4979</v>
      </c>
      <c r="D4195" s="2" t="s">
        <v>4980</v>
      </c>
      <c r="E4195" s="1">
        <v>1</v>
      </c>
      <c r="F4195" s="2" t="s">
        <v>4983</v>
      </c>
      <c r="G4195" s="1">
        <v>1</v>
      </c>
      <c r="H4195" s="1" t="str">
        <f t="shared" si="68"/>
        <v>k225_1</v>
      </c>
      <c r="K4195" s="1">
        <f>IF(E4195=0,SUMPRODUCT(($A$2:$A$4734=A4195)*($B$2:$B$4734=B4195)*($D$2:$D$4734=D4195)*($E$2:$E$4734=0)),0)</f>
        <v>0</v>
      </c>
      <c r="L4195" s="1" t="str">
        <f>IF(E4195=0,SUMPRODUCT(MIN($K$2:$K$4734+((($A$2:$A$4734&lt;&gt;A4195)+($E$2:$E$4734&lt;&gt;0))&gt;0)*1000000)),"")</f>
        <v/>
      </c>
      <c r="M4195" s="1">
        <f>IF(AND(E4195=0,COUNTIFS($A$2:A4195,A4195,$E$2:E4195,0)=1),L4195,0)</f>
        <v>0</v>
      </c>
    </row>
    <row r="4196" spans="1:13" ht="15" customHeight="1">
      <c r="A4196" s="1">
        <v>225</v>
      </c>
      <c r="B4196" s="1" t="s">
        <v>9</v>
      </c>
      <c r="C4196" s="2" t="s">
        <v>4979</v>
      </c>
      <c r="D4196" s="2" t="s">
        <v>4980</v>
      </c>
      <c r="E4196" s="1">
        <v>1</v>
      </c>
      <c r="F4196" s="2" t="s">
        <v>4984</v>
      </c>
      <c r="G4196" s="1">
        <v>4</v>
      </c>
      <c r="H4196" s="1" t="str">
        <f t="shared" si="68"/>
        <v>k225_4</v>
      </c>
      <c r="K4196" s="1">
        <f>IF(E4196=0,SUMPRODUCT(($A$2:$A$4734=A4196)*($B$2:$B$4734=B4196)*($D$2:$D$4734=D4196)*($E$2:$E$4734=0)),0)</f>
        <v>0</v>
      </c>
      <c r="L4196" s="1" t="str">
        <f>IF(E4196=0,SUMPRODUCT(MIN($K$2:$K$4734+((($A$2:$A$4734&lt;&gt;A4196)+($E$2:$E$4734&lt;&gt;0))&gt;0)*1000000)),"")</f>
        <v/>
      </c>
      <c r="M4196" s="1">
        <f>IF(AND(E4196=0,COUNTIFS($A$2:A4196,A4196,$E$2:E4196,0)=1),L4196,0)</f>
        <v>0</v>
      </c>
    </row>
    <row r="4197" spans="1:13" ht="15" customHeight="1">
      <c r="A4197" s="1">
        <v>225</v>
      </c>
      <c r="B4197" s="1" t="s">
        <v>266</v>
      </c>
      <c r="C4197" s="2" t="s">
        <v>4979</v>
      </c>
      <c r="D4197" s="2" t="s">
        <v>4985</v>
      </c>
      <c r="E4197" s="1">
        <v>1</v>
      </c>
      <c r="F4197" s="2" t="s">
        <v>4986</v>
      </c>
      <c r="G4197" s="1">
        <v>1</v>
      </c>
      <c r="H4197" s="1" t="str">
        <f t="shared" si="68"/>
        <v>k225_1</v>
      </c>
      <c r="K4197" s="1">
        <f>IF(E4197=0,SUMPRODUCT(($A$2:$A$4734=A4197)*($B$2:$B$4734=B4197)*($D$2:$D$4734=D4197)*($E$2:$E$4734=0)),0)</f>
        <v>0</v>
      </c>
      <c r="L4197" s="1" t="str">
        <f>IF(E4197=0,SUMPRODUCT(MIN($K$2:$K$4734+((($A$2:$A$4734&lt;&gt;A4197)+($E$2:$E$4734&lt;&gt;0))&gt;0)*1000000)),"")</f>
        <v/>
      </c>
      <c r="M4197" s="1">
        <f>IF(AND(E4197=0,COUNTIFS($A$2:A4197,A4197,$E$2:E4197,0)=1),L4197,0)</f>
        <v>0</v>
      </c>
    </row>
    <row r="4198" spans="1:13" ht="15" customHeight="1">
      <c r="A4198" s="1">
        <v>225</v>
      </c>
      <c r="B4198" s="1" t="s">
        <v>266</v>
      </c>
      <c r="C4198" s="2" t="s">
        <v>4979</v>
      </c>
      <c r="D4198" s="2" t="s">
        <v>4985</v>
      </c>
      <c r="E4198" s="1">
        <v>1</v>
      </c>
      <c r="F4198" s="2" t="s">
        <v>4987</v>
      </c>
      <c r="G4198" s="1">
        <v>2</v>
      </c>
      <c r="H4198" s="1" t="str">
        <f t="shared" si="68"/>
        <v>k225_2</v>
      </c>
      <c r="K4198" s="1">
        <f>IF(E4198=0,SUMPRODUCT(($A$2:$A$4734=A4198)*($B$2:$B$4734=B4198)*($D$2:$D$4734=D4198)*($E$2:$E$4734=0)),0)</f>
        <v>0</v>
      </c>
      <c r="L4198" s="1" t="str">
        <f>IF(E4198=0,SUMPRODUCT(MIN($K$2:$K$4734+((($A$2:$A$4734&lt;&gt;A4198)+($E$2:$E$4734&lt;&gt;0))&gt;0)*1000000)),"")</f>
        <v/>
      </c>
      <c r="M4198" s="1">
        <f>IF(AND(E4198=0,COUNTIFS($A$2:A4198,A4198,$E$2:E4198,0)=1),L4198,0)</f>
        <v>0</v>
      </c>
    </row>
    <row r="4199" spans="1:13" ht="15" customHeight="1">
      <c r="A4199" s="1">
        <v>225</v>
      </c>
      <c r="B4199" s="1" t="s">
        <v>266</v>
      </c>
      <c r="C4199" s="2" t="s">
        <v>4979</v>
      </c>
      <c r="D4199" s="2" t="s">
        <v>4985</v>
      </c>
      <c r="E4199" s="1">
        <v>1</v>
      </c>
      <c r="F4199" s="2" t="s">
        <v>4988</v>
      </c>
      <c r="G4199" s="1">
        <v>3</v>
      </c>
      <c r="H4199" s="1" t="str">
        <f t="shared" si="68"/>
        <v>k225_3</v>
      </c>
      <c r="K4199" s="1">
        <f>IF(E4199=0,SUMPRODUCT(($A$2:$A$4734=A4199)*($B$2:$B$4734=B4199)*($D$2:$D$4734=D4199)*($E$2:$E$4734=0)),0)</f>
        <v>0</v>
      </c>
      <c r="L4199" s="1" t="str">
        <f>IF(E4199=0,SUMPRODUCT(MIN($K$2:$K$4734+((($A$2:$A$4734&lt;&gt;A4199)+($E$2:$E$4734&lt;&gt;0))&gt;0)*1000000)),"")</f>
        <v/>
      </c>
      <c r="M4199" s="1">
        <f>IF(AND(E4199=0,COUNTIFS($A$2:A4199,A4199,$E$2:E4199,0)=1),L4199,0)</f>
        <v>0</v>
      </c>
    </row>
    <row r="4200" spans="1:13" ht="15" customHeight="1">
      <c r="A4200" s="1">
        <v>225</v>
      </c>
      <c r="B4200" s="1" t="s">
        <v>266</v>
      </c>
      <c r="C4200" s="2" t="s">
        <v>4979</v>
      </c>
      <c r="D4200" s="2" t="s">
        <v>4985</v>
      </c>
      <c r="E4200" s="1">
        <v>1</v>
      </c>
      <c r="F4200" s="2" t="s">
        <v>4989</v>
      </c>
      <c r="G4200" s="1">
        <v>4</v>
      </c>
      <c r="H4200" s="1" t="str">
        <f t="shared" si="68"/>
        <v>k225_4</v>
      </c>
      <c r="K4200" s="1">
        <f>IF(E4200=0,SUMPRODUCT(($A$2:$A$4734=A4200)*($B$2:$B$4734=B4200)*($D$2:$D$4734=D4200)*($E$2:$E$4734=0)),0)</f>
        <v>0</v>
      </c>
      <c r="L4200" s="1" t="str">
        <f>IF(E4200=0,SUMPRODUCT(MIN($K$2:$K$4734+((($A$2:$A$4734&lt;&gt;A4200)+($E$2:$E$4734&lt;&gt;0))&gt;0)*1000000)),"")</f>
        <v/>
      </c>
      <c r="M4200" s="1">
        <f>IF(AND(E4200=0,COUNTIFS($A$2:A4200,A4200,$E$2:E4200,0)=1),L4200,0)</f>
        <v>0</v>
      </c>
    </row>
    <row r="4201" spans="1:13" ht="15" customHeight="1">
      <c r="A4201" s="1">
        <v>226</v>
      </c>
      <c r="B4201" s="1" t="s">
        <v>9</v>
      </c>
      <c r="C4201" s="2" t="s">
        <v>4990</v>
      </c>
      <c r="D4201" s="2" t="s">
        <v>3727</v>
      </c>
      <c r="E4201" s="1">
        <v>1</v>
      </c>
      <c r="F4201" s="2" t="s">
        <v>4991</v>
      </c>
      <c r="G4201" s="1">
        <v>6</v>
      </c>
      <c r="H4201" s="1" t="str">
        <f t="shared" si="68"/>
        <v>k226_6</v>
      </c>
      <c r="K4201" s="1">
        <f>IF(E4201=0,SUMPRODUCT(($A$2:$A$4734=A4201)*($B$2:$B$4734=B4201)*($D$2:$D$4734=D4201)*($E$2:$E$4734=0)),0)</f>
        <v>0</v>
      </c>
      <c r="L4201" s="1" t="str">
        <f>IF(E4201=0,SUMPRODUCT(MIN($K$2:$K$4734+((($A$2:$A$4734&lt;&gt;A4201)+($E$2:$E$4734&lt;&gt;0))&gt;0)*1000000)),"")</f>
        <v/>
      </c>
      <c r="M4201" s="1">
        <f>IF(AND(E4201=0,COUNTIFS($A$2:A4201,A4201,$E$2:E4201,0)=1),L4201,0)</f>
        <v>0</v>
      </c>
    </row>
    <row r="4202" spans="1:13" ht="15" customHeight="1">
      <c r="A4202" s="1">
        <v>226</v>
      </c>
      <c r="B4202" s="1" t="s">
        <v>9</v>
      </c>
      <c r="C4202" s="2" t="s">
        <v>4990</v>
      </c>
      <c r="D4202" s="2" t="s">
        <v>3727</v>
      </c>
      <c r="E4202" s="1">
        <v>1</v>
      </c>
      <c r="F4202" s="2" t="s">
        <v>2798</v>
      </c>
      <c r="G4202" s="1">
        <v>4</v>
      </c>
      <c r="H4202" s="1" t="str">
        <f t="shared" si="68"/>
        <v>k226_4</v>
      </c>
      <c r="K4202" s="1">
        <f>IF(E4202=0,SUMPRODUCT(($A$2:$A$4734=A4202)*($B$2:$B$4734=B4202)*($D$2:$D$4734=D4202)*($E$2:$E$4734=0)),0)</f>
        <v>0</v>
      </c>
      <c r="L4202" s="1" t="str">
        <f>IF(E4202=0,SUMPRODUCT(MIN($K$2:$K$4734+((($A$2:$A$4734&lt;&gt;A4202)+($E$2:$E$4734&lt;&gt;0))&gt;0)*1000000)),"")</f>
        <v/>
      </c>
      <c r="M4202" s="1">
        <f>IF(AND(E4202=0,COUNTIFS($A$2:A4202,A4202,$E$2:E4202,0)=1),L4202,0)</f>
        <v>0</v>
      </c>
    </row>
    <row r="4203" spans="1:13" ht="15" customHeight="1">
      <c r="A4203" s="1">
        <v>226</v>
      </c>
      <c r="B4203" s="1" t="s">
        <v>9</v>
      </c>
      <c r="C4203" s="2" t="s">
        <v>4990</v>
      </c>
      <c r="D4203" s="2" t="s">
        <v>3727</v>
      </c>
      <c r="E4203" s="1">
        <v>1</v>
      </c>
      <c r="F4203" s="2" t="s">
        <v>66</v>
      </c>
      <c r="G4203" s="1">
        <v>5</v>
      </c>
      <c r="H4203" s="1" t="str">
        <f t="shared" si="68"/>
        <v>k226_5</v>
      </c>
      <c r="K4203" s="1">
        <f>IF(E4203=0,SUMPRODUCT(($A$2:$A$4734=A4203)*($B$2:$B$4734=B4203)*($D$2:$D$4734=D4203)*($E$2:$E$4734=0)),0)</f>
        <v>0</v>
      </c>
      <c r="L4203" s="1" t="str">
        <f>IF(E4203=0,SUMPRODUCT(MIN($K$2:$K$4734+((($A$2:$A$4734&lt;&gt;A4203)+($E$2:$E$4734&lt;&gt;0))&gt;0)*1000000)),"")</f>
        <v/>
      </c>
      <c r="M4203" s="1">
        <f>IF(AND(E4203=0,COUNTIFS($A$2:A4203,A4203,$E$2:E4203,0)=1),L4203,0)</f>
        <v>0</v>
      </c>
    </row>
    <row r="4204" spans="1:13" ht="15" customHeight="1">
      <c r="A4204" s="1">
        <v>226</v>
      </c>
      <c r="B4204" s="1" t="s">
        <v>9</v>
      </c>
      <c r="C4204" s="2" t="s">
        <v>4990</v>
      </c>
      <c r="D4204" s="2" t="s">
        <v>3727</v>
      </c>
      <c r="E4204" s="1">
        <v>1</v>
      </c>
      <c r="F4204" s="2" t="s">
        <v>66</v>
      </c>
      <c r="G4204" s="1">
        <v>1</v>
      </c>
      <c r="H4204" s="1" t="str">
        <f t="shared" si="68"/>
        <v>k226_1</v>
      </c>
      <c r="K4204" s="1">
        <f>IF(E4204=0,SUMPRODUCT(($A$2:$A$4734=A4204)*($B$2:$B$4734=B4204)*($D$2:$D$4734=D4204)*($E$2:$E$4734=0)),0)</f>
        <v>0</v>
      </c>
      <c r="L4204" s="1" t="str">
        <f>IF(E4204=0,SUMPRODUCT(MIN($K$2:$K$4734+((($A$2:$A$4734&lt;&gt;A4204)+($E$2:$E$4734&lt;&gt;0))&gt;0)*1000000)),"")</f>
        <v/>
      </c>
      <c r="M4204" s="1">
        <f>IF(AND(E4204=0,COUNTIFS($A$2:A4204,A4204,$E$2:E4204,0)=1),L4204,0)</f>
        <v>0</v>
      </c>
    </row>
    <row r="4205" spans="1:13" ht="15" customHeight="1">
      <c r="A4205" s="1">
        <v>226</v>
      </c>
      <c r="B4205" s="1" t="s">
        <v>9</v>
      </c>
      <c r="C4205" s="2" t="s">
        <v>4990</v>
      </c>
      <c r="D4205" s="2" t="s">
        <v>3727</v>
      </c>
      <c r="E4205" s="1">
        <v>1</v>
      </c>
      <c r="F4205" s="2" t="s">
        <v>4992</v>
      </c>
      <c r="G4205" s="1">
        <v>3</v>
      </c>
      <c r="H4205" s="1" t="str">
        <f t="shared" si="68"/>
        <v>k226_3</v>
      </c>
      <c r="K4205" s="1">
        <f>IF(E4205=0,SUMPRODUCT(($A$2:$A$4734=A4205)*($B$2:$B$4734=B4205)*($D$2:$D$4734=D4205)*($E$2:$E$4734=0)),0)</f>
        <v>0</v>
      </c>
      <c r="L4205" s="1" t="str">
        <f>IF(E4205=0,SUMPRODUCT(MIN($K$2:$K$4734+((($A$2:$A$4734&lt;&gt;A4205)+($E$2:$E$4734&lt;&gt;0))&gt;0)*1000000)),"")</f>
        <v/>
      </c>
      <c r="M4205" s="1">
        <f>IF(AND(E4205=0,COUNTIFS($A$2:A4205,A4205,$E$2:E4205,0)=1),L4205,0)</f>
        <v>0</v>
      </c>
    </row>
    <row r="4206" spans="1:13" ht="15" customHeight="1">
      <c r="A4206" s="1">
        <v>226</v>
      </c>
      <c r="B4206" s="1" t="s">
        <v>9</v>
      </c>
      <c r="C4206" s="2" t="s">
        <v>4990</v>
      </c>
      <c r="D4206" s="2" t="s">
        <v>3727</v>
      </c>
      <c r="E4206" s="1">
        <v>1</v>
      </c>
      <c r="F4206" s="2" t="s">
        <v>63</v>
      </c>
      <c r="G4206" s="1">
        <v>2</v>
      </c>
      <c r="H4206" s="1" t="str">
        <f t="shared" si="68"/>
        <v>k226_2</v>
      </c>
      <c r="K4206" s="1">
        <f>IF(E4206=0,SUMPRODUCT(($A$2:$A$4734=A4206)*($B$2:$B$4734=B4206)*($D$2:$D$4734=D4206)*($E$2:$E$4734=0)),0)</f>
        <v>0</v>
      </c>
      <c r="L4206" s="1" t="str">
        <f>IF(E4206=0,SUMPRODUCT(MIN($K$2:$K$4734+((($A$2:$A$4734&lt;&gt;A4206)+($E$2:$E$4734&lt;&gt;0))&gt;0)*1000000)),"")</f>
        <v/>
      </c>
      <c r="M4206" s="1">
        <f>IF(AND(E4206=0,COUNTIFS($A$2:A4206,A4206,$E$2:E4206,0)=1),L4206,0)</f>
        <v>0</v>
      </c>
    </row>
    <row r="4207" spans="1:13" ht="15" customHeight="1">
      <c r="A4207" s="1">
        <v>226</v>
      </c>
      <c r="B4207" s="1" t="s">
        <v>9</v>
      </c>
      <c r="C4207" s="2" t="s">
        <v>4990</v>
      </c>
      <c r="D4207" s="2" t="s">
        <v>4993</v>
      </c>
      <c r="E4207" s="1">
        <v>1</v>
      </c>
      <c r="F4207" s="2" t="s">
        <v>4994</v>
      </c>
      <c r="G4207" s="1">
        <v>1</v>
      </c>
      <c r="H4207" s="1" t="str">
        <f t="shared" si="68"/>
        <v>k226_1</v>
      </c>
      <c r="K4207" s="1">
        <f>IF(E4207=0,SUMPRODUCT(($A$2:$A$4734=A4207)*($B$2:$B$4734=B4207)*($D$2:$D$4734=D4207)*($E$2:$E$4734=0)),0)</f>
        <v>0</v>
      </c>
      <c r="L4207" s="1" t="str">
        <f>IF(E4207=0,SUMPRODUCT(MIN($K$2:$K$4734+((($A$2:$A$4734&lt;&gt;A4207)+($E$2:$E$4734&lt;&gt;0))&gt;0)*1000000)),"")</f>
        <v/>
      </c>
      <c r="M4207" s="1">
        <f>IF(AND(E4207=0,COUNTIFS($A$2:A4207,A4207,$E$2:E4207,0)=1),L4207,0)</f>
        <v>0</v>
      </c>
    </row>
    <row r="4208" spans="1:13" ht="15" customHeight="1">
      <c r="A4208" s="1">
        <v>226</v>
      </c>
      <c r="B4208" s="1" t="s">
        <v>9</v>
      </c>
      <c r="C4208" s="2" t="s">
        <v>4990</v>
      </c>
      <c r="D4208" s="2" t="s">
        <v>4993</v>
      </c>
      <c r="E4208" s="1">
        <v>1</v>
      </c>
      <c r="F4208" s="2" t="s">
        <v>4995</v>
      </c>
      <c r="G4208" s="1">
        <v>2</v>
      </c>
      <c r="H4208" s="1" t="str">
        <f t="shared" si="68"/>
        <v>k226_2</v>
      </c>
      <c r="K4208" s="1">
        <f>IF(E4208=0,SUMPRODUCT(($A$2:$A$4734=A4208)*($B$2:$B$4734=B4208)*($D$2:$D$4734=D4208)*($E$2:$E$4734=0)),0)</f>
        <v>0</v>
      </c>
      <c r="L4208" s="1" t="str">
        <f>IF(E4208=0,SUMPRODUCT(MIN($K$2:$K$4734+((($A$2:$A$4734&lt;&gt;A4208)+($E$2:$E$4734&lt;&gt;0))&gt;0)*1000000)),"")</f>
        <v/>
      </c>
      <c r="M4208" s="1">
        <f>IF(AND(E4208=0,COUNTIFS($A$2:A4208,A4208,$E$2:E4208,0)=1),L4208,0)</f>
        <v>0</v>
      </c>
    </row>
    <row r="4209" spans="1:13" ht="15" customHeight="1">
      <c r="A4209" s="1">
        <v>226</v>
      </c>
      <c r="B4209" s="1" t="s">
        <v>9</v>
      </c>
      <c r="C4209" s="2" t="s">
        <v>4990</v>
      </c>
      <c r="D4209" s="2" t="s">
        <v>4993</v>
      </c>
      <c r="E4209" s="1">
        <v>1</v>
      </c>
      <c r="F4209" s="2" t="s">
        <v>4996</v>
      </c>
      <c r="G4209" s="1">
        <v>3</v>
      </c>
      <c r="H4209" s="1" t="str">
        <f t="shared" si="68"/>
        <v>k226_3</v>
      </c>
      <c r="K4209" s="1">
        <f>IF(E4209=0,SUMPRODUCT(($A$2:$A$4734=A4209)*($B$2:$B$4734=B4209)*($D$2:$D$4734=D4209)*($E$2:$E$4734=0)),0)</f>
        <v>0</v>
      </c>
      <c r="L4209" s="1" t="str">
        <f>IF(E4209=0,SUMPRODUCT(MIN($K$2:$K$4734+((($A$2:$A$4734&lt;&gt;A4209)+($E$2:$E$4734&lt;&gt;0))&gt;0)*1000000)),"")</f>
        <v/>
      </c>
      <c r="M4209" s="1">
        <f>IF(AND(E4209=0,COUNTIFS($A$2:A4209,A4209,$E$2:E4209,0)=1),L4209,0)</f>
        <v>0</v>
      </c>
    </row>
    <row r="4210" spans="1:13" ht="15" customHeight="1">
      <c r="A4210" s="1">
        <v>226</v>
      </c>
      <c r="B4210" s="1" t="s">
        <v>9</v>
      </c>
      <c r="C4210" s="2" t="s">
        <v>4990</v>
      </c>
      <c r="D4210" s="2" t="s">
        <v>4993</v>
      </c>
      <c r="E4210" s="1">
        <v>1</v>
      </c>
      <c r="F4210" s="2" t="s">
        <v>4996</v>
      </c>
      <c r="G4210" s="1">
        <v>4</v>
      </c>
      <c r="H4210" s="1" t="str">
        <f t="shared" si="68"/>
        <v>k226_4</v>
      </c>
      <c r="K4210" s="1">
        <f>IF(E4210=0,SUMPRODUCT(($A$2:$A$4734=A4210)*($B$2:$B$4734=B4210)*($D$2:$D$4734=D4210)*($E$2:$E$4734=0)),0)</f>
        <v>0</v>
      </c>
      <c r="L4210" s="1" t="str">
        <f>IF(E4210=0,SUMPRODUCT(MIN($K$2:$K$4734+((($A$2:$A$4734&lt;&gt;A4210)+($E$2:$E$4734&lt;&gt;0))&gt;0)*1000000)),"")</f>
        <v/>
      </c>
      <c r="M4210" s="1">
        <f>IF(AND(E4210=0,COUNTIFS($A$2:A4210,A4210,$E$2:E4210,0)=1),L4210,0)</f>
        <v>0</v>
      </c>
    </row>
    <row r="4211" spans="1:13" ht="15" customHeight="1">
      <c r="A4211" s="1">
        <v>226</v>
      </c>
      <c r="B4211" s="1" t="s">
        <v>9</v>
      </c>
      <c r="C4211" s="2" t="s">
        <v>4990</v>
      </c>
      <c r="D4211" s="2" t="s">
        <v>4993</v>
      </c>
      <c r="E4211" s="1">
        <v>1</v>
      </c>
      <c r="F4211" s="2" t="s">
        <v>4997</v>
      </c>
      <c r="G4211" s="1">
        <v>6</v>
      </c>
      <c r="H4211" s="1" t="str">
        <f t="shared" si="68"/>
        <v>k226_6</v>
      </c>
      <c r="K4211" s="1">
        <f>IF(E4211=0,SUMPRODUCT(($A$2:$A$4734=A4211)*($B$2:$B$4734=B4211)*($D$2:$D$4734=D4211)*($E$2:$E$4734=0)),0)</f>
        <v>0</v>
      </c>
      <c r="L4211" s="1" t="str">
        <f>IF(E4211=0,SUMPRODUCT(MIN($K$2:$K$4734+((($A$2:$A$4734&lt;&gt;A4211)+($E$2:$E$4734&lt;&gt;0))&gt;0)*1000000)),"")</f>
        <v/>
      </c>
      <c r="M4211" s="1">
        <f>IF(AND(E4211=0,COUNTIFS($A$2:A4211,A4211,$E$2:E4211,0)=1),L4211,0)</f>
        <v>0</v>
      </c>
    </row>
    <row r="4212" spans="1:13" ht="15" customHeight="1">
      <c r="A4212" s="1">
        <v>226</v>
      </c>
      <c r="B4212" s="1" t="s">
        <v>9</v>
      </c>
      <c r="C4212" s="2" t="s">
        <v>4990</v>
      </c>
      <c r="D4212" s="2" t="s">
        <v>4993</v>
      </c>
      <c r="E4212" s="1">
        <v>1</v>
      </c>
      <c r="F4212" s="2" t="s">
        <v>4998</v>
      </c>
      <c r="G4212" s="1">
        <v>5</v>
      </c>
      <c r="H4212" s="1" t="str">
        <f t="shared" si="68"/>
        <v>k226_5</v>
      </c>
      <c r="K4212" s="1">
        <f>IF(E4212=0,SUMPRODUCT(($A$2:$A$4734=A4212)*($B$2:$B$4734=B4212)*($D$2:$D$4734=D4212)*($E$2:$E$4734=0)),0)</f>
        <v>0</v>
      </c>
      <c r="L4212" s="1" t="str">
        <f>IF(E4212=0,SUMPRODUCT(MIN($K$2:$K$4734+((($A$2:$A$4734&lt;&gt;A4212)+($E$2:$E$4734&lt;&gt;0))&gt;0)*1000000)),"")</f>
        <v/>
      </c>
      <c r="M4212" s="1">
        <f>IF(AND(E4212=0,COUNTIFS($A$2:A4212,A4212,$E$2:E4212,0)=1),L4212,0)</f>
        <v>0</v>
      </c>
    </row>
    <row r="4213" spans="1:13" ht="15" customHeight="1">
      <c r="A4213" s="1">
        <v>226</v>
      </c>
      <c r="B4213" s="1" t="s">
        <v>393</v>
      </c>
      <c r="C4213" s="2" t="s">
        <v>4990</v>
      </c>
      <c r="D4213" s="2" t="s">
        <v>4999</v>
      </c>
      <c r="E4213" s="1">
        <v>1</v>
      </c>
      <c r="F4213" s="2" t="s">
        <v>5000</v>
      </c>
      <c r="G4213" s="1">
        <v>1</v>
      </c>
      <c r="H4213" s="1" t="str">
        <f t="shared" si="68"/>
        <v>k226_1</v>
      </c>
      <c r="K4213" s="1">
        <f>IF(E4213=0,SUMPRODUCT(($A$2:$A$4734=A4213)*($B$2:$B$4734=B4213)*($D$2:$D$4734=D4213)*($E$2:$E$4734=0)),0)</f>
        <v>0</v>
      </c>
      <c r="L4213" s="1" t="str">
        <f>IF(E4213=0,SUMPRODUCT(MIN($K$2:$K$4734+((($A$2:$A$4734&lt;&gt;A4213)+($E$2:$E$4734&lt;&gt;0))&gt;0)*1000000)),"")</f>
        <v/>
      </c>
      <c r="M4213" s="1">
        <f>IF(AND(E4213=0,COUNTIFS($A$2:A4213,A4213,$E$2:E4213,0)=1),L4213,0)</f>
        <v>0</v>
      </c>
    </row>
    <row r="4214" spans="1:13" ht="15" customHeight="1">
      <c r="A4214" s="1">
        <v>226</v>
      </c>
      <c r="B4214" s="1" t="s">
        <v>393</v>
      </c>
      <c r="C4214" s="2" t="s">
        <v>4990</v>
      </c>
      <c r="D4214" s="2" t="s">
        <v>4999</v>
      </c>
      <c r="E4214" s="1">
        <v>1</v>
      </c>
      <c r="F4214" s="2" t="s">
        <v>5001</v>
      </c>
      <c r="G4214" s="1">
        <v>2</v>
      </c>
      <c r="H4214" s="1" t="str">
        <f t="shared" si="68"/>
        <v>k226_2</v>
      </c>
      <c r="K4214" s="1">
        <f>IF(E4214=0,SUMPRODUCT(($A$2:$A$4734=A4214)*($B$2:$B$4734=B4214)*($D$2:$D$4734=D4214)*($E$2:$E$4734=0)),0)</f>
        <v>0</v>
      </c>
      <c r="L4214" s="1" t="str">
        <f>IF(E4214=0,SUMPRODUCT(MIN($K$2:$K$4734+((($A$2:$A$4734&lt;&gt;A4214)+($E$2:$E$4734&lt;&gt;0))&gt;0)*1000000)),"")</f>
        <v/>
      </c>
      <c r="M4214" s="1">
        <f>IF(AND(E4214=0,COUNTIFS($A$2:A4214,A4214,$E$2:E4214,0)=1),L4214,0)</f>
        <v>0</v>
      </c>
    </row>
    <row r="4215" spans="1:13" ht="15" customHeight="1">
      <c r="A4215" s="1">
        <v>226</v>
      </c>
      <c r="B4215" s="1" t="s">
        <v>393</v>
      </c>
      <c r="C4215" s="2" t="s">
        <v>4990</v>
      </c>
      <c r="D4215" s="2" t="s">
        <v>4999</v>
      </c>
      <c r="E4215" s="1">
        <v>1</v>
      </c>
      <c r="F4215" s="2" t="s">
        <v>5002</v>
      </c>
      <c r="G4215" s="1">
        <v>3</v>
      </c>
      <c r="H4215" s="1" t="str">
        <f t="shared" si="68"/>
        <v>k226_3</v>
      </c>
      <c r="K4215" s="1">
        <f>IF(E4215=0,SUMPRODUCT(($A$2:$A$4734=A4215)*($B$2:$B$4734=B4215)*($D$2:$D$4734=D4215)*($E$2:$E$4734=0)),0)</f>
        <v>0</v>
      </c>
      <c r="L4215" s="1" t="str">
        <f>IF(E4215=0,SUMPRODUCT(MIN($K$2:$K$4734+((($A$2:$A$4734&lt;&gt;A4215)+($E$2:$E$4734&lt;&gt;0))&gt;0)*1000000)),"")</f>
        <v/>
      </c>
      <c r="M4215" s="1">
        <f>IF(AND(E4215=0,COUNTIFS($A$2:A4215,A4215,$E$2:E4215,0)=1),L4215,0)</f>
        <v>0</v>
      </c>
    </row>
    <row r="4216" spans="1:13" ht="15" customHeight="1">
      <c r="A4216" s="1">
        <v>226</v>
      </c>
      <c r="B4216" s="1" t="s">
        <v>393</v>
      </c>
      <c r="C4216" s="2" t="s">
        <v>4990</v>
      </c>
      <c r="D4216" s="2" t="s">
        <v>4999</v>
      </c>
      <c r="E4216" s="1">
        <v>1</v>
      </c>
      <c r="F4216" s="2" t="s">
        <v>5002</v>
      </c>
      <c r="G4216" s="1">
        <v>4</v>
      </c>
      <c r="H4216" s="1" t="str">
        <f t="shared" si="68"/>
        <v>k226_4</v>
      </c>
      <c r="K4216" s="1">
        <f>IF(E4216=0,SUMPRODUCT(($A$2:$A$4734=A4216)*($B$2:$B$4734=B4216)*($D$2:$D$4734=D4216)*($E$2:$E$4734=0)),0)</f>
        <v>0</v>
      </c>
      <c r="L4216" s="1" t="str">
        <f>IF(E4216=0,SUMPRODUCT(MIN($K$2:$K$4734+((($A$2:$A$4734&lt;&gt;A4216)+($E$2:$E$4734&lt;&gt;0))&gt;0)*1000000)),"")</f>
        <v/>
      </c>
      <c r="M4216" s="1">
        <f>IF(AND(E4216=0,COUNTIFS($A$2:A4216,A4216,$E$2:E4216,0)=1),L4216,0)</f>
        <v>0</v>
      </c>
    </row>
    <row r="4217" spans="1:13" ht="15" customHeight="1">
      <c r="A4217" s="1">
        <v>226</v>
      </c>
      <c r="B4217" s="1" t="s">
        <v>393</v>
      </c>
      <c r="C4217" s="2" t="s">
        <v>4990</v>
      </c>
      <c r="D4217" s="2" t="s">
        <v>4999</v>
      </c>
      <c r="E4217" s="1">
        <v>1</v>
      </c>
      <c r="F4217" s="2" t="s">
        <v>5003</v>
      </c>
      <c r="G4217" s="1">
        <v>5</v>
      </c>
      <c r="H4217" s="1" t="str">
        <f t="shared" si="68"/>
        <v>k226_5</v>
      </c>
      <c r="K4217" s="1">
        <f>IF(E4217=0,SUMPRODUCT(($A$2:$A$4734=A4217)*($B$2:$B$4734=B4217)*($D$2:$D$4734=D4217)*($E$2:$E$4734=0)),0)</f>
        <v>0</v>
      </c>
      <c r="L4217" s="1" t="str">
        <f>IF(E4217=0,SUMPRODUCT(MIN($K$2:$K$4734+((($A$2:$A$4734&lt;&gt;A4217)+($E$2:$E$4734&lt;&gt;0))&gt;0)*1000000)),"")</f>
        <v/>
      </c>
      <c r="M4217" s="1">
        <f>IF(AND(E4217=0,COUNTIFS($A$2:A4217,A4217,$E$2:E4217,0)=1),L4217,0)</f>
        <v>0</v>
      </c>
    </row>
    <row r="4218" spans="1:13" ht="15" customHeight="1">
      <c r="A4218" s="1">
        <v>226</v>
      </c>
      <c r="B4218" s="1" t="s">
        <v>393</v>
      </c>
      <c r="C4218" s="2" t="s">
        <v>4990</v>
      </c>
      <c r="D4218" s="2" t="s">
        <v>4999</v>
      </c>
      <c r="E4218" s="1">
        <v>1</v>
      </c>
      <c r="F4218" s="2" t="s">
        <v>5004</v>
      </c>
      <c r="G4218" s="1">
        <v>6</v>
      </c>
      <c r="H4218" s="1" t="str">
        <f t="shared" si="68"/>
        <v>k226_6</v>
      </c>
      <c r="K4218" s="1">
        <f>IF(E4218=0,SUMPRODUCT(($A$2:$A$4734=A4218)*($B$2:$B$4734=B4218)*($D$2:$D$4734=D4218)*($E$2:$E$4734=0)),0)</f>
        <v>0</v>
      </c>
      <c r="L4218" s="1" t="str">
        <f>IF(E4218=0,SUMPRODUCT(MIN($K$2:$K$4734+((($A$2:$A$4734&lt;&gt;A4218)+($E$2:$E$4734&lt;&gt;0))&gt;0)*1000000)),"")</f>
        <v/>
      </c>
      <c r="M4218" s="1">
        <f>IF(AND(E4218=0,COUNTIFS($A$2:A4218,A4218,$E$2:E4218,0)=1),L4218,0)</f>
        <v>0</v>
      </c>
    </row>
    <row r="4219" spans="1:13" ht="15" customHeight="1">
      <c r="A4219" s="1">
        <v>227</v>
      </c>
      <c r="B4219" s="1" t="s">
        <v>9</v>
      </c>
      <c r="C4219" s="2" t="s">
        <v>5005</v>
      </c>
      <c r="D4219" s="2" t="s">
        <v>5006</v>
      </c>
      <c r="E4219" s="1">
        <v>0</v>
      </c>
      <c r="F4219" s="2" t="s">
        <v>5007</v>
      </c>
      <c r="H4219" s="1" t="str">
        <f t="shared" si="68"/>
        <v/>
      </c>
      <c r="K4219" s="1">
        <f>IF(E4219=0,SUMPRODUCT(($A$2:$A$4734=A4219)*($B$2:$B$4734=B4219)*($D$2:$D$4734=D4219)*($E$2:$E$4734=0)),0)</f>
        <v>4</v>
      </c>
      <c r="L4219" s="1">
        <f>IF(E4219=0,SUMPRODUCT(MIN($K$2:$K$4734+((($A$2:$A$4734&lt;&gt;A4219)+($E$2:$E$4734&lt;&gt;0))&gt;0)*1000000)),"")</f>
        <v>4</v>
      </c>
      <c r="M4219" s="1">
        <f>IF(AND(E4219=0,COUNTIFS($A$2:A4219,A4219,$E$2:E4219,0)=1),L4219,0)</f>
        <v>4</v>
      </c>
    </row>
    <row r="4220" spans="1:13" ht="15" customHeight="1">
      <c r="A4220" s="1">
        <v>227</v>
      </c>
      <c r="B4220" s="1" t="s">
        <v>9</v>
      </c>
      <c r="C4220" s="2" t="s">
        <v>5008</v>
      </c>
      <c r="D4220" s="2" t="s">
        <v>5006</v>
      </c>
      <c r="E4220" s="1">
        <v>0</v>
      </c>
      <c r="F4220" s="2" t="s">
        <v>5009</v>
      </c>
      <c r="H4220" s="1" t="str">
        <f t="shared" si="68"/>
        <v/>
      </c>
      <c r="K4220" s="1">
        <f>IF(E4220=0,SUMPRODUCT(($A$2:$A$4734=A4220)*($B$2:$B$4734=B4220)*($D$2:$D$4734=D4220)*($E$2:$E$4734=0)),0)</f>
        <v>4</v>
      </c>
      <c r="L4220" s="1">
        <f>IF(E4220=0,SUMPRODUCT(MIN($K$2:$K$4734+((($A$2:$A$4734&lt;&gt;A4220)+($E$2:$E$4734&lt;&gt;0))&gt;0)*1000000)),"")</f>
        <v>4</v>
      </c>
      <c r="M4220" s="1">
        <f>IF(AND(E4220=0,COUNTIFS($A$2:A4220,A4220,$E$2:E4220,0)=1),L4220,0)</f>
        <v>0</v>
      </c>
    </row>
    <row r="4221" spans="1:13" ht="15" customHeight="1">
      <c r="A4221" s="1">
        <v>227</v>
      </c>
      <c r="B4221" s="1" t="s">
        <v>9</v>
      </c>
      <c r="C4221" s="2" t="s">
        <v>5010</v>
      </c>
      <c r="D4221" s="2" t="s">
        <v>5006</v>
      </c>
      <c r="E4221" s="1">
        <v>0</v>
      </c>
      <c r="F4221" s="2" t="s">
        <v>5011</v>
      </c>
      <c r="H4221" s="1" t="str">
        <f t="shared" si="68"/>
        <v/>
      </c>
      <c r="K4221" s="1">
        <f>IF(E4221=0,SUMPRODUCT(($A$2:$A$4734=A4221)*($B$2:$B$4734=B4221)*($D$2:$D$4734=D4221)*($E$2:$E$4734=0)),0)</f>
        <v>4</v>
      </c>
      <c r="L4221" s="1">
        <f>IF(E4221=0,SUMPRODUCT(MIN($K$2:$K$4734+((($A$2:$A$4734&lt;&gt;A4221)+($E$2:$E$4734&lt;&gt;0))&gt;0)*1000000)),"")</f>
        <v>4</v>
      </c>
      <c r="M4221" s="1">
        <f>IF(AND(E4221=0,COUNTIFS($A$2:A4221,A4221,$E$2:E4221,0)=1),L4221,0)</f>
        <v>0</v>
      </c>
    </row>
    <row r="4222" spans="1:13" ht="15" customHeight="1">
      <c r="A4222" s="1">
        <v>227</v>
      </c>
      <c r="B4222" s="1" t="s">
        <v>9</v>
      </c>
      <c r="C4222" s="2" t="s">
        <v>5012</v>
      </c>
      <c r="D4222" s="2" t="s">
        <v>5006</v>
      </c>
      <c r="E4222" s="1">
        <v>0</v>
      </c>
      <c r="F4222" s="2" t="s">
        <v>5013</v>
      </c>
      <c r="H4222" s="1" t="str">
        <f t="shared" si="68"/>
        <v/>
      </c>
      <c r="K4222" s="1">
        <f>IF(E4222=0,SUMPRODUCT(($A$2:$A$4734=A4222)*($B$2:$B$4734=B4222)*($D$2:$D$4734=D4222)*($E$2:$E$4734=0)),0)</f>
        <v>4</v>
      </c>
      <c r="L4222" s="1">
        <f>IF(E4222=0,SUMPRODUCT(MIN($K$2:$K$4734+((($A$2:$A$4734&lt;&gt;A4222)+($E$2:$E$4734&lt;&gt;0))&gt;0)*1000000)),"")</f>
        <v>4</v>
      </c>
      <c r="M4222" s="1">
        <f>IF(AND(E4222=0,COUNTIFS($A$2:A4222,A4222,$E$2:E4222,0)=1),L4222,0)</f>
        <v>0</v>
      </c>
    </row>
    <row r="4223" spans="1:13" ht="15" customHeight="1">
      <c r="A4223" s="1">
        <v>228</v>
      </c>
      <c r="B4223" s="1" t="s">
        <v>16</v>
      </c>
      <c r="C4223" s="2" t="s">
        <v>5014</v>
      </c>
      <c r="D4223" s="2" t="s">
        <v>999</v>
      </c>
      <c r="E4223" s="1">
        <v>1</v>
      </c>
      <c r="F4223" s="2" t="s">
        <v>5015</v>
      </c>
      <c r="G4223" s="1">
        <v>1</v>
      </c>
      <c r="H4223" s="1" t="str">
        <f t="shared" si="68"/>
        <v>k228_1</v>
      </c>
      <c r="K4223" s="1">
        <f>IF(E4223=0,SUMPRODUCT(($A$2:$A$4734=A4223)*($B$2:$B$4734=B4223)*($D$2:$D$4734=D4223)*($E$2:$E$4734=0)),0)</f>
        <v>0</v>
      </c>
      <c r="L4223" s="1" t="str">
        <f>IF(E4223=0,SUMPRODUCT(MIN($K$2:$K$4734+((($A$2:$A$4734&lt;&gt;A4223)+($E$2:$E$4734&lt;&gt;0))&gt;0)*1000000)),"")</f>
        <v/>
      </c>
      <c r="M4223" s="1">
        <f>IF(AND(E4223=0,COUNTIFS($A$2:A4223,A4223,$E$2:E4223,0)=1),L4223,0)</f>
        <v>0</v>
      </c>
    </row>
    <row r="4224" spans="1:13" ht="15" customHeight="1">
      <c r="A4224" s="1">
        <v>228</v>
      </c>
      <c r="B4224" s="1" t="s">
        <v>16</v>
      </c>
      <c r="C4224" s="2" t="s">
        <v>5016</v>
      </c>
      <c r="D4224" s="2" t="s">
        <v>999</v>
      </c>
      <c r="E4224" s="1">
        <v>1</v>
      </c>
      <c r="F4224" s="2" t="s">
        <v>5017</v>
      </c>
      <c r="G4224" s="1">
        <v>2</v>
      </c>
      <c r="H4224" s="1" t="str">
        <f t="shared" si="68"/>
        <v>k228_2</v>
      </c>
      <c r="K4224" s="1">
        <f>IF(E4224=0,SUMPRODUCT(($A$2:$A$4734=A4224)*($B$2:$B$4734=B4224)*($D$2:$D$4734=D4224)*($E$2:$E$4734=0)),0)</f>
        <v>0</v>
      </c>
      <c r="L4224" s="1" t="str">
        <f>IF(E4224=0,SUMPRODUCT(MIN($K$2:$K$4734+((($A$2:$A$4734&lt;&gt;A4224)+($E$2:$E$4734&lt;&gt;0))&gt;0)*1000000)),"")</f>
        <v/>
      </c>
      <c r="M4224" s="1">
        <f>IF(AND(E4224=0,COUNTIFS($A$2:A4224,A4224,$E$2:E4224,0)=1),L4224,0)</f>
        <v>0</v>
      </c>
    </row>
    <row r="4225" spans="1:13" ht="15" customHeight="1">
      <c r="A4225" s="1">
        <v>228</v>
      </c>
      <c r="B4225" s="1" t="s">
        <v>16</v>
      </c>
      <c r="C4225" s="2" t="s">
        <v>5018</v>
      </c>
      <c r="D4225" s="2" t="s">
        <v>999</v>
      </c>
      <c r="E4225" s="1">
        <v>1</v>
      </c>
      <c r="F4225" s="2" t="s">
        <v>4053</v>
      </c>
      <c r="G4225" s="1">
        <v>3</v>
      </c>
      <c r="H4225" s="1" t="str">
        <f t="shared" si="68"/>
        <v>k228_3</v>
      </c>
      <c r="K4225" s="1">
        <f>IF(E4225=0,SUMPRODUCT(($A$2:$A$4734=A4225)*($B$2:$B$4734=B4225)*($D$2:$D$4734=D4225)*($E$2:$E$4734=0)),0)</f>
        <v>0</v>
      </c>
      <c r="L4225" s="1" t="str">
        <f>IF(E4225=0,SUMPRODUCT(MIN($K$2:$K$4734+((($A$2:$A$4734&lt;&gt;A4225)+($E$2:$E$4734&lt;&gt;0))&gt;0)*1000000)),"")</f>
        <v/>
      </c>
      <c r="M4225" s="1">
        <f>IF(AND(E4225=0,COUNTIFS($A$2:A4225,A4225,$E$2:E4225,0)=1),L4225,0)</f>
        <v>0</v>
      </c>
    </row>
    <row r="4226" spans="1:13" ht="15" customHeight="1">
      <c r="A4226" s="1">
        <v>228</v>
      </c>
      <c r="B4226" s="1" t="s">
        <v>16</v>
      </c>
      <c r="C4226" s="2" t="s">
        <v>5019</v>
      </c>
      <c r="D4226" s="2" t="s">
        <v>999</v>
      </c>
      <c r="E4226" s="1">
        <v>1</v>
      </c>
      <c r="F4226" s="2" t="s">
        <v>5020</v>
      </c>
      <c r="G4226" s="1">
        <v>4</v>
      </c>
      <c r="H4226" s="1" t="str">
        <f t="shared" si="68"/>
        <v>k228_4</v>
      </c>
      <c r="K4226" s="1">
        <f>IF(E4226=0,SUMPRODUCT(($A$2:$A$4734=A4226)*($B$2:$B$4734=B4226)*($D$2:$D$4734=D4226)*($E$2:$E$4734=0)),0)</f>
        <v>0</v>
      </c>
      <c r="L4226" s="1" t="str">
        <f>IF(E4226=0,SUMPRODUCT(MIN($K$2:$K$4734+((($A$2:$A$4734&lt;&gt;A4226)+($E$2:$E$4734&lt;&gt;0))&gt;0)*1000000)),"")</f>
        <v/>
      </c>
      <c r="M4226" s="1">
        <f>IF(AND(E4226=0,COUNTIFS($A$2:A4226,A4226,$E$2:E4226,0)=1),L4226,0)</f>
        <v>0</v>
      </c>
    </row>
    <row r="4227" spans="1:13" ht="15" customHeight="1">
      <c r="A4227" s="1">
        <v>228</v>
      </c>
      <c r="B4227" s="1" t="s">
        <v>16</v>
      </c>
      <c r="C4227" s="2" t="s">
        <v>5021</v>
      </c>
      <c r="D4227" s="2" t="s">
        <v>999</v>
      </c>
      <c r="E4227" s="1">
        <v>1</v>
      </c>
      <c r="F4227" s="2" t="s">
        <v>5022</v>
      </c>
      <c r="H4227" s="1" t="str">
        <f t="shared" si="68"/>
        <v/>
      </c>
      <c r="K4227" s="1">
        <f>IF(E4227=0,SUMPRODUCT(($A$2:$A$4734=A4227)*($B$2:$B$4734=B4227)*($D$2:$D$4734=D4227)*($E$2:$E$4734=0)),0)</f>
        <v>0</v>
      </c>
      <c r="L4227" s="1" t="str">
        <f>IF(E4227=0,SUMPRODUCT(MIN($K$2:$K$4734+((($A$2:$A$4734&lt;&gt;A4227)+($E$2:$E$4734&lt;&gt;0))&gt;0)*1000000)),"")</f>
        <v/>
      </c>
      <c r="M4227" s="1">
        <f>IF(AND(E4227=0,COUNTIFS($A$2:A4227,A4227,$E$2:E4227,0)=1),L4227,0)</f>
        <v>0</v>
      </c>
    </row>
    <row r="4228" spans="1:13" ht="15" customHeight="1">
      <c r="A4228" s="1">
        <v>228</v>
      </c>
      <c r="B4228" s="1" t="s">
        <v>9</v>
      </c>
      <c r="C4228" s="2" t="s">
        <v>5023</v>
      </c>
      <c r="D4228" s="2" t="s">
        <v>5024</v>
      </c>
      <c r="E4228" s="1">
        <v>1</v>
      </c>
      <c r="F4228" s="2" t="s">
        <v>5025</v>
      </c>
      <c r="G4228" s="1">
        <v>1</v>
      </c>
      <c r="H4228" s="1" t="str">
        <f t="shared" si="68"/>
        <v>k228_1</v>
      </c>
      <c r="K4228" s="1">
        <f>IF(E4228=0,SUMPRODUCT(($A$2:$A$4734=A4228)*($B$2:$B$4734=B4228)*($D$2:$D$4734=D4228)*($E$2:$E$4734=0)),0)</f>
        <v>0</v>
      </c>
      <c r="L4228" s="1" t="str">
        <f>IF(E4228=0,SUMPRODUCT(MIN($K$2:$K$4734+((($A$2:$A$4734&lt;&gt;A4228)+($E$2:$E$4734&lt;&gt;0))&gt;0)*1000000)),"")</f>
        <v/>
      </c>
      <c r="M4228" s="1">
        <f>IF(AND(E4228=0,COUNTIFS($A$2:A4228,A4228,$E$2:E4228,0)=1),L4228,0)</f>
        <v>0</v>
      </c>
    </row>
    <row r="4229" spans="1:13" ht="15" customHeight="1">
      <c r="A4229" s="1">
        <v>228</v>
      </c>
      <c r="B4229" s="1" t="s">
        <v>9</v>
      </c>
      <c r="C4229" s="2" t="s">
        <v>5026</v>
      </c>
      <c r="D4229" s="2" t="s">
        <v>5024</v>
      </c>
      <c r="E4229" s="1">
        <v>1</v>
      </c>
      <c r="F4229" s="2" t="s">
        <v>5027</v>
      </c>
      <c r="G4229" s="1">
        <v>2</v>
      </c>
      <c r="H4229" s="1" t="str">
        <f t="shared" ref="H4229:H4289" si="69">IF(OR(E4229&lt;&gt;1,G4229=""),"","k"&amp;A4229&amp;"_"&amp;G4229)</f>
        <v>k228_2</v>
      </c>
      <c r="K4229" s="1">
        <f>IF(E4229=0,SUMPRODUCT(($A$2:$A$4734=A4229)*($B$2:$B$4734=B4229)*($D$2:$D$4734=D4229)*($E$2:$E$4734=0)),0)</f>
        <v>0</v>
      </c>
      <c r="L4229" s="1" t="str">
        <f>IF(E4229=0,SUMPRODUCT(MIN($K$2:$K$4734+((($A$2:$A$4734&lt;&gt;A4229)+($E$2:$E$4734&lt;&gt;0))&gt;0)*1000000)),"")</f>
        <v/>
      </c>
      <c r="M4229" s="1">
        <f>IF(AND(E4229=0,COUNTIFS($A$2:A4229,A4229,$E$2:E4229,0)=1),L4229,0)</f>
        <v>0</v>
      </c>
    </row>
    <row r="4230" spans="1:13" ht="15" customHeight="1">
      <c r="A4230" s="1">
        <v>228</v>
      </c>
      <c r="B4230" s="1" t="s">
        <v>9</v>
      </c>
      <c r="C4230" s="2" t="s">
        <v>5028</v>
      </c>
      <c r="D4230" s="2" t="s">
        <v>5024</v>
      </c>
      <c r="E4230" s="1">
        <v>1</v>
      </c>
      <c r="F4230" s="2" t="s">
        <v>5029</v>
      </c>
      <c r="G4230" s="1">
        <v>3</v>
      </c>
      <c r="H4230" s="1" t="str">
        <f t="shared" si="69"/>
        <v>k228_3</v>
      </c>
      <c r="K4230" s="1">
        <f>IF(E4230=0,SUMPRODUCT(($A$2:$A$4734=A4230)*($B$2:$B$4734=B4230)*($D$2:$D$4734=D4230)*($E$2:$E$4734=0)),0)</f>
        <v>0</v>
      </c>
      <c r="L4230" s="1" t="str">
        <f>IF(E4230=0,SUMPRODUCT(MIN($K$2:$K$4734+((($A$2:$A$4734&lt;&gt;A4230)+($E$2:$E$4734&lt;&gt;0))&gt;0)*1000000)),"")</f>
        <v/>
      </c>
      <c r="M4230" s="1">
        <f>IF(AND(E4230=0,COUNTIFS($A$2:A4230,A4230,$E$2:E4230,0)=1),L4230,0)</f>
        <v>0</v>
      </c>
    </row>
    <row r="4231" spans="1:13" ht="15" customHeight="1">
      <c r="A4231" s="1">
        <v>228</v>
      </c>
      <c r="B4231" s="1" t="s">
        <v>9</v>
      </c>
      <c r="C4231" s="2" t="s">
        <v>5030</v>
      </c>
      <c r="D4231" s="2" t="s">
        <v>5024</v>
      </c>
      <c r="E4231" s="1">
        <v>1</v>
      </c>
      <c r="F4231" s="2" t="s">
        <v>5031</v>
      </c>
      <c r="G4231" s="1">
        <v>4</v>
      </c>
      <c r="H4231" s="1" t="str">
        <f t="shared" si="69"/>
        <v>k228_4</v>
      </c>
      <c r="K4231" s="1">
        <f>IF(E4231=0,SUMPRODUCT(($A$2:$A$4734=A4231)*($B$2:$B$4734=B4231)*($D$2:$D$4734=D4231)*($E$2:$E$4734=0)),0)</f>
        <v>0</v>
      </c>
      <c r="L4231" s="1" t="str">
        <f>IF(E4231=0,SUMPRODUCT(MIN($K$2:$K$4734+((($A$2:$A$4734&lt;&gt;A4231)+($E$2:$E$4734&lt;&gt;0))&gt;0)*1000000)),"")</f>
        <v/>
      </c>
      <c r="M4231" s="1">
        <f>IF(AND(E4231=0,COUNTIFS($A$2:A4231,A4231,$E$2:E4231,0)=1),L4231,0)</f>
        <v>0</v>
      </c>
    </row>
    <row r="4232" spans="1:13" ht="15" customHeight="1">
      <c r="A4232" s="1">
        <v>228</v>
      </c>
      <c r="B4232" s="1" t="s">
        <v>69</v>
      </c>
      <c r="C4232" s="2" t="s">
        <v>5032</v>
      </c>
      <c r="D4232" s="2" t="s">
        <v>5033</v>
      </c>
      <c r="E4232" s="1">
        <v>1</v>
      </c>
      <c r="F4232" s="2" t="s">
        <v>5034</v>
      </c>
      <c r="G4232" s="1">
        <v>1</v>
      </c>
      <c r="H4232" s="1" t="str">
        <f t="shared" si="69"/>
        <v>k228_1</v>
      </c>
      <c r="K4232" s="1">
        <f>IF(E4232=0,SUMPRODUCT(($A$2:$A$4734=A4232)*($B$2:$B$4734=B4232)*($D$2:$D$4734=D4232)*($E$2:$E$4734=0)),0)</f>
        <v>0</v>
      </c>
      <c r="L4232" s="1" t="str">
        <f>IF(E4232=0,SUMPRODUCT(MIN($K$2:$K$4734+((($A$2:$A$4734&lt;&gt;A4232)+($E$2:$E$4734&lt;&gt;0))&gt;0)*1000000)),"")</f>
        <v/>
      </c>
      <c r="M4232" s="1">
        <f>IF(AND(E4232=0,COUNTIFS($A$2:A4232,A4232,$E$2:E4232,0)=1),L4232,0)</f>
        <v>0</v>
      </c>
    </row>
    <row r="4233" spans="1:13" ht="15" customHeight="1">
      <c r="A4233" s="1">
        <v>228</v>
      </c>
      <c r="B4233" s="1" t="s">
        <v>69</v>
      </c>
      <c r="C4233" s="2" t="s">
        <v>5035</v>
      </c>
      <c r="D4233" s="2" t="s">
        <v>5033</v>
      </c>
      <c r="E4233" s="1">
        <v>1</v>
      </c>
      <c r="F4233" s="2" t="s">
        <v>5036</v>
      </c>
      <c r="G4233" s="1">
        <v>2</v>
      </c>
      <c r="H4233" s="1" t="str">
        <f t="shared" si="69"/>
        <v>k228_2</v>
      </c>
      <c r="K4233" s="1">
        <f>IF(E4233=0,SUMPRODUCT(($A$2:$A$4734=A4233)*($B$2:$B$4734=B4233)*($D$2:$D$4734=D4233)*($E$2:$E$4734=0)),0)</f>
        <v>0</v>
      </c>
      <c r="L4233" s="1" t="str">
        <f>IF(E4233=0,SUMPRODUCT(MIN($K$2:$K$4734+((($A$2:$A$4734&lt;&gt;A4233)+($E$2:$E$4734&lt;&gt;0))&gt;0)*1000000)),"")</f>
        <v/>
      </c>
      <c r="M4233" s="1">
        <f>IF(AND(E4233=0,COUNTIFS($A$2:A4233,A4233,$E$2:E4233,0)=1),L4233,0)</f>
        <v>0</v>
      </c>
    </row>
    <row r="4234" spans="1:13" ht="15" customHeight="1">
      <c r="A4234" s="1">
        <v>228</v>
      </c>
      <c r="B4234" s="1" t="s">
        <v>69</v>
      </c>
      <c r="C4234" s="2" t="s">
        <v>5037</v>
      </c>
      <c r="D4234" s="2" t="s">
        <v>5033</v>
      </c>
      <c r="E4234" s="1">
        <v>1</v>
      </c>
      <c r="F4234" s="2" t="s">
        <v>5038</v>
      </c>
      <c r="G4234" s="1">
        <v>3</v>
      </c>
      <c r="H4234" s="1" t="str">
        <f t="shared" si="69"/>
        <v>k228_3</v>
      </c>
      <c r="K4234" s="1">
        <f>IF(E4234=0,SUMPRODUCT(($A$2:$A$4734=A4234)*($B$2:$B$4734=B4234)*($D$2:$D$4734=D4234)*($E$2:$E$4734=0)),0)</f>
        <v>0</v>
      </c>
      <c r="L4234" s="1" t="str">
        <f>IF(E4234=0,SUMPRODUCT(MIN($K$2:$K$4734+((($A$2:$A$4734&lt;&gt;A4234)+($E$2:$E$4734&lt;&gt;0))&gt;0)*1000000)),"")</f>
        <v/>
      </c>
      <c r="M4234" s="1">
        <f>IF(AND(E4234=0,COUNTIFS($A$2:A4234,A4234,$E$2:E4234,0)=1),L4234,0)</f>
        <v>0</v>
      </c>
    </row>
    <row r="4235" spans="1:13" ht="15" customHeight="1">
      <c r="A4235" s="1">
        <v>228</v>
      </c>
      <c r="B4235" s="1" t="s">
        <v>69</v>
      </c>
      <c r="C4235" s="2" t="s">
        <v>5039</v>
      </c>
      <c r="D4235" s="2" t="s">
        <v>5033</v>
      </c>
      <c r="E4235" s="1">
        <v>1</v>
      </c>
      <c r="F4235" s="2" t="s">
        <v>5040</v>
      </c>
      <c r="G4235" s="1">
        <v>4</v>
      </c>
      <c r="H4235" s="1" t="str">
        <f t="shared" si="69"/>
        <v>k228_4</v>
      </c>
      <c r="K4235" s="1">
        <f>IF(E4235=0,SUMPRODUCT(($A$2:$A$4734=A4235)*($B$2:$B$4734=B4235)*($D$2:$D$4734=D4235)*($E$2:$E$4734=0)),0)</f>
        <v>0</v>
      </c>
      <c r="L4235" s="1" t="str">
        <f>IF(E4235=0,SUMPRODUCT(MIN($K$2:$K$4734+((($A$2:$A$4734&lt;&gt;A4235)+($E$2:$E$4734&lt;&gt;0))&gt;0)*1000000)),"")</f>
        <v/>
      </c>
      <c r="M4235" s="1">
        <f>IF(AND(E4235=0,COUNTIFS($A$2:A4235,A4235,$E$2:E4235,0)=1),L4235,0)</f>
        <v>0</v>
      </c>
    </row>
    <row r="4236" spans="1:13" ht="15" customHeight="1">
      <c r="A4236" s="1">
        <v>228</v>
      </c>
      <c r="B4236" s="1" t="s">
        <v>9</v>
      </c>
      <c r="C4236" s="2" t="s">
        <v>5041</v>
      </c>
      <c r="D4236" s="2" t="s">
        <v>5042</v>
      </c>
      <c r="E4236" s="1">
        <v>1</v>
      </c>
      <c r="F4236" s="2" t="s">
        <v>5043</v>
      </c>
      <c r="G4236" s="1">
        <v>1</v>
      </c>
      <c r="H4236" s="1" t="str">
        <f t="shared" si="69"/>
        <v>k228_1</v>
      </c>
      <c r="K4236" s="1">
        <f>IF(E4236=0,SUMPRODUCT(($A$2:$A$4734=A4236)*($B$2:$B$4734=B4236)*($D$2:$D$4734=D4236)*($E$2:$E$4734=0)),0)</f>
        <v>0</v>
      </c>
      <c r="L4236" s="1" t="str">
        <f>IF(E4236=0,SUMPRODUCT(MIN($K$2:$K$4734+((($A$2:$A$4734&lt;&gt;A4236)+($E$2:$E$4734&lt;&gt;0))&gt;0)*1000000)),"")</f>
        <v/>
      </c>
      <c r="M4236" s="1">
        <f>IF(AND(E4236=0,COUNTIFS($A$2:A4236,A4236,$E$2:E4236,0)=1),L4236,0)</f>
        <v>0</v>
      </c>
    </row>
    <row r="4237" spans="1:13" ht="15" customHeight="1">
      <c r="A4237" s="1">
        <v>228</v>
      </c>
      <c r="B4237" s="1" t="s">
        <v>9</v>
      </c>
      <c r="C4237" s="2" t="s">
        <v>5044</v>
      </c>
      <c r="D4237" s="2" t="s">
        <v>5042</v>
      </c>
      <c r="E4237" s="1">
        <v>1</v>
      </c>
      <c r="F4237" s="2" t="s">
        <v>5045</v>
      </c>
      <c r="G4237" s="1">
        <v>2</v>
      </c>
      <c r="H4237" s="1" t="str">
        <f t="shared" si="69"/>
        <v>k228_2</v>
      </c>
      <c r="K4237" s="1">
        <f>IF(E4237=0,SUMPRODUCT(($A$2:$A$4734=A4237)*($B$2:$B$4734=B4237)*($D$2:$D$4734=D4237)*($E$2:$E$4734=0)),0)</f>
        <v>0</v>
      </c>
      <c r="L4237" s="1" t="str">
        <f>IF(E4237=0,SUMPRODUCT(MIN($K$2:$K$4734+((($A$2:$A$4734&lt;&gt;A4237)+($E$2:$E$4734&lt;&gt;0))&gt;0)*1000000)),"")</f>
        <v/>
      </c>
      <c r="M4237" s="1">
        <f>IF(AND(E4237=0,COUNTIFS($A$2:A4237,A4237,$E$2:E4237,0)=1),L4237,0)</f>
        <v>0</v>
      </c>
    </row>
    <row r="4238" spans="1:13" ht="15" customHeight="1">
      <c r="A4238" s="1">
        <v>228</v>
      </c>
      <c r="B4238" s="1" t="s">
        <v>9</v>
      </c>
      <c r="C4238" s="2" t="s">
        <v>5046</v>
      </c>
      <c r="D4238" s="2" t="s">
        <v>5042</v>
      </c>
      <c r="E4238" s="1">
        <v>1</v>
      </c>
      <c r="F4238" s="2" t="s">
        <v>5047</v>
      </c>
      <c r="G4238" s="1">
        <v>3</v>
      </c>
      <c r="H4238" s="1" t="str">
        <f t="shared" si="69"/>
        <v>k228_3</v>
      </c>
      <c r="K4238" s="1">
        <f>IF(E4238=0,SUMPRODUCT(($A$2:$A$4734=A4238)*($B$2:$B$4734=B4238)*($D$2:$D$4734=D4238)*($E$2:$E$4734=0)),0)</f>
        <v>0</v>
      </c>
      <c r="L4238" s="1" t="str">
        <f>IF(E4238=0,SUMPRODUCT(MIN($K$2:$K$4734+((($A$2:$A$4734&lt;&gt;A4238)+($E$2:$E$4734&lt;&gt;0))&gt;0)*1000000)),"")</f>
        <v/>
      </c>
      <c r="M4238" s="1">
        <f>IF(AND(E4238=0,COUNTIFS($A$2:A4238,A4238,$E$2:E4238,0)=1),L4238,0)</f>
        <v>0</v>
      </c>
    </row>
    <row r="4239" spans="1:13" ht="15" customHeight="1">
      <c r="A4239" s="1">
        <v>228</v>
      </c>
      <c r="B4239" s="1" t="s">
        <v>9</v>
      </c>
      <c r="C4239" s="2" t="s">
        <v>5048</v>
      </c>
      <c r="D4239" s="2" t="s">
        <v>5042</v>
      </c>
      <c r="E4239" s="1">
        <v>1</v>
      </c>
      <c r="F4239" s="2" t="s">
        <v>5049</v>
      </c>
      <c r="G4239" s="1">
        <v>4</v>
      </c>
      <c r="H4239" s="1" t="str">
        <f t="shared" si="69"/>
        <v>k228_4</v>
      </c>
      <c r="K4239" s="1">
        <f>IF(E4239=0,SUMPRODUCT(($A$2:$A$4734=A4239)*($B$2:$B$4734=B4239)*($D$2:$D$4734=D4239)*($E$2:$E$4734=0)),0)</f>
        <v>0</v>
      </c>
      <c r="L4239" s="1" t="str">
        <f>IF(E4239=0,SUMPRODUCT(MIN($K$2:$K$4734+((($A$2:$A$4734&lt;&gt;A4239)+($E$2:$E$4734&lt;&gt;0))&gt;0)*1000000)),"")</f>
        <v/>
      </c>
      <c r="M4239" s="1">
        <f>IF(AND(E4239=0,COUNTIFS($A$2:A4239,A4239,$E$2:E4239,0)=1),L4239,0)</f>
        <v>0</v>
      </c>
    </row>
    <row r="4240" spans="1:13" ht="15" customHeight="1">
      <c r="A4240" s="1">
        <v>229</v>
      </c>
      <c r="B4240" s="1" t="s">
        <v>9</v>
      </c>
      <c r="C4240" s="2" t="s">
        <v>5050</v>
      </c>
      <c r="D4240" s="2" t="s">
        <v>5051</v>
      </c>
      <c r="E4240" s="1">
        <v>0</v>
      </c>
      <c r="F4240" s="2" t="s">
        <v>5052</v>
      </c>
      <c r="H4240" s="1" t="str">
        <f t="shared" si="69"/>
        <v/>
      </c>
      <c r="K4240" s="1">
        <f>IF(E4240=0,SUMPRODUCT(($A$2:$A$4734=A4240)*($B$2:$B$4734=B4240)*($D$2:$D$4734=D4240)*($E$2:$E$4734=0)),0)</f>
        <v>3</v>
      </c>
      <c r="L4240" s="1">
        <f>IF(E4240=0,SUMPRODUCT(MIN($K$2:$K$4734+((($A$2:$A$4734&lt;&gt;A4240)+($E$2:$E$4734&lt;&gt;0))&gt;0)*1000000)),"")</f>
        <v>3</v>
      </c>
      <c r="M4240" s="1">
        <f>IF(AND(E4240=0,COUNTIFS($A$2:A4240,A4240,$E$2:E4240,0)=1),L4240,0)</f>
        <v>3</v>
      </c>
    </row>
    <row r="4241" spans="1:13" ht="15" customHeight="1">
      <c r="A4241" s="1">
        <v>229</v>
      </c>
      <c r="B4241" s="1" t="s">
        <v>9</v>
      </c>
      <c r="C4241" s="2" t="s">
        <v>5050</v>
      </c>
      <c r="D4241" s="2" t="s">
        <v>5051</v>
      </c>
      <c r="E4241" s="1">
        <v>0</v>
      </c>
      <c r="F4241" s="2" t="s">
        <v>5053</v>
      </c>
      <c r="H4241" s="1" t="str">
        <f t="shared" si="69"/>
        <v/>
      </c>
      <c r="K4241" s="1">
        <f>IF(E4241=0,SUMPRODUCT(($A$2:$A$4734=A4241)*($B$2:$B$4734=B4241)*($D$2:$D$4734=D4241)*($E$2:$E$4734=0)),0)</f>
        <v>3</v>
      </c>
      <c r="L4241" s="1">
        <f>IF(E4241=0,SUMPRODUCT(MIN($K$2:$K$4734+((($A$2:$A$4734&lt;&gt;A4241)+($E$2:$E$4734&lt;&gt;0))&gt;0)*1000000)),"")</f>
        <v>3</v>
      </c>
      <c r="M4241" s="1">
        <f>IF(AND(E4241=0,COUNTIFS($A$2:A4241,A4241,$E$2:E4241,0)=1),L4241,0)</f>
        <v>0</v>
      </c>
    </row>
    <row r="4242" spans="1:13" ht="15" customHeight="1">
      <c r="A4242" s="1">
        <v>229</v>
      </c>
      <c r="B4242" s="1" t="s">
        <v>9</v>
      </c>
      <c r="C4242" s="2" t="s">
        <v>5050</v>
      </c>
      <c r="D4242" s="2" t="s">
        <v>5051</v>
      </c>
      <c r="E4242" s="1">
        <v>0</v>
      </c>
      <c r="F4242" s="2" t="s">
        <v>5054</v>
      </c>
      <c r="H4242" s="1" t="str">
        <f t="shared" si="69"/>
        <v/>
      </c>
      <c r="K4242" s="1">
        <f>IF(E4242=0,SUMPRODUCT(($A$2:$A$4734=A4242)*($B$2:$B$4734=B4242)*($D$2:$D$4734=D4242)*($E$2:$E$4734=0)),0)</f>
        <v>3</v>
      </c>
      <c r="L4242" s="1">
        <f>IF(E4242=0,SUMPRODUCT(MIN($K$2:$K$4734+((($A$2:$A$4734&lt;&gt;A4242)+($E$2:$E$4734&lt;&gt;0))&gt;0)*1000000)),"")</f>
        <v>3</v>
      </c>
      <c r="M4242" s="1">
        <f>IF(AND(E4242=0,COUNTIFS($A$2:A4242,A4242,$E$2:E4242,0)=1),L4242,0)</f>
        <v>0</v>
      </c>
    </row>
    <row r="4243" spans="1:13" ht="15" customHeight="1">
      <c r="A4243" s="1">
        <v>230</v>
      </c>
      <c r="B4243" s="1" t="s">
        <v>9</v>
      </c>
      <c r="C4243" s="2" t="s">
        <v>5055</v>
      </c>
      <c r="D4243" s="2" t="s">
        <v>5056</v>
      </c>
      <c r="E4243" s="1">
        <v>0</v>
      </c>
      <c r="F4243" s="2" t="s">
        <v>5057</v>
      </c>
      <c r="H4243" s="1" t="str">
        <f t="shared" si="69"/>
        <v/>
      </c>
      <c r="K4243" s="1">
        <f>IF(E4243=0,SUMPRODUCT(($A$2:$A$4734=A4243)*($B$2:$B$4734=B4243)*($D$2:$D$4734=D4243)*($E$2:$E$4734=0)),0)</f>
        <v>4</v>
      </c>
      <c r="L4243" s="1">
        <f>IF(E4243=0,SUMPRODUCT(MIN($K$2:$K$4734+((($A$2:$A$4734&lt;&gt;A4243)+($E$2:$E$4734&lt;&gt;0))&gt;0)*1000000)),"")</f>
        <v>4</v>
      </c>
      <c r="M4243" s="1">
        <f>IF(AND(E4243=0,COUNTIFS($A$2:A4243,A4243,$E$2:E4243,0)=1),L4243,0)</f>
        <v>4</v>
      </c>
    </row>
    <row r="4244" spans="1:13" ht="15" customHeight="1">
      <c r="A4244" s="1">
        <v>230</v>
      </c>
      <c r="B4244" s="1" t="s">
        <v>9</v>
      </c>
      <c r="C4244" s="2" t="s">
        <v>5055</v>
      </c>
      <c r="D4244" s="2" t="s">
        <v>5056</v>
      </c>
      <c r="E4244" s="1">
        <v>0</v>
      </c>
      <c r="F4244" s="2" t="s">
        <v>5058</v>
      </c>
      <c r="H4244" s="1" t="str">
        <f t="shared" si="69"/>
        <v/>
      </c>
      <c r="K4244" s="1">
        <f>IF(E4244=0,SUMPRODUCT(($A$2:$A$4734=A4244)*($B$2:$B$4734=B4244)*($D$2:$D$4734=D4244)*($E$2:$E$4734=0)),0)</f>
        <v>4</v>
      </c>
      <c r="L4244" s="1">
        <f>IF(E4244=0,SUMPRODUCT(MIN($K$2:$K$4734+((($A$2:$A$4734&lt;&gt;A4244)+($E$2:$E$4734&lt;&gt;0))&gt;0)*1000000)),"")</f>
        <v>4</v>
      </c>
      <c r="M4244" s="1">
        <f>IF(AND(E4244=0,COUNTIFS($A$2:A4244,A4244,$E$2:E4244,0)=1),L4244,0)</f>
        <v>0</v>
      </c>
    </row>
    <row r="4245" spans="1:13" ht="15" customHeight="1">
      <c r="A4245" s="1">
        <v>230</v>
      </c>
      <c r="B4245" s="1" t="s">
        <v>9</v>
      </c>
      <c r="C4245" s="2" t="s">
        <v>5055</v>
      </c>
      <c r="D4245" s="2" t="s">
        <v>5056</v>
      </c>
      <c r="E4245" s="1">
        <v>0</v>
      </c>
      <c r="F4245" s="2" t="s">
        <v>5059</v>
      </c>
      <c r="H4245" s="1" t="str">
        <f t="shared" si="69"/>
        <v/>
      </c>
      <c r="K4245" s="1">
        <f>IF(E4245=0,SUMPRODUCT(($A$2:$A$4734=A4245)*($B$2:$B$4734=B4245)*($D$2:$D$4734=D4245)*($E$2:$E$4734=0)),0)</f>
        <v>4</v>
      </c>
      <c r="L4245" s="1">
        <f>IF(E4245=0,SUMPRODUCT(MIN($K$2:$K$4734+((($A$2:$A$4734&lt;&gt;A4245)+($E$2:$E$4734&lt;&gt;0))&gt;0)*1000000)),"")</f>
        <v>4</v>
      </c>
      <c r="M4245" s="1">
        <f>IF(AND(E4245=0,COUNTIFS($A$2:A4245,A4245,$E$2:E4245,0)=1),L4245,0)</f>
        <v>0</v>
      </c>
    </row>
    <row r="4246" spans="1:13" ht="15" customHeight="1">
      <c r="A4246" s="1">
        <v>230</v>
      </c>
      <c r="B4246" s="1" t="s">
        <v>9</v>
      </c>
      <c r="C4246" s="2" t="s">
        <v>5055</v>
      </c>
      <c r="D4246" s="2" t="s">
        <v>5056</v>
      </c>
      <c r="E4246" s="1">
        <v>0</v>
      </c>
      <c r="F4246" s="2" t="s">
        <v>5060</v>
      </c>
      <c r="H4246" s="1" t="str">
        <f t="shared" si="69"/>
        <v/>
      </c>
      <c r="K4246" s="1">
        <f>IF(E4246=0,SUMPRODUCT(($A$2:$A$4734=A4246)*($B$2:$B$4734=B4246)*($D$2:$D$4734=D4246)*($E$2:$E$4734=0)),0)</f>
        <v>4</v>
      </c>
      <c r="L4246" s="1">
        <f>IF(E4246=0,SUMPRODUCT(MIN($K$2:$K$4734+((($A$2:$A$4734&lt;&gt;A4246)+($E$2:$E$4734&lt;&gt;0))&gt;0)*1000000)),"")</f>
        <v>4</v>
      </c>
      <c r="M4246" s="1">
        <f>IF(AND(E4246=0,COUNTIFS($A$2:A4246,A4246,$E$2:E4246,0)=1),L4246,0)</f>
        <v>0</v>
      </c>
    </row>
    <row r="4247" spans="1:13" ht="15" customHeight="1">
      <c r="A4247" s="1">
        <v>231</v>
      </c>
      <c r="B4247" s="1" t="s">
        <v>16</v>
      </c>
      <c r="C4247" s="2" t="s">
        <v>5061</v>
      </c>
      <c r="D4247" s="2" t="s">
        <v>993</v>
      </c>
      <c r="E4247" s="1">
        <v>0</v>
      </c>
      <c r="F4247" s="2" t="s">
        <v>1306</v>
      </c>
      <c r="H4247" s="1" t="str">
        <f t="shared" si="69"/>
        <v/>
      </c>
      <c r="K4247" s="1">
        <f>IF(E4247=0,SUMPRODUCT(($A$2:$A$4734=A4247)*($B$2:$B$4734=B4247)*($D$2:$D$4734=D4247)*($E$2:$E$4734=0)),0)</f>
        <v>4</v>
      </c>
      <c r="L4247" s="1">
        <f>IF(E4247=0,SUMPRODUCT(MIN($K$2:$K$4734+((($A$2:$A$4734&lt;&gt;A4247)+($E$2:$E$4734&lt;&gt;0))&gt;0)*1000000)),"")</f>
        <v>3</v>
      </c>
      <c r="M4247" s="1">
        <f>IF(AND(E4247=0,COUNTIFS($A$2:A4247,A4247,$E$2:E4247,0)=1),L4247,0)</f>
        <v>3</v>
      </c>
    </row>
    <row r="4248" spans="1:13" ht="15" customHeight="1">
      <c r="A4248" s="1">
        <v>231</v>
      </c>
      <c r="B4248" s="1" t="s">
        <v>16</v>
      </c>
      <c r="C4248" s="2" t="s">
        <v>5061</v>
      </c>
      <c r="D4248" s="2" t="s">
        <v>993</v>
      </c>
      <c r="E4248" s="1">
        <v>0</v>
      </c>
      <c r="F4248" s="2" t="s">
        <v>2432</v>
      </c>
      <c r="H4248" s="1" t="str">
        <f t="shared" si="69"/>
        <v/>
      </c>
      <c r="K4248" s="1">
        <f>IF(E4248=0,SUMPRODUCT(($A$2:$A$4734=A4248)*($B$2:$B$4734=B4248)*($D$2:$D$4734=D4248)*($E$2:$E$4734=0)),0)</f>
        <v>4</v>
      </c>
      <c r="L4248" s="1">
        <f>IF(E4248=0,SUMPRODUCT(MIN($K$2:$K$4734+((($A$2:$A$4734&lt;&gt;A4248)+($E$2:$E$4734&lt;&gt;0))&gt;0)*1000000)),"")</f>
        <v>3</v>
      </c>
      <c r="M4248" s="1">
        <f>IF(AND(E4248=0,COUNTIFS($A$2:A4248,A4248,$E$2:E4248,0)=1),L4248,0)</f>
        <v>0</v>
      </c>
    </row>
    <row r="4249" spans="1:13" ht="15" customHeight="1">
      <c r="A4249" s="1">
        <v>231</v>
      </c>
      <c r="B4249" s="1" t="s">
        <v>16</v>
      </c>
      <c r="C4249" s="2" t="s">
        <v>5061</v>
      </c>
      <c r="D4249" s="2" t="s">
        <v>993</v>
      </c>
      <c r="E4249" s="1">
        <v>0</v>
      </c>
      <c r="F4249" s="2" t="s">
        <v>996</v>
      </c>
      <c r="H4249" s="1" t="str">
        <f t="shared" si="69"/>
        <v/>
      </c>
      <c r="K4249" s="1">
        <f>IF(E4249=0,SUMPRODUCT(($A$2:$A$4734=A4249)*($B$2:$B$4734=B4249)*($D$2:$D$4734=D4249)*($E$2:$E$4734=0)),0)</f>
        <v>4</v>
      </c>
      <c r="L4249" s="1">
        <f>IF(E4249=0,SUMPRODUCT(MIN($K$2:$K$4734+((($A$2:$A$4734&lt;&gt;A4249)+($E$2:$E$4734&lt;&gt;0))&gt;0)*1000000)),"")</f>
        <v>3</v>
      </c>
      <c r="M4249" s="1">
        <f>IF(AND(E4249=0,COUNTIFS($A$2:A4249,A4249,$E$2:E4249,0)=1),L4249,0)</f>
        <v>0</v>
      </c>
    </row>
    <row r="4250" spans="1:13" ht="15" customHeight="1">
      <c r="A4250" s="1">
        <v>231</v>
      </c>
      <c r="B4250" s="1" t="s">
        <v>16</v>
      </c>
      <c r="C4250" s="2" t="s">
        <v>5061</v>
      </c>
      <c r="D4250" s="2" t="s">
        <v>993</v>
      </c>
      <c r="E4250" s="1">
        <v>0</v>
      </c>
      <c r="F4250" s="2" t="s">
        <v>997</v>
      </c>
      <c r="H4250" s="1" t="str">
        <f t="shared" si="69"/>
        <v/>
      </c>
      <c r="K4250" s="1">
        <f>IF(E4250=0,SUMPRODUCT(($A$2:$A$4734=A4250)*($B$2:$B$4734=B4250)*($D$2:$D$4734=D4250)*($E$2:$E$4734=0)),0)</f>
        <v>4</v>
      </c>
      <c r="L4250" s="1">
        <f>IF(E4250=0,SUMPRODUCT(MIN($K$2:$K$4734+((($A$2:$A$4734&lt;&gt;A4250)+($E$2:$E$4734&lt;&gt;0))&gt;0)*1000000)),"")</f>
        <v>3</v>
      </c>
      <c r="M4250" s="1">
        <f>IF(AND(E4250=0,COUNTIFS($A$2:A4250,A4250,$E$2:E4250,0)=1),L4250,0)</f>
        <v>0</v>
      </c>
    </row>
    <row r="4251" spans="1:13" ht="15" customHeight="1">
      <c r="A4251" s="1">
        <v>231</v>
      </c>
      <c r="B4251" s="1" t="s">
        <v>9</v>
      </c>
      <c r="C4251" s="2" t="s">
        <v>5061</v>
      </c>
      <c r="D4251" s="2" t="s">
        <v>2289</v>
      </c>
      <c r="E4251" s="1">
        <v>0</v>
      </c>
      <c r="F4251" s="2" t="s">
        <v>4282</v>
      </c>
      <c r="H4251" s="1" t="str">
        <f t="shared" si="69"/>
        <v/>
      </c>
      <c r="K4251" s="1">
        <f>IF(E4251=0,SUMPRODUCT(($A$2:$A$4734=A4251)*($B$2:$B$4734=B4251)*($D$2:$D$4734=D4251)*($E$2:$E$4734=0)),0)</f>
        <v>3</v>
      </c>
      <c r="L4251" s="1">
        <f>IF(E4251=0,SUMPRODUCT(MIN($K$2:$K$4734+((($A$2:$A$4734&lt;&gt;A4251)+($E$2:$E$4734&lt;&gt;0))&gt;0)*1000000)),"")</f>
        <v>3</v>
      </c>
      <c r="M4251" s="1">
        <f>IF(AND(E4251=0,COUNTIFS($A$2:A4251,A4251,$E$2:E4251,0)=1),L4251,0)</f>
        <v>0</v>
      </c>
    </row>
    <row r="4252" spans="1:13" ht="15" customHeight="1">
      <c r="A4252" s="1">
        <v>231</v>
      </c>
      <c r="B4252" s="1" t="s">
        <v>9</v>
      </c>
      <c r="C4252" s="2" t="s">
        <v>5061</v>
      </c>
      <c r="D4252" s="2" t="s">
        <v>2289</v>
      </c>
      <c r="E4252" s="1">
        <v>0</v>
      </c>
      <c r="F4252" s="2" t="s">
        <v>339</v>
      </c>
      <c r="H4252" s="1" t="str">
        <f t="shared" si="69"/>
        <v/>
      </c>
      <c r="K4252" s="1">
        <f>IF(E4252=0,SUMPRODUCT(($A$2:$A$4734=A4252)*($B$2:$B$4734=B4252)*($D$2:$D$4734=D4252)*($E$2:$E$4734=0)),0)</f>
        <v>3</v>
      </c>
      <c r="L4252" s="1">
        <f>IF(E4252=0,SUMPRODUCT(MIN($K$2:$K$4734+((($A$2:$A$4734&lt;&gt;A4252)+($E$2:$E$4734&lt;&gt;0))&gt;0)*1000000)),"")</f>
        <v>3</v>
      </c>
      <c r="M4252" s="1">
        <f>IF(AND(E4252=0,COUNTIFS($A$2:A4252,A4252,$E$2:E4252,0)=1),L4252,0)</f>
        <v>0</v>
      </c>
    </row>
    <row r="4253" spans="1:13" ht="15" customHeight="1">
      <c r="A4253" s="1">
        <v>231</v>
      </c>
      <c r="B4253" s="1" t="s">
        <v>9</v>
      </c>
      <c r="C4253" s="2" t="s">
        <v>5061</v>
      </c>
      <c r="D4253" s="2" t="s">
        <v>2289</v>
      </c>
      <c r="E4253" s="1">
        <v>0</v>
      </c>
      <c r="F4253" s="2" t="s">
        <v>5062</v>
      </c>
      <c r="H4253" s="1" t="str">
        <f t="shared" si="69"/>
        <v/>
      </c>
      <c r="K4253" s="1">
        <f>IF(E4253=0,SUMPRODUCT(($A$2:$A$4734=A4253)*($B$2:$B$4734=B4253)*($D$2:$D$4734=D4253)*($E$2:$E$4734=0)),0)</f>
        <v>3</v>
      </c>
      <c r="L4253" s="1">
        <f>IF(E4253=0,SUMPRODUCT(MIN($K$2:$K$4734+((($A$2:$A$4734&lt;&gt;A4253)+($E$2:$E$4734&lt;&gt;0))&gt;0)*1000000)),"")</f>
        <v>3</v>
      </c>
      <c r="M4253" s="1">
        <f>IF(AND(E4253=0,COUNTIFS($A$2:A4253,A4253,$E$2:E4253,0)=1),L4253,0)</f>
        <v>0</v>
      </c>
    </row>
    <row r="4254" spans="1:13" ht="15" customHeight="1">
      <c r="A4254" s="1">
        <v>231</v>
      </c>
      <c r="B4254" s="1" t="s">
        <v>9</v>
      </c>
      <c r="C4254" s="2" t="s">
        <v>5061</v>
      </c>
      <c r="D4254" s="2" t="s">
        <v>5063</v>
      </c>
      <c r="E4254" s="1">
        <v>0</v>
      </c>
      <c r="F4254" s="2" t="s">
        <v>5064</v>
      </c>
      <c r="H4254" s="1" t="str">
        <f t="shared" si="69"/>
        <v/>
      </c>
      <c r="K4254" s="1">
        <f>IF(E4254=0,SUMPRODUCT(($A$2:$A$4734=A4254)*($B$2:$B$4734=B4254)*($D$2:$D$4734=D4254)*($E$2:$E$4734=0)),0)</f>
        <v>6</v>
      </c>
      <c r="L4254" s="1">
        <f>IF(E4254=0,SUMPRODUCT(MIN($K$2:$K$4734+((($A$2:$A$4734&lt;&gt;A4254)+($E$2:$E$4734&lt;&gt;0))&gt;0)*1000000)),"")</f>
        <v>3</v>
      </c>
      <c r="M4254" s="1">
        <f>IF(AND(E4254=0,COUNTIFS($A$2:A4254,A4254,$E$2:E4254,0)=1),L4254,0)</f>
        <v>0</v>
      </c>
    </row>
    <row r="4255" spans="1:13" ht="15" customHeight="1">
      <c r="A4255" s="1">
        <v>231</v>
      </c>
      <c r="B4255" s="1" t="s">
        <v>9</v>
      </c>
      <c r="C4255" s="2" t="s">
        <v>5061</v>
      </c>
      <c r="D4255" s="2" t="s">
        <v>5063</v>
      </c>
      <c r="E4255" s="1">
        <v>0</v>
      </c>
      <c r="F4255" s="2" t="s">
        <v>5065</v>
      </c>
      <c r="H4255" s="1" t="str">
        <f t="shared" si="69"/>
        <v/>
      </c>
      <c r="K4255" s="1">
        <f>IF(E4255=0,SUMPRODUCT(($A$2:$A$4734=A4255)*($B$2:$B$4734=B4255)*($D$2:$D$4734=D4255)*($E$2:$E$4734=0)),0)</f>
        <v>6</v>
      </c>
      <c r="L4255" s="1">
        <f>IF(E4255=0,SUMPRODUCT(MIN($K$2:$K$4734+((($A$2:$A$4734&lt;&gt;A4255)+($E$2:$E$4734&lt;&gt;0))&gt;0)*1000000)),"")</f>
        <v>3</v>
      </c>
      <c r="M4255" s="1">
        <f>IF(AND(E4255=0,COUNTIFS($A$2:A4255,A4255,$E$2:E4255,0)=1),L4255,0)</f>
        <v>0</v>
      </c>
    </row>
    <row r="4256" spans="1:13" ht="15" customHeight="1">
      <c r="A4256" s="1">
        <v>231</v>
      </c>
      <c r="B4256" s="1" t="s">
        <v>9</v>
      </c>
      <c r="C4256" s="2" t="s">
        <v>5061</v>
      </c>
      <c r="D4256" s="2" t="s">
        <v>5063</v>
      </c>
      <c r="E4256" s="1">
        <v>0</v>
      </c>
      <c r="F4256" s="2" t="s">
        <v>5066</v>
      </c>
      <c r="H4256" s="1" t="str">
        <f t="shared" si="69"/>
        <v/>
      </c>
      <c r="K4256" s="1">
        <f>IF(E4256=0,SUMPRODUCT(($A$2:$A$4734=A4256)*($B$2:$B$4734=B4256)*($D$2:$D$4734=D4256)*($E$2:$E$4734=0)),0)</f>
        <v>6</v>
      </c>
      <c r="L4256" s="1">
        <f>IF(E4256=0,SUMPRODUCT(MIN($K$2:$K$4734+((($A$2:$A$4734&lt;&gt;A4256)+($E$2:$E$4734&lt;&gt;0))&gt;0)*1000000)),"")</f>
        <v>3</v>
      </c>
      <c r="M4256" s="1">
        <f>IF(AND(E4256=0,COUNTIFS($A$2:A4256,A4256,$E$2:E4256,0)=1),L4256,0)</f>
        <v>0</v>
      </c>
    </row>
    <row r="4257" spans="1:13" ht="15" customHeight="1">
      <c r="A4257" s="1">
        <v>231</v>
      </c>
      <c r="B4257" s="1" t="s">
        <v>9</v>
      </c>
      <c r="C4257" s="2" t="s">
        <v>5061</v>
      </c>
      <c r="D4257" s="2" t="s">
        <v>5063</v>
      </c>
      <c r="E4257" s="1">
        <v>0</v>
      </c>
      <c r="F4257" s="2" t="s">
        <v>5067</v>
      </c>
      <c r="H4257" s="1" t="str">
        <f t="shared" si="69"/>
        <v/>
      </c>
      <c r="K4257" s="1">
        <f>IF(E4257=0,SUMPRODUCT(($A$2:$A$4734=A4257)*($B$2:$B$4734=B4257)*($D$2:$D$4734=D4257)*($E$2:$E$4734=0)),0)</f>
        <v>6</v>
      </c>
      <c r="L4257" s="1">
        <f>IF(E4257=0,SUMPRODUCT(MIN($K$2:$K$4734+((($A$2:$A$4734&lt;&gt;A4257)+($E$2:$E$4734&lt;&gt;0))&gt;0)*1000000)),"")</f>
        <v>3</v>
      </c>
      <c r="M4257" s="1">
        <f>IF(AND(E4257=0,COUNTIFS($A$2:A4257,A4257,$E$2:E4257,0)=1),L4257,0)</f>
        <v>0</v>
      </c>
    </row>
    <row r="4258" spans="1:13" ht="15" customHeight="1">
      <c r="A4258" s="1">
        <v>231</v>
      </c>
      <c r="B4258" s="1" t="s">
        <v>9</v>
      </c>
      <c r="C4258" s="2" t="s">
        <v>5061</v>
      </c>
      <c r="D4258" s="2" t="s">
        <v>5063</v>
      </c>
      <c r="E4258" s="1">
        <v>0</v>
      </c>
      <c r="F4258" s="2" t="s">
        <v>5068</v>
      </c>
      <c r="H4258" s="1" t="str">
        <f t="shared" si="69"/>
        <v/>
      </c>
      <c r="K4258" s="1">
        <f>IF(E4258=0,SUMPRODUCT(($A$2:$A$4734=A4258)*($B$2:$B$4734=B4258)*($D$2:$D$4734=D4258)*($E$2:$E$4734=0)),0)</f>
        <v>6</v>
      </c>
      <c r="L4258" s="1">
        <f>IF(E4258=0,SUMPRODUCT(MIN($K$2:$K$4734+((($A$2:$A$4734&lt;&gt;A4258)+($E$2:$E$4734&lt;&gt;0))&gt;0)*1000000)),"")</f>
        <v>3</v>
      </c>
      <c r="M4258" s="1">
        <f>IF(AND(E4258=0,COUNTIFS($A$2:A4258,A4258,$E$2:E4258,0)=1),L4258,0)</f>
        <v>0</v>
      </c>
    </row>
    <row r="4259" spans="1:13" ht="15" customHeight="1">
      <c r="A4259" s="1">
        <v>231</v>
      </c>
      <c r="B4259" s="1" t="s">
        <v>9</v>
      </c>
      <c r="C4259" s="2" t="s">
        <v>5061</v>
      </c>
      <c r="D4259" s="2" t="s">
        <v>5063</v>
      </c>
      <c r="E4259" s="1">
        <v>0</v>
      </c>
      <c r="F4259" s="2" t="s">
        <v>5069</v>
      </c>
      <c r="H4259" s="1" t="str">
        <f t="shared" si="69"/>
        <v/>
      </c>
      <c r="K4259" s="1">
        <f>IF(E4259=0,SUMPRODUCT(($A$2:$A$4734=A4259)*($B$2:$B$4734=B4259)*($D$2:$D$4734=D4259)*($E$2:$E$4734=0)),0)</f>
        <v>6</v>
      </c>
      <c r="L4259" s="1">
        <f>IF(E4259=0,SUMPRODUCT(MIN($K$2:$K$4734+((($A$2:$A$4734&lt;&gt;A4259)+($E$2:$E$4734&lt;&gt;0))&gt;0)*1000000)),"")</f>
        <v>3</v>
      </c>
      <c r="M4259" s="1">
        <f>IF(AND(E4259=0,COUNTIFS($A$2:A4259,A4259,$E$2:E4259,0)=1),L4259,0)</f>
        <v>0</v>
      </c>
    </row>
    <row r="4260" spans="1:13" ht="15" customHeight="1">
      <c r="A4260" s="1">
        <v>232</v>
      </c>
      <c r="B4260" s="1" t="s">
        <v>9</v>
      </c>
      <c r="C4260" s="2" t="s">
        <v>5070</v>
      </c>
      <c r="D4260" s="2" t="s">
        <v>5071</v>
      </c>
      <c r="E4260" s="1">
        <v>0</v>
      </c>
      <c r="F4260" s="2" t="s">
        <v>5072</v>
      </c>
      <c r="H4260" s="1" t="str">
        <f t="shared" si="69"/>
        <v/>
      </c>
      <c r="K4260" s="1">
        <f>IF(E4260=0,SUMPRODUCT(($A$2:$A$4734=A4260)*($B$2:$B$4734=B4260)*($D$2:$D$4734=D4260)*($E$2:$E$4734=0)),0)</f>
        <v>3</v>
      </c>
      <c r="L4260" s="1">
        <f>IF(E4260=0,SUMPRODUCT(MIN($K$2:$K$4734+((($A$2:$A$4734&lt;&gt;A4260)+($E$2:$E$4734&lt;&gt;0))&gt;0)*1000000)),"")</f>
        <v>3</v>
      </c>
      <c r="M4260" s="1">
        <f>IF(AND(E4260=0,COUNTIFS($A$2:A4260,A4260,$E$2:E4260,0)=1),L4260,0)</f>
        <v>3</v>
      </c>
    </row>
    <row r="4261" spans="1:13" ht="15" customHeight="1">
      <c r="A4261" s="1">
        <v>232</v>
      </c>
      <c r="B4261" s="1" t="s">
        <v>9</v>
      </c>
      <c r="C4261" s="2" t="s">
        <v>5070</v>
      </c>
      <c r="D4261" s="2" t="s">
        <v>5071</v>
      </c>
      <c r="E4261" s="1">
        <v>0</v>
      </c>
      <c r="F4261" s="2" t="s">
        <v>5073</v>
      </c>
      <c r="H4261" s="1" t="str">
        <f t="shared" si="69"/>
        <v/>
      </c>
      <c r="K4261" s="1">
        <f>IF(E4261=0,SUMPRODUCT(($A$2:$A$4734=A4261)*($B$2:$B$4734=B4261)*($D$2:$D$4734=D4261)*($E$2:$E$4734=0)),0)</f>
        <v>3</v>
      </c>
      <c r="L4261" s="1">
        <f>IF(E4261=0,SUMPRODUCT(MIN($K$2:$K$4734+((($A$2:$A$4734&lt;&gt;A4261)+($E$2:$E$4734&lt;&gt;0))&gt;0)*1000000)),"")</f>
        <v>3</v>
      </c>
      <c r="M4261" s="1">
        <f>IF(AND(E4261=0,COUNTIFS($A$2:A4261,A4261,$E$2:E4261,0)=1),L4261,0)</f>
        <v>0</v>
      </c>
    </row>
    <row r="4262" spans="1:13" ht="15" customHeight="1">
      <c r="A4262" s="1">
        <v>232</v>
      </c>
      <c r="B4262" s="1" t="s">
        <v>9</v>
      </c>
      <c r="C4262" s="2" t="s">
        <v>5070</v>
      </c>
      <c r="D4262" s="2" t="s">
        <v>5071</v>
      </c>
      <c r="E4262" s="1">
        <v>0</v>
      </c>
      <c r="F4262" s="2" t="s">
        <v>5074</v>
      </c>
      <c r="H4262" s="1" t="str">
        <f t="shared" si="69"/>
        <v/>
      </c>
      <c r="K4262" s="1">
        <f>IF(E4262=0,SUMPRODUCT(($A$2:$A$4734=A4262)*($B$2:$B$4734=B4262)*($D$2:$D$4734=D4262)*($E$2:$E$4734=0)),0)</f>
        <v>3</v>
      </c>
      <c r="L4262" s="1">
        <f>IF(E4262=0,SUMPRODUCT(MIN($K$2:$K$4734+((($A$2:$A$4734&lt;&gt;A4262)+($E$2:$E$4734&lt;&gt;0))&gt;0)*1000000)),"")</f>
        <v>3</v>
      </c>
      <c r="M4262" s="1">
        <f>IF(AND(E4262=0,COUNTIFS($A$2:A4262,A4262,$E$2:E4262,0)=1),L4262,0)</f>
        <v>0</v>
      </c>
    </row>
    <row r="4263" spans="1:13" ht="15" customHeight="1">
      <c r="A4263" s="1">
        <v>233</v>
      </c>
      <c r="B4263" s="1" t="s">
        <v>9</v>
      </c>
      <c r="C4263" s="2" t="s">
        <v>5075</v>
      </c>
      <c r="D4263" s="2" t="s">
        <v>5076</v>
      </c>
      <c r="E4263" s="1">
        <v>0</v>
      </c>
      <c r="F4263" s="2" t="s">
        <v>843</v>
      </c>
      <c r="H4263" s="1" t="str">
        <f t="shared" si="69"/>
        <v/>
      </c>
      <c r="K4263" s="1">
        <f>IF(E4263=0,SUMPRODUCT(($A$2:$A$4734=A4263)*($B$2:$B$4734=B4263)*($D$2:$D$4734=D4263)*($E$2:$E$4734=0)),0)</f>
        <v>4</v>
      </c>
      <c r="L4263" s="1">
        <f>IF(E4263=0,SUMPRODUCT(MIN($K$2:$K$4734+((($A$2:$A$4734&lt;&gt;A4263)+($E$2:$E$4734&lt;&gt;0))&gt;0)*1000000)),"")</f>
        <v>4</v>
      </c>
      <c r="M4263" s="1">
        <f>IF(AND(E4263=0,COUNTIFS($A$2:A4263,A4263,$E$2:E4263,0)=1),L4263,0)</f>
        <v>4</v>
      </c>
    </row>
    <row r="4264" spans="1:13" ht="15" customHeight="1">
      <c r="A4264" s="1">
        <v>233</v>
      </c>
      <c r="B4264" s="1" t="s">
        <v>9</v>
      </c>
      <c r="C4264" s="2" t="s">
        <v>5075</v>
      </c>
      <c r="D4264" s="2" t="s">
        <v>5076</v>
      </c>
      <c r="E4264" s="1">
        <v>0</v>
      </c>
      <c r="F4264" s="2" t="s">
        <v>5077</v>
      </c>
      <c r="H4264" s="1" t="str">
        <f t="shared" si="69"/>
        <v/>
      </c>
      <c r="K4264" s="1">
        <f>IF(E4264=0,SUMPRODUCT(($A$2:$A$4734=A4264)*($B$2:$B$4734=B4264)*($D$2:$D$4734=D4264)*($E$2:$E$4734=0)),0)</f>
        <v>4</v>
      </c>
      <c r="L4264" s="1">
        <f>IF(E4264=0,SUMPRODUCT(MIN($K$2:$K$4734+((($A$2:$A$4734&lt;&gt;A4264)+($E$2:$E$4734&lt;&gt;0))&gt;0)*1000000)),"")</f>
        <v>4</v>
      </c>
      <c r="M4264" s="1">
        <f>IF(AND(E4264=0,COUNTIFS($A$2:A4264,A4264,$E$2:E4264,0)=1),L4264,0)</f>
        <v>0</v>
      </c>
    </row>
    <row r="4265" spans="1:13" ht="15" customHeight="1">
      <c r="A4265" s="1">
        <v>233</v>
      </c>
      <c r="B4265" s="1" t="s">
        <v>9</v>
      </c>
      <c r="C4265" s="2" t="s">
        <v>5075</v>
      </c>
      <c r="D4265" s="2" t="s">
        <v>5076</v>
      </c>
      <c r="E4265" s="1">
        <v>0</v>
      </c>
      <c r="F4265" s="2" t="s">
        <v>5078</v>
      </c>
      <c r="H4265" s="1" t="str">
        <f t="shared" si="69"/>
        <v/>
      </c>
      <c r="K4265" s="1">
        <f>IF(E4265=0,SUMPRODUCT(($A$2:$A$4734=A4265)*($B$2:$B$4734=B4265)*($D$2:$D$4734=D4265)*($E$2:$E$4734=0)),0)</f>
        <v>4</v>
      </c>
      <c r="L4265" s="1">
        <f>IF(E4265=0,SUMPRODUCT(MIN($K$2:$K$4734+((($A$2:$A$4734&lt;&gt;A4265)+($E$2:$E$4734&lt;&gt;0))&gt;0)*1000000)),"")</f>
        <v>4</v>
      </c>
      <c r="M4265" s="1">
        <f>IF(AND(E4265=0,COUNTIFS($A$2:A4265,A4265,$E$2:E4265,0)=1),L4265,0)</f>
        <v>0</v>
      </c>
    </row>
    <row r="4266" spans="1:13" ht="15" customHeight="1">
      <c r="A4266" s="1">
        <v>233</v>
      </c>
      <c r="B4266" s="1" t="s">
        <v>9</v>
      </c>
      <c r="C4266" s="2" t="s">
        <v>5075</v>
      </c>
      <c r="D4266" s="2" t="s">
        <v>5076</v>
      </c>
      <c r="E4266" s="1">
        <v>0</v>
      </c>
      <c r="F4266" s="2" t="s">
        <v>5079</v>
      </c>
      <c r="H4266" s="1" t="str">
        <f t="shared" si="69"/>
        <v/>
      </c>
      <c r="K4266" s="1">
        <f>IF(E4266=0,SUMPRODUCT(($A$2:$A$4734=A4266)*($B$2:$B$4734=B4266)*($D$2:$D$4734=D4266)*($E$2:$E$4734=0)),0)</f>
        <v>4</v>
      </c>
      <c r="L4266" s="1">
        <f>IF(E4266=0,SUMPRODUCT(MIN($K$2:$K$4734+((($A$2:$A$4734&lt;&gt;A4266)+($E$2:$E$4734&lt;&gt;0))&gt;0)*1000000)),"")</f>
        <v>4</v>
      </c>
      <c r="M4266" s="1">
        <f>IF(AND(E4266=0,COUNTIFS($A$2:A4266,A4266,$E$2:E4266,0)=1),L4266,0)</f>
        <v>0</v>
      </c>
    </row>
    <row r="4267" spans="1:13" ht="15" customHeight="1">
      <c r="A4267" s="1">
        <v>233</v>
      </c>
      <c r="B4267" s="1" t="s">
        <v>9</v>
      </c>
      <c r="C4267" s="2" t="s">
        <v>5075</v>
      </c>
      <c r="D4267" s="2" t="s">
        <v>5080</v>
      </c>
      <c r="E4267" s="1">
        <v>0</v>
      </c>
      <c r="F4267" s="2" t="s">
        <v>5081</v>
      </c>
      <c r="H4267" s="1" t="str">
        <f t="shared" si="69"/>
        <v/>
      </c>
      <c r="K4267" s="1">
        <f>IF(E4267=0,SUMPRODUCT(($A$2:$A$4734=A4267)*($B$2:$B$4734=B4267)*($D$2:$D$4734=D4267)*($E$2:$E$4734=0)),0)</f>
        <v>6</v>
      </c>
      <c r="L4267" s="1">
        <f>IF(E4267=0,SUMPRODUCT(MIN($K$2:$K$4734+((($A$2:$A$4734&lt;&gt;A4267)+($E$2:$E$4734&lt;&gt;0))&gt;0)*1000000)),"")</f>
        <v>4</v>
      </c>
      <c r="M4267" s="1">
        <f>IF(AND(E4267=0,COUNTIFS($A$2:A4267,A4267,$E$2:E4267,0)=1),L4267,0)</f>
        <v>0</v>
      </c>
    </row>
    <row r="4268" spans="1:13" ht="15" customHeight="1">
      <c r="A4268" s="1">
        <v>233</v>
      </c>
      <c r="B4268" s="1" t="s">
        <v>9</v>
      </c>
      <c r="C4268" s="2" t="s">
        <v>5075</v>
      </c>
      <c r="D4268" s="2" t="s">
        <v>5080</v>
      </c>
      <c r="E4268" s="1">
        <v>0</v>
      </c>
      <c r="F4268" s="2" t="s">
        <v>5082</v>
      </c>
      <c r="H4268" s="1" t="str">
        <f t="shared" si="69"/>
        <v/>
      </c>
      <c r="K4268" s="1">
        <f>IF(E4268=0,SUMPRODUCT(($A$2:$A$4734=A4268)*($B$2:$B$4734=B4268)*($D$2:$D$4734=D4268)*($E$2:$E$4734=0)),0)</f>
        <v>6</v>
      </c>
      <c r="L4268" s="1">
        <f>IF(E4268=0,SUMPRODUCT(MIN($K$2:$K$4734+((($A$2:$A$4734&lt;&gt;A4268)+($E$2:$E$4734&lt;&gt;0))&gt;0)*1000000)),"")</f>
        <v>4</v>
      </c>
      <c r="M4268" s="1">
        <f>IF(AND(E4268=0,COUNTIFS($A$2:A4268,A4268,$E$2:E4268,0)=1),L4268,0)</f>
        <v>0</v>
      </c>
    </row>
    <row r="4269" spans="1:13" ht="15" customHeight="1">
      <c r="A4269" s="1">
        <v>233</v>
      </c>
      <c r="B4269" s="1" t="s">
        <v>9</v>
      </c>
      <c r="C4269" s="2" t="s">
        <v>5075</v>
      </c>
      <c r="D4269" s="2" t="s">
        <v>5080</v>
      </c>
      <c r="E4269" s="1">
        <v>0</v>
      </c>
      <c r="F4269" s="2" t="s">
        <v>5083</v>
      </c>
      <c r="H4269" s="1" t="str">
        <f t="shared" si="69"/>
        <v/>
      </c>
      <c r="K4269" s="1">
        <f>IF(E4269=0,SUMPRODUCT(($A$2:$A$4734=A4269)*($B$2:$B$4734=B4269)*($D$2:$D$4734=D4269)*($E$2:$E$4734=0)),0)</f>
        <v>6</v>
      </c>
      <c r="L4269" s="1">
        <f>IF(E4269=0,SUMPRODUCT(MIN($K$2:$K$4734+((($A$2:$A$4734&lt;&gt;A4269)+($E$2:$E$4734&lt;&gt;0))&gt;0)*1000000)),"")</f>
        <v>4</v>
      </c>
      <c r="M4269" s="1">
        <f>IF(AND(E4269=0,COUNTIFS($A$2:A4269,A4269,$E$2:E4269,0)=1),L4269,0)</f>
        <v>0</v>
      </c>
    </row>
    <row r="4270" spans="1:13" ht="15" customHeight="1">
      <c r="A4270" s="1">
        <v>233</v>
      </c>
      <c r="B4270" s="1" t="s">
        <v>9</v>
      </c>
      <c r="C4270" s="2" t="s">
        <v>5075</v>
      </c>
      <c r="D4270" s="2" t="s">
        <v>5080</v>
      </c>
      <c r="E4270" s="1">
        <v>0</v>
      </c>
      <c r="F4270" s="2" t="s">
        <v>5084</v>
      </c>
      <c r="H4270" s="1" t="str">
        <f t="shared" si="69"/>
        <v/>
      </c>
      <c r="K4270" s="1">
        <f>IF(E4270=0,SUMPRODUCT(($A$2:$A$4734=A4270)*($B$2:$B$4734=B4270)*($D$2:$D$4734=D4270)*($E$2:$E$4734=0)),0)</f>
        <v>6</v>
      </c>
      <c r="L4270" s="1">
        <f>IF(E4270=0,SUMPRODUCT(MIN($K$2:$K$4734+((($A$2:$A$4734&lt;&gt;A4270)+($E$2:$E$4734&lt;&gt;0))&gt;0)*1000000)),"")</f>
        <v>4</v>
      </c>
      <c r="M4270" s="1">
        <f>IF(AND(E4270=0,COUNTIFS($A$2:A4270,A4270,$E$2:E4270,0)=1),L4270,0)</f>
        <v>0</v>
      </c>
    </row>
    <row r="4271" spans="1:13" ht="15" customHeight="1">
      <c r="A4271" s="1">
        <v>233</v>
      </c>
      <c r="B4271" s="1" t="s">
        <v>9</v>
      </c>
      <c r="C4271" s="2" t="s">
        <v>5075</v>
      </c>
      <c r="D4271" s="2" t="s">
        <v>5080</v>
      </c>
      <c r="E4271" s="1">
        <v>0</v>
      </c>
      <c r="F4271" s="2" t="s">
        <v>5085</v>
      </c>
      <c r="H4271" s="1" t="str">
        <f t="shared" si="69"/>
        <v/>
      </c>
      <c r="K4271" s="1">
        <f>IF(E4271=0,SUMPRODUCT(($A$2:$A$4734=A4271)*($B$2:$B$4734=B4271)*($D$2:$D$4734=D4271)*($E$2:$E$4734=0)),0)</f>
        <v>6</v>
      </c>
      <c r="L4271" s="1">
        <f>IF(E4271=0,SUMPRODUCT(MIN($K$2:$K$4734+((($A$2:$A$4734&lt;&gt;A4271)+($E$2:$E$4734&lt;&gt;0))&gt;0)*1000000)),"")</f>
        <v>4</v>
      </c>
      <c r="M4271" s="1">
        <f>IF(AND(E4271=0,COUNTIFS($A$2:A4271,A4271,$E$2:E4271,0)=1),L4271,0)</f>
        <v>0</v>
      </c>
    </row>
    <row r="4272" spans="1:13" ht="15" customHeight="1">
      <c r="A4272" s="1">
        <v>233</v>
      </c>
      <c r="B4272" s="1" t="s">
        <v>9</v>
      </c>
      <c r="C4272" s="2" t="s">
        <v>5075</v>
      </c>
      <c r="D4272" s="2" t="s">
        <v>5080</v>
      </c>
      <c r="E4272" s="1">
        <v>0</v>
      </c>
      <c r="F4272" s="2" t="s">
        <v>5086</v>
      </c>
      <c r="H4272" s="1" t="str">
        <f t="shared" si="69"/>
        <v/>
      </c>
      <c r="K4272" s="1">
        <f>IF(E4272=0,SUMPRODUCT(($A$2:$A$4734=A4272)*($B$2:$B$4734=B4272)*($D$2:$D$4734=D4272)*($E$2:$E$4734=0)),0)</f>
        <v>6</v>
      </c>
      <c r="L4272" s="1">
        <f>IF(E4272=0,SUMPRODUCT(MIN($K$2:$K$4734+((($A$2:$A$4734&lt;&gt;A4272)+($E$2:$E$4734&lt;&gt;0))&gt;0)*1000000)),"")</f>
        <v>4</v>
      </c>
      <c r="M4272" s="1">
        <f>IF(AND(E4272=0,COUNTIFS($A$2:A4272,A4272,$E$2:E4272,0)=1),L4272,0)</f>
        <v>0</v>
      </c>
    </row>
    <row r="4273" spans="1:13" ht="15" customHeight="1">
      <c r="A4273" s="1">
        <v>234</v>
      </c>
      <c r="B4273" s="1" t="s">
        <v>9</v>
      </c>
      <c r="C4273" s="2" t="s">
        <v>5087</v>
      </c>
      <c r="D4273" s="2" t="s">
        <v>3681</v>
      </c>
      <c r="E4273" s="1">
        <v>0</v>
      </c>
      <c r="F4273" s="2" t="s">
        <v>5088</v>
      </c>
      <c r="H4273" s="1" t="str">
        <f t="shared" si="69"/>
        <v/>
      </c>
      <c r="K4273" s="1">
        <f>IF(E4273=0,SUMPRODUCT(($A$2:$A$4734=A4273)*($B$2:$B$4734=B4273)*($D$2:$D$4734=D4273)*($E$2:$E$4734=0)),0)</f>
        <v>6</v>
      </c>
      <c r="L4273" s="1">
        <f>IF(E4273=0,SUMPRODUCT(MIN($K$2:$K$4734+((($A$2:$A$4734&lt;&gt;A4273)+($E$2:$E$4734&lt;&gt;0))&gt;0)*1000000)),"")</f>
        <v>4</v>
      </c>
      <c r="M4273" s="1">
        <f>IF(AND(E4273=0,COUNTIFS($A$2:A4273,A4273,$E$2:E4273,0)=1),L4273,0)</f>
        <v>4</v>
      </c>
    </row>
    <row r="4274" spans="1:13" ht="15" customHeight="1">
      <c r="A4274" s="1">
        <v>234</v>
      </c>
      <c r="B4274" s="1" t="s">
        <v>9</v>
      </c>
      <c r="C4274" s="2" t="s">
        <v>5087</v>
      </c>
      <c r="D4274" s="2" t="s">
        <v>3681</v>
      </c>
      <c r="E4274" s="1">
        <v>0</v>
      </c>
      <c r="F4274" s="2" t="s">
        <v>5089</v>
      </c>
      <c r="H4274" s="1" t="str">
        <f t="shared" si="69"/>
        <v/>
      </c>
      <c r="K4274" s="1">
        <f>IF(E4274=0,SUMPRODUCT(($A$2:$A$4734=A4274)*($B$2:$B$4734=B4274)*($D$2:$D$4734=D4274)*($E$2:$E$4734=0)),0)</f>
        <v>6</v>
      </c>
      <c r="L4274" s="1">
        <f>IF(E4274=0,SUMPRODUCT(MIN($K$2:$K$4734+((($A$2:$A$4734&lt;&gt;A4274)+($E$2:$E$4734&lt;&gt;0))&gt;0)*1000000)),"")</f>
        <v>4</v>
      </c>
      <c r="M4274" s="1">
        <f>IF(AND(E4274=0,COUNTIFS($A$2:A4274,A4274,$E$2:E4274,0)=1),L4274,0)</f>
        <v>0</v>
      </c>
    </row>
    <row r="4275" spans="1:13" ht="15" customHeight="1">
      <c r="A4275" s="1">
        <v>234</v>
      </c>
      <c r="B4275" s="1" t="s">
        <v>9</v>
      </c>
      <c r="C4275" s="2" t="s">
        <v>5087</v>
      </c>
      <c r="D4275" s="2" t="s">
        <v>3681</v>
      </c>
      <c r="E4275" s="1">
        <v>0</v>
      </c>
      <c r="F4275" s="2" t="s">
        <v>5090</v>
      </c>
      <c r="H4275" s="1" t="str">
        <f t="shared" si="69"/>
        <v/>
      </c>
      <c r="K4275" s="1">
        <f>IF(E4275=0,SUMPRODUCT(($A$2:$A$4734=A4275)*($B$2:$B$4734=B4275)*($D$2:$D$4734=D4275)*($E$2:$E$4734=0)),0)</f>
        <v>6</v>
      </c>
      <c r="L4275" s="1">
        <f>IF(E4275=0,SUMPRODUCT(MIN($K$2:$K$4734+((($A$2:$A$4734&lt;&gt;A4275)+($E$2:$E$4734&lt;&gt;0))&gt;0)*1000000)),"")</f>
        <v>4</v>
      </c>
      <c r="M4275" s="1">
        <f>IF(AND(E4275=0,COUNTIFS($A$2:A4275,A4275,$E$2:E4275,0)=1),L4275,0)</f>
        <v>0</v>
      </c>
    </row>
    <row r="4276" spans="1:13" ht="15" customHeight="1">
      <c r="A4276" s="1">
        <v>234</v>
      </c>
      <c r="B4276" s="1" t="s">
        <v>9</v>
      </c>
      <c r="C4276" s="2" t="s">
        <v>5087</v>
      </c>
      <c r="D4276" s="2" t="s">
        <v>3681</v>
      </c>
      <c r="E4276" s="1">
        <v>0</v>
      </c>
      <c r="F4276" s="2" t="s">
        <v>5091</v>
      </c>
      <c r="H4276" s="1" t="str">
        <f t="shared" si="69"/>
        <v/>
      </c>
      <c r="K4276" s="1">
        <f>IF(E4276=0,SUMPRODUCT(($A$2:$A$4734=A4276)*($B$2:$B$4734=B4276)*($D$2:$D$4734=D4276)*($E$2:$E$4734=0)),0)</f>
        <v>6</v>
      </c>
      <c r="L4276" s="1">
        <f>IF(E4276=0,SUMPRODUCT(MIN($K$2:$K$4734+((($A$2:$A$4734&lt;&gt;A4276)+($E$2:$E$4734&lt;&gt;0))&gt;0)*1000000)),"")</f>
        <v>4</v>
      </c>
      <c r="M4276" s="1">
        <f>IF(AND(E4276=0,COUNTIFS($A$2:A4276,A4276,$E$2:E4276,0)=1),L4276,0)</f>
        <v>0</v>
      </c>
    </row>
    <row r="4277" spans="1:13" ht="15" customHeight="1">
      <c r="A4277" s="1">
        <v>234</v>
      </c>
      <c r="B4277" s="1" t="s">
        <v>9</v>
      </c>
      <c r="C4277" s="2" t="s">
        <v>5087</v>
      </c>
      <c r="D4277" s="2" t="s">
        <v>3681</v>
      </c>
      <c r="E4277" s="1">
        <v>0</v>
      </c>
      <c r="F4277" s="2" t="s">
        <v>5092</v>
      </c>
      <c r="H4277" s="1" t="str">
        <f t="shared" si="69"/>
        <v/>
      </c>
      <c r="K4277" s="1">
        <f>IF(E4277=0,SUMPRODUCT(($A$2:$A$4734=A4277)*($B$2:$B$4734=B4277)*($D$2:$D$4734=D4277)*($E$2:$E$4734=0)),0)</f>
        <v>6</v>
      </c>
      <c r="L4277" s="1">
        <f>IF(E4277=0,SUMPRODUCT(MIN($K$2:$K$4734+((($A$2:$A$4734&lt;&gt;A4277)+($E$2:$E$4734&lt;&gt;0))&gt;0)*1000000)),"")</f>
        <v>4</v>
      </c>
      <c r="M4277" s="1">
        <f>IF(AND(E4277=0,COUNTIFS($A$2:A4277,A4277,$E$2:E4277,0)=1),L4277,0)</f>
        <v>0</v>
      </c>
    </row>
    <row r="4278" spans="1:13" ht="15" customHeight="1">
      <c r="A4278" s="1">
        <v>234</v>
      </c>
      <c r="B4278" s="1" t="s">
        <v>9</v>
      </c>
      <c r="C4278" s="2" t="s">
        <v>5087</v>
      </c>
      <c r="D4278" s="2" t="s">
        <v>3681</v>
      </c>
      <c r="E4278" s="1">
        <v>0</v>
      </c>
      <c r="F4278" s="2" t="s">
        <v>5093</v>
      </c>
      <c r="H4278" s="1" t="str">
        <f t="shared" si="69"/>
        <v/>
      </c>
      <c r="K4278" s="1">
        <f>IF(E4278=0,SUMPRODUCT(($A$2:$A$4734=A4278)*($B$2:$B$4734=B4278)*($D$2:$D$4734=D4278)*($E$2:$E$4734=0)),0)</f>
        <v>6</v>
      </c>
      <c r="L4278" s="1">
        <f>IF(E4278=0,SUMPRODUCT(MIN($K$2:$K$4734+((($A$2:$A$4734&lt;&gt;A4278)+($E$2:$E$4734&lt;&gt;0))&gt;0)*1000000)),"")</f>
        <v>4</v>
      </c>
      <c r="M4278" s="1">
        <f>IF(AND(E4278=0,COUNTIFS($A$2:A4278,A4278,$E$2:E4278,0)=1),L4278,0)</f>
        <v>0</v>
      </c>
    </row>
    <row r="4279" spans="1:13" ht="15" customHeight="1">
      <c r="A4279" s="1">
        <v>234</v>
      </c>
      <c r="B4279" s="1" t="s">
        <v>9</v>
      </c>
      <c r="C4279" s="2" t="s">
        <v>5087</v>
      </c>
      <c r="D4279" s="2" t="s">
        <v>5094</v>
      </c>
      <c r="E4279" s="1">
        <v>0</v>
      </c>
      <c r="F4279" s="2" t="s">
        <v>5095</v>
      </c>
      <c r="H4279" s="1" t="str">
        <f t="shared" si="69"/>
        <v/>
      </c>
      <c r="K4279" s="1">
        <f>IF(E4279=0,SUMPRODUCT(($A$2:$A$4734=A4279)*($B$2:$B$4734=B4279)*($D$2:$D$4734=D4279)*($E$2:$E$4734=0)),0)</f>
        <v>4</v>
      </c>
      <c r="L4279" s="1">
        <f>IF(E4279=0,SUMPRODUCT(MIN($K$2:$K$4734+((($A$2:$A$4734&lt;&gt;A4279)+($E$2:$E$4734&lt;&gt;0))&gt;0)*1000000)),"")</f>
        <v>4</v>
      </c>
      <c r="M4279" s="1">
        <f>IF(AND(E4279=0,COUNTIFS($A$2:A4279,A4279,$E$2:E4279,0)=1),L4279,0)</f>
        <v>0</v>
      </c>
    </row>
    <row r="4280" spans="1:13" ht="15" customHeight="1">
      <c r="A4280" s="1">
        <v>234</v>
      </c>
      <c r="B4280" s="1" t="s">
        <v>9</v>
      </c>
      <c r="C4280" s="2" t="s">
        <v>5087</v>
      </c>
      <c r="D4280" s="2" t="s">
        <v>5094</v>
      </c>
      <c r="E4280" s="1">
        <v>0</v>
      </c>
      <c r="F4280" s="2" t="s">
        <v>5096</v>
      </c>
      <c r="H4280" s="1" t="str">
        <f t="shared" si="69"/>
        <v/>
      </c>
      <c r="K4280" s="1">
        <f>IF(E4280=0,SUMPRODUCT(($A$2:$A$4734=A4280)*($B$2:$B$4734=B4280)*($D$2:$D$4734=D4280)*($E$2:$E$4734=0)),0)</f>
        <v>4</v>
      </c>
      <c r="L4280" s="1">
        <f>IF(E4280=0,SUMPRODUCT(MIN($K$2:$K$4734+((($A$2:$A$4734&lt;&gt;A4280)+($E$2:$E$4734&lt;&gt;0))&gt;0)*1000000)),"")</f>
        <v>4</v>
      </c>
      <c r="M4280" s="1">
        <f>IF(AND(E4280=0,COUNTIFS($A$2:A4280,A4280,$E$2:E4280,0)=1),L4280,0)</f>
        <v>0</v>
      </c>
    </row>
    <row r="4281" spans="1:13" ht="15" customHeight="1">
      <c r="A4281" s="1">
        <v>234</v>
      </c>
      <c r="B4281" s="1" t="s">
        <v>9</v>
      </c>
      <c r="C4281" s="2" t="s">
        <v>5087</v>
      </c>
      <c r="D4281" s="2" t="s">
        <v>5094</v>
      </c>
      <c r="E4281" s="1">
        <v>0</v>
      </c>
      <c r="F4281" s="2" t="s">
        <v>5097</v>
      </c>
      <c r="H4281" s="1" t="str">
        <f t="shared" si="69"/>
        <v/>
      </c>
      <c r="K4281" s="1">
        <f>IF(E4281=0,SUMPRODUCT(($A$2:$A$4734=A4281)*($B$2:$B$4734=B4281)*($D$2:$D$4734=D4281)*($E$2:$E$4734=0)),0)</f>
        <v>4</v>
      </c>
      <c r="L4281" s="1">
        <f>IF(E4281=0,SUMPRODUCT(MIN($K$2:$K$4734+((($A$2:$A$4734&lt;&gt;A4281)+($E$2:$E$4734&lt;&gt;0))&gt;0)*1000000)),"")</f>
        <v>4</v>
      </c>
      <c r="M4281" s="1">
        <f>IF(AND(E4281=0,COUNTIFS($A$2:A4281,A4281,$E$2:E4281,0)=1),L4281,0)</f>
        <v>0</v>
      </c>
    </row>
    <row r="4282" spans="1:13" ht="15" customHeight="1">
      <c r="A4282" s="1">
        <v>234</v>
      </c>
      <c r="B4282" s="1" t="s">
        <v>9</v>
      </c>
      <c r="C4282" s="2" t="s">
        <v>5087</v>
      </c>
      <c r="D4282" s="2" t="s">
        <v>5094</v>
      </c>
      <c r="E4282" s="1">
        <v>0</v>
      </c>
      <c r="F4282" s="2" t="s">
        <v>5098</v>
      </c>
      <c r="H4282" s="1" t="str">
        <f t="shared" si="69"/>
        <v/>
      </c>
      <c r="K4282" s="1">
        <f>IF(E4282=0,SUMPRODUCT(($A$2:$A$4734=A4282)*($B$2:$B$4734=B4282)*($D$2:$D$4734=D4282)*($E$2:$E$4734=0)),0)</f>
        <v>4</v>
      </c>
      <c r="L4282" s="1">
        <f>IF(E4282=0,SUMPRODUCT(MIN($K$2:$K$4734+((($A$2:$A$4734&lt;&gt;A4282)+($E$2:$E$4734&lt;&gt;0))&gt;0)*1000000)),"")</f>
        <v>4</v>
      </c>
      <c r="M4282" s="1">
        <f>IF(AND(E4282=0,COUNTIFS($A$2:A4282,A4282,$E$2:E4282,0)=1),L4282,0)</f>
        <v>0</v>
      </c>
    </row>
    <row r="4283" spans="1:13" ht="15" customHeight="1">
      <c r="A4283" s="1">
        <v>234</v>
      </c>
      <c r="B4283" s="1" t="s">
        <v>16</v>
      </c>
      <c r="C4283" s="2" t="s">
        <v>5087</v>
      </c>
      <c r="D4283" s="2" t="s">
        <v>5099</v>
      </c>
      <c r="E4283" s="1">
        <v>0</v>
      </c>
      <c r="F4283" s="2" t="s">
        <v>5100</v>
      </c>
      <c r="H4283" s="1" t="str">
        <f t="shared" si="69"/>
        <v/>
      </c>
      <c r="K4283" s="1">
        <f>IF(E4283=0,SUMPRODUCT(($A$2:$A$4734=A4283)*($B$2:$B$4734=B4283)*($D$2:$D$4734=D4283)*($E$2:$E$4734=0)),0)</f>
        <v>5</v>
      </c>
      <c r="L4283" s="1">
        <f>IF(E4283=0,SUMPRODUCT(MIN($K$2:$K$4734+((($A$2:$A$4734&lt;&gt;A4283)+($E$2:$E$4734&lt;&gt;0))&gt;0)*1000000)),"")</f>
        <v>4</v>
      </c>
      <c r="M4283" s="1">
        <f>IF(AND(E4283=0,COUNTIFS($A$2:A4283,A4283,$E$2:E4283,0)=1),L4283,0)</f>
        <v>0</v>
      </c>
    </row>
    <row r="4284" spans="1:13" ht="15" customHeight="1">
      <c r="A4284" s="1">
        <v>234</v>
      </c>
      <c r="B4284" s="1" t="s">
        <v>16</v>
      </c>
      <c r="C4284" s="2" t="s">
        <v>5087</v>
      </c>
      <c r="D4284" s="2" t="s">
        <v>5099</v>
      </c>
      <c r="E4284" s="1">
        <v>0</v>
      </c>
      <c r="F4284" s="2" t="s">
        <v>5101</v>
      </c>
      <c r="H4284" s="1" t="str">
        <f t="shared" si="69"/>
        <v/>
      </c>
      <c r="K4284" s="1">
        <f>IF(E4284=0,SUMPRODUCT(($A$2:$A$4734=A4284)*($B$2:$B$4734=B4284)*($D$2:$D$4734=D4284)*($E$2:$E$4734=0)),0)</f>
        <v>5</v>
      </c>
      <c r="L4284" s="1">
        <f>IF(E4284=0,SUMPRODUCT(MIN($K$2:$K$4734+((($A$2:$A$4734&lt;&gt;A4284)+($E$2:$E$4734&lt;&gt;0))&gt;0)*1000000)),"")</f>
        <v>4</v>
      </c>
      <c r="M4284" s="1">
        <f>IF(AND(E4284=0,COUNTIFS($A$2:A4284,A4284,$E$2:E4284,0)=1),L4284,0)</f>
        <v>0</v>
      </c>
    </row>
    <row r="4285" spans="1:13" ht="15" customHeight="1">
      <c r="A4285" s="1">
        <v>234</v>
      </c>
      <c r="B4285" s="1" t="s">
        <v>16</v>
      </c>
      <c r="C4285" s="2" t="s">
        <v>5087</v>
      </c>
      <c r="D4285" s="2" t="s">
        <v>5099</v>
      </c>
      <c r="E4285" s="1">
        <v>0</v>
      </c>
      <c r="F4285" s="2" t="s">
        <v>5102</v>
      </c>
      <c r="H4285" s="1" t="str">
        <f t="shared" si="69"/>
        <v/>
      </c>
      <c r="K4285" s="1">
        <f>IF(E4285=0,SUMPRODUCT(($A$2:$A$4734=A4285)*($B$2:$B$4734=B4285)*($D$2:$D$4734=D4285)*($E$2:$E$4734=0)),0)</f>
        <v>5</v>
      </c>
      <c r="L4285" s="1">
        <f>IF(E4285=0,SUMPRODUCT(MIN($K$2:$K$4734+((($A$2:$A$4734&lt;&gt;A4285)+($E$2:$E$4734&lt;&gt;0))&gt;0)*1000000)),"")</f>
        <v>4</v>
      </c>
      <c r="M4285" s="1">
        <f>IF(AND(E4285=0,COUNTIFS($A$2:A4285,A4285,$E$2:E4285,0)=1),L4285,0)</f>
        <v>0</v>
      </c>
    </row>
    <row r="4286" spans="1:13" ht="15" customHeight="1">
      <c r="A4286" s="1">
        <v>234</v>
      </c>
      <c r="B4286" s="1" t="s">
        <v>16</v>
      </c>
      <c r="C4286" s="2" t="s">
        <v>5087</v>
      </c>
      <c r="D4286" s="2" t="s">
        <v>5099</v>
      </c>
      <c r="E4286" s="1">
        <v>0</v>
      </c>
      <c r="F4286" s="2" t="s">
        <v>5103</v>
      </c>
      <c r="H4286" s="1" t="str">
        <f t="shared" si="69"/>
        <v/>
      </c>
      <c r="K4286" s="1">
        <f>IF(E4286=0,SUMPRODUCT(($A$2:$A$4734=A4286)*($B$2:$B$4734=B4286)*($D$2:$D$4734=D4286)*($E$2:$E$4734=0)),0)</f>
        <v>5</v>
      </c>
      <c r="L4286" s="1">
        <f>IF(E4286=0,SUMPRODUCT(MIN($K$2:$K$4734+((($A$2:$A$4734&lt;&gt;A4286)+($E$2:$E$4734&lt;&gt;0))&gt;0)*1000000)),"")</f>
        <v>4</v>
      </c>
      <c r="M4286" s="1">
        <f>IF(AND(E4286=0,COUNTIFS($A$2:A4286,A4286,$E$2:E4286,0)=1),L4286,0)</f>
        <v>0</v>
      </c>
    </row>
    <row r="4287" spans="1:13" ht="15" customHeight="1">
      <c r="A4287" s="1">
        <v>234</v>
      </c>
      <c r="B4287" s="1" t="s">
        <v>16</v>
      </c>
      <c r="C4287" s="2" t="s">
        <v>5087</v>
      </c>
      <c r="D4287" s="2" t="s">
        <v>5099</v>
      </c>
      <c r="E4287" s="1">
        <v>0</v>
      </c>
      <c r="F4287" s="2" t="s">
        <v>5104</v>
      </c>
      <c r="H4287" s="1" t="str">
        <f t="shared" si="69"/>
        <v/>
      </c>
      <c r="K4287" s="1">
        <f>IF(E4287=0,SUMPRODUCT(($A$2:$A$4734=A4287)*($B$2:$B$4734=B4287)*($D$2:$D$4734=D4287)*($E$2:$E$4734=0)),0)</f>
        <v>5</v>
      </c>
      <c r="L4287" s="1">
        <f>IF(E4287=0,SUMPRODUCT(MIN($K$2:$K$4734+((($A$2:$A$4734&lt;&gt;A4287)+($E$2:$E$4734&lt;&gt;0))&gt;0)*1000000)),"")</f>
        <v>4</v>
      </c>
      <c r="M4287" s="1">
        <f>IF(AND(E4287=0,COUNTIFS($A$2:A4287,A4287,$E$2:E4287,0)=1),L4287,0)</f>
        <v>0</v>
      </c>
    </row>
    <row r="4288" spans="1:13" ht="15" customHeight="1">
      <c r="A4288" s="1">
        <v>235</v>
      </c>
      <c r="B4288" s="1" t="s">
        <v>144</v>
      </c>
      <c r="C4288" s="2" t="s">
        <v>5105</v>
      </c>
      <c r="D4288" s="2" t="s">
        <v>5106</v>
      </c>
      <c r="E4288" s="1">
        <v>1</v>
      </c>
      <c r="F4288" s="2" t="s">
        <v>5107</v>
      </c>
      <c r="G4288" s="1">
        <v>1</v>
      </c>
      <c r="H4288" s="1" t="str">
        <f t="shared" si="69"/>
        <v>k235_1</v>
      </c>
      <c r="K4288" s="1">
        <f>IF(E4288=0,SUMPRODUCT(($A$2:$A$4734=A4288)*($B$2:$B$4734=B4288)*($D$2:$D$4734=D4288)*($E$2:$E$4734=0)),0)</f>
        <v>0</v>
      </c>
      <c r="L4288" s="1" t="str">
        <f>IF(E4288=0,SUMPRODUCT(MIN($K$2:$K$4734+((($A$2:$A$4734&lt;&gt;A4288)+($E$2:$E$4734&lt;&gt;0))&gt;0)*1000000)),"")</f>
        <v/>
      </c>
      <c r="M4288" s="1">
        <f>IF(AND(E4288=0,COUNTIFS($A$2:A4288,A4288,$E$2:E4288,0)=1),L4288,0)</f>
        <v>0</v>
      </c>
    </row>
    <row r="4289" spans="1:13" ht="15" customHeight="1">
      <c r="A4289" s="1">
        <v>235</v>
      </c>
      <c r="B4289" s="1" t="s">
        <v>144</v>
      </c>
      <c r="C4289" s="2" t="s">
        <v>5105</v>
      </c>
      <c r="D4289" s="2" t="s">
        <v>5106</v>
      </c>
      <c r="E4289" s="1">
        <v>1</v>
      </c>
      <c r="F4289" s="2" t="s">
        <v>5108</v>
      </c>
      <c r="G4289" s="1">
        <v>2</v>
      </c>
      <c r="H4289" s="1" t="str">
        <f t="shared" si="69"/>
        <v>k235_2</v>
      </c>
      <c r="K4289" s="1">
        <f>IF(E4289=0,SUMPRODUCT(($A$2:$A$4734=A4289)*($B$2:$B$4734=B4289)*($D$2:$D$4734=D4289)*($E$2:$E$4734=0)),0)</f>
        <v>0</v>
      </c>
      <c r="L4289" s="1" t="str">
        <f>IF(E4289=0,SUMPRODUCT(MIN($K$2:$K$4734+((($A$2:$A$4734&lt;&gt;A4289)+($E$2:$E$4734&lt;&gt;0))&gt;0)*1000000)),"")</f>
        <v/>
      </c>
      <c r="M4289" s="1">
        <f>IF(AND(E4289=0,COUNTIFS($A$2:A4289,A4289,$E$2:E4289,0)=1),L4289,0)</f>
        <v>0</v>
      </c>
    </row>
    <row r="4290" spans="1:13" ht="15" customHeight="1">
      <c r="A4290" s="1">
        <v>235</v>
      </c>
      <c r="B4290" s="1" t="s">
        <v>144</v>
      </c>
      <c r="C4290" s="2" t="s">
        <v>5105</v>
      </c>
      <c r="D4290" s="2" t="s">
        <v>5106</v>
      </c>
      <c r="E4290" s="1">
        <v>1</v>
      </c>
      <c r="F4290" s="2" t="s">
        <v>5108</v>
      </c>
      <c r="G4290" s="1">
        <v>3</v>
      </c>
      <c r="H4290" s="1" t="str">
        <f t="shared" ref="H4290:H4353" si="70">IF(OR(E4290&lt;&gt;1,G4290=""),"","k"&amp;A4290&amp;"_"&amp;G4290)</f>
        <v>k235_3</v>
      </c>
      <c r="K4290" s="1">
        <f>IF(E4290=0,SUMPRODUCT(($A$2:$A$4734=A4290)*($B$2:$B$4734=B4290)*($D$2:$D$4734=D4290)*($E$2:$E$4734=0)),0)</f>
        <v>0</v>
      </c>
      <c r="L4290" s="1" t="str">
        <f>IF(E4290=0,SUMPRODUCT(MIN($K$2:$K$4734+((($A$2:$A$4734&lt;&gt;A4290)+($E$2:$E$4734&lt;&gt;0))&gt;0)*1000000)),"")</f>
        <v/>
      </c>
      <c r="M4290" s="1">
        <f>IF(AND(E4290=0,COUNTIFS($A$2:A4290,A4290,$E$2:E4290,0)=1),L4290,0)</f>
        <v>0</v>
      </c>
    </row>
    <row r="4291" spans="1:13" ht="15" customHeight="1">
      <c r="A4291" s="1">
        <v>235</v>
      </c>
      <c r="B4291" s="1" t="s">
        <v>144</v>
      </c>
      <c r="C4291" s="2" t="s">
        <v>5105</v>
      </c>
      <c r="D4291" s="2" t="s">
        <v>5106</v>
      </c>
      <c r="E4291" s="1">
        <v>1</v>
      </c>
      <c r="F4291" s="2" t="s">
        <v>5108</v>
      </c>
      <c r="G4291" s="1">
        <v>4</v>
      </c>
      <c r="H4291" s="1" t="str">
        <f t="shared" si="70"/>
        <v>k235_4</v>
      </c>
      <c r="K4291" s="1">
        <f>IF(E4291=0,SUMPRODUCT(($A$2:$A$4734=A4291)*($B$2:$B$4734=B4291)*($D$2:$D$4734=D4291)*($E$2:$E$4734=0)),0)</f>
        <v>0</v>
      </c>
      <c r="L4291" s="1" t="str">
        <f>IF(E4291=0,SUMPRODUCT(MIN($K$2:$K$4734+((($A$2:$A$4734&lt;&gt;A4291)+($E$2:$E$4734&lt;&gt;0))&gt;0)*1000000)),"")</f>
        <v/>
      </c>
      <c r="M4291" s="1">
        <f>IF(AND(E4291=0,COUNTIFS($A$2:A4291,A4291,$E$2:E4291,0)=1),L4291,0)</f>
        <v>0</v>
      </c>
    </row>
    <row r="4292" spans="1:13" ht="15" customHeight="1">
      <c r="A4292" s="1">
        <v>235</v>
      </c>
      <c r="B4292" s="1" t="s">
        <v>144</v>
      </c>
      <c r="C4292" s="2" t="s">
        <v>5105</v>
      </c>
      <c r="D4292" s="2" t="s">
        <v>5106</v>
      </c>
      <c r="E4292" s="1">
        <v>1</v>
      </c>
      <c r="F4292" s="2" t="s">
        <v>5109</v>
      </c>
      <c r="G4292" s="1">
        <v>5</v>
      </c>
      <c r="H4292" s="1" t="str">
        <f t="shared" si="70"/>
        <v>k235_5</v>
      </c>
      <c r="K4292" s="1">
        <f>IF(E4292=0,SUMPRODUCT(($A$2:$A$4734=A4292)*($B$2:$B$4734=B4292)*($D$2:$D$4734=D4292)*($E$2:$E$4734=0)),0)</f>
        <v>0</v>
      </c>
      <c r="L4292" s="1" t="str">
        <f>IF(E4292=0,SUMPRODUCT(MIN($K$2:$K$4734+((($A$2:$A$4734&lt;&gt;A4292)+($E$2:$E$4734&lt;&gt;0))&gt;0)*1000000)),"")</f>
        <v/>
      </c>
      <c r="M4292" s="1">
        <f>IF(AND(E4292=0,COUNTIFS($A$2:A4292,A4292,$E$2:E4292,0)=1),L4292,0)</f>
        <v>0</v>
      </c>
    </row>
    <row r="4293" spans="1:13" ht="15" customHeight="1">
      <c r="A4293" s="1">
        <v>235</v>
      </c>
      <c r="B4293" s="1" t="s">
        <v>144</v>
      </c>
      <c r="C4293" s="2" t="s">
        <v>5105</v>
      </c>
      <c r="D4293" s="2" t="s">
        <v>5106</v>
      </c>
      <c r="E4293" s="1">
        <v>1</v>
      </c>
      <c r="F4293" s="2" t="s">
        <v>5110</v>
      </c>
      <c r="G4293" s="1">
        <v>6</v>
      </c>
      <c r="H4293" s="1" t="str">
        <f t="shared" si="70"/>
        <v>k235_6</v>
      </c>
      <c r="K4293" s="1">
        <f>IF(E4293=0,SUMPRODUCT(($A$2:$A$4734=A4293)*($B$2:$B$4734=B4293)*($D$2:$D$4734=D4293)*($E$2:$E$4734=0)),0)</f>
        <v>0</v>
      </c>
      <c r="L4293" s="1" t="str">
        <f>IF(E4293=0,SUMPRODUCT(MIN($K$2:$K$4734+((($A$2:$A$4734&lt;&gt;A4293)+($E$2:$E$4734&lt;&gt;0))&gt;0)*1000000)),"")</f>
        <v/>
      </c>
      <c r="M4293" s="1">
        <f>IF(AND(E4293=0,COUNTIFS($A$2:A4293,A4293,$E$2:E4293,0)=1),L4293,0)</f>
        <v>0</v>
      </c>
    </row>
    <row r="4294" spans="1:13" ht="15" customHeight="1">
      <c r="A4294" s="1">
        <v>235</v>
      </c>
      <c r="B4294" s="1" t="s">
        <v>144</v>
      </c>
      <c r="C4294" s="2" t="s">
        <v>5105</v>
      </c>
      <c r="D4294" s="2" t="s">
        <v>5106</v>
      </c>
      <c r="E4294" s="1">
        <v>1</v>
      </c>
      <c r="F4294" s="2" t="s">
        <v>5110</v>
      </c>
      <c r="G4294" s="1">
        <v>7</v>
      </c>
      <c r="H4294" s="1" t="str">
        <f t="shared" si="70"/>
        <v>k235_7</v>
      </c>
      <c r="K4294" s="1">
        <f>IF(E4294=0,SUMPRODUCT(($A$2:$A$4734=A4294)*($B$2:$B$4734=B4294)*($D$2:$D$4734=D4294)*($E$2:$E$4734=0)),0)</f>
        <v>0</v>
      </c>
      <c r="L4294" s="1" t="str">
        <f>IF(E4294=0,SUMPRODUCT(MIN($K$2:$K$4734+((($A$2:$A$4734&lt;&gt;A4294)+($E$2:$E$4734&lt;&gt;0))&gt;0)*1000000)),"")</f>
        <v/>
      </c>
      <c r="M4294" s="1">
        <f>IF(AND(E4294=0,COUNTIFS($A$2:A4294,A4294,$E$2:E4294,0)=1),L4294,0)</f>
        <v>0</v>
      </c>
    </row>
    <row r="4295" spans="1:13" ht="15" customHeight="1">
      <c r="A4295" s="1">
        <v>235</v>
      </c>
      <c r="B4295" s="1" t="s">
        <v>872</v>
      </c>
      <c r="C4295" s="2" t="s">
        <v>5105</v>
      </c>
      <c r="D4295" s="2" t="s">
        <v>5111</v>
      </c>
      <c r="E4295" s="1">
        <v>1</v>
      </c>
      <c r="F4295" s="2" t="s">
        <v>5112</v>
      </c>
      <c r="G4295" s="1">
        <v>5</v>
      </c>
      <c r="H4295" s="1" t="str">
        <f t="shared" si="70"/>
        <v>k235_5</v>
      </c>
      <c r="K4295" s="1">
        <f>IF(E4295=0,SUMPRODUCT(($A$2:$A$4734=A4295)*($B$2:$B$4734=B4295)*($D$2:$D$4734=D4295)*($E$2:$E$4734=0)),0)</f>
        <v>0</v>
      </c>
      <c r="L4295" s="1" t="str">
        <f>IF(E4295=0,SUMPRODUCT(MIN($K$2:$K$4734+((($A$2:$A$4734&lt;&gt;A4295)+($E$2:$E$4734&lt;&gt;0))&gt;0)*1000000)),"")</f>
        <v/>
      </c>
      <c r="M4295" s="1">
        <f>IF(AND(E4295=0,COUNTIFS($A$2:A4295,A4295,$E$2:E4295,0)=1),L4295,0)</f>
        <v>0</v>
      </c>
    </row>
    <row r="4296" spans="1:13" ht="15" customHeight="1">
      <c r="A4296" s="1">
        <v>235</v>
      </c>
      <c r="B4296" s="1" t="s">
        <v>872</v>
      </c>
      <c r="C4296" s="2" t="s">
        <v>5105</v>
      </c>
      <c r="D4296" s="2" t="s">
        <v>5111</v>
      </c>
      <c r="E4296" s="1">
        <v>1</v>
      </c>
      <c r="F4296" s="2" t="s">
        <v>5113</v>
      </c>
      <c r="G4296" s="1">
        <v>1</v>
      </c>
      <c r="H4296" s="1" t="str">
        <f t="shared" si="70"/>
        <v>k235_1</v>
      </c>
      <c r="K4296" s="1">
        <f>IF(E4296=0,SUMPRODUCT(($A$2:$A$4734=A4296)*($B$2:$B$4734=B4296)*($D$2:$D$4734=D4296)*($E$2:$E$4734=0)),0)</f>
        <v>0</v>
      </c>
      <c r="L4296" s="1" t="str">
        <f>IF(E4296=0,SUMPRODUCT(MIN($K$2:$K$4734+((($A$2:$A$4734&lt;&gt;A4296)+($E$2:$E$4734&lt;&gt;0))&gt;0)*1000000)),"")</f>
        <v/>
      </c>
      <c r="M4296" s="1">
        <f>IF(AND(E4296=0,COUNTIFS($A$2:A4296,A4296,$E$2:E4296,0)=1),L4296,0)</f>
        <v>0</v>
      </c>
    </row>
    <row r="4297" spans="1:13" ht="15" customHeight="1">
      <c r="A4297" s="1">
        <v>235</v>
      </c>
      <c r="B4297" s="1" t="s">
        <v>872</v>
      </c>
      <c r="C4297" s="2" t="s">
        <v>5105</v>
      </c>
      <c r="D4297" s="2" t="s">
        <v>5111</v>
      </c>
      <c r="E4297" s="1">
        <v>1</v>
      </c>
      <c r="F4297" s="2" t="s">
        <v>5114</v>
      </c>
      <c r="G4297" s="1">
        <v>2</v>
      </c>
      <c r="H4297" s="1" t="str">
        <f t="shared" si="70"/>
        <v>k235_2</v>
      </c>
      <c r="K4297" s="1">
        <f>IF(E4297=0,SUMPRODUCT(($A$2:$A$4734=A4297)*($B$2:$B$4734=B4297)*($D$2:$D$4734=D4297)*($E$2:$E$4734=0)),0)</f>
        <v>0</v>
      </c>
      <c r="L4297" s="1" t="str">
        <f>IF(E4297=0,SUMPRODUCT(MIN($K$2:$K$4734+((($A$2:$A$4734&lt;&gt;A4297)+($E$2:$E$4734&lt;&gt;0))&gt;0)*1000000)),"")</f>
        <v/>
      </c>
      <c r="M4297" s="1">
        <f>IF(AND(E4297=0,COUNTIFS($A$2:A4297,A4297,$E$2:E4297,0)=1),L4297,0)</f>
        <v>0</v>
      </c>
    </row>
    <row r="4298" spans="1:13" ht="15" customHeight="1">
      <c r="A4298" s="1">
        <v>235</v>
      </c>
      <c r="B4298" s="1" t="s">
        <v>872</v>
      </c>
      <c r="C4298" s="2" t="s">
        <v>5105</v>
      </c>
      <c r="D4298" s="2" t="s">
        <v>5111</v>
      </c>
      <c r="E4298" s="1">
        <v>1</v>
      </c>
      <c r="F4298" s="2" t="s">
        <v>5115</v>
      </c>
      <c r="G4298" s="1">
        <v>6</v>
      </c>
      <c r="H4298" s="1" t="str">
        <f t="shared" si="70"/>
        <v>k235_6</v>
      </c>
      <c r="K4298" s="1">
        <f>IF(E4298=0,SUMPRODUCT(($A$2:$A$4734=A4298)*($B$2:$B$4734=B4298)*($D$2:$D$4734=D4298)*($E$2:$E$4734=0)),0)</f>
        <v>0</v>
      </c>
      <c r="L4298" s="1" t="str">
        <f>IF(E4298=0,SUMPRODUCT(MIN($K$2:$K$4734+((($A$2:$A$4734&lt;&gt;A4298)+($E$2:$E$4734&lt;&gt;0))&gt;0)*1000000)),"")</f>
        <v/>
      </c>
      <c r="M4298" s="1">
        <f>IF(AND(E4298=0,COUNTIFS($A$2:A4298,A4298,$E$2:E4298,0)=1),L4298,0)</f>
        <v>0</v>
      </c>
    </row>
    <row r="4299" spans="1:13" ht="15" customHeight="1">
      <c r="A4299" s="1">
        <v>235</v>
      </c>
      <c r="B4299" s="1" t="s">
        <v>872</v>
      </c>
      <c r="C4299" s="2" t="s">
        <v>5105</v>
      </c>
      <c r="D4299" s="2" t="s">
        <v>5111</v>
      </c>
      <c r="E4299" s="1">
        <v>1</v>
      </c>
      <c r="F4299" s="2" t="s">
        <v>5114</v>
      </c>
      <c r="G4299" s="1">
        <v>3</v>
      </c>
      <c r="H4299" s="1" t="str">
        <f t="shared" si="70"/>
        <v>k235_3</v>
      </c>
      <c r="K4299" s="1">
        <f>IF(E4299=0,SUMPRODUCT(($A$2:$A$4734=A4299)*($B$2:$B$4734=B4299)*($D$2:$D$4734=D4299)*($E$2:$E$4734=0)),0)</f>
        <v>0</v>
      </c>
      <c r="L4299" s="1" t="str">
        <f>IF(E4299=0,SUMPRODUCT(MIN($K$2:$K$4734+((($A$2:$A$4734&lt;&gt;A4299)+($E$2:$E$4734&lt;&gt;0))&gt;0)*1000000)),"")</f>
        <v/>
      </c>
      <c r="M4299" s="1">
        <f>IF(AND(E4299=0,COUNTIFS($A$2:A4299,A4299,$E$2:E4299,0)=1),L4299,0)</f>
        <v>0</v>
      </c>
    </row>
    <row r="4300" spans="1:13" ht="15" customHeight="1">
      <c r="A4300" s="1">
        <v>235</v>
      </c>
      <c r="B4300" s="1" t="s">
        <v>872</v>
      </c>
      <c r="C4300" s="2" t="s">
        <v>5105</v>
      </c>
      <c r="D4300" s="2" t="s">
        <v>5111</v>
      </c>
      <c r="E4300" s="1">
        <v>1</v>
      </c>
      <c r="F4300" s="2" t="s">
        <v>5115</v>
      </c>
      <c r="G4300" s="1">
        <v>4</v>
      </c>
      <c r="H4300" s="1" t="str">
        <f t="shared" si="70"/>
        <v>k235_4</v>
      </c>
      <c r="K4300" s="1">
        <f>IF(E4300=0,SUMPRODUCT(($A$2:$A$4734=A4300)*($B$2:$B$4734=B4300)*($D$2:$D$4734=D4300)*($E$2:$E$4734=0)),0)</f>
        <v>0</v>
      </c>
      <c r="L4300" s="1" t="str">
        <f>IF(E4300=0,SUMPRODUCT(MIN($K$2:$K$4734+((($A$2:$A$4734&lt;&gt;A4300)+($E$2:$E$4734&lt;&gt;0))&gt;0)*1000000)),"")</f>
        <v/>
      </c>
      <c r="M4300" s="1">
        <f>IF(AND(E4300=0,COUNTIFS($A$2:A4300,A4300,$E$2:E4300,0)=1),L4300,0)</f>
        <v>0</v>
      </c>
    </row>
    <row r="4301" spans="1:13" ht="15" customHeight="1">
      <c r="A4301" s="1">
        <v>235</v>
      </c>
      <c r="B4301" s="1" t="s">
        <v>872</v>
      </c>
      <c r="C4301" s="2" t="s">
        <v>5105</v>
      </c>
      <c r="D4301" s="2" t="s">
        <v>5111</v>
      </c>
      <c r="E4301" s="1">
        <v>1</v>
      </c>
      <c r="F4301" s="2" t="s">
        <v>5116</v>
      </c>
      <c r="G4301" s="1">
        <v>7</v>
      </c>
      <c r="H4301" s="1" t="str">
        <f t="shared" si="70"/>
        <v>k235_7</v>
      </c>
      <c r="K4301" s="1">
        <f>IF(E4301=0,SUMPRODUCT(($A$2:$A$4734=A4301)*($B$2:$B$4734=B4301)*($D$2:$D$4734=D4301)*($E$2:$E$4734=0)),0)</f>
        <v>0</v>
      </c>
      <c r="L4301" s="1" t="str">
        <f>IF(E4301=0,SUMPRODUCT(MIN($K$2:$K$4734+((($A$2:$A$4734&lt;&gt;A4301)+($E$2:$E$4734&lt;&gt;0))&gt;0)*1000000)),"")</f>
        <v/>
      </c>
      <c r="M4301" s="1">
        <f>IF(AND(E4301=0,COUNTIFS($A$2:A4301,A4301,$E$2:E4301,0)=1),L4301,0)</f>
        <v>0</v>
      </c>
    </row>
    <row r="4302" spans="1:13" ht="15" customHeight="1">
      <c r="A4302" s="1">
        <v>235</v>
      </c>
      <c r="B4302" s="1" t="s">
        <v>173</v>
      </c>
      <c r="C4302" s="2" t="s">
        <v>5105</v>
      </c>
      <c r="D4302" s="2" t="s">
        <v>5106</v>
      </c>
      <c r="E4302" s="1">
        <v>1</v>
      </c>
      <c r="F4302" s="2" t="s">
        <v>5117</v>
      </c>
      <c r="G4302" s="1">
        <v>1</v>
      </c>
      <c r="H4302" s="1" t="str">
        <f t="shared" si="70"/>
        <v>k235_1</v>
      </c>
      <c r="K4302" s="1">
        <f>IF(E4302=0,SUMPRODUCT(($A$2:$A$4734=A4302)*($B$2:$B$4734=B4302)*($D$2:$D$4734=D4302)*($E$2:$E$4734=0)),0)</f>
        <v>0</v>
      </c>
      <c r="L4302" s="1" t="str">
        <f>IF(E4302=0,SUMPRODUCT(MIN($K$2:$K$4734+((($A$2:$A$4734&lt;&gt;A4302)+($E$2:$E$4734&lt;&gt;0))&gt;0)*1000000)),"")</f>
        <v/>
      </c>
      <c r="M4302" s="1">
        <f>IF(AND(E4302=0,COUNTIFS($A$2:A4302,A4302,$E$2:E4302,0)=1),L4302,0)</f>
        <v>0</v>
      </c>
    </row>
    <row r="4303" spans="1:13" ht="15" customHeight="1">
      <c r="A4303" s="1">
        <v>235</v>
      </c>
      <c r="B4303" s="1" t="s">
        <v>173</v>
      </c>
      <c r="C4303" s="2" t="s">
        <v>5105</v>
      </c>
      <c r="D4303" s="2" t="s">
        <v>5106</v>
      </c>
      <c r="E4303" s="1">
        <v>1</v>
      </c>
      <c r="F4303" s="2" t="s">
        <v>5118</v>
      </c>
      <c r="G4303" s="1">
        <v>2</v>
      </c>
      <c r="H4303" s="1" t="str">
        <f t="shared" si="70"/>
        <v>k235_2</v>
      </c>
      <c r="K4303" s="1">
        <f>IF(E4303=0,SUMPRODUCT(($A$2:$A$4734=A4303)*($B$2:$B$4734=B4303)*($D$2:$D$4734=D4303)*($E$2:$E$4734=0)),0)</f>
        <v>0</v>
      </c>
      <c r="L4303" s="1" t="str">
        <f>IF(E4303=0,SUMPRODUCT(MIN($K$2:$K$4734+((($A$2:$A$4734&lt;&gt;A4303)+($E$2:$E$4734&lt;&gt;0))&gt;0)*1000000)),"")</f>
        <v/>
      </c>
      <c r="M4303" s="1">
        <f>IF(AND(E4303=0,COUNTIFS($A$2:A4303,A4303,$E$2:E4303,0)=1),L4303,0)</f>
        <v>0</v>
      </c>
    </row>
    <row r="4304" spans="1:13" ht="15" customHeight="1">
      <c r="A4304" s="1">
        <v>235</v>
      </c>
      <c r="B4304" s="1" t="s">
        <v>173</v>
      </c>
      <c r="C4304" s="2" t="s">
        <v>5105</v>
      </c>
      <c r="D4304" s="2" t="s">
        <v>5106</v>
      </c>
      <c r="E4304" s="1">
        <v>1</v>
      </c>
      <c r="F4304" s="2" t="s">
        <v>5119</v>
      </c>
      <c r="G4304" s="1">
        <v>3</v>
      </c>
      <c r="H4304" s="1" t="str">
        <f t="shared" si="70"/>
        <v>k235_3</v>
      </c>
      <c r="K4304" s="1">
        <f>IF(E4304=0,SUMPRODUCT(($A$2:$A$4734=A4304)*($B$2:$B$4734=B4304)*($D$2:$D$4734=D4304)*($E$2:$E$4734=0)),0)</f>
        <v>0</v>
      </c>
      <c r="L4304" s="1" t="str">
        <f>IF(E4304=0,SUMPRODUCT(MIN($K$2:$K$4734+((($A$2:$A$4734&lt;&gt;A4304)+($E$2:$E$4734&lt;&gt;0))&gt;0)*1000000)),"")</f>
        <v/>
      </c>
      <c r="M4304" s="1">
        <f>IF(AND(E4304=0,COUNTIFS($A$2:A4304,A4304,$E$2:E4304,0)=1),L4304,0)</f>
        <v>0</v>
      </c>
    </row>
    <row r="4305" spans="1:13" ht="15" customHeight="1">
      <c r="A4305" s="1">
        <v>235</v>
      </c>
      <c r="B4305" s="1" t="s">
        <v>173</v>
      </c>
      <c r="C4305" s="2" t="s">
        <v>5105</v>
      </c>
      <c r="D4305" s="2" t="s">
        <v>5106</v>
      </c>
      <c r="E4305" s="1">
        <v>1</v>
      </c>
      <c r="F4305" s="2" t="s">
        <v>5120</v>
      </c>
      <c r="G4305" s="1">
        <v>4</v>
      </c>
      <c r="H4305" s="1" t="str">
        <f t="shared" si="70"/>
        <v>k235_4</v>
      </c>
      <c r="K4305" s="1">
        <f>IF(E4305=0,SUMPRODUCT(($A$2:$A$4734=A4305)*($B$2:$B$4734=B4305)*($D$2:$D$4734=D4305)*($E$2:$E$4734=0)),0)</f>
        <v>0</v>
      </c>
      <c r="L4305" s="1" t="str">
        <f>IF(E4305=0,SUMPRODUCT(MIN($K$2:$K$4734+((($A$2:$A$4734&lt;&gt;A4305)+($E$2:$E$4734&lt;&gt;0))&gt;0)*1000000)),"")</f>
        <v/>
      </c>
      <c r="M4305" s="1">
        <f>IF(AND(E4305=0,COUNTIFS($A$2:A4305,A4305,$E$2:E4305,0)=1),L4305,0)</f>
        <v>0</v>
      </c>
    </row>
    <row r="4306" spans="1:13" ht="15" customHeight="1">
      <c r="A4306" s="1">
        <v>235</v>
      </c>
      <c r="B4306" s="1" t="s">
        <v>173</v>
      </c>
      <c r="C4306" s="2" t="s">
        <v>5105</v>
      </c>
      <c r="D4306" s="2" t="s">
        <v>5106</v>
      </c>
      <c r="E4306" s="1">
        <v>1</v>
      </c>
      <c r="F4306" s="2" t="s">
        <v>5118</v>
      </c>
      <c r="G4306" s="1">
        <v>5</v>
      </c>
      <c r="H4306" s="1" t="str">
        <f t="shared" si="70"/>
        <v>k235_5</v>
      </c>
      <c r="K4306" s="1">
        <f>IF(E4306=0,SUMPRODUCT(($A$2:$A$4734=A4306)*($B$2:$B$4734=B4306)*($D$2:$D$4734=D4306)*($E$2:$E$4734=0)),0)</f>
        <v>0</v>
      </c>
      <c r="L4306" s="1" t="str">
        <f>IF(E4306=0,SUMPRODUCT(MIN($K$2:$K$4734+((($A$2:$A$4734&lt;&gt;A4306)+($E$2:$E$4734&lt;&gt;0))&gt;0)*1000000)),"")</f>
        <v/>
      </c>
      <c r="M4306" s="1">
        <f>IF(AND(E4306=0,COUNTIFS($A$2:A4306,A4306,$E$2:E4306,0)=1),L4306,0)</f>
        <v>0</v>
      </c>
    </row>
    <row r="4307" spans="1:13" ht="15" customHeight="1">
      <c r="A4307" s="1">
        <v>235</v>
      </c>
      <c r="B4307" s="1" t="s">
        <v>173</v>
      </c>
      <c r="C4307" s="2" t="s">
        <v>5105</v>
      </c>
      <c r="D4307" s="2" t="s">
        <v>5106</v>
      </c>
      <c r="E4307" s="1">
        <v>1</v>
      </c>
      <c r="F4307" s="2" t="s">
        <v>5119</v>
      </c>
      <c r="G4307" s="1">
        <v>6</v>
      </c>
      <c r="H4307" s="1" t="str">
        <f t="shared" si="70"/>
        <v>k235_6</v>
      </c>
      <c r="K4307" s="1">
        <f>IF(E4307=0,SUMPRODUCT(($A$2:$A$4734=A4307)*($B$2:$B$4734=B4307)*($D$2:$D$4734=D4307)*($E$2:$E$4734=0)),0)</f>
        <v>0</v>
      </c>
      <c r="L4307" s="1" t="str">
        <f>IF(E4307=0,SUMPRODUCT(MIN($K$2:$K$4734+((($A$2:$A$4734&lt;&gt;A4307)+($E$2:$E$4734&lt;&gt;0))&gt;0)*1000000)),"")</f>
        <v/>
      </c>
      <c r="M4307" s="1">
        <f>IF(AND(E4307=0,COUNTIFS($A$2:A4307,A4307,$E$2:E4307,0)=1),L4307,0)</f>
        <v>0</v>
      </c>
    </row>
    <row r="4308" spans="1:13" ht="15" customHeight="1">
      <c r="A4308" s="1">
        <v>235</v>
      </c>
      <c r="B4308" s="1" t="s">
        <v>173</v>
      </c>
      <c r="C4308" s="2" t="s">
        <v>5105</v>
      </c>
      <c r="D4308" s="2" t="s">
        <v>5106</v>
      </c>
      <c r="E4308" s="1">
        <v>1</v>
      </c>
      <c r="F4308" s="2" t="s">
        <v>5120</v>
      </c>
      <c r="G4308" s="1">
        <v>7</v>
      </c>
      <c r="H4308" s="1" t="str">
        <f t="shared" si="70"/>
        <v>k235_7</v>
      </c>
      <c r="K4308" s="1">
        <f>IF(E4308=0,SUMPRODUCT(($A$2:$A$4734=A4308)*($B$2:$B$4734=B4308)*($D$2:$D$4734=D4308)*($E$2:$E$4734=0)),0)</f>
        <v>0</v>
      </c>
      <c r="L4308" s="1" t="str">
        <f>IF(E4308=0,SUMPRODUCT(MIN($K$2:$K$4734+((($A$2:$A$4734&lt;&gt;A4308)+($E$2:$E$4734&lt;&gt;0))&gt;0)*1000000)),"")</f>
        <v/>
      </c>
      <c r="M4308" s="1">
        <f>IF(AND(E4308=0,COUNTIFS($A$2:A4308,A4308,$E$2:E4308,0)=1),L4308,0)</f>
        <v>0</v>
      </c>
    </row>
    <row r="4309" spans="1:13" ht="15" customHeight="1">
      <c r="A4309" s="1">
        <v>236</v>
      </c>
      <c r="B4309" s="1" t="s">
        <v>266</v>
      </c>
      <c r="C4309" s="2" t="s">
        <v>5121</v>
      </c>
      <c r="D4309" s="2" t="s">
        <v>5122</v>
      </c>
      <c r="E4309" s="1">
        <v>1</v>
      </c>
      <c r="F4309" s="2" t="s">
        <v>5123</v>
      </c>
      <c r="G4309" s="1">
        <v>1</v>
      </c>
      <c r="H4309" s="1" t="str">
        <f t="shared" si="70"/>
        <v>k236_1</v>
      </c>
      <c r="K4309" s="1">
        <f>IF(E4309=0,SUMPRODUCT(($A$2:$A$4734=A4309)*($B$2:$B$4734=B4309)*($D$2:$D$4734=D4309)*($E$2:$E$4734=0)),0)</f>
        <v>0</v>
      </c>
      <c r="L4309" s="1" t="str">
        <f>IF(E4309=0,SUMPRODUCT(MIN($K$2:$K$4734+((($A$2:$A$4734&lt;&gt;A4309)+($E$2:$E$4734&lt;&gt;0))&gt;0)*1000000)),"")</f>
        <v/>
      </c>
      <c r="M4309" s="1">
        <f>IF(AND(E4309=0,COUNTIFS($A$2:A4309,A4309,$E$2:E4309,0)=1),L4309,0)</f>
        <v>0</v>
      </c>
    </row>
    <row r="4310" spans="1:13" ht="15" customHeight="1">
      <c r="A4310" s="1">
        <v>236</v>
      </c>
      <c r="B4310" s="1" t="s">
        <v>266</v>
      </c>
      <c r="C4310" s="2" t="s">
        <v>5121</v>
      </c>
      <c r="D4310" s="2" t="s">
        <v>5122</v>
      </c>
      <c r="E4310" s="1">
        <v>1</v>
      </c>
      <c r="F4310" s="2" t="s">
        <v>5124</v>
      </c>
      <c r="G4310" s="1">
        <v>2</v>
      </c>
      <c r="H4310" s="1" t="str">
        <f t="shared" si="70"/>
        <v>k236_2</v>
      </c>
      <c r="K4310" s="1">
        <f>IF(E4310=0,SUMPRODUCT(($A$2:$A$4734=A4310)*($B$2:$B$4734=B4310)*($D$2:$D$4734=D4310)*($E$2:$E$4734=0)),0)</f>
        <v>0</v>
      </c>
      <c r="L4310" s="1" t="str">
        <f>IF(E4310=0,SUMPRODUCT(MIN($K$2:$K$4734+((($A$2:$A$4734&lt;&gt;A4310)+($E$2:$E$4734&lt;&gt;0))&gt;0)*1000000)),"")</f>
        <v/>
      </c>
      <c r="M4310" s="1">
        <f>IF(AND(E4310=0,COUNTIFS($A$2:A4310,A4310,$E$2:E4310,0)=1),L4310,0)</f>
        <v>0</v>
      </c>
    </row>
    <row r="4311" spans="1:13" ht="15" customHeight="1">
      <c r="A4311" s="1">
        <v>236</v>
      </c>
      <c r="B4311" s="1" t="s">
        <v>266</v>
      </c>
      <c r="C4311" s="2" t="s">
        <v>5121</v>
      </c>
      <c r="D4311" s="2" t="s">
        <v>5122</v>
      </c>
      <c r="E4311" s="1">
        <v>1</v>
      </c>
      <c r="F4311" s="2" t="s">
        <v>5125</v>
      </c>
      <c r="G4311" s="1">
        <v>3</v>
      </c>
      <c r="H4311" s="1" t="str">
        <f t="shared" si="70"/>
        <v>k236_3</v>
      </c>
      <c r="K4311" s="1">
        <f>IF(E4311=0,SUMPRODUCT(($A$2:$A$4734=A4311)*($B$2:$B$4734=B4311)*($D$2:$D$4734=D4311)*($E$2:$E$4734=0)),0)</f>
        <v>0</v>
      </c>
      <c r="L4311" s="1" t="str">
        <f>IF(E4311=0,SUMPRODUCT(MIN($K$2:$K$4734+((($A$2:$A$4734&lt;&gt;A4311)+($E$2:$E$4734&lt;&gt;0))&gt;0)*1000000)),"")</f>
        <v/>
      </c>
      <c r="M4311" s="1">
        <f>IF(AND(E4311=0,COUNTIFS($A$2:A4311,A4311,$E$2:E4311,0)=1),L4311,0)</f>
        <v>0</v>
      </c>
    </row>
    <row r="4312" spans="1:13" ht="15" customHeight="1">
      <c r="A4312" s="1">
        <v>237</v>
      </c>
      <c r="B4312" s="1" t="s">
        <v>358</v>
      </c>
      <c r="C4312" s="2" t="s">
        <v>5126</v>
      </c>
      <c r="D4312" s="2" t="s">
        <v>5127</v>
      </c>
      <c r="E4312" s="1">
        <v>1</v>
      </c>
      <c r="F4312" s="2" t="s">
        <v>5128</v>
      </c>
      <c r="G4312" s="1">
        <v>1</v>
      </c>
      <c r="H4312" s="1" t="str">
        <f t="shared" si="70"/>
        <v>k237_1</v>
      </c>
      <c r="K4312" s="1">
        <f>IF(E4312=0,SUMPRODUCT(($A$2:$A$4734=A4312)*($B$2:$B$4734=B4312)*($D$2:$D$4734=D4312)*($E$2:$E$4734=0)),0)</f>
        <v>0</v>
      </c>
      <c r="L4312" s="1" t="str">
        <f>IF(E4312=0,SUMPRODUCT(MIN($K$2:$K$4734+((($A$2:$A$4734&lt;&gt;A4312)+($E$2:$E$4734&lt;&gt;0))&gt;0)*1000000)),"")</f>
        <v/>
      </c>
      <c r="M4312" s="1">
        <f>IF(AND(E4312=0,COUNTIFS($A$2:A4312,A4312,$E$2:E4312,0)=1),L4312,0)</f>
        <v>0</v>
      </c>
    </row>
    <row r="4313" spans="1:13" ht="15" customHeight="1">
      <c r="A4313" s="1">
        <v>237</v>
      </c>
      <c r="B4313" s="1" t="s">
        <v>358</v>
      </c>
      <c r="C4313" s="2" t="s">
        <v>5126</v>
      </c>
      <c r="D4313" s="2" t="s">
        <v>5127</v>
      </c>
      <c r="E4313" s="1">
        <v>1</v>
      </c>
      <c r="F4313" s="2" t="s">
        <v>5129</v>
      </c>
      <c r="G4313" s="1">
        <v>2</v>
      </c>
      <c r="H4313" s="1" t="str">
        <f t="shared" si="70"/>
        <v>k237_2</v>
      </c>
      <c r="K4313" s="1">
        <f>IF(E4313=0,SUMPRODUCT(($A$2:$A$4734=A4313)*($B$2:$B$4734=B4313)*($D$2:$D$4734=D4313)*($E$2:$E$4734=0)),0)</f>
        <v>0</v>
      </c>
      <c r="L4313" s="1" t="str">
        <f>IF(E4313=0,SUMPRODUCT(MIN($K$2:$K$4734+((($A$2:$A$4734&lt;&gt;A4313)+($E$2:$E$4734&lt;&gt;0))&gt;0)*1000000)),"")</f>
        <v/>
      </c>
      <c r="M4313" s="1">
        <f>IF(AND(E4313=0,COUNTIFS($A$2:A4313,A4313,$E$2:E4313,0)=1),L4313,0)</f>
        <v>0</v>
      </c>
    </row>
    <row r="4314" spans="1:13" ht="15" customHeight="1">
      <c r="A4314" s="1">
        <v>237</v>
      </c>
      <c r="B4314" s="1" t="s">
        <v>358</v>
      </c>
      <c r="C4314" s="2" t="s">
        <v>5126</v>
      </c>
      <c r="D4314" s="2" t="s">
        <v>5127</v>
      </c>
      <c r="E4314" s="1">
        <v>1</v>
      </c>
      <c r="F4314" s="2" t="s">
        <v>5130</v>
      </c>
      <c r="G4314" s="1">
        <v>3</v>
      </c>
      <c r="H4314" s="1" t="str">
        <f t="shared" si="70"/>
        <v>k237_3</v>
      </c>
      <c r="K4314" s="1">
        <f>IF(E4314=0,SUMPRODUCT(($A$2:$A$4734=A4314)*($B$2:$B$4734=B4314)*($D$2:$D$4734=D4314)*($E$2:$E$4734=0)),0)</f>
        <v>0</v>
      </c>
      <c r="L4314" s="1" t="str">
        <f>IF(E4314=0,SUMPRODUCT(MIN($K$2:$K$4734+((($A$2:$A$4734&lt;&gt;A4314)+($E$2:$E$4734&lt;&gt;0))&gt;0)*1000000)),"")</f>
        <v/>
      </c>
      <c r="M4314" s="1">
        <f>IF(AND(E4314=0,COUNTIFS($A$2:A4314,A4314,$E$2:E4314,0)=1),L4314,0)</f>
        <v>0</v>
      </c>
    </row>
    <row r="4315" spans="1:13" ht="15" customHeight="1">
      <c r="A4315" s="1">
        <v>237</v>
      </c>
      <c r="B4315" s="1" t="s">
        <v>358</v>
      </c>
      <c r="C4315" s="2" t="s">
        <v>5126</v>
      </c>
      <c r="D4315" s="2" t="s">
        <v>5127</v>
      </c>
      <c r="E4315" s="1">
        <v>1</v>
      </c>
      <c r="F4315" s="2" t="s">
        <v>5131</v>
      </c>
      <c r="G4315" s="1">
        <v>4</v>
      </c>
      <c r="H4315" s="1" t="str">
        <f t="shared" si="70"/>
        <v>k237_4</v>
      </c>
      <c r="K4315" s="1">
        <f>IF(E4315=0,SUMPRODUCT(($A$2:$A$4734=A4315)*($B$2:$B$4734=B4315)*($D$2:$D$4734=D4315)*($E$2:$E$4734=0)),0)</f>
        <v>0</v>
      </c>
      <c r="L4315" s="1" t="str">
        <f>IF(E4315=0,SUMPRODUCT(MIN($K$2:$K$4734+((($A$2:$A$4734&lt;&gt;A4315)+($E$2:$E$4734&lt;&gt;0))&gt;0)*1000000)),"")</f>
        <v/>
      </c>
      <c r="M4315" s="1">
        <f>IF(AND(E4315=0,COUNTIFS($A$2:A4315,A4315,$E$2:E4315,0)=1),L4315,0)</f>
        <v>0</v>
      </c>
    </row>
    <row r="4316" spans="1:13" ht="15" customHeight="1">
      <c r="A4316" s="1">
        <v>237</v>
      </c>
      <c r="B4316" s="1" t="s">
        <v>358</v>
      </c>
      <c r="C4316" s="2" t="s">
        <v>5126</v>
      </c>
      <c r="D4316" s="2" t="s">
        <v>5127</v>
      </c>
      <c r="E4316" s="1">
        <v>1</v>
      </c>
      <c r="F4316" s="2" t="s">
        <v>5132</v>
      </c>
      <c r="G4316" s="1">
        <v>5</v>
      </c>
      <c r="H4316" s="1" t="str">
        <f t="shared" si="70"/>
        <v>k237_5</v>
      </c>
      <c r="K4316" s="1">
        <f>IF(E4316=0,SUMPRODUCT(($A$2:$A$4734=A4316)*($B$2:$B$4734=B4316)*($D$2:$D$4734=D4316)*($E$2:$E$4734=0)),0)</f>
        <v>0</v>
      </c>
      <c r="L4316" s="1" t="str">
        <f>IF(E4316=0,SUMPRODUCT(MIN($K$2:$K$4734+((($A$2:$A$4734&lt;&gt;A4316)+($E$2:$E$4734&lt;&gt;0))&gt;0)*1000000)),"")</f>
        <v/>
      </c>
      <c r="M4316" s="1">
        <f>IF(AND(E4316=0,COUNTIFS($A$2:A4316,A4316,$E$2:E4316,0)=1),L4316,0)</f>
        <v>0</v>
      </c>
    </row>
    <row r="4317" spans="1:13" ht="15" customHeight="1">
      <c r="A4317" s="1">
        <v>237</v>
      </c>
      <c r="B4317" s="1" t="s">
        <v>69</v>
      </c>
      <c r="C4317" s="2" t="s">
        <v>5126</v>
      </c>
      <c r="D4317" s="2" t="s">
        <v>5127</v>
      </c>
      <c r="E4317" s="1">
        <v>1</v>
      </c>
      <c r="F4317" s="2" t="s">
        <v>5133</v>
      </c>
      <c r="G4317" s="1">
        <v>1</v>
      </c>
      <c r="H4317" s="1" t="str">
        <f t="shared" si="70"/>
        <v>k237_1</v>
      </c>
      <c r="K4317" s="1">
        <f>IF(E4317=0,SUMPRODUCT(($A$2:$A$4734=A4317)*($B$2:$B$4734=B4317)*($D$2:$D$4734=D4317)*($E$2:$E$4734=0)),0)</f>
        <v>0</v>
      </c>
      <c r="L4317" s="1" t="str">
        <f>IF(E4317=0,SUMPRODUCT(MIN($K$2:$K$4734+((($A$2:$A$4734&lt;&gt;A4317)+($E$2:$E$4734&lt;&gt;0))&gt;0)*1000000)),"")</f>
        <v/>
      </c>
      <c r="M4317" s="1">
        <f>IF(AND(E4317=0,COUNTIFS($A$2:A4317,A4317,$E$2:E4317,0)=1),L4317,0)</f>
        <v>0</v>
      </c>
    </row>
    <row r="4318" spans="1:13" ht="15" customHeight="1">
      <c r="A4318" s="1">
        <v>237</v>
      </c>
      <c r="B4318" s="1" t="s">
        <v>69</v>
      </c>
      <c r="C4318" s="2" t="s">
        <v>5126</v>
      </c>
      <c r="D4318" s="2" t="s">
        <v>5127</v>
      </c>
      <c r="E4318" s="1">
        <v>1</v>
      </c>
      <c r="F4318" s="2" t="s">
        <v>5134</v>
      </c>
      <c r="G4318" s="1">
        <v>2</v>
      </c>
      <c r="H4318" s="1" t="str">
        <f t="shared" si="70"/>
        <v>k237_2</v>
      </c>
      <c r="K4318" s="1">
        <f>IF(E4318=0,SUMPRODUCT(($A$2:$A$4734=A4318)*($B$2:$B$4734=B4318)*($D$2:$D$4734=D4318)*($E$2:$E$4734=0)),0)</f>
        <v>0</v>
      </c>
      <c r="L4318" s="1" t="str">
        <f>IF(E4318=0,SUMPRODUCT(MIN($K$2:$K$4734+((($A$2:$A$4734&lt;&gt;A4318)+($E$2:$E$4734&lt;&gt;0))&gt;0)*1000000)),"")</f>
        <v/>
      </c>
      <c r="M4318" s="1">
        <f>IF(AND(E4318=0,COUNTIFS($A$2:A4318,A4318,$E$2:E4318,0)=1),L4318,0)</f>
        <v>0</v>
      </c>
    </row>
    <row r="4319" spans="1:13" ht="15" customHeight="1">
      <c r="A4319" s="1">
        <v>237</v>
      </c>
      <c r="B4319" s="1" t="s">
        <v>69</v>
      </c>
      <c r="C4319" s="2" t="s">
        <v>5126</v>
      </c>
      <c r="D4319" s="2" t="s">
        <v>5127</v>
      </c>
      <c r="E4319" s="1">
        <v>1</v>
      </c>
      <c r="F4319" s="2" t="s">
        <v>5135</v>
      </c>
      <c r="G4319" s="1">
        <v>3</v>
      </c>
      <c r="H4319" s="1" t="str">
        <f t="shared" si="70"/>
        <v>k237_3</v>
      </c>
      <c r="K4319" s="1">
        <f>IF(E4319=0,SUMPRODUCT(($A$2:$A$4734=A4319)*($B$2:$B$4734=B4319)*($D$2:$D$4734=D4319)*($E$2:$E$4734=0)),0)</f>
        <v>0</v>
      </c>
      <c r="L4319" s="1" t="str">
        <f>IF(E4319=0,SUMPRODUCT(MIN($K$2:$K$4734+((($A$2:$A$4734&lt;&gt;A4319)+($E$2:$E$4734&lt;&gt;0))&gt;0)*1000000)),"")</f>
        <v/>
      </c>
      <c r="M4319" s="1">
        <f>IF(AND(E4319=0,COUNTIFS($A$2:A4319,A4319,$E$2:E4319,0)=1),L4319,0)</f>
        <v>0</v>
      </c>
    </row>
    <row r="4320" spans="1:13" ht="15" customHeight="1">
      <c r="A4320" s="1">
        <v>237</v>
      </c>
      <c r="B4320" s="1" t="s">
        <v>69</v>
      </c>
      <c r="C4320" s="2" t="s">
        <v>5126</v>
      </c>
      <c r="D4320" s="2" t="s">
        <v>5127</v>
      </c>
      <c r="E4320" s="1">
        <v>1</v>
      </c>
      <c r="F4320" s="2" t="s">
        <v>5136</v>
      </c>
      <c r="G4320" s="1">
        <v>4</v>
      </c>
      <c r="H4320" s="1" t="str">
        <f t="shared" si="70"/>
        <v>k237_4</v>
      </c>
      <c r="K4320" s="1">
        <f>IF(E4320=0,SUMPRODUCT(($A$2:$A$4734=A4320)*($B$2:$B$4734=B4320)*($D$2:$D$4734=D4320)*($E$2:$E$4734=0)),0)</f>
        <v>0</v>
      </c>
      <c r="L4320" s="1" t="str">
        <f>IF(E4320=0,SUMPRODUCT(MIN($K$2:$K$4734+((($A$2:$A$4734&lt;&gt;A4320)+($E$2:$E$4734&lt;&gt;0))&gt;0)*1000000)),"")</f>
        <v/>
      </c>
      <c r="M4320" s="1">
        <f>IF(AND(E4320=0,COUNTIFS($A$2:A4320,A4320,$E$2:E4320,0)=1),L4320,0)</f>
        <v>0</v>
      </c>
    </row>
    <row r="4321" spans="1:13" ht="15" customHeight="1">
      <c r="A4321" s="1">
        <v>237</v>
      </c>
      <c r="B4321" s="1" t="s">
        <v>69</v>
      </c>
      <c r="C4321" s="2" t="s">
        <v>5126</v>
      </c>
      <c r="D4321" s="2" t="s">
        <v>5127</v>
      </c>
      <c r="E4321" s="1">
        <v>1</v>
      </c>
      <c r="F4321" s="2" t="s">
        <v>5137</v>
      </c>
      <c r="G4321" s="1">
        <v>5</v>
      </c>
      <c r="H4321" s="1" t="str">
        <f t="shared" si="70"/>
        <v>k237_5</v>
      </c>
      <c r="K4321" s="1">
        <f>IF(E4321=0,SUMPRODUCT(($A$2:$A$4734=A4321)*($B$2:$B$4734=B4321)*($D$2:$D$4734=D4321)*($E$2:$E$4734=0)),0)</f>
        <v>0</v>
      </c>
      <c r="L4321" s="1" t="str">
        <f>IF(E4321=0,SUMPRODUCT(MIN($K$2:$K$4734+((($A$2:$A$4734&lt;&gt;A4321)+($E$2:$E$4734&lt;&gt;0))&gt;0)*1000000)),"")</f>
        <v/>
      </c>
      <c r="M4321" s="1">
        <f>IF(AND(E4321=0,COUNTIFS($A$2:A4321,A4321,$E$2:E4321,0)=1),L4321,0)</f>
        <v>0</v>
      </c>
    </row>
    <row r="4322" spans="1:13" ht="15" customHeight="1">
      <c r="A4322" s="1">
        <v>238</v>
      </c>
      <c r="B4322" s="1" t="s">
        <v>9</v>
      </c>
      <c r="C4322" s="2" t="s">
        <v>5138</v>
      </c>
      <c r="D4322" s="2" t="s">
        <v>3310</v>
      </c>
      <c r="E4322" s="1">
        <v>1</v>
      </c>
      <c r="F4322" s="2" t="s">
        <v>5139</v>
      </c>
      <c r="G4322" s="1">
        <v>3</v>
      </c>
      <c r="H4322" s="1" t="str">
        <f t="shared" si="70"/>
        <v>k238_3</v>
      </c>
      <c r="K4322" s="1">
        <f>IF(E4322=0,SUMPRODUCT(($A$2:$A$4734=A4322)*($B$2:$B$4734=B4322)*($D$2:$D$4734=D4322)*($E$2:$E$4734=0)),0)</f>
        <v>0</v>
      </c>
      <c r="L4322" s="1" t="str">
        <f>IF(E4322=0,SUMPRODUCT(MIN($K$2:$K$4734+((($A$2:$A$4734&lt;&gt;A4322)+($E$2:$E$4734&lt;&gt;0))&gt;0)*1000000)),"")</f>
        <v/>
      </c>
      <c r="M4322" s="1">
        <f>IF(AND(E4322=0,COUNTIFS($A$2:A4322,A4322,$E$2:E4322,0)=1),L4322,0)</f>
        <v>0</v>
      </c>
    </row>
    <row r="4323" spans="1:13" ht="15" customHeight="1">
      <c r="A4323" s="1">
        <v>238</v>
      </c>
      <c r="B4323" s="1" t="s">
        <v>9</v>
      </c>
      <c r="C4323" s="2" t="s">
        <v>5138</v>
      </c>
      <c r="D4323" s="2" t="s">
        <v>3310</v>
      </c>
      <c r="E4323" s="1">
        <v>1</v>
      </c>
      <c r="F4323" s="2" t="s">
        <v>5140</v>
      </c>
      <c r="G4323" s="1">
        <v>1</v>
      </c>
      <c r="H4323" s="1" t="str">
        <f t="shared" si="70"/>
        <v>k238_1</v>
      </c>
      <c r="K4323" s="1">
        <f>IF(E4323=0,SUMPRODUCT(($A$2:$A$4734=A4323)*($B$2:$B$4734=B4323)*($D$2:$D$4734=D4323)*($E$2:$E$4734=0)),0)</f>
        <v>0</v>
      </c>
      <c r="L4323" s="1" t="str">
        <f>IF(E4323=0,SUMPRODUCT(MIN($K$2:$K$4734+((($A$2:$A$4734&lt;&gt;A4323)+($E$2:$E$4734&lt;&gt;0))&gt;0)*1000000)),"")</f>
        <v/>
      </c>
      <c r="M4323" s="1">
        <f>IF(AND(E4323=0,COUNTIFS($A$2:A4323,A4323,$E$2:E4323,0)=1),L4323,0)</f>
        <v>0</v>
      </c>
    </row>
    <row r="4324" spans="1:13" ht="15" customHeight="1">
      <c r="A4324" s="1">
        <v>238</v>
      </c>
      <c r="B4324" s="1" t="s">
        <v>9</v>
      </c>
      <c r="C4324" s="2" t="s">
        <v>5138</v>
      </c>
      <c r="D4324" s="2" t="s">
        <v>3310</v>
      </c>
      <c r="E4324" s="1">
        <v>1</v>
      </c>
      <c r="F4324" s="2" t="s">
        <v>5141</v>
      </c>
      <c r="G4324" s="1">
        <v>2</v>
      </c>
      <c r="H4324" s="1" t="str">
        <f t="shared" si="70"/>
        <v>k238_2</v>
      </c>
      <c r="K4324" s="1">
        <f>IF(E4324=0,SUMPRODUCT(($A$2:$A$4734=A4324)*($B$2:$B$4734=B4324)*($D$2:$D$4734=D4324)*($E$2:$E$4734=0)),0)</f>
        <v>0</v>
      </c>
      <c r="L4324" s="1" t="str">
        <f>IF(E4324=0,SUMPRODUCT(MIN($K$2:$K$4734+((($A$2:$A$4734&lt;&gt;A4324)+($E$2:$E$4734&lt;&gt;0))&gt;0)*1000000)),"")</f>
        <v/>
      </c>
      <c r="M4324" s="1">
        <f>IF(AND(E4324=0,COUNTIFS($A$2:A4324,A4324,$E$2:E4324,0)=1),L4324,0)</f>
        <v>0</v>
      </c>
    </row>
    <row r="4325" spans="1:13" ht="15" customHeight="1">
      <c r="A4325" s="1">
        <v>238</v>
      </c>
      <c r="B4325" s="1" t="s">
        <v>9</v>
      </c>
      <c r="C4325" s="2" t="s">
        <v>5138</v>
      </c>
      <c r="D4325" s="2" t="s">
        <v>3310</v>
      </c>
      <c r="E4325" s="1">
        <v>1</v>
      </c>
      <c r="F4325" s="2" t="s">
        <v>5142</v>
      </c>
      <c r="G4325" s="1">
        <v>4</v>
      </c>
      <c r="H4325" s="1" t="str">
        <f t="shared" si="70"/>
        <v>k238_4</v>
      </c>
      <c r="K4325" s="1">
        <f>IF(E4325=0,SUMPRODUCT(($A$2:$A$4734=A4325)*($B$2:$B$4734=B4325)*($D$2:$D$4734=D4325)*($E$2:$E$4734=0)),0)</f>
        <v>0</v>
      </c>
      <c r="L4325" s="1" t="str">
        <f>IF(E4325=0,SUMPRODUCT(MIN($K$2:$K$4734+((($A$2:$A$4734&lt;&gt;A4325)+($E$2:$E$4734&lt;&gt;0))&gt;0)*1000000)),"")</f>
        <v/>
      </c>
      <c r="M4325" s="1">
        <f>IF(AND(E4325=0,COUNTIFS($A$2:A4325,A4325,$E$2:E4325,0)=1),L4325,0)</f>
        <v>0</v>
      </c>
    </row>
    <row r="4326" spans="1:13" ht="15" customHeight="1">
      <c r="A4326" s="1">
        <v>238</v>
      </c>
      <c r="B4326" s="1" t="s">
        <v>16</v>
      </c>
      <c r="C4326" s="2" t="s">
        <v>5138</v>
      </c>
      <c r="D4326" s="2" t="s">
        <v>5143</v>
      </c>
      <c r="E4326" s="1">
        <v>1</v>
      </c>
      <c r="F4326" s="2" t="s">
        <v>5144</v>
      </c>
      <c r="G4326" s="1">
        <v>1</v>
      </c>
      <c r="H4326" s="1" t="str">
        <f t="shared" si="70"/>
        <v>k238_1</v>
      </c>
      <c r="K4326" s="1">
        <f>IF(E4326=0,SUMPRODUCT(($A$2:$A$4734=A4326)*($B$2:$B$4734=B4326)*($D$2:$D$4734=D4326)*($E$2:$E$4734=0)),0)</f>
        <v>0</v>
      </c>
      <c r="L4326" s="1" t="str">
        <f>IF(E4326=0,SUMPRODUCT(MIN($K$2:$K$4734+((($A$2:$A$4734&lt;&gt;A4326)+($E$2:$E$4734&lt;&gt;0))&gt;0)*1000000)),"")</f>
        <v/>
      </c>
      <c r="M4326" s="1">
        <f>IF(AND(E4326=0,COUNTIFS($A$2:A4326,A4326,$E$2:E4326,0)=1),L4326,0)</f>
        <v>0</v>
      </c>
    </row>
    <row r="4327" spans="1:13" ht="15" customHeight="1">
      <c r="A4327" s="1">
        <v>238</v>
      </c>
      <c r="B4327" s="1" t="s">
        <v>16</v>
      </c>
      <c r="C4327" s="2" t="s">
        <v>5138</v>
      </c>
      <c r="D4327" s="2" t="s">
        <v>5143</v>
      </c>
      <c r="E4327" s="1">
        <v>1</v>
      </c>
      <c r="F4327" s="2" t="s">
        <v>5145</v>
      </c>
      <c r="G4327" s="1">
        <v>2</v>
      </c>
      <c r="H4327" s="1" t="str">
        <f t="shared" si="70"/>
        <v>k238_2</v>
      </c>
      <c r="K4327" s="1">
        <f>IF(E4327=0,SUMPRODUCT(($A$2:$A$4734=A4327)*($B$2:$B$4734=B4327)*($D$2:$D$4734=D4327)*($E$2:$E$4734=0)),0)</f>
        <v>0</v>
      </c>
      <c r="L4327" s="1" t="str">
        <f>IF(E4327=0,SUMPRODUCT(MIN($K$2:$K$4734+((($A$2:$A$4734&lt;&gt;A4327)+($E$2:$E$4734&lt;&gt;0))&gt;0)*1000000)),"")</f>
        <v/>
      </c>
      <c r="M4327" s="1">
        <f>IF(AND(E4327=0,COUNTIFS($A$2:A4327,A4327,$E$2:E4327,0)=1),L4327,0)</f>
        <v>0</v>
      </c>
    </row>
    <row r="4328" spans="1:13" ht="15" customHeight="1">
      <c r="A4328" s="1">
        <v>238</v>
      </c>
      <c r="B4328" s="1" t="s">
        <v>16</v>
      </c>
      <c r="C4328" s="2" t="s">
        <v>5138</v>
      </c>
      <c r="D4328" s="2" t="s">
        <v>5143</v>
      </c>
      <c r="E4328" s="1">
        <v>1</v>
      </c>
      <c r="F4328" s="2" t="s">
        <v>5146</v>
      </c>
      <c r="G4328" s="1">
        <v>3</v>
      </c>
      <c r="H4328" s="1" t="str">
        <f t="shared" si="70"/>
        <v>k238_3</v>
      </c>
      <c r="K4328" s="1">
        <f>IF(E4328=0,SUMPRODUCT(($A$2:$A$4734=A4328)*($B$2:$B$4734=B4328)*($D$2:$D$4734=D4328)*($E$2:$E$4734=0)),0)</f>
        <v>0</v>
      </c>
      <c r="L4328" s="1" t="str">
        <f>IF(E4328=0,SUMPRODUCT(MIN($K$2:$K$4734+((($A$2:$A$4734&lt;&gt;A4328)+($E$2:$E$4734&lt;&gt;0))&gt;0)*1000000)),"")</f>
        <v/>
      </c>
      <c r="M4328" s="1">
        <f>IF(AND(E4328=0,COUNTIFS($A$2:A4328,A4328,$E$2:E4328,0)=1),L4328,0)</f>
        <v>0</v>
      </c>
    </row>
    <row r="4329" spans="1:13" ht="15" customHeight="1">
      <c r="A4329" s="1">
        <v>238</v>
      </c>
      <c r="B4329" s="1" t="s">
        <v>16</v>
      </c>
      <c r="C4329" s="2" t="s">
        <v>5138</v>
      </c>
      <c r="D4329" s="2" t="s">
        <v>5143</v>
      </c>
      <c r="E4329" s="1">
        <v>1</v>
      </c>
      <c r="F4329" s="2" t="s">
        <v>5147</v>
      </c>
      <c r="G4329" s="1">
        <v>4</v>
      </c>
      <c r="H4329" s="1" t="str">
        <f t="shared" si="70"/>
        <v>k238_4</v>
      </c>
      <c r="K4329" s="1">
        <f>IF(E4329=0,SUMPRODUCT(($A$2:$A$4734=A4329)*($B$2:$B$4734=B4329)*($D$2:$D$4734=D4329)*($E$2:$E$4734=0)),0)</f>
        <v>0</v>
      </c>
      <c r="L4329" s="1" t="str">
        <f>IF(E4329=0,SUMPRODUCT(MIN($K$2:$K$4734+((($A$2:$A$4734&lt;&gt;A4329)+($E$2:$E$4734&lt;&gt;0))&gt;0)*1000000)),"")</f>
        <v/>
      </c>
      <c r="M4329" s="1">
        <f>IF(AND(E4329=0,COUNTIFS($A$2:A4329,A4329,$E$2:E4329,0)=1),L4329,0)</f>
        <v>0</v>
      </c>
    </row>
    <row r="4330" spans="1:13" ht="15" customHeight="1">
      <c r="A4330" s="1">
        <v>238</v>
      </c>
      <c r="B4330" s="1" t="s">
        <v>69</v>
      </c>
      <c r="C4330" s="2" t="s">
        <v>5138</v>
      </c>
      <c r="D4330" s="2" t="s">
        <v>5148</v>
      </c>
      <c r="E4330" s="1">
        <v>1</v>
      </c>
      <c r="F4330" s="2" t="s">
        <v>5149</v>
      </c>
      <c r="G4330" s="1">
        <v>1</v>
      </c>
      <c r="H4330" s="1" t="str">
        <f t="shared" si="70"/>
        <v>k238_1</v>
      </c>
      <c r="K4330" s="1">
        <f>IF(E4330=0,SUMPRODUCT(($A$2:$A$4734=A4330)*($B$2:$B$4734=B4330)*($D$2:$D$4734=D4330)*($E$2:$E$4734=0)),0)</f>
        <v>0</v>
      </c>
      <c r="L4330" s="1" t="str">
        <f>IF(E4330=0,SUMPRODUCT(MIN($K$2:$K$4734+((($A$2:$A$4734&lt;&gt;A4330)+($E$2:$E$4734&lt;&gt;0))&gt;0)*1000000)),"")</f>
        <v/>
      </c>
      <c r="M4330" s="1">
        <f>IF(AND(E4330=0,COUNTIFS($A$2:A4330,A4330,$E$2:E4330,0)=1),L4330,0)</f>
        <v>0</v>
      </c>
    </row>
    <row r="4331" spans="1:13" ht="15" customHeight="1">
      <c r="A4331" s="1">
        <v>238</v>
      </c>
      <c r="B4331" s="1" t="s">
        <v>69</v>
      </c>
      <c r="C4331" s="2" t="s">
        <v>5138</v>
      </c>
      <c r="D4331" s="2" t="s">
        <v>5148</v>
      </c>
      <c r="E4331" s="1">
        <v>1</v>
      </c>
      <c r="F4331" s="2" t="s">
        <v>5150</v>
      </c>
      <c r="G4331" s="1">
        <v>2</v>
      </c>
      <c r="H4331" s="1" t="str">
        <f t="shared" si="70"/>
        <v>k238_2</v>
      </c>
      <c r="K4331" s="1">
        <f>IF(E4331=0,SUMPRODUCT(($A$2:$A$4734=A4331)*($B$2:$B$4734=B4331)*($D$2:$D$4734=D4331)*($E$2:$E$4734=0)),0)</f>
        <v>0</v>
      </c>
      <c r="L4331" s="1" t="str">
        <f>IF(E4331=0,SUMPRODUCT(MIN($K$2:$K$4734+((($A$2:$A$4734&lt;&gt;A4331)+($E$2:$E$4734&lt;&gt;0))&gt;0)*1000000)),"")</f>
        <v/>
      </c>
      <c r="M4331" s="1">
        <f>IF(AND(E4331=0,COUNTIFS($A$2:A4331,A4331,$E$2:E4331,0)=1),L4331,0)</f>
        <v>0</v>
      </c>
    </row>
    <row r="4332" spans="1:13" ht="15" customHeight="1">
      <c r="A4332" s="1">
        <v>238</v>
      </c>
      <c r="B4332" s="1" t="s">
        <v>69</v>
      </c>
      <c r="C4332" s="2" t="s">
        <v>5138</v>
      </c>
      <c r="D4332" s="2" t="s">
        <v>5148</v>
      </c>
      <c r="E4332" s="1">
        <v>1</v>
      </c>
      <c r="F4332" s="2" t="s">
        <v>5151</v>
      </c>
      <c r="G4332" s="1">
        <v>3</v>
      </c>
      <c r="H4332" s="1" t="str">
        <f t="shared" si="70"/>
        <v>k238_3</v>
      </c>
      <c r="K4332" s="1">
        <f>IF(E4332=0,SUMPRODUCT(($A$2:$A$4734=A4332)*($B$2:$B$4734=B4332)*($D$2:$D$4734=D4332)*($E$2:$E$4734=0)),0)</f>
        <v>0</v>
      </c>
      <c r="L4332" s="1" t="str">
        <f>IF(E4332=0,SUMPRODUCT(MIN($K$2:$K$4734+((($A$2:$A$4734&lt;&gt;A4332)+($E$2:$E$4734&lt;&gt;0))&gt;0)*1000000)),"")</f>
        <v/>
      </c>
      <c r="M4332" s="1">
        <f>IF(AND(E4332=0,COUNTIFS($A$2:A4332,A4332,$E$2:E4332,0)=1),L4332,0)</f>
        <v>0</v>
      </c>
    </row>
    <row r="4333" spans="1:13" ht="15" customHeight="1">
      <c r="A4333" s="1">
        <v>238</v>
      </c>
      <c r="B4333" s="1" t="s">
        <v>69</v>
      </c>
      <c r="C4333" s="2" t="s">
        <v>5138</v>
      </c>
      <c r="D4333" s="2" t="s">
        <v>5148</v>
      </c>
      <c r="E4333" s="1">
        <v>1</v>
      </c>
      <c r="F4333" s="2" t="s">
        <v>5152</v>
      </c>
      <c r="G4333" s="1">
        <v>4</v>
      </c>
      <c r="H4333" s="1" t="str">
        <f t="shared" si="70"/>
        <v>k238_4</v>
      </c>
      <c r="K4333" s="1">
        <f>IF(E4333=0,SUMPRODUCT(($A$2:$A$4734=A4333)*($B$2:$B$4734=B4333)*($D$2:$D$4734=D4333)*($E$2:$E$4734=0)),0)</f>
        <v>0</v>
      </c>
      <c r="L4333" s="1" t="str">
        <f>IF(E4333=0,SUMPRODUCT(MIN($K$2:$K$4734+((($A$2:$A$4734&lt;&gt;A4333)+($E$2:$E$4734&lt;&gt;0))&gt;0)*1000000)),"")</f>
        <v/>
      </c>
      <c r="M4333" s="1">
        <f>IF(AND(E4333=0,COUNTIFS($A$2:A4333,A4333,$E$2:E4333,0)=1),L4333,0)</f>
        <v>0</v>
      </c>
    </row>
    <row r="4334" spans="1:13" ht="15" customHeight="1">
      <c r="A4334" s="1">
        <v>239</v>
      </c>
      <c r="B4334" s="1" t="s">
        <v>69</v>
      </c>
      <c r="C4334" s="2" t="s">
        <v>5153</v>
      </c>
      <c r="D4334" s="2" t="s">
        <v>5154</v>
      </c>
      <c r="E4334" s="1">
        <v>1</v>
      </c>
      <c r="F4334" s="2" t="s">
        <v>5155</v>
      </c>
      <c r="G4334" s="1">
        <v>1</v>
      </c>
      <c r="H4334" s="1" t="str">
        <f t="shared" si="70"/>
        <v>k239_1</v>
      </c>
      <c r="K4334" s="1">
        <f>IF(E4334=0,SUMPRODUCT(($A$2:$A$4734=A4334)*($B$2:$B$4734=B4334)*($D$2:$D$4734=D4334)*($E$2:$E$4734=0)),0)</f>
        <v>0</v>
      </c>
      <c r="L4334" s="1" t="str">
        <f>IF(E4334=0,SUMPRODUCT(MIN($K$2:$K$4734+((($A$2:$A$4734&lt;&gt;A4334)+($E$2:$E$4734&lt;&gt;0))&gt;0)*1000000)),"")</f>
        <v/>
      </c>
      <c r="M4334" s="1">
        <f>IF(AND(E4334=0,COUNTIFS($A$2:A4334,A4334,$E$2:E4334,0)=1),L4334,0)</f>
        <v>0</v>
      </c>
    </row>
    <row r="4335" spans="1:13" ht="15" customHeight="1">
      <c r="A4335" s="1">
        <v>239</v>
      </c>
      <c r="B4335" s="1" t="s">
        <v>69</v>
      </c>
      <c r="C4335" s="2" t="s">
        <v>5153</v>
      </c>
      <c r="D4335" s="2" t="s">
        <v>5154</v>
      </c>
      <c r="E4335" s="1">
        <v>1</v>
      </c>
      <c r="F4335" s="2" t="s">
        <v>5156</v>
      </c>
      <c r="G4335" s="1">
        <v>2</v>
      </c>
      <c r="H4335" s="1" t="str">
        <f t="shared" si="70"/>
        <v>k239_2</v>
      </c>
      <c r="K4335" s="1">
        <f>IF(E4335=0,SUMPRODUCT(($A$2:$A$4734=A4335)*($B$2:$B$4734=B4335)*($D$2:$D$4734=D4335)*($E$2:$E$4734=0)),0)</f>
        <v>0</v>
      </c>
      <c r="L4335" s="1" t="str">
        <f>IF(E4335=0,SUMPRODUCT(MIN($K$2:$K$4734+((($A$2:$A$4734&lt;&gt;A4335)+($E$2:$E$4734&lt;&gt;0))&gt;0)*1000000)),"")</f>
        <v/>
      </c>
      <c r="M4335" s="1">
        <f>IF(AND(E4335=0,COUNTIFS($A$2:A4335,A4335,$E$2:E4335,0)=1),L4335,0)</f>
        <v>0</v>
      </c>
    </row>
    <row r="4336" spans="1:13" ht="15" customHeight="1">
      <c r="A4336" s="1">
        <v>239</v>
      </c>
      <c r="B4336" s="1" t="s">
        <v>69</v>
      </c>
      <c r="C4336" s="2" t="s">
        <v>5153</v>
      </c>
      <c r="D4336" s="2" t="s">
        <v>5154</v>
      </c>
      <c r="E4336" s="1">
        <v>1</v>
      </c>
      <c r="F4336" s="2" t="s">
        <v>5157</v>
      </c>
      <c r="G4336" s="1">
        <v>3</v>
      </c>
      <c r="H4336" s="1" t="str">
        <f t="shared" si="70"/>
        <v>k239_3</v>
      </c>
      <c r="K4336" s="1">
        <f>IF(E4336=0,SUMPRODUCT(($A$2:$A$4734=A4336)*($B$2:$B$4734=B4336)*($D$2:$D$4734=D4336)*($E$2:$E$4734=0)),0)</f>
        <v>0</v>
      </c>
      <c r="L4336" s="1" t="str">
        <f>IF(E4336=0,SUMPRODUCT(MIN($K$2:$K$4734+((($A$2:$A$4734&lt;&gt;A4336)+($E$2:$E$4734&lt;&gt;0))&gt;0)*1000000)),"")</f>
        <v/>
      </c>
      <c r="M4336" s="1">
        <f>IF(AND(E4336=0,COUNTIFS($A$2:A4336,A4336,$E$2:E4336,0)=1),L4336,0)</f>
        <v>0</v>
      </c>
    </row>
    <row r="4337" spans="1:13" ht="15" customHeight="1">
      <c r="A4337" s="1">
        <v>239</v>
      </c>
      <c r="B4337" s="1" t="s">
        <v>69</v>
      </c>
      <c r="C4337" s="2" t="s">
        <v>5153</v>
      </c>
      <c r="D4337" s="2" t="s">
        <v>5154</v>
      </c>
      <c r="E4337" s="1">
        <v>1</v>
      </c>
      <c r="F4337" s="2" t="s">
        <v>5158</v>
      </c>
      <c r="G4337" s="1">
        <v>4</v>
      </c>
      <c r="H4337" s="1" t="str">
        <f t="shared" si="70"/>
        <v>k239_4</v>
      </c>
      <c r="K4337" s="1">
        <f>IF(E4337=0,SUMPRODUCT(($A$2:$A$4734=A4337)*($B$2:$B$4734=B4337)*($D$2:$D$4734=D4337)*($E$2:$E$4734=0)),0)</f>
        <v>0</v>
      </c>
      <c r="L4337" s="1" t="str">
        <f>IF(E4337=0,SUMPRODUCT(MIN($K$2:$K$4734+((($A$2:$A$4734&lt;&gt;A4337)+($E$2:$E$4734&lt;&gt;0))&gt;0)*1000000)),"")</f>
        <v/>
      </c>
      <c r="M4337" s="1">
        <f>IF(AND(E4337=0,COUNTIFS($A$2:A4337,A4337,$E$2:E4337,0)=1),L4337,0)</f>
        <v>0</v>
      </c>
    </row>
    <row r="4338" spans="1:13" ht="15" customHeight="1">
      <c r="A4338" s="1">
        <v>239</v>
      </c>
      <c r="B4338" s="1" t="s">
        <v>9</v>
      </c>
      <c r="C4338" s="2" t="s">
        <v>5153</v>
      </c>
      <c r="D4338" s="2" t="s">
        <v>5159</v>
      </c>
      <c r="E4338" s="1">
        <v>1</v>
      </c>
      <c r="F4338" s="2" t="s">
        <v>5160</v>
      </c>
      <c r="G4338" s="1">
        <v>1</v>
      </c>
      <c r="H4338" s="1" t="str">
        <f t="shared" si="70"/>
        <v>k239_1</v>
      </c>
      <c r="K4338" s="1">
        <f>IF(E4338=0,SUMPRODUCT(($A$2:$A$4734=A4338)*($B$2:$B$4734=B4338)*($D$2:$D$4734=D4338)*($E$2:$E$4734=0)),0)</f>
        <v>0</v>
      </c>
      <c r="L4338" s="1" t="str">
        <f>IF(E4338=0,SUMPRODUCT(MIN($K$2:$K$4734+((($A$2:$A$4734&lt;&gt;A4338)+($E$2:$E$4734&lt;&gt;0))&gt;0)*1000000)),"")</f>
        <v/>
      </c>
      <c r="M4338" s="1">
        <f>IF(AND(E4338=0,COUNTIFS($A$2:A4338,A4338,$E$2:E4338,0)=1),L4338,0)</f>
        <v>0</v>
      </c>
    </row>
    <row r="4339" spans="1:13" ht="15" customHeight="1">
      <c r="A4339" s="1">
        <v>239</v>
      </c>
      <c r="B4339" s="1" t="s">
        <v>9</v>
      </c>
      <c r="C4339" s="2" t="s">
        <v>5153</v>
      </c>
      <c r="D4339" s="2" t="s">
        <v>5159</v>
      </c>
      <c r="E4339" s="1">
        <v>1</v>
      </c>
      <c r="F4339" s="2" t="s">
        <v>5161</v>
      </c>
      <c r="G4339" s="1">
        <v>2</v>
      </c>
      <c r="H4339" s="1" t="str">
        <f t="shared" si="70"/>
        <v>k239_2</v>
      </c>
      <c r="K4339" s="1">
        <f>IF(E4339=0,SUMPRODUCT(($A$2:$A$4734=A4339)*($B$2:$B$4734=B4339)*($D$2:$D$4734=D4339)*($E$2:$E$4734=0)),0)</f>
        <v>0</v>
      </c>
      <c r="L4339" s="1" t="str">
        <f>IF(E4339=0,SUMPRODUCT(MIN($K$2:$K$4734+((($A$2:$A$4734&lt;&gt;A4339)+($E$2:$E$4734&lt;&gt;0))&gt;0)*1000000)),"")</f>
        <v/>
      </c>
      <c r="M4339" s="1">
        <f>IF(AND(E4339=0,COUNTIFS($A$2:A4339,A4339,$E$2:E4339,0)=1),L4339,0)</f>
        <v>0</v>
      </c>
    </row>
    <row r="4340" spans="1:13" ht="15" customHeight="1">
      <c r="A4340" s="1">
        <v>239</v>
      </c>
      <c r="B4340" s="1" t="s">
        <v>9</v>
      </c>
      <c r="C4340" s="2" t="s">
        <v>5153</v>
      </c>
      <c r="D4340" s="2" t="s">
        <v>5159</v>
      </c>
      <c r="E4340" s="1">
        <v>1</v>
      </c>
      <c r="F4340" s="2" t="s">
        <v>5162</v>
      </c>
      <c r="G4340" s="1">
        <v>3</v>
      </c>
      <c r="H4340" s="1" t="str">
        <f t="shared" si="70"/>
        <v>k239_3</v>
      </c>
      <c r="K4340" s="1">
        <f>IF(E4340=0,SUMPRODUCT(($A$2:$A$4734=A4340)*($B$2:$B$4734=B4340)*($D$2:$D$4734=D4340)*($E$2:$E$4734=0)),0)</f>
        <v>0</v>
      </c>
      <c r="L4340" s="1" t="str">
        <f>IF(E4340=0,SUMPRODUCT(MIN($K$2:$K$4734+((($A$2:$A$4734&lt;&gt;A4340)+($E$2:$E$4734&lt;&gt;0))&gt;0)*1000000)),"")</f>
        <v/>
      </c>
      <c r="M4340" s="1">
        <f>IF(AND(E4340=0,COUNTIFS($A$2:A4340,A4340,$E$2:E4340,0)=1),L4340,0)</f>
        <v>0</v>
      </c>
    </row>
    <row r="4341" spans="1:13" ht="15" customHeight="1">
      <c r="A4341" s="1">
        <v>239</v>
      </c>
      <c r="B4341" s="1" t="s">
        <v>9</v>
      </c>
      <c r="C4341" s="2" t="s">
        <v>5153</v>
      </c>
      <c r="D4341" s="2" t="s">
        <v>5159</v>
      </c>
      <c r="E4341" s="1">
        <v>1</v>
      </c>
      <c r="F4341" s="2" t="s">
        <v>5163</v>
      </c>
      <c r="G4341" s="1">
        <v>4</v>
      </c>
      <c r="H4341" s="1" t="str">
        <f t="shared" si="70"/>
        <v>k239_4</v>
      </c>
      <c r="K4341" s="1">
        <f>IF(E4341=0,SUMPRODUCT(($A$2:$A$4734=A4341)*($B$2:$B$4734=B4341)*($D$2:$D$4734=D4341)*($E$2:$E$4734=0)),0)</f>
        <v>0</v>
      </c>
      <c r="L4341" s="1" t="str">
        <f>IF(E4341=0,SUMPRODUCT(MIN($K$2:$K$4734+((($A$2:$A$4734&lt;&gt;A4341)+($E$2:$E$4734&lt;&gt;0))&gt;0)*1000000)),"")</f>
        <v/>
      </c>
      <c r="M4341" s="1">
        <f>IF(AND(E4341=0,COUNTIFS($A$2:A4341,A4341,$E$2:E4341,0)=1),L4341,0)</f>
        <v>0</v>
      </c>
    </row>
    <row r="4342" spans="1:13" ht="15" customHeight="1">
      <c r="A4342" s="1">
        <v>240</v>
      </c>
      <c r="B4342" s="1" t="s">
        <v>358</v>
      </c>
      <c r="C4342" s="2" t="s">
        <v>5164</v>
      </c>
      <c r="D4342" s="2" t="s">
        <v>5165</v>
      </c>
      <c r="E4342" s="1">
        <v>1</v>
      </c>
      <c r="F4342" s="2" t="s">
        <v>5166</v>
      </c>
      <c r="G4342" s="1">
        <v>1</v>
      </c>
      <c r="H4342" s="1" t="str">
        <f t="shared" si="70"/>
        <v>k240_1</v>
      </c>
      <c r="K4342" s="1">
        <f>IF(E4342=0,SUMPRODUCT(($A$2:$A$4734=A4342)*($B$2:$B$4734=B4342)*($D$2:$D$4734=D4342)*($E$2:$E$4734=0)),0)</f>
        <v>0</v>
      </c>
      <c r="L4342" s="1" t="str">
        <f>IF(E4342=0,SUMPRODUCT(MIN($K$2:$K$4734+((($A$2:$A$4734&lt;&gt;A4342)+($E$2:$E$4734&lt;&gt;0))&gt;0)*1000000)),"")</f>
        <v/>
      </c>
      <c r="M4342" s="1">
        <f>IF(AND(E4342=0,COUNTIFS($A$2:A4342,A4342,$E$2:E4342,0)=1),L4342,0)</f>
        <v>0</v>
      </c>
    </row>
    <row r="4343" spans="1:13" ht="15" customHeight="1">
      <c r="A4343" s="1">
        <v>240</v>
      </c>
      <c r="B4343" s="1" t="s">
        <v>358</v>
      </c>
      <c r="C4343" s="2" t="s">
        <v>5164</v>
      </c>
      <c r="D4343" s="2" t="s">
        <v>5165</v>
      </c>
      <c r="E4343" s="1">
        <v>1</v>
      </c>
      <c r="F4343" s="2" t="s">
        <v>5167</v>
      </c>
      <c r="G4343" s="1">
        <v>2</v>
      </c>
      <c r="H4343" s="1" t="str">
        <f t="shared" si="70"/>
        <v>k240_2</v>
      </c>
      <c r="K4343" s="1">
        <f>IF(E4343=0,SUMPRODUCT(($A$2:$A$4734=A4343)*($B$2:$B$4734=B4343)*($D$2:$D$4734=D4343)*($E$2:$E$4734=0)),0)</f>
        <v>0</v>
      </c>
      <c r="L4343" s="1" t="str">
        <f>IF(E4343=0,SUMPRODUCT(MIN($K$2:$K$4734+((($A$2:$A$4734&lt;&gt;A4343)+($E$2:$E$4734&lt;&gt;0))&gt;0)*1000000)),"")</f>
        <v/>
      </c>
      <c r="M4343" s="1">
        <f>IF(AND(E4343=0,COUNTIFS($A$2:A4343,A4343,$E$2:E4343,0)=1),L4343,0)</f>
        <v>0</v>
      </c>
    </row>
    <row r="4344" spans="1:13" ht="15" customHeight="1">
      <c r="A4344" s="1">
        <v>240</v>
      </c>
      <c r="B4344" s="1" t="s">
        <v>358</v>
      </c>
      <c r="C4344" s="2" t="s">
        <v>5164</v>
      </c>
      <c r="D4344" s="2" t="s">
        <v>5165</v>
      </c>
      <c r="E4344" s="1">
        <v>1</v>
      </c>
      <c r="F4344" s="2" t="s">
        <v>5168</v>
      </c>
      <c r="G4344" s="1">
        <v>3</v>
      </c>
      <c r="H4344" s="1" t="str">
        <f t="shared" si="70"/>
        <v>k240_3</v>
      </c>
      <c r="K4344" s="1">
        <f>IF(E4344=0,SUMPRODUCT(($A$2:$A$4734=A4344)*($B$2:$B$4734=B4344)*($D$2:$D$4734=D4344)*($E$2:$E$4734=0)),0)</f>
        <v>0</v>
      </c>
      <c r="L4344" s="1" t="str">
        <f>IF(E4344=0,SUMPRODUCT(MIN($K$2:$K$4734+((($A$2:$A$4734&lt;&gt;A4344)+($E$2:$E$4734&lt;&gt;0))&gt;0)*1000000)),"")</f>
        <v/>
      </c>
      <c r="M4344" s="1">
        <f>IF(AND(E4344=0,COUNTIFS($A$2:A4344,A4344,$E$2:E4344,0)=1),L4344,0)</f>
        <v>0</v>
      </c>
    </row>
    <row r="4345" spans="1:13" ht="15" customHeight="1">
      <c r="A4345" s="1">
        <v>240</v>
      </c>
      <c r="B4345" s="1" t="s">
        <v>358</v>
      </c>
      <c r="C4345" s="2" t="s">
        <v>5164</v>
      </c>
      <c r="D4345" s="2" t="s">
        <v>5165</v>
      </c>
      <c r="E4345" s="1">
        <v>1</v>
      </c>
      <c r="F4345" s="2" t="s">
        <v>5169</v>
      </c>
      <c r="G4345" s="1">
        <v>4</v>
      </c>
      <c r="H4345" s="1" t="str">
        <f t="shared" si="70"/>
        <v>k240_4</v>
      </c>
      <c r="K4345" s="1">
        <f>IF(E4345=0,SUMPRODUCT(($A$2:$A$4734=A4345)*($B$2:$B$4734=B4345)*($D$2:$D$4734=D4345)*($E$2:$E$4734=0)),0)</f>
        <v>0</v>
      </c>
      <c r="L4345" s="1" t="str">
        <f>IF(E4345=0,SUMPRODUCT(MIN($K$2:$K$4734+((($A$2:$A$4734&lt;&gt;A4345)+($E$2:$E$4734&lt;&gt;0))&gt;0)*1000000)),"")</f>
        <v/>
      </c>
      <c r="M4345" s="1">
        <f>IF(AND(E4345=0,COUNTIFS($A$2:A4345,A4345,$E$2:E4345,0)=1),L4345,0)</f>
        <v>0</v>
      </c>
    </row>
    <row r="4346" spans="1:13" ht="15" customHeight="1">
      <c r="A4346" s="1">
        <v>240</v>
      </c>
      <c r="B4346" s="1" t="s">
        <v>358</v>
      </c>
      <c r="C4346" s="2" t="s">
        <v>5164</v>
      </c>
      <c r="D4346" s="2" t="s">
        <v>5165</v>
      </c>
      <c r="E4346" s="1">
        <v>1</v>
      </c>
      <c r="F4346" s="2" t="s">
        <v>5168</v>
      </c>
      <c r="G4346" s="1">
        <v>5</v>
      </c>
      <c r="H4346" s="1" t="str">
        <f t="shared" si="70"/>
        <v>k240_5</v>
      </c>
      <c r="K4346" s="1">
        <f>IF(E4346=0,SUMPRODUCT(($A$2:$A$4734=A4346)*($B$2:$B$4734=B4346)*($D$2:$D$4734=D4346)*($E$2:$E$4734=0)),0)</f>
        <v>0</v>
      </c>
      <c r="L4346" s="1" t="str">
        <f>IF(E4346=0,SUMPRODUCT(MIN($K$2:$K$4734+((($A$2:$A$4734&lt;&gt;A4346)+($E$2:$E$4734&lt;&gt;0))&gt;0)*1000000)),"")</f>
        <v/>
      </c>
      <c r="M4346" s="1">
        <f>IF(AND(E4346=0,COUNTIFS($A$2:A4346,A4346,$E$2:E4346,0)=1),L4346,0)</f>
        <v>0</v>
      </c>
    </row>
    <row r="4347" spans="1:13" ht="15" customHeight="1">
      <c r="A4347" s="1">
        <v>240</v>
      </c>
      <c r="B4347" s="1" t="s">
        <v>358</v>
      </c>
      <c r="C4347" s="2" t="s">
        <v>5164</v>
      </c>
      <c r="D4347" s="2" t="s">
        <v>5165</v>
      </c>
      <c r="E4347" s="1">
        <v>1</v>
      </c>
      <c r="F4347" s="2" t="s">
        <v>5169</v>
      </c>
      <c r="G4347" s="1">
        <v>6</v>
      </c>
      <c r="H4347" s="1" t="str">
        <f t="shared" si="70"/>
        <v>k240_6</v>
      </c>
      <c r="K4347" s="1">
        <f>IF(E4347=0,SUMPRODUCT(($A$2:$A$4734=A4347)*($B$2:$B$4734=B4347)*($D$2:$D$4734=D4347)*($E$2:$E$4734=0)),0)</f>
        <v>0</v>
      </c>
      <c r="L4347" s="1" t="str">
        <f>IF(E4347=0,SUMPRODUCT(MIN($K$2:$K$4734+((($A$2:$A$4734&lt;&gt;A4347)+($E$2:$E$4734&lt;&gt;0))&gt;0)*1000000)),"")</f>
        <v/>
      </c>
      <c r="M4347" s="1">
        <f>IF(AND(E4347=0,COUNTIFS($A$2:A4347,A4347,$E$2:E4347,0)=1),L4347,0)</f>
        <v>0</v>
      </c>
    </row>
    <row r="4348" spans="1:13" ht="15" customHeight="1">
      <c r="A4348" s="1">
        <v>240</v>
      </c>
      <c r="B4348" s="1" t="s">
        <v>16</v>
      </c>
      <c r="C4348" s="2" t="s">
        <v>5164</v>
      </c>
      <c r="D4348" s="2" t="s">
        <v>3332</v>
      </c>
      <c r="E4348" s="1">
        <v>1</v>
      </c>
      <c r="F4348" s="2" t="s">
        <v>5170</v>
      </c>
      <c r="G4348" s="1">
        <v>6</v>
      </c>
      <c r="H4348" s="1" t="str">
        <f t="shared" si="70"/>
        <v>k240_6</v>
      </c>
      <c r="K4348" s="1">
        <f>IF(E4348=0,SUMPRODUCT(($A$2:$A$4734=A4348)*($B$2:$B$4734=B4348)*($D$2:$D$4734=D4348)*($E$2:$E$4734=0)),0)</f>
        <v>0</v>
      </c>
      <c r="L4348" s="1" t="str">
        <f>IF(E4348=0,SUMPRODUCT(MIN($K$2:$K$4734+((($A$2:$A$4734&lt;&gt;A4348)+($E$2:$E$4734&lt;&gt;0))&gt;0)*1000000)),"")</f>
        <v/>
      </c>
      <c r="M4348" s="1">
        <f>IF(AND(E4348=0,COUNTIFS($A$2:A4348,A4348,$E$2:E4348,0)=1),L4348,0)</f>
        <v>0</v>
      </c>
    </row>
    <row r="4349" spans="1:13" ht="15" customHeight="1">
      <c r="A4349" s="1">
        <v>240</v>
      </c>
      <c r="B4349" s="1" t="s">
        <v>16</v>
      </c>
      <c r="C4349" s="2" t="s">
        <v>5164</v>
      </c>
      <c r="D4349" s="2" t="s">
        <v>3332</v>
      </c>
      <c r="E4349" s="1">
        <v>1</v>
      </c>
      <c r="F4349" s="2" t="s">
        <v>5171</v>
      </c>
      <c r="G4349" s="1">
        <v>4</v>
      </c>
      <c r="H4349" s="1" t="str">
        <f t="shared" si="70"/>
        <v>k240_4</v>
      </c>
      <c r="K4349" s="1">
        <f>IF(E4349=0,SUMPRODUCT(($A$2:$A$4734=A4349)*($B$2:$B$4734=B4349)*($D$2:$D$4734=D4349)*($E$2:$E$4734=0)),0)</f>
        <v>0</v>
      </c>
      <c r="L4349" s="1" t="str">
        <f>IF(E4349=0,SUMPRODUCT(MIN($K$2:$K$4734+((($A$2:$A$4734&lt;&gt;A4349)+($E$2:$E$4734&lt;&gt;0))&gt;0)*1000000)),"")</f>
        <v/>
      </c>
      <c r="M4349" s="1">
        <f>IF(AND(E4349=0,COUNTIFS($A$2:A4349,A4349,$E$2:E4349,0)=1),L4349,0)</f>
        <v>0</v>
      </c>
    </row>
    <row r="4350" spans="1:13" ht="15" customHeight="1">
      <c r="A4350" s="1">
        <v>240</v>
      </c>
      <c r="B4350" s="1" t="s">
        <v>16</v>
      </c>
      <c r="C4350" s="2" t="s">
        <v>5164</v>
      </c>
      <c r="D4350" s="2" t="s">
        <v>3332</v>
      </c>
      <c r="E4350" s="1">
        <v>1</v>
      </c>
      <c r="F4350" s="2" t="s">
        <v>5171</v>
      </c>
      <c r="G4350" s="1">
        <v>5</v>
      </c>
      <c r="H4350" s="1" t="str">
        <f t="shared" si="70"/>
        <v>k240_5</v>
      </c>
      <c r="K4350" s="1">
        <f>IF(E4350=0,SUMPRODUCT(($A$2:$A$4734=A4350)*($B$2:$B$4734=B4350)*($D$2:$D$4734=D4350)*($E$2:$E$4734=0)),0)</f>
        <v>0</v>
      </c>
      <c r="L4350" s="1" t="str">
        <f>IF(E4350=0,SUMPRODUCT(MIN($K$2:$K$4734+((($A$2:$A$4734&lt;&gt;A4350)+($E$2:$E$4734&lt;&gt;0))&gt;0)*1000000)),"")</f>
        <v/>
      </c>
      <c r="M4350" s="1">
        <f>IF(AND(E4350=0,COUNTIFS($A$2:A4350,A4350,$E$2:E4350,0)=1),L4350,0)</f>
        <v>0</v>
      </c>
    </row>
    <row r="4351" spans="1:13" ht="15" customHeight="1">
      <c r="A4351" s="1">
        <v>240</v>
      </c>
      <c r="B4351" s="1" t="s">
        <v>16</v>
      </c>
      <c r="C4351" s="2" t="s">
        <v>5164</v>
      </c>
      <c r="D4351" s="2" t="s">
        <v>3332</v>
      </c>
      <c r="E4351" s="1">
        <v>1</v>
      </c>
      <c r="F4351" s="2" t="s">
        <v>5171</v>
      </c>
      <c r="G4351" s="1">
        <v>1</v>
      </c>
      <c r="H4351" s="1" t="str">
        <f t="shared" si="70"/>
        <v>k240_1</v>
      </c>
      <c r="K4351" s="1">
        <f>IF(E4351=0,SUMPRODUCT(($A$2:$A$4734=A4351)*($B$2:$B$4734=B4351)*($D$2:$D$4734=D4351)*($E$2:$E$4734=0)),0)</f>
        <v>0</v>
      </c>
      <c r="L4351" s="1" t="str">
        <f>IF(E4351=0,SUMPRODUCT(MIN($K$2:$K$4734+((($A$2:$A$4734&lt;&gt;A4351)+($E$2:$E$4734&lt;&gt;0))&gt;0)*1000000)),"")</f>
        <v/>
      </c>
      <c r="M4351" s="1">
        <f>IF(AND(E4351=0,COUNTIFS($A$2:A4351,A4351,$E$2:E4351,0)=1),L4351,0)</f>
        <v>0</v>
      </c>
    </row>
    <row r="4352" spans="1:13" ht="15" customHeight="1">
      <c r="A4352" s="1">
        <v>240</v>
      </c>
      <c r="B4352" s="1" t="s">
        <v>16</v>
      </c>
      <c r="C4352" s="2" t="s">
        <v>5164</v>
      </c>
      <c r="D4352" s="2" t="s">
        <v>3332</v>
      </c>
      <c r="E4352" s="1">
        <v>1</v>
      </c>
      <c r="F4352" s="2" t="s">
        <v>5171</v>
      </c>
      <c r="G4352" s="1">
        <v>2</v>
      </c>
      <c r="H4352" s="1" t="str">
        <f t="shared" si="70"/>
        <v>k240_2</v>
      </c>
      <c r="K4352" s="1">
        <f>IF(E4352=0,SUMPRODUCT(($A$2:$A$4734=A4352)*($B$2:$B$4734=B4352)*($D$2:$D$4734=D4352)*($E$2:$E$4734=0)),0)</f>
        <v>0</v>
      </c>
      <c r="L4352" s="1" t="str">
        <f>IF(E4352=0,SUMPRODUCT(MIN($K$2:$K$4734+((($A$2:$A$4734&lt;&gt;A4352)+($E$2:$E$4734&lt;&gt;0))&gt;0)*1000000)),"")</f>
        <v/>
      </c>
      <c r="M4352" s="1">
        <f>IF(AND(E4352=0,COUNTIFS($A$2:A4352,A4352,$E$2:E4352,0)=1),L4352,0)</f>
        <v>0</v>
      </c>
    </row>
    <row r="4353" spans="1:13" ht="15" customHeight="1">
      <c r="A4353" s="1">
        <v>240</v>
      </c>
      <c r="B4353" s="1" t="s">
        <v>16</v>
      </c>
      <c r="C4353" s="2" t="s">
        <v>5164</v>
      </c>
      <c r="D4353" s="2" t="s">
        <v>3332</v>
      </c>
      <c r="E4353" s="1">
        <v>1</v>
      </c>
      <c r="F4353" s="2" t="s">
        <v>5172</v>
      </c>
      <c r="G4353" s="1">
        <v>3</v>
      </c>
      <c r="H4353" s="1" t="str">
        <f t="shared" si="70"/>
        <v>k240_3</v>
      </c>
      <c r="K4353" s="1">
        <f>IF(E4353=0,SUMPRODUCT(($A$2:$A$4734=A4353)*($B$2:$B$4734=B4353)*($D$2:$D$4734=D4353)*($E$2:$E$4734=0)),0)</f>
        <v>0</v>
      </c>
      <c r="L4353" s="1" t="str">
        <f>IF(E4353=0,SUMPRODUCT(MIN($K$2:$K$4734+((($A$2:$A$4734&lt;&gt;A4353)+($E$2:$E$4734&lt;&gt;0))&gt;0)*1000000)),"")</f>
        <v/>
      </c>
      <c r="M4353" s="1">
        <f>IF(AND(E4353=0,COUNTIFS($A$2:A4353,A4353,$E$2:E4353,0)=1),L4353,0)</f>
        <v>0</v>
      </c>
    </row>
    <row r="4354" spans="1:13" ht="15" customHeight="1">
      <c r="A4354" s="1">
        <v>240</v>
      </c>
      <c r="B4354" s="1" t="s">
        <v>69</v>
      </c>
      <c r="C4354" s="2" t="s">
        <v>5164</v>
      </c>
      <c r="D4354" s="2" t="s">
        <v>5165</v>
      </c>
      <c r="E4354" s="1">
        <v>1</v>
      </c>
      <c r="F4354" s="2" t="s">
        <v>5173</v>
      </c>
      <c r="G4354" s="1">
        <v>1</v>
      </c>
      <c r="H4354" s="1" t="str">
        <f t="shared" ref="H4354:H4417" si="71">IF(OR(E4354&lt;&gt;1,G4354=""),"","k"&amp;A4354&amp;"_"&amp;G4354)</f>
        <v>k240_1</v>
      </c>
      <c r="K4354" s="1">
        <f>IF(E4354=0,SUMPRODUCT(($A$2:$A$4734=A4354)*($B$2:$B$4734=B4354)*($D$2:$D$4734=D4354)*($E$2:$E$4734=0)),0)</f>
        <v>0</v>
      </c>
      <c r="L4354" s="1" t="str">
        <f>IF(E4354=0,SUMPRODUCT(MIN($K$2:$K$4734+((($A$2:$A$4734&lt;&gt;A4354)+($E$2:$E$4734&lt;&gt;0))&gt;0)*1000000)),"")</f>
        <v/>
      </c>
      <c r="M4354" s="1">
        <f>IF(AND(E4354=0,COUNTIFS($A$2:A4354,A4354,$E$2:E4354,0)=1),L4354,0)</f>
        <v>0</v>
      </c>
    </row>
    <row r="4355" spans="1:13" ht="15" customHeight="1">
      <c r="A4355" s="1">
        <v>240</v>
      </c>
      <c r="B4355" s="1" t="s">
        <v>69</v>
      </c>
      <c r="C4355" s="2" t="s">
        <v>5164</v>
      </c>
      <c r="D4355" s="2" t="s">
        <v>5165</v>
      </c>
      <c r="E4355" s="1">
        <v>1</v>
      </c>
      <c r="F4355" s="2" t="s">
        <v>5173</v>
      </c>
      <c r="G4355" s="1">
        <v>2</v>
      </c>
      <c r="H4355" s="1" t="str">
        <f t="shared" si="71"/>
        <v>k240_2</v>
      </c>
      <c r="K4355" s="1">
        <f>IF(E4355=0,SUMPRODUCT(($A$2:$A$4734=A4355)*($B$2:$B$4734=B4355)*($D$2:$D$4734=D4355)*($E$2:$E$4734=0)),0)</f>
        <v>0</v>
      </c>
      <c r="L4355" s="1" t="str">
        <f>IF(E4355=0,SUMPRODUCT(MIN($K$2:$K$4734+((($A$2:$A$4734&lt;&gt;A4355)+($E$2:$E$4734&lt;&gt;0))&gt;0)*1000000)),"")</f>
        <v/>
      </c>
      <c r="M4355" s="1">
        <f>IF(AND(E4355=0,COUNTIFS($A$2:A4355,A4355,$E$2:E4355,0)=1),L4355,0)</f>
        <v>0</v>
      </c>
    </row>
    <row r="4356" spans="1:13" ht="15" customHeight="1">
      <c r="A4356" s="1">
        <v>240</v>
      </c>
      <c r="B4356" s="1" t="s">
        <v>69</v>
      </c>
      <c r="C4356" s="2" t="s">
        <v>5164</v>
      </c>
      <c r="D4356" s="2" t="s">
        <v>5165</v>
      </c>
      <c r="E4356" s="1">
        <v>1</v>
      </c>
      <c r="F4356" s="2" t="s">
        <v>5174</v>
      </c>
      <c r="G4356" s="1">
        <v>3</v>
      </c>
      <c r="H4356" s="1" t="str">
        <f t="shared" si="71"/>
        <v>k240_3</v>
      </c>
      <c r="K4356" s="1">
        <f>IF(E4356=0,SUMPRODUCT(($A$2:$A$4734=A4356)*($B$2:$B$4734=B4356)*($D$2:$D$4734=D4356)*($E$2:$E$4734=0)),0)</f>
        <v>0</v>
      </c>
      <c r="L4356" s="1" t="str">
        <f>IF(E4356=0,SUMPRODUCT(MIN($K$2:$K$4734+((($A$2:$A$4734&lt;&gt;A4356)+($E$2:$E$4734&lt;&gt;0))&gt;0)*1000000)),"")</f>
        <v/>
      </c>
      <c r="M4356" s="1">
        <f>IF(AND(E4356=0,COUNTIFS($A$2:A4356,A4356,$E$2:E4356,0)=1),L4356,0)</f>
        <v>0</v>
      </c>
    </row>
    <row r="4357" spans="1:13" ht="15" customHeight="1">
      <c r="A4357" s="1">
        <v>240</v>
      </c>
      <c r="B4357" s="1" t="s">
        <v>69</v>
      </c>
      <c r="C4357" s="2" t="s">
        <v>5164</v>
      </c>
      <c r="D4357" s="2" t="s">
        <v>5165</v>
      </c>
      <c r="E4357" s="1">
        <v>1</v>
      </c>
      <c r="F4357" s="2" t="s">
        <v>5175</v>
      </c>
      <c r="G4357" s="1">
        <v>4</v>
      </c>
      <c r="H4357" s="1" t="str">
        <f t="shared" si="71"/>
        <v>k240_4</v>
      </c>
      <c r="K4357" s="1">
        <f>IF(E4357=0,SUMPRODUCT(($A$2:$A$4734=A4357)*($B$2:$B$4734=B4357)*($D$2:$D$4734=D4357)*($E$2:$E$4734=0)),0)</f>
        <v>0</v>
      </c>
      <c r="L4357" s="1" t="str">
        <f>IF(E4357=0,SUMPRODUCT(MIN($K$2:$K$4734+((($A$2:$A$4734&lt;&gt;A4357)+($E$2:$E$4734&lt;&gt;0))&gt;0)*1000000)),"")</f>
        <v/>
      </c>
      <c r="M4357" s="1">
        <f>IF(AND(E4357=0,COUNTIFS($A$2:A4357,A4357,$E$2:E4357,0)=1),L4357,0)</f>
        <v>0</v>
      </c>
    </row>
    <row r="4358" spans="1:13" ht="15" customHeight="1">
      <c r="A4358" s="1">
        <v>240</v>
      </c>
      <c r="B4358" s="1" t="s">
        <v>69</v>
      </c>
      <c r="C4358" s="2" t="s">
        <v>5164</v>
      </c>
      <c r="D4358" s="2" t="s">
        <v>5165</v>
      </c>
      <c r="E4358" s="1">
        <v>1</v>
      </c>
      <c r="F4358" s="2" t="s">
        <v>5175</v>
      </c>
      <c r="G4358" s="1">
        <v>5</v>
      </c>
      <c r="H4358" s="1" t="str">
        <f t="shared" si="71"/>
        <v>k240_5</v>
      </c>
      <c r="K4358" s="1">
        <f>IF(E4358=0,SUMPRODUCT(($A$2:$A$4734=A4358)*($B$2:$B$4734=B4358)*($D$2:$D$4734=D4358)*($E$2:$E$4734=0)),0)</f>
        <v>0</v>
      </c>
      <c r="L4358" s="1" t="str">
        <f>IF(E4358=0,SUMPRODUCT(MIN($K$2:$K$4734+((($A$2:$A$4734&lt;&gt;A4358)+($E$2:$E$4734&lt;&gt;0))&gt;0)*1000000)),"")</f>
        <v/>
      </c>
      <c r="M4358" s="1">
        <f>IF(AND(E4358=0,COUNTIFS($A$2:A4358,A4358,$E$2:E4358,0)=1),L4358,0)</f>
        <v>0</v>
      </c>
    </row>
    <row r="4359" spans="1:13" ht="15" customHeight="1">
      <c r="A4359" s="1">
        <v>240</v>
      </c>
      <c r="B4359" s="1" t="s">
        <v>69</v>
      </c>
      <c r="C4359" s="2" t="s">
        <v>5164</v>
      </c>
      <c r="D4359" s="2" t="s">
        <v>5165</v>
      </c>
      <c r="E4359" s="1">
        <v>1</v>
      </c>
      <c r="F4359" s="2" t="s">
        <v>5176</v>
      </c>
      <c r="G4359" s="1">
        <v>6</v>
      </c>
      <c r="H4359" s="1" t="str">
        <f t="shared" si="71"/>
        <v>k240_6</v>
      </c>
      <c r="K4359" s="1">
        <f>IF(E4359=0,SUMPRODUCT(($A$2:$A$4734=A4359)*($B$2:$B$4734=B4359)*($D$2:$D$4734=D4359)*($E$2:$E$4734=0)),0)</f>
        <v>0</v>
      </c>
      <c r="L4359" s="1" t="str">
        <f>IF(E4359=0,SUMPRODUCT(MIN($K$2:$K$4734+((($A$2:$A$4734&lt;&gt;A4359)+($E$2:$E$4734&lt;&gt;0))&gt;0)*1000000)),"")</f>
        <v/>
      </c>
      <c r="M4359" s="1">
        <f>IF(AND(E4359=0,COUNTIFS($A$2:A4359,A4359,$E$2:E4359,0)=1),L4359,0)</f>
        <v>0</v>
      </c>
    </row>
    <row r="4360" spans="1:13" ht="15" customHeight="1">
      <c r="A4360" s="1">
        <v>240</v>
      </c>
      <c r="B4360" s="1" t="s">
        <v>16</v>
      </c>
      <c r="C4360" s="2" t="s">
        <v>5164</v>
      </c>
      <c r="D4360" s="1" t="s">
        <v>5177</v>
      </c>
      <c r="E4360" s="1">
        <v>1</v>
      </c>
      <c r="F4360" s="2" t="s">
        <v>5178</v>
      </c>
      <c r="G4360" s="1">
        <v>1</v>
      </c>
      <c r="H4360" s="1" t="str">
        <f t="shared" si="71"/>
        <v>k240_1</v>
      </c>
      <c r="K4360" s="1">
        <f>IF(E4360=0,SUMPRODUCT(($A$2:$A$4734=A4360)*($B$2:$B$4734=B4360)*($D$2:$D$4734=D4360)*($E$2:$E$4734=0)),0)</f>
        <v>0</v>
      </c>
      <c r="L4360" s="1" t="str">
        <f>IF(E4360=0,SUMPRODUCT(MIN($K$2:$K$4734+((($A$2:$A$4734&lt;&gt;A4360)+($E$2:$E$4734&lt;&gt;0))&gt;0)*1000000)),"")</f>
        <v/>
      </c>
      <c r="M4360" s="1">
        <f>IF(AND(E4360=0,COUNTIFS($A$2:A4360,A4360,$E$2:E4360,0)=1),L4360,0)</f>
        <v>0</v>
      </c>
    </row>
    <row r="4361" spans="1:13" ht="15" customHeight="1">
      <c r="A4361" s="1">
        <v>240</v>
      </c>
      <c r="B4361" s="1" t="s">
        <v>16</v>
      </c>
      <c r="C4361" s="2" t="s">
        <v>5164</v>
      </c>
      <c r="D4361" s="1" t="s">
        <v>5177</v>
      </c>
      <c r="E4361" s="1">
        <v>1</v>
      </c>
      <c r="F4361" s="2" t="s">
        <v>5179</v>
      </c>
      <c r="G4361" s="1">
        <v>2</v>
      </c>
      <c r="H4361" s="1" t="str">
        <f t="shared" si="71"/>
        <v>k240_2</v>
      </c>
      <c r="K4361" s="1">
        <f>IF(E4361=0,SUMPRODUCT(($A$2:$A$4734=A4361)*($B$2:$B$4734=B4361)*($D$2:$D$4734=D4361)*($E$2:$E$4734=0)),0)</f>
        <v>0</v>
      </c>
      <c r="L4361" s="1" t="str">
        <f>IF(E4361=0,SUMPRODUCT(MIN($K$2:$K$4734+((($A$2:$A$4734&lt;&gt;A4361)+($E$2:$E$4734&lt;&gt;0))&gt;0)*1000000)),"")</f>
        <v/>
      </c>
      <c r="M4361" s="1">
        <f>IF(AND(E4361=0,COUNTIFS($A$2:A4361,A4361,$E$2:E4361,0)=1),L4361,0)</f>
        <v>0</v>
      </c>
    </row>
    <row r="4362" spans="1:13" ht="15" customHeight="1">
      <c r="A4362" s="1">
        <v>240</v>
      </c>
      <c r="B4362" s="1" t="s">
        <v>16</v>
      </c>
      <c r="C4362" s="2" t="s">
        <v>5164</v>
      </c>
      <c r="D4362" s="1" t="s">
        <v>5177</v>
      </c>
      <c r="E4362" s="1">
        <v>1</v>
      </c>
      <c r="F4362" s="2" t="s">
        <v>5180</v>
      </c>
      <c r="G4362" s="1">
        <v>3</v>
      </c>
      <c r="H4362" s="1" t="str">
        <f t="shared" si="71"/>
        <v>k240_3</v>
      </c>
      <c r="K4362" s="1">
        <f>IF(E4362=0,SUMPRODUCT(($A$2:$A$4734=A4362)*($B$2:$B$4734=B4362)*($D$2:$D$4734=D4362)*($E$2:$E$4734=0)),0)</f>
        <v>0</v>
      </c>
      <c r="L4362" s="1" t="str">
        <f>IF(E4362=0,SUMPRODUCT(MIN($K$2:$K$4734+((($A$2:$A$4734&lt;&gt;A4362)+($E$2:$E$4734&lt;&gt;0))&gt;0)*1000000)),"")</f>
        <v/>
      </c>
      <c r="M4362" s="1">
        <f>IF(AND(E4362=0,COUNTIFS($A$2:A4362,A4362,$E$2:E4362,0)=1),L4362,0)</f>
        <v>0</v>
      </c>
    </row>
    <row r="4363" spans="1:13" ht="15" customHeight="1">
      <c r="A4363" s="1">
        <v>240</v>
      </c>
      <c r="B4363" s="1" t="s">
        <v>16</v>
      </c>
      <c r="C4363" s="2" t="s">
        <v>5164</v>
      </c>
      <c r="D4363" s="1" t="s">
        <v>5177</v>
      </c>
      <c r="E4363" s="1">
        <v>1</v>
      </c>
      <c r="F4363" s="2" t="s">
        <v>5181</v>
      </c>
      <c r="G4363" s="1">
        <v>5</v>
      </c>
      <c r="H4363" s="1" t="str">
        <f t="shared" si="71"/>
        <v>k240_5</v>
      </c>
      <c r="K4363" s="1">
        <f>IF(E4363=0,SUMPRODUCT(($A$2:$A$4734=A4363)*($B$2:$B$4734=B4363)*($D$2:$D$4734=D4363)*($E$2:$E$4734=0)),0)</f>
        <v>0</v>
      </c>
      <c r="L4363" s="1" t="str">
        <f>IF(E4363=0,SUMPRODUCT(MIN($K$2:$K$4734+((($A$2:$A$4734&lt;&gt;A4363)+($E$2:$E$4734&lt;&gt;0))&gt;0)*1000000)),"")</f>
        <v/>
      </c>
      <c r="M4363" s="1">
        <f>IF(AND(E4363=0,COUNTIFS($A$2:A4363,A4363,$E$2:E4363,0)=1),L4363,0)</f>
        <v>0</v>
      </c>
    </row>
    <row r="4364" spans="1:13" ht="15" customHeight="1">
      <c r="A4364" s="1">
        <v>240</v>
      </c>
      <c r="B4364" s="1" t="s">
        <v>16</v>
      </c>
      <c r="C4364" s="2" t="s">
        <v>5164</v>
      </c>
      <c r="D4364" s="1" t="s">
        <v>5177</v>
      </c>
      <c r="E4364" s="1">
        <v>1</v>
      </c>
      <c r="F4364" s="2" t="s">
        <v>5180</v>
      </c>
      <c r="G4364" s="1">
        <v>4</v>
      </c>
      <c r="H4364" s="1" t="str">
        <f t="shared" si="71"/>
        <v>k240_4</v>
      </c>
      <c r="K4364" s="1">
        <f>IF(E4364=0,SUMPRODUCT(($A$2:$A$4734=A4364)*($B$2:$B$4734=B4364)*($D$2:$D$4734=D4364)*($E$2:$E$4734=0)),0)</f>
        <v>0</v>
      </c>
      <c r="L4364" s="1" t="str">
        <f>IF(E4364=0,SUMPRODUCT(MIN($K$2:$K$4734+((($A$2:$A$4734&lt;&gt;A4364)+($E$2:$E$4734&lt;&gt;0))&gt;0)*1000000)),"")</f>
        <v/>
      </c>
      <c r="M4364" s="1">
        <f>IF(AND(E4364=0,COUNTIFS($A$2:A4364,A4364,$E$2:E4364,0)=1),L4364,0)</f>
        <v>0</v>
      </c>
    </row>
    <row r="4365" spans="1:13" ht="15" customHeight="1">
      <c r="A4365" s="1">
        <v>240</v>
      </c>
      <c r="B4365" s="1" t="s">
        <v>16</v>
      </c>
      <c r="C4365" s="2" t="s">
        <v>5164</v>
      </c>
      <c r="D4365" s="1" t="s">
        <v>5177</v>
      </c>
      <c r="E4365" s="1">
        <v>1</v>
      </c>
      <c r="F4365" s="2" t="s">
        <v>5181</v>
      </c>
      <c r="G4365" s="1">
        <v>6</v>
      </c>
      <c r="H4365" s="1" t="str">
        <f t="shared" si="71"/>
        <v>k240_6</v>
      </c>
      <c r="K4365" s="1">
        <f>IF(E4365=0,SUMPRODUCT(($A$2:$A$4734=A4365)*($B$2:$B$4734=B4365)*($D$2:$D$4734=D4365)*($E$2:$E$4734=0)),0)</f>
        <v>0</v>
      </c>
      <c r="L4365" s="1" t="str">
        <f>IF(E4365=0,SUMPRODUCT(MIN($K$2:$K$4734+((($A$2:$A$4734&lt;&gt;A4365)+($E$2:$E$4734&lt;&gt;0))&gt;0)*1000000)),"")</f>
        <v/>
      </c>
      <c r="M4365" s="1">
        <f>IF(AND(E4365=0,COUNTIFS($A$2:A4365,A4365,$E$2:E4365,0)=1),L4365,0)</f>
        <v>0</v>
      </c>
    </row>
    <row r="4366" spans="1:13" ht="15" customHeight="1">
      <c r="A4366" s="1">
        <v>241</v>
      </c>
      <c r="B4366" s="1" t="s">
        <v>872</v>
      </c>
      <c r="C4366" s="2" t="s">
        <v>5182</v>
      </c>
      <c r="D4366" s="2" t="s">
        <v>5183</v>
      </c>
      <c r="E4366" s="1">
        <v>1</v>
      </c>
      <c r="F4366" s="2" t="s">
        <v>5184</v>
      </c>
      <c r="G4366" s="1">
        <v>1</v>
      </c>
      <c r="H4366" s="1" t="str">
        <f t="shared" si="71"/>
        <v>k241_1</v>
      </c>
      <c r="K4366" s="1">
        <f>IF(E4366=0,SUMPRODUCT(($A$2:$A$4734=A4366)*($B$2:$B$4734=B4366)*($D$2:$D$4734=D4366)*($E$2:$E$4734=0)),0)</f>
        <v>0</v>
      </c>
      <c r="L4366" s="1" t="str">
        <f>IF(E4366=0,SUMPRODUCT(MIN($K$2:$K$4734+((($A$2:$A$4734&lt;&gt;A4366)+($E$2:$E$4734&lt;&gt;0))&gt;0)*1000000)),"")</f>
        <v/>
      </c>
      <c r="M4366" s="1">
        <f>IF(AND(E4366=0,COUNTIFS($A$2:A4366,A4366,$E$2:E4366,0)=1),L4366,0)</f>
        <v>0</v>
      </c>
    </row>
    <row r="4367" spans="1:13" ht="15" customHeight="1">
      <c r="A4367" s="1">
        <v>241</v>
      </c>
      <c r="B4367" s="1" t="s">
        <v>872</v>
      </c>
      <c r="C4367" s="2" t="s">
        <v>5182</v>
      </c>
      <c r="D4367" s="2" t="s">
        <v>5183</v>
      </c>
      <c r="E4367" s="1">
        <v>1</v>
      </c>
      <c r="F4367" s="2" t="s">
        <v>5185</v>
      </c>
      <c r="G4367" s="1">
        <v>2</v>
      </c>
      <c r="H4367" s="1" t="str">
        <f t="shared" si="71"/>
        <v>k241_2</v>
      </c>
      <c r="K4367" s="1">
        <f>IF(E4367=0,SUMPRODUCT(($A$2:$A$4734=A4367)*($B$2:$B$4734=B4367)*($D$2:$D$4734=D4367)*($E$2:$E$4734=0)),0)</f>
        <v>0</v>
      </c>
      <c r="L4367" s="1" t="str">
        <f>IF(E4367=0,SUMPRODUCT(MIN($K$2:$K$4734+((($A$2:$A$4734&lt;&gt;A4367)+($E$2:$E$4734&lt;&gt;0))&gt;0)*1000000)),"")</f>
        <v/>
      </c>
      <c r="M4367" s="1">
        <f>IF(AND(E4367=0,COUNTIFS($A$2:A4367,A4367,$E$2:E4367,0)=1),L4367,0)</f>
        <v>0</v>
      </c>
    </row>
    <row r="4368" spans="1:13" ht="15" customHeight="1">
      <c r="A4368" s="1">
        <v>241</v>
      </c>
      <c r="B4368" s="1" t="s">
        <v>872</v>
      </c>
      <c r="C4368" s="2" t="s">
        <v>5182</v>
      </c>
      <c r="D4368" s="2" t="s">
        <v>5183</v>
      </c>
      <c r="E4368" s="1">
        <v>1</v>
      </c>
      <c r="F4368" s="2" t="s">
        <v>5186</v>
      </c>
      <c r="G4368" s="1">
        <v>3</v>
      </c>
      <c r="H4368" s="1" t="str">
        <f t="shared" si="71"/>
        <v>k241_3</v>
      </c>
      <c r="K4368" s="1">
        <f>IF(E4368=0,SUMPRODUCT(($A$2:$A$4734=A4368)*($B$2:$B$4734=B4368)*($D$2:$D$4734=D4368)*($E$2:$E$4734=0)),0)</f>
        <v>0</v>
      </c>
      <c r="L4368" s="1" t="str">
        <f>IF(E4368=0,SUMPRODUCT(MIN($K$2:$K$4734+((($A$2:$A$4734&lt;&gt;A4368)+($E$2:$E$4734&lt;&gt;0))&gt;0)*1000000)),"")</f>
        <v/>
      </c>
      <c r="M4368" s="1">
        <f>IF(AND(E4368=0,COUNTIFS($A$2:A4368,A4368,$E$2:E4368,0)=1),L4368,0)</f>
        <v>0</v>
      </c>
    </row>
    <row r="4369" spans="1:13" ht="15" customHeight="1">
      <c r="A4369" s="1">
        <v>241</v>
      </c>
      <c r="B4369" s="1" t="s">
        <v>872</v>
      </c>
      <c r="C4369" s="2" t="s">
        <v>5182</v>
      </c>
      <c r="D4369" s="2" t="s">
        <v>5183</v>
      </c>
      <c r="E4369" s="1">
        <v>1</v>
      </c>
      <c r="F4369" s="2" t="s">
        <v>5186</v>
      </c>
      <c r="G4369" s="1">
        <v>4</v>
      </c>
      <c r="H4369" s="1" t="str">
        <f t="shared" si="71"/>
        <v>k241_4</v>
      </c>
      <c r="K4369" s="1">
        <f>IF(E4369=0,SUMPRODUCT(($A$2:$A$4734=A4369)*($B$2:$B$4734=B4369)*($D$2:$D$4734=D4369)*($E$2:$E$4734=0)),0)</f>
        <v>0</v>
      </c>
      <c r="L4369" s="1" t="str">
        <f>IF(E4369=0,SUMPRODUCT(MIN($K$2:$K$4734+((($A$2:$A$4734&lt;&gt;A4369)+($E$2:$E$4734&lt;&gt;0))&gt;0)*1000000)),"")</f>
        <v/>
      </c>
      <c r="M4369" s="1">
        <f>IF(AND(E4369=0,COUNTIFS($A$2:A4369,A4369,$E$2:E4369,0)=1),L4369,0)</f>
        <v>0</v>
      </c>
    </row>
    <row r="4370" spans="1:13" ht="15" customHeight="1">
      <c r="A4370" s="1">
        <v>241</v>
      </c>
      <c r="B4370" s="1" t="s">
        <v>872</v>
      </c>
      <c r="C4370" s="2" t="s">
        <v>5182</v>
      </c>
      <c r="D4370" s="2" t="s">
        <v>5183</v>
      </c>
      <c r="E4370" s="1">
        <v>1</v>
      </c>
      <c r="F4370" s="2" t="s">
        <v>5187</v>
      </c>
      <c r="G4370" s="1">
        <v>5</v>
      </c>
      <c r="H4370" s="1" t="str">
        <f t="shared" si="71"/>
        <v>k241_5</v>
      </c>
      <c r="K4370" s="1">
        <f>IF(E4370=0,SUMPRODUCT(($A$2:$A$4734=A4370)*($B$2:$B$4734=B4370)*($D$2:$D$4734=D4370)*($E$2:$E$4734=0)),0)</f>
        <v>0</v>
      </c>
      <c r="L4370" s="1" t="str">
        <f>IF(E4370=0,SUMPRODUCT(MIN($K$2:$K$4734+((($A$2:$A$4734&lt;&gt;A4370)+($E$2:$E$4734&lt;&gt;0))&gt;0)*1000000)),"")</f>
        <v/>
      </c>
      <c r="M4370" s="1">
        <f>IF(AND(E4370=0,COUNTIFS($A$2:A4370,A4370,$E$2:E4370,0)=1),L4370,0)</f>
        <v>0</v>
      </c>
    </row>
    <row r="4371" spans="1:13" ht="15" customHeight="1">
      <c r="A4371" s="1">
        <v>241</v>
      </c>
      <c r="B4371" s="1" t="s">
        <v>872</v>
      </c>
      <c r="C4371" s="2" t="s">
        <v>5182</v>
      </c>
      <c r="D4371" s="2" t="s">
        <v>5183</v>
      </c>
      <c r="E4371" s="1">
        <v>1</v>
      </c>
      <c r="F4371" s="2" t="s">
        <v>5188</v>
      </c>
      <c r="G4371" s="1">
        <v>6</v>
      </c>
      <c r="H4371" s="1" t="str">
        <f t="shared" si="71"/>
        <v>k241_6</v>
      </c>
      <c r="K4371" s="1">
        <f>IF(E4371=0,SUMPRODUCT(($A$2:$A$4734=A4371)*($B$2:$B$4734=B4371)*($D$2:$D$4734=D4371)*($E$2:$E$4734=0)),0)</f>
        <v>0</v>
      </c>
      <c r="L4371" s="1" t="str">
        <f>IF(E4371=0,SUMPRODUCT(MIN($K$2:$K$4734+((($A$2:$A$4734&lt;&gt;A4371)+($E$2:$E$4734&lt;&gt;0))&gt;0)*1000000)),"")</f>
        <v/>
      </c>
      <c r="M4371" s="1">
        <f>IF(AND(E4371=0,COUNTIFS($A$2:A4371,A4371,$E$2:E4371,0)=1),L4371,0)</f>
        <v>0</v>
      </c>
    </row>
    <row r="4372" spans="1:13" ht="15" customHeight="1">
      <c r="A4372" s="1">
        <v>241</v>
      </c>
      <c r="B4372" s="1" t="s">
        <v>872</v>
      </c>
      <c r="C4372" s="2" t="s">
        <v>5182</v>
      </c>
      <c r="D4372" s="2" t="s">
        <v>5183</v>
      </c>
      <c r="E4372" s="1">
        <v>1</v>
      </c>
      <c r="F4372" s="2" t="s">
        <v>5189</v>
      </c>
      <c r="G4372" s="1">
        <v>7</v>
      </c>
      <c r="H4372" s="1" t="str">
        <f t="shared" si="71"/>
        <v>k241_7</v>
      </c>
      <c r="K4372" s="1">
        <f>IF(E4372=0,SUMPRODUCT(($A$2:$A$4734=A4372)*($B$2:$B$4734=B4372)*($D$2:$D$4734=D4372)*($E$2:$E$4734=0)),0)</f>
        <v>0</v>
      </c>
      <c r="L4372" s="1" t="str">
        <f>IF(E4372=0,SUMPRODUCT(MIN($K$2:$K$4734+((($A$2:$A$4734&lt;&gt;A4372)+($E$2:$E$4734&lt;&gt;0))&gt;0)*1000000)),"")</f>
        <v/>
      </c>
      <c r="M4372" s="1">
        <f>IF(AND(E4372=0,COUNTIFS($A$2:A4372,A4372,$E$2:E4372,0)=1),L4372,0)</f>
        <v>0</v>
      </c>
    </row>
    <row r="4373" spans="1:13" ht="15" customHeight="1">
      <c r="A4373" s="1">
        <v>241</v>
      </c>
      <c r="B4373" s="1" t="s">
        <v>16</v>
      </c>
      <c r="C4373" s="2" t="s">
        <v>5182</v>
      </c>
      <c r="D4373" s="2" t="s">
        <v>5190</v>
      </c>
      <c r="E4373" s="1">
        <v>1</v>
      </c>
      <c r="F4373" s="2" t="s">
        <v>5191</v>
      </c>
      <c r="G4373" s="1">
        <v>1</v>
      </c>
      <c r="H4373" s="1" t="str">
        <f t="shared" si="71"/>
        <v>k241_1</v>
      </c>
      <c r="K4373" s="1">
        <f>IF(E4373=0,SUMPRODUCT(($A$2:$A$4734=A4373)*($B$2:$B$4734=B4373)*($D$2:$D$4734=D4373)*($E$2:$E$4734=0)),0)</f>
        <v>0</v>
      </c>
      <c r="L4373" s="1" t="str">
        <f>IF(E4373=0,SUMPRODUCT(MIN($K$2:$K$4734+((($A$2:$A$4734&lt;&gt;A4373)+($E$2:$E$4734&lt;&gt;0))&gt;0)*1000000)),"")</f>
        <v/>
      </c>
      <c r="M4373" s="1">
        <f>IF(AND(E4373=0,COUNTIFS($A$2:A4373,A4373,$E$2:E4373,0)=1),L4373,0)</f>
        <v>0</v>
      </c>
    </row>
    <row r="4374" spans="1:13" ht="15" customHeight="1">
      <c r="A4374" s="1">
        <v>241</v>
      </c>
      <c r="B4374" s="1" t="s">
        <v>16</v>
      </c>
      <c r="C4374" s="2" t="s">
        <v>5182</v>
      </c>
      <c r="D4374" s="2" t="s">
        <v>5190</v>
      </c>
      <c r="E4374" s="1">
        <v>1</v>
      </c>
      <c r="F4374" s="2" t="s">
        <v>5192</v>
      </c>
      <c r="G4374" s="1">
        <v>3</v>
      </c>
      <c r="H4374" s="1" t="str">
        <f t="shared" si="71"/>
        <v>k241_3</v>
      </c>
      <c r="K4374" s="1">
        <f>IF(E4374=0,SUMPRODUCT(($A$2:$A$4734=A4374)*($B$2:$B$4734=B4374)*($D$2:$D$4734=D4374)*($E$2:$E$4734=0)),0)</f>
        <v>0</v>
      </c>
      <c r="L4374" s="1" t="str">
        <f>IF(E4374=0,SUMPRODUCT(MIN($K$2:$K$4734+((($A$2:$A$4734&lt;&gt;A4374)+($E$2:$E$4734&lt;&gt;0))&gt;0)*1000000)),"")</f>
        <v/>
      </c>
      <c r="M4374" s="1">
        <f>IF(AND(E4374=0,COUNTIFS($A$2:A4374,A4374,$E$2:E4374,0)=1),L4374,0)</f>
        <v>0</v>
      </c>
    </row>
    <row r="4375" spans="1:13" ht="15" customHeight="1">
      <c r="A4375" s="1">
        <v>241</v>
      </c>
      <c r="B4375" s="1" t="s">
        <v>16</v>
      </c>
      <c r="C4375" s="2" t="s">
        <v>5182</v>
      </c>
      <c r="D4375" s="2" t="s">
        <v>5190</v>
      </c>
      <c r="E4375" s="1">
        <v>1</v>
      </c>
      <c r="F4375" s="2" t="s">
        <v>5192</v>
      </c>
      <c r="G4375" s="1">
        <v>2</v>
      </c>
      <c r="H4375" s="1" t="str">
        <f t="shared" si="71"/>
        <v>k241_2</v>
      </c>
      <c r="K4375" s="1">
        <f>IF(E4375=0,SUMPRODUCT(($A$2:$A$4734=A4375)*($B$2:$B$4734=B4375)*($D$2:$D$4734=D4375)*($E$2:$E$4734=0)),0)</f>
        <v>0</v>
      </c>
      <c r="L4375" s="1" t="str">
        <f>IF(E4375=0,SUMPRODUCT(MIN($K$2:$K$4734+((($A$2:$A$4734&lt;&gt;A4375)+($E$2:$E$4734&lt;&gt;0))&gt;0)*1000000)),"")</f>
        <v/>
      </c>
      <c r="M4375" s="1">
        <f>IF(AND(E4375=0,COUNTIFS($A$2:A4375,A4375,$E$2:E4375,0)=1),L4375,0)</f>
        <v>0</v>
      </c>
    </row>
    <row r="4376" spans="1:13" ht="15" customHeight="1">
      <c r="A4376" s="1">
        <v>241</v>
      </c>
      <c r="B4376" s="1" t="s">
        <v>16</v>
      </c>
      <c r="C4376" s="2" t="s">
        <v>5182</v>
      </c>
      <c r="D4376" s="2" t="s">
        <v>5190</v>
      </c>
      <c r="E4376" s="1">
        <v>1</v>
      </c>
      <c r="F4376" s="2" t="s">
        <v>5193</v>
      </c>
      <c r="G4376" s="1">
        <v>4</v>
      </c>
      <c r="H4376" s="1" t="str">
        <f t="shared" si="71"/>
        <v>k241_4</v>
      </c>
      <c r="K4376" s="1">
        <f>IF(E4376=0,SUMPRODUCT(($A$2:$A$4734=A4376)*($B$2:$B$4734=B4376)*($D$2:$D$4734=D4376)*($E$2:$E$4734=0)),0)</f>
        <v>0</v>
      </c>
      <c r="L4376" s="1" t="str">
        <f>IF(E4376=0,SUMPRODUCT(MIN($K$2:$K$4734+((($A$2:$A$4734&lt;&gt;A4376)+($E$2:$E$4734&lt;&gt;0))&gt;0)*1000000)),"")</f>
        <v/>
      </c>
      <c r="M4376" s="1">
        <f>IF(AND(E4376=0,COUNTIFS($A$2:A4376,A4376,$E$2:E4376,0)=1),L4376,0)</f>
        <v>0</v>
      </c>
    </row>
    <row r="4377" spans="1:13" ht="15" customHeight="1">
      <c r="A4377" s="1">
        <v>241</v>
      </c>
      <c r="B4377" s="1" t="s">
        <v>16</v>
      </c>
      <c r="C4377" s="2" t="s">
        <v>5182</v>
      </c>
      <c r="D4377" s="2" t="s">
        <v>5190</v>
      </c>
      <c r="E4377" s="1">
        <v>1</v>
      </c>
      <c r="F4377" s="2" t="s">
        <v>5194</v>
      </c>
      <c r="G4377" s="1">
        <v>5</v>
      </c>
      <c r="H4377" s="1" t="str">
        <f t="shared" si="71"/>
        <v>k241_5</v>
      </c>
      <c r="K4377" s="1">
        <f>IF(E4377=0,SUMPRODUCT(($A$2:$A$4734=A4377)*($B$2:$B$4734=B4377)*($D$2:$D$4734=D4377)*($E$2:$E$4734=0)),0)</f>
        <v>0</v>
      </c>
      <c r="L4377" s="1" t="str">
        <f>IF(E4377=0,SUMPRODUCT(MIN($K$2:$K$4734+((($A$2:$A$4734&lt;&gt;A4377)+($E$2:$E$4734&lt;&gt;0))&gt;0)*1000000)),"")</f>
        <v/>
      </c>
      <c r="M4377" s="1">
        <f>IF(AND(E4377=0,COUNTIFS($A$2:A4377,A4377,$E$2:E4377,0)=1),L4377,0)</f>
        <v>0</v>
      </c>
    </row>
    <row r="4378" spans="1:13" ht="15" customHeight="1">
      <c r="A4378" s="1">
        <v>241</v>
      </c>
      <c r="B4378" s="1" t="s">
        <v>16</v>
      </c>
      <c r="C4378" s="2" t="s">
        <v>5182</v>
      </c>
      <c r="D4378" s="2" t="s">
        <v>5190</v>
      </c>
      <c r="E4378" s="1">
        <v>1</v>
      </c>
      <c r="F4378" s="2" t="s">
        <v>5193</v>
      </c>
      <c r="G4378" s="1">
        <v>6</v>
      </c>
      <c r="H4378" s="1" t="str">
        <f t="shared" si="71"/>
        <v>k241_6</v>
      </c>
      <c r="K4378" s="1">
        <f>IF(E4378=0,SUMPRODUCT(($A$2:$A$4734=A4378)*($B$2:$B$4734=B4378)*($D$2:$D$4734=D4378)*($E$2:$E$4734=0)),0)</f>
        <v>0</v>
      </c>
      <c r="L4378" s="1" t="str">
        <f>IF(E4378=0,SUMPRODUCT(MIN($K$2:$K$4734+((($A$2:$A$4734&lt;&gt;A4378)+($E$2:$E$4734&lt;&gt;0))&gt;0)*1000000)),"")</f>
        <v/>
      </c>
      <c r="M4378" s="1">
        <f>IF(AND(E4378=0,COUNTIFS($A$2:A4378,A4378,$E$2:E4378,0)=1),L4378,0)</f>
        <v>0</v>
      </c>
    </row>
    <row r="4379" spans="1:13" ht="15" customHeight="1">
      <c r="A4379" s="1">
        <v>241</v>
      </c>
      <c r="B4379" s="1" t="s">
        <v>16</v>
      </c>
      <c r="C4379" s="2" t="s">
        <v>5182</v>
      </c>
      <c r="D4379" s="2" t="s">
        <v>5190</v>
      </c>
      <c r="E4379" s="1">
        <v>1</v>
      </c>
      <c r="F4379" s="2" t="s">
        <v>5194</v>
      </c>
      <c r="G4379" s="1">
        <v>7</v>
      </c>
      <c r="H4379" s="1" t="str">
        <f t="shared" si="71"/>
        <v>k241_7</v>
      </c>
      <c r="K4379" s="1">
        <f>IF(E4379=0,SUMPRODUCT(($A$2:$A$4734=A4379)*($B$2:$B$4734=B4379)*($D$2:$D$4734=D4379)*($E$2:$E$4734=0)),0)</f>
        <v>0</v>
      </c>
      <c r="L4379" s="1" t="str">
        <f>IF(E4379=0,SUMPRODUCT(MIN($K$2:$K$4734+((($A$2:$A$4734&lt;&gt;A4379)+($E$2:$E$4734&lt;&gt;0))&gt;0)*1000000)),"")</f>
        <v/>
      </c>
      <c r="M4379" s="1">
        <f>IF(AND(E4379=0,COUNTIFS($A$2:A4379,A4379,$E$2:E4379,0)=1),L4379,0)</f>
        <v>0</v>
      </c>
    </row>
    <row r="4380" spans="1:13" ht="15" customHeight="1">
      <c r="A4380" s="1">
        <v>242</v>
      </c>
      <c r="B4380" s="1" t="s">
        <v>69</v>
      </c>
      <c r="C4380" s="2" t="s">
        <v>5195</v>
      </c>
      <c r="D4380" s="2" t="s">
        <v>5196</v>
      </c>
      <c r="E4380" s="1">
        <v>1</v>
      </c>
      <c r="F4380" s="2" t="s">
        <v>5197</v>
      </c>
      <c r="G4380" s="1">
        <v>1</v>
      </c>
      <c r="H4380" s="1" t="str">
        <f t="shared" si="71"/>
        <v>k242_1</v>
      </c>
      <c r="K4380" s="1">
        <f>IF(E4380=0,SUMPRODUCT(($A$2:$A$4734=A4380)*($B$2:$B$4734=B4380)*($D$2:$D$4734=D4380)*($E$2:$E$4734=0)),0)</f>
        <v>0</v>
      </c>
      <c r="L4380" s="1" t="str">
        <f>IF(E4380=0,SUMPRODUCT(MIN($K$2:$K$4734+((($A$2:$A$4734&lt;&gt;A4380)+($E$2:$E$4734&lt;&gt;0))&gt;0)*1000000)),"")</f>
        <v/>
      </c>
      <c r="M4380" s="1">
        <f>IF(AND(E4380=0,COUNTIFS($A$2:A4380,A4380,$E$2:E4380,0)=1),L4380,0)</f>
        <v>0</v>
      </c>
    </row>
    <row r="4381" spans="1:13" ht="15" customHeight="1">
      <c r="A4381" s="1">
        <v>242</v>
      </c>
      <c r="B4381" s="1" t="s">
        <v>69</v>
      </c>
      <c r="C4381" s="2" t="s">
        <v>5198</v>
      </c>
      <c r="D4381" s="2" t="s">
        <v>5196</v>
      </c>
      <c r="E4381" s="1">
        <v>1</v>
      </c>
      <c r="F4381" s="2" t="s">
        <v>5199</v>
      </c>
      <c r="G4381" s="1">
        <v>2</v>
      </c>
      <c r="H4381" s="1" t="str">
        <f t="shared" si="71"/>
        <v>k242_2</v>
      </c>
      <c r="K4381" s="1">
        <f>IF(E4381=0,SUMPRODUCT(($A$2:$A$4734=A4381)*($B$2:$B$4734=B4381)*($D$2:$D$4734=D4381)*($E$2:$E$4734=0)),0)</f>
        <v>0</v>
      </c>
      <c r="L4381" s="1" t="str">
        <f>IF(E4381=0,SUMPRODUCT(MIN($K$2:$K$4734+((($A$2:$A$4734&lt;&gt;A4381)+($E$2:$E$4734&lt;&gt;0))&gt;0)*1000000)),"")</f>
        <v/>
      </c>
      <c r="M4381" s="1">
        <f>IF(AND(E4381=0,COUNTIFS($A$2:A4381,A4381,$E$2:E4381,0)=1),L4381,0)</f>
        <v>0</v>
      </c>
    </row>
    <row r="4382" spans="1:13" ht="15" customHeight="1">
      <c r="A4382" s="1">
        <v>243</v>
      </c>
      <c r="B4382" s="1" t="s">
        <v>16</v>
      </c>
      <c r="C4382" s="2" t="s">
        <v>5200</v>
      </c>
      <c r="D4382" s="2" t="s">
        <v>4703</v>
      </c>
      <c r="E4382" s="1">
        <v>1</v>
      </c>
      <c r="F4382" s="2" t="s">
        <v>5201</v>
      </c>
      <c r="G4382" s="1">
        <v>4</v>
      </c>
      <c r="H4382" s="1" t="str">
        <f t="shared" si="71"/>
        <v>k243_4</v>
      </c>
      <c r="K4382" s="1">
        <f>IF(E4382=0,SUMPRODUCT(($A$2:$A$4734=A4382)*($B$2:$B$4734=B4382)*($D$2:$D$4734=D4382)*($E$2:$E$4734=0)),0)</f>
        <v>0</v>
      </c>
      <c r="L4382" s="1" t="str">
        <f>IF(E4382=0,SUMPRODUCT(MIN($K$2:$K$4734+((($A$2:$A$4734&lt;&gt;A4382)+($E$2:$E$4734&lt;&gt;0))&gt;0)*1000000)),"")</f>
        <v/>
      </c>
      <c r="M4382" s="1">
        <f>IF(AND(E4382=0,COUNTIFS($A$2:A4382,A4382,$E$2:E4382,0)=1),L4382,0)</f>
        <v>0</v>
      </c>
    </row>
    <row r="4383" spans="1:13" ht="15" customHeight="1">
      <c r="A4383" s="1">
        <v>243</v>
      </c>
      <c r="B4383" s="1" t="s">
        <v>16</v>
      </c>
      <c r="C4383" s="2" t="s">
        <v>5200</v>
      </c>
      <c r="D4383" s="2" t="s">
        <v>4703</v>
      </c>
      <c r="E4383" s="1">
        <v>1</v>
      </c>
      <c r="F4383" s="2" t="s">
        <v>5202</v>
      </c>
      <c r="G4383" s="1">
        <v>5</v>
      </c>
      <c r="H4383" s="1" t="str">
        <f t="shared" si="71"/>
        <v>k243_5</v>
      </c>
      <c r="K4383" s="1">
        <f>IF(E4383=0,SUMPRODUCT(($A$2:$A$4734=A4383)*($B$2:$B$4734=B4383)*($D$2:$D$4734=D4383)*($E$2:$E$4734=0)),0)</f>
        <v>0</v>
      </c>
      <c r="L4383" s="1" t="str">
        <f>IF(E4383=0,SUMPRODUCT(MIN($K$2:$K$4734+((($A$2:$A$4734&lt;&gt;A4383)+($E$2:$E$4734&lt;&gt;0))&gt;0)*1000000)),"")</f>
        <v/>
      </c>
      <c r="M4383" s="1">
        <f>IF(AND(E4383=0,COUNTIFS($A$2:A4383,A4383,$E$2:E4383,0)=1),L4383,0)</f>
        <v>0</v>
      </c>
    </row>
    <row r="4384" spans="1:13" ht="15" customHeight="1">
      <c r="A4384" s="1">
        <v>243</v>
      </c>
      <c r="B4384" s="1" t="s">
        <v>16</v>
      </c>
      <c r="C4384" s="2" t="s">
        <v>5200</v>
      </c>
      <c r="D4384" s="2" t="s">
        <v>4703</v>
      </c>
      <c r="E4384" s="1">
        <v>1</v>
      </c>
      <c r="F4384" s="2" t="s">
        <v>5203</v>
      </c>
      <c r="G4384" s="1">
        <v>3</v>
      </c>
      <c r="H4384" s="1" t="str">
        <f t="shared" si="71"/>
        <v>k243_3</v>
      </c>
      <c r="K4384" s="1">
        <f>IF(E4384=0,SUMPRODUCT(($A$2:$A$4734=A4384)*($B$2:$B$4734=B4384)*($D$2:$D$4734=D4384)*($E$2:$E$4734=0)),0)</f>
        <v>0</v>
      </c>
      <c r="L4384" s="1" t="str">
        <f>IF(E4384=0,SUMPRODUCT(MIN($K$2:$K$4734+((($A$2:$A$4734&lt;&gt;A4384)+($E$2:$E$4734&lt;&gt;0))&gt;0)*1000000)),"")</f>
        <v/>
      </c>
      <c r="M4384" s="1">
        <f>IF(AND(E4384=0,COUNTIFS($A$2:A4384,A4384,$E$2:E4384,0)=1),L4384,0)</f>
        <v>0</v>
      </c>
    </row>
    <row r="4385" spans="1:13" ht="15" customHeight="1">
      <c r="A4385" s="1">
        <v>243</v>
      </c>
      <c r="B4385" s="1" t="s">
        <v>16</v>
      </c>
      <c r="C4385" s="2" t="s">
        <v>5200</v>
      </c>
      <c r="D4385" s="2" t="s">
        <v>4703</v>
      </c>
      <c r="E4385" s="1">
        <v>1</v>
      </c>
      <c r="F4385" s="2" t="s">
        <v>5204</v>
      </c>
      <c r="G4385" s="1">
        <v>2</v>
      </c>
      <c r="H4385" s="1" t="str">
        <f t="shared" si="71"/>
        <v>k243_2</v>
      </c>
      <c r="K4385" s="1">
        <f>IF(E4385=0,SUMPRODUCT(($A$2:$A$4734=A4385)*($B$2:$B$4734=B4385)*($D$2:$D$4734=D4385)*($E$2:$E$4734=0)),0)</f>
        <v>0</v>
      </c>
      <c r="L4385" s="1" t="str">
        <f>IF(E4385=0,SUMPRODUCT(MIN($K$2:$K$4734+((($A$2:$A$4734&lt;&gt;A4385)+($E$2:$E$4734&lt;&gt;0))&gt;0)*1000000)),"")</f>
        <v/>
      </c>
      <c r="M4385" s="1">
        <f>IF(AND(E4385=0,COUNTIFS($A$2:A4385,A4385,$E$2:E4385,0)=1),L4385,0)</f>
        <v>0</v>
      </c>
    </row>
    <row r="4386" spans="1:13" ht="15" customHeight="1">
      <c r="A4386" s="1">
        <v>243</v>
      </c>
      <c r="B4386" s="1" t="s">
        <v>16</v>
      </c>
      <c r="C4386" s="2" t="s">
        <v>5200</v>
      </c>
      <c r="D4386" s="2" t="s">
        <v>4703</v>
      </c>
      <c r="E4386" s="1">
        <v>1</v>
      </c>
      <c r="F4386" s="2" t="s">
        <v>5205</v>
      </c>
      <c r="G4386" s="1">
        <v>1</v>
      </c>
      <c r="H4386" s="1" t="str">
        <f t="shared" si="71"/>
        <v>k243_1</v>
      </c>
      <c r="K4386" s="1">
        <f>IF(E4386=0,SUMPRODUCT(($A$2:$A$4734=A4386)*($B$2:$B$4734=B4386)*($D$2:$D$4734=D4386)*($E$2:$E$4734=0)),0)</f>
        <v>0</v>
      </c>
      <c r="L4386" s="1" t="str">
        <f>IF(E4386=0,SUMPRODUCT(MIN($K$2:$K$4734+((($A$2:$A$4734&lt;&gt;A4386)+($E$2:$E$4734&lt;&gt;0))&gt;0)*1000000)),"")</f>
        <v/>
      </c>
      <c r="M4386" s="1">
        <f>IF(AND(E4386=0,COUNTIFS($A$2:A4386,A4386,$E$2:E4386,0)=1),L4386,0)</f>
        <v>0</v>
      </c>
    </row>
    <row r="4387" spans="1:13" ht="15" customHeight="1">
      <c r="A4387" s="1">
        <v>243</v>
      </c>
      <c r="B4387" s="1" t="s">
        <v>69</v>
      </c>
      <c r="C4387" s="2" t="s">
        <v>5200</v>
      </c>
      <c r="D4387" s="2" t="s">
        <v>5206</v>
      </c>
      <c r="E4387" s="1">
        <v>1</v>
      </c>
      <c r="F4387" s="2" t="s">
        <v>5207</v>
      </c>
      <c r="G4387" s="1">
        <v>1</v>
      </c>
      <c r="H4387" s="1" t="str">
        <f t="shared" si="71"/>
        <v>k243_1</v>
      </c>
      <c r="K4387" s="1">
        <f>IF(E4387=0,SUMPRODUCT(($A$2:$A$4734=A4387)*($B$2:$B$4734=B4387)*($D$2:$D$4734=D4387)*($E$2:$E$4734=0)),0)</f>
        <v>0</v>
      </c>
      <c r="L4387" s="1" t="str">
        <f>IF(E4387=0,SUMPRODUCT(MIN($K$2:$K$4734+((($A$2:$A$4734&lt;&gt;A4387)+($E$2:$E$4734&lt;&gt;0))&gt;0)*1000000)),"")</f>
        <v/>
      </c>
      <c r="M4387" s="1">
        <f>IF(AND(E4387=0,COUNTIFS($A$2:A4387,A4387,$E$2:E4387,0)=1),L4387,0)</f>
        <v>0</v>
      </c>
    </row>
    <row r="4388" spans="1:13" ht="15" customHeight="1">
      <c r="A4388" s="1">
        <v>243</v>
      </c>
      <c r="B4388" s="1" t="s">
        <v>69</v>
      </c>
      <c r="C4388" s="2" t="s">
        <v>5200</v>
      </c>
      <c r="D4388" s="2" t="s">
        <v>5206</v>
      </c>
      <c r="E4388" s="1">
        <v>1</v>
      </c>
      <c r="F4388" s="2" t="s">
        <v>5208</v>
      </c>
      <c r="G4388" s="1">
        <v>2</v>
      </c>
      <c r="H4388" s="1" t="str">
        <f t="shared" si="71"/>
        <v>k243_2</v>
      </c>
      <c r="K4388" s="1">
        <f>IF(E4388=0,SUMPRODUCT(($A$2:$A$4734=A4388)*($B$2:$B$4734=B4388)*($D$2:$D$4734=D4388)*($E$2:$E$4734=0)),0)</f>
        <v>0</v>
      </c>
      <c r="L4388" s="1" t="str">
        <f>IF(E4388=0,SUMPRODUCT(MIN($K$2:$K$4734+((($A$2:$A$4734&lt;&gt;A4388)+($E$2:$E$4734&lt;&gt;0))&gt;0)*1000000)),"")</f>
        <v/>
      </c>
      <c r="M4388" s="1">
        <f>IF(AND(E4388=0,COUNTIFS($A$2:A4388,A4388,$E$2:E4388,0)=1),L4388,0)</f>
        <v>0</v>
      </c>
    </row>
    <row r="4389" spans="1:13" ht="15" customHeight="1">
      <c r="A4389" s="1">
        <v>243</v>
      </c>
      <c r="B4389" s="1" t="s">
        <v>69</v>
      </c>
      <c r="C4389" s="2" t="s">
        <v>5200</v>
      </c>
      <c r="D4389" s="2" t="s">
        <v>5206</v>
      </c>
      <c r="E4389" s="1">
        <v>1</v>
      </c>
      <c r="F4389" s="2" t="s">
        <v>5209</v>
      </c>
      <c r="G4389" s="1">
        <v>3</v>
      </c>
      <c r="H4389" s="1" t="str">
        <f t="shared" si="71"/>
        <v>k243_3</v>
      </c>
      <c r="K4389" s="1">
        <f>IF(E4389=0,SUMPRODUCT(($A$2:$A$4734=A4389)*($B$2:$B$4734=B4389)*($D$2:$D$4734=D4389)*($E$2:$E$4734=0)),0)</f>
        <v>0</v>
      </c>
      <c r="L4389" s="1" t="str">
        <f>IF(E4389=0,SUMPRODUCT(MIN($K$2:$K$4734+((($A$2:$A$4734&lt;&gt;A4389)+($E$2:$E$4734&lt;&gt;0))&gt;0)*1000000)),"")</f>
        <v/>
      </c>
      <c r="M4389" s="1">
        <f>IF(AND(E4389=0,COUNTIFS($A$2:A4389,A4389,$E$2:E4389,0)=1),L4389,0)</f>
        <v>0</v>
      </c>
    </row>
    <row r="4390" spans="1:13" ht="15" customHeight="1">
      <c r="A4390" s="1">
        <v>243</v>
      </c>
      <c r="B4390" s="1" t="s">
        <v>69</v>
      </c>
      <c r="C4390" s="2" t="s">
        <v>5200</v>
      </c>
      <c r="D4390" s="2" t="s">
        <v>5206</v>
      </c>
      <c r="E4390" s="1">
        <v>1</v>
      </c>
      <c r="F4390" s="2" t="s">
        <v>5209</v>
      </c>
      <c r="G4390" s="1">
        <v>4</v>
      </c>
      <c r="H4390" s="1" t="str">
        <f t="shared" si="71"/>
        <v>k243_4</v>
      </c>
      <c r="K4390" s="1">
        <f>IF(E4390=0,SUMPRODUCT(($A$2:$A$4734=A4390)*($B$2:$B$4734=B4390)*($D$2:$D$4734=D4390)*($E$2:$E$4734=0)),0)</f>
        <v>0</v>
      </c>
      <c r="L4390" s="1" t="str">
        <f>IF(E4390=0,SUMPRODUCT(MIN($K$2:$K$4734+((($A$2:$A$4734&lt;&gt;A4390)+($E$2:$E$4734&lt;&gt;0))&gt;0)*1000000)),"")</f>
        <v/>
      </c>
      <c r="M4390" s="1">
        <f>IF(AND(E4390=0,COUNTIFS($A$2:A4390,A4390,$E$2:E4390,0)=1),L4390,0)</f>
        <v>0</v>
      </c>
    </row>
    <row r="4391" spans="1:13" ht="15" customHeight="1">
      <c r="A4391" s="1">
        <v>243</v>
      </c>
      <c r="B4391" s="1" t="s">
        <v>69</v>
      </c>
      <c r="C4391" s="2" t="s">
        <v>5200</v>
      </c>
      <c r="D4391" s="2" t="s">
        <v>5206</v>
      </c>
      <c r="E4391" s="1">
        <v>1</v>
      </c>
      <c r="F4391" s="2" t="s">
        <v>5210</v>
      </c>
      <c r="G4391" s="1">
        <v>5</v>
      </c>
      <c r="H4391" s="1" t="str">
        <f t="shared" si="71"/>
        <v>k243_5</v>
      </c>
      <c r="K4391" s="1">
        <f>IF(E4391=0,SUMPRODUCT(($A$2:$A$4734=A4391)*($B$2:$B$4734=B4391)*($D$2:$D$4734=D4391)*($E$2:$E$4734=0)),0)</f>
        <v>0</v>
      </c>
      <c r="L4391" s="1" t="str">
        <f>IF(E4391=0,SUMPRODUCT(MIN($K$2:$K$4734+((($A$2:$A$4734&lt;&gt;A4391)+($E$2:$E$4734&lt;&gt;0))&gt;0)*1000000)),"")</f>
        <v/>
      </c>
      <c r="M4391" s="1">
        <f>IF(AND(E4391=0,COUNTIFS($A$2:A4391,A4391,$E$2:E4391,0)=1),L4391,0)</f>
        <v>0</v>
      </c>
    </row>
    <row r="4392" spans="1:13" ht="15" customHeight="1">
      <c r="A4392" s="1">
        <v>244</v>
      </c>
      <c r="B4392" s="1" t="s">
        <v>69</v>
      </c>
      <c r="C4392" s="2" t="s">
        <v>5211</v>
      </c>
      <c r="D4392" s="2" t="s">
        <v>5212</v>
      </c>
      <c r="E4392" s="1">
        <v>1</v>
      </c>
      <c r="F4392" s="2" t="s">
        <v>5213</v>
      </c>
      <c r="G4392" s="1">
        <v>1</v>
      </c>
      <c r="H4392" s="1" t="str">
        <f t="shared" si="71"/>
        <v>k244_1</v>
      </c>
      <c r="K4392" s="1">
        <f>IF(E4392=0,SUMPRODUCT(($A$2:$A$4734=A4392)*($B$2:$B$4734=B4392)*($D$2:$D$4734=D4392)*($E$2:$E$4734=0)),0)</f>
        <v>0</v>
      </c>
      <c r="L4392" s="1" t="str">
        <f>IF(E4392=0,SUMPRODUCT(MIN($K$2:$K$4734+((($A$2:$A$4734&lt;&gt;A4392)+($E$2:$E$4734&lt;&gt;0))&gt;0)*1000000)),"")</f>
        <v/>
      </c>
      <c r="M4392" s="1">
        <f>IF(AND(E4392=0,COUNTIFS($A$2:A4392,A4392,$E$2:E4392,0)=1),L4392,0)</f>
        <v>0</v>
      </c>
    </row>
    <row r="4393" spans="1:13" ht="15" customHeight="1">
      <c r="A4393" s="1">
        <v>244</v>
      </c>
      <c r="B4393" s="1" t="s">
        <v>69</v>
      </c>
      <c r="C4393" s="2" t="s">
        <v>5214</v>
      </c>
      <c r="D4393" s="2" t="s">
        <v>5212</v>
      </c>
      <c r="E4393" s="1">
        <v>1</v>
      </c>
      <c r="F4393" s="2" t="s">
        <v>5215</v>
      </c>
      <c r="G4393" s="1">
        <v>2</v>
      </c>
      <c r="H4393" s="1" t="str">
        <f t="shared" si="71"/>
        <v>k244_2</v>
      </c>
      <c r="K4393" s="1">
        <f>IF(E4393=0,SUMPRODUCT(($A$2:$A$4734=A4393)*($B$2:$B$4734=B4393)*($D$2:$D$4734=D4393)*($E$2:$E$4734=0)),0)</f>
        <v>0</v>
      </c>
      <c r="L4393" s="1" t="str">
        <f>IF(E4393=0,SUMPRODUCT(MIN($K$2:$K$4734+((($A$2:$A$4734&lt;&gt;A4393)+($E$2:$E$4734&lt;&gt;0))&gt;0)*1000000)),"")</f>
        <v/>
      </c>
      <c r="M4393" s="1">
        <f>IF(AND(E4393=0,COUNTIFS($A$2:A4393,A4393,$E$2:E4393,0)=1),L4393,0)</f>
        <v>0</v>
      </c>
    </row>
    <row r="4394" spans="1:13" ht="15" customHeight="1">
      <c r="A4394" s="1">
        <v>244</v>
      </c>
      <c r="B4394" s="1" t="s">
        <v>69</v>
      </c>
      <c r="C4394" s="2" t="s">
        <v>5216</v>
      </c>
      <c r="D4394" s="2" t="s">
        <v>5212</v>
      </c>
      <c r="E4394" s="1">
        <v>1</v>
      </c>
      <c r="F4394" s="2" t="s">
        <v>5217</v>
      </c>
      <c r="G4394" s="1">
        <v>3</v>
      </c>
      <c r="H4394" s="1" t="str">
        <f t="shared" si="71"/>
        <v>k244_3</v>
      </c>
      <c r="K4394" s="1">
        <f>IF(E4394=0,SUMPRODUCT(($A$2:$A$4734=A4394)*($B$2:$B$4734=B4394)*($D$2:$D$4734=D4394)*($E$2:$E$4734=0)),0)</f>
        <v>0</v>
      </c>
      <c r="L4394" s="1" t="str">
        <f>IF(E4394=0,SUMPRODUCT(MIN($K$2:$K$4734+((($A$2:$A$4734&lt;&gt;A4394)+($E$2:$E$4734&lt;&gt;0))&gt;0)*1000000)),"")</f>
        <v/>
      </c>
      <c r="M4394" s="1">
        <f>IF(AND(E4394=0,COUNTIFS($A$2:A4394,A4394,$E$2:E4394,0)=1),L4394,0)</f>
        <v>0</v>
      </c>
    </row>
    <row r="4395" spans="1:13" ht="15" customHeight="1">
      <c r="A4395" s="1">
        <v>244</v>
      </c>
      <c r="B4395" s="1" t="s">
        <v>69</v>
      </c>
      <c r="C4395" s="2" t="s">
        <v>5218</v>
      </c>
      <c r="D4395" s="2" t="s">
        <v>5212</v>
      </c>
      <c r="E4395" s="1">
        <v>1</v>
      </c>
      <c r="F4395" s="2" t="s">
        <v>5219</v>
      </c>
      <c r="G4395" s="1">
        <v>4</v>
      </c>
      <c r="H4395" s="1" t="str">
        <f t="shared" si="71"/>
        <v>k244_4</v>
      </c>
      <c r="K4395" s="1">
        <f>IF(E4395=0,SUMPRODUCT(($A$2:$A$4734=A4395)*($B$2:$B$4734=B4395)*($D$2:$D$4734=D4395)*($E$2:$E$4734=0)),0)</f>
        <v>0</v>
      </c>
      <c r="L4395" s="1" t="str">
        <f>IF(E4395=0,SUMPRODUCT(MIN($K$2:$K$4734+((($A$2:$A$4734&lt;&gt;A4395)+($E$2:$E$4734&lt;&gt;0))&gt;0)*1000000)),"")</f>
        <v/>
      </c>
      <c r="M4395" s="1">
        <f>IF(AND(E4395=0,COUNTIFS($A$2:A4395,A4395,$E$2:E4395,0)=1),L4395,0)</f>
        <v>0</v>
      </c>
    </row>
    <row r="4396" spans="1:13" ht="15" customHeight="1">
      <c r="A4396" s="1">
        <v>244</v>
      </c>
      <c r="B4396" s="1" t="s">
        <v>69</v>
      </c>
      <c r="C4396" s="2" t="s">
        <v>5220</v>
      </c>
      <c r="D4396" s="2" t="s">
        <v>5212</v>
      </c>
      <c r="E4396" s="1">
        <v>1</v>
      </c>
      <c r="F4396" s="2" t="s">
        <v>5219</v>
      </c>
      <c r="G4396" s="1">
        <v>5</v>
      </c>
      <c r="H4396" s="1" t="str">
        <f t="shared" si="71"/>
        <v>k244_5</v>
      </c>
      <c r="K4396" s="1">
        <f>IF(E4396=0,SUMPRODUCT(($A$2:$A$4734=A4396)*($B$2:$B$4734=B4396)*($D$2:$D$4734=D4396)*($E$2:$E$4734=0)),0)</f>
        <v>0</v>
      </c>
      <c r="L4396" s="1" t="str">
        <f>IF(E4396=0,SUMPRODUCT(MIN($K$2:$K$4734+((($A$2:$A$4734&lt;&gt;A4396)+($E$2:$E$4734&lt;&gt;0))&gt;0)*1000000)),"")</f>
        <v/>
      </c>
      <c r="M4396" s="1">
        <f>IF(AND(E4396=0,COUNTIFS($A$2:A4396,A4396,$E$2:E4396,0)=1),L4396,0)</f>
        <v>0</v>
      </c>
    </row>
    <row r="4397" spans="1:13" ht="15" customHeight="1">
      <c r="A4397" s="1">
        <v>244</v>
      </c>
      <c r="B4397" s="1" t="s">
        <v>9</v>
      </c>
      <c r="C4397" s="2" t="s">
        <v>5221</v>
      </c>
      <c r="D4397" s="2" t="s">
        <v>3174</v>
      </c>
      <c r="E4397" s="1">
        <v>1</v>
      </c>
      <c r="F4397" s="2" t="s">
        <v>5222</v>
      </c>
      <c r="G4397" s="1">
        <v>1</v>
      </c>
      <c r="H4397" s="1" t="str">
        <f t="shared" si="71"/>
        <v>k244_1</v>
      </c>
      <c r="K4397" s="1">
        <f>IF(E4397=0,SUMPRODUCT(($A$2:$A$4734=A4397)*($B$2:$B$4734=B4397)*($D$2:$D$4734=D4397)*($E$2:$E$4734=0)),0)</f>
        <v>0</v>
      </c>
      <c r="L4397" s="1" t="str">
        <f>IF(E4397=0,SUMPRODUCT(MIN($K$2:$K$4734+((($A$2:$A$4734&lt;&gt;A4397)+($E$2:$E$4734&lt;&gt;0))&gt;0)*1000000)),"")</f>
        <v/>
      </c>
      <c r="M4397" s="1">
        <f>IF(AND(E4397=0,COUNTIFS($A$2:A4397,A4397,$E$2:E4397,0)=1),L4397,0)</f>
        <v>0</v>
      </c>
    </row>
    <row r="4398" spans="1:13" ht="15" customHeight="1">
      <c r="A4398" s="1">
        <v>244</v>
      </c>
      <c r="B4398" s="1" t="s">
        <v>9</v>
      </c>
      <c r="C4398" s="2" t="s">
        <v>5223</v>
      </c>
      <c r="D4398" s="2" t="s">
        <v>3174</v>
      </c>
      <c r="E4398" s="1">
        <v>1</v>
      </c>
      <c r="F4398" s="2" t="s">
        <v>4694</v>
      </c>
      <c r="G4398" s="1">
        <v>4</v>
      </c>
      <c r="H4398" s="1" t="str">
        <f t="shared" si="71"/>
        <v>k244_4</v>
      </c>
      <c r="K4398" s="1">
        <f>IF(E4398=0,SUMPRODUCT(($A$2:$A$4734=A4398)*($B$2:$B$4734=B4398)*($D$2:$D$4734=D4398)*($E$2:$E$4734=0)),0)</f>
        <v>0</v>
      </c>
      <c r="L4398" s="1" t="str">
        <f>IF(E4398=0,SUMPRODUCT(MIN($K$2:$K$4734+((($A$2:$A$4734&lt;&gt;A4398)+($E$2:$E$4734&lt;&gt;0))&gt;0)*1000000)),"")</f>
        <v/>
      </c>
      <c r="M4398" s="1">
        <f>IF(AND(E4398=0,COUNTIFS($A$2:A4398,A4398,$E$2:E4398,0)=1),L4398,0)</f>
        <v>0</v>
      </c>
    </row>
    <row r="4399" spans="1:13" ht="15" customHeight="1">
      <c r="A4399" s="1">
        <v>244</v>
      </c>
      <c r="B4399" s="1" t="s">
        <v>9</v>
      </c>
      <c r="C4399" s="2" t="s">
        <v>5224</v>
      </c>
      <c r="D4399" s="2" t="s">
        <v>3174</v>
      </c>
      <c r="E4399" s="1">
        <v>1</v>
      </c>
      <c r="F4399" s="2" t="s">
        <v>1057</v>
      </c>
      <c r="G4399" s="1">
        <v>5</v>
      </c>
      <c r="H4399" s="1" t="str">
        <f t="shared" si="71"/>
        <v>k244_5</v>
      </c>
      <c r="K4399" s="1">
        <f>IF(E4399=0,SUMPRODUCT(($A$2:$A$4734=A4399)*($B$2:$B$4734=B4399)*($D$2:$D$4734=D4399)*($E$2:$E$4734=0)),0)</f>
        <v>0</v>
      </c>
      <c r="L4399" s="1" t="str">
        <f>IF(E4399=0,SUMPRODUCT(MIN($K$2:$K$4734+((($A$2:$A$4734&lt;&gt;A4399)+($E$2:$E$4734&lt;&gt;0))&gt;0)*1000000)),"")</f>
        <v/>
      </c>
      <c r="M4399" s="1">
        <f>IF(AND(E4399=0,COUNTIFS($A$2:A4399,A4399,$E$2:E4399,0)=1),L4399,0)</f>
        <v>0</v>
      </c>
    </row>
    <row r="4400" spans="1:13" ht="15" customHeight="1">
      <c r="A4400" s="1">
        <v>244</v>
      </c>
      <c r="B4400" s="1" t="s">
        <v>9</v>
      </c>
      <c r="C4400" s="2" t="s">
        <v>5225</v>
      </c>
      <c r="D4400" s="2" t="s">
        <v>3174</v>
      </c>
      <c r="E4400" s="1">
        <v>1</v>
      </c>
      <c r="F4400" s="2" t="s">
        <v>4694</v>
      </c>
      <c r="G4400" s="1">
        <v>2</v>
      </c>
      <c r="H4400" s="1" t="str">
        <f t="shared" si="71"/>
        <v>k244_2</v>
      </c>
      <c r="K4400" s="1">
        <f>IF(E4400=0,SUMPRODUCT(($A$2:$A$4734=A4400)*($B$2:$B$4734=B4400)*($D$2:$D$4734=D4400)*($E$2:$E$4734=0)),0)</f>
        <v>0</v>
      </c>
      <c r="L4400" s="1" t="str">
        <f>IF(E4400=0,SUMPRODUCT(MIN($K$2:$K$4734+((($A$2:$A$4734&lt;&gt;A4400)+($E$2:$E$4734&lt;&gt;0))&gt;0)*1000000)),"")</f>
        <v/>
      </c>
      <c r="M4400" s="1">
        <f>IF(AND(E4400=0,COUNTIFS($A$2:A4400,A4400,$E$2:E4400,0)=1),L4400,0)</f>
        <v>0</v>
      </c>
    </row>
    <row r="4401" spans="1:13" ht="15" customHeight="1">
      <c r="A4401" s="1">
        <v>244</v>
      </c>
      <c r="B4401" s="1" t="s">
        <v>9</v>
      </c>
      <c r="C4401" s="2" t="s">
        <v>5226</v>
      </c>
      <c r="D4401" s="2" t="s">
        <v>3174</v>
      </c>
      <c r="E4401" s="1">
        <v>1</v>
      </c>
      <c r="F4401" s="2" t="s">
        <v>1057</v>
      </c>
      <c r="G4401" s="1">
        <v>3</v>
      </c>
      <c r="H4401" s="1" t="str">
        <f t="shared" si="71"/>
        <v>k244_3</v>
      </c>
      <c r="K4401" s="1">
        <f>IF(E4401=0,SUMPRODUCT(($A$2:$A$4734=A4401)*($B$2:$B$4734=B4401)*($D$2:$D$4734=D4401)*($E$2:$E$4734=0)),0)</f>
        <v>0</v>
      </c>
      <c r="L4401" s="1" t="str">
        <f>IF(E4401=0,SUMPRODUCT(MIN($K$2:$K$4734+((($A$2:$A$4734&lt;&gt;A4401)+($E$2:$E$4734&lt;&gt;0))&gt;0)*1000000)),"")</f>
        <v/>
      </c>
      <c r="M4401" s="1">
        <f>IF(AND(E4401=0,COUNTIFS($A$2:A4401,A4401,$E$2:E4401,0)=1),L4401,0)</f>
        <v>0</v>
      </c>
    </row>
    <row r="4402" spans="1:13" ht="15" customHeight="1">
      <c r="A4402" s="1">
        <v>244</v>
      </c>
      <c r="B4402" s="1" t="s">
        <v>9</v>
      </c>
      <c r="C4402" s="2" t="s">
        <v>5227</v>
      </c>
      <c r="D4402" s="2" t="s">
        <v>5228</v>
      </c>
      <c r="E4402" s="1">
        <v>1</v>
      </c>
      <c r="F4402" s="2" t="s">
        <v>5229</v>
      </c>
      <c r="G4402" s="1">
        <v>2</v>
      </c>
      <c r="H4402" s="1" t="str">
        <f t="shared" si="71"/>
        <v>k244_2</v>
      </c>
      <c r="K4402" s="1">
        <f>IF(E4402=0,SUMPRODUCT(($A$2:$A$4734=A4402)*($B$2:$B$4734=B4402)*($D$2:$D$4734=D4402)*($E$2:$E$4734=0)),0)</f>
        <v>0</v>
      </c>
      <c r="L4402" s="1" t="str">
        <f>IF(E4402=0,SUMPRODUCT(MIN($K$2:$K$4734+((($A$2:$A$4734&lt;&gt;A4402)+($E$2:$E$4734&lt;&gt;0))&gt;0)*1000000)),"")</f>
        <v/>
      </c>
      <c r="M4402" s="1">
        <f>IF(AND(E4402=0,COUNTIFS($A$2:A4402,A4402,$E$2:E4402,0)=1),L4402,0)</f>
        <v>0</v>
      </c>
    </row>
    <row r="4403" spans="1:13" ht="15" customHeight="1">
      <c r="A4403" s="1">
        <v>244</v>
      </c>
      <c r="B4403" s="1" t="s">
        <v>9</v>
      </c>
      <c r="C4403" s="2" t="s">
        <v>5230</v>
      </c>
      <c r="D4403" s="2" t="s">
        <v>5228</v>
      </c>
      <c r="E4403" s="1">
        <v>1</v>
      </c>
      <c r="F4403" s="2" t="s">
        <v>5231</v>
      </c>
      <c r="G4403" s="1">
        <v>5</v>
      </c>
      <c r="H4403" s="1" t="str">
        <f t="shared" si="71"/>
        <v>k244_5</v>
      </c>
      <c r="K4403" s="1">
        <f>IF(E4403=0,SUMPRODUCT(($A$2:$A$4734=A4403)*($B$2:$B$4734=B4403)*($D$2:$D$4734=D4403)*($E$2:$E$4734=0)),0)</f>
        <v>0</v>
      </c>
      <c r="L4403" s="1" t="str">
        <f>IF(E4403=0,SUMPRODUCT(MIN($K$2:$K$4734+((($A$2:$A$4734&lt;&gt;A4403)+($E$2:$E$4734&lt;&gt;0))&gt;0)*1000000)),"")</f>
        <v/>
      </c>
      <c r="M4403" s="1">
        <f>IF(AND(E4403=0,COUNTIFS($A$2:A4403,A4403,$E$2:E4403,0)=1),L4403,0)</f>
        <v>0</v>
      </c>
    </row>
    <row r="4404" spans="1:13" ht="15" customHeight="1">
      <c r="A4404" s="1">
        <v>244</v>
      </c>
      <c r="B4404" s="1" t="s">
        <v>9</v>
      </c>
      <c r="C4404" s="2" t="s">
        <v>5232</v>
      </c>
      <c r="D4404" s="2" t="s">
        <v>5228</v>
      </c>
      <c r="E4404" s="1">
        <v>1</v>
      </c>
      <c r="F4404" s="2" t="s">
        <v>5233</v>
      </c>
      <c r="G4404" s="1">
        <v>1</v>
      </c>
      <c r="H4404" s="1" t="str">
        <f t="shared" si="71"/>
        <v>k244_1</v>
      </c>
      <c r="K4404" s="1">
        <f>IF(E4404=0,SUMPRODUCT(($A$2:$A$4734=A4404)*($B$2:$B$4734=B4404)*($D$2:$D$4734=D4404)*($E$2:$E$4734=0)),0)</f>
        <v>0</v>
      </c>
      <c r="L4404" s="1" t="str">
        <f>IF(E4404=0,SUMPRODUCT(MIN($K$2:$K$4734+((($A$2:$A$4734&lt;&gt;A4404)+($E$2:$E$4734&lt;&gt;0))&gt;0)*1000000)),"")</f>
        <v/>
      </c>
      <c r="M4404" s="1">
        <f>IF(AND(E4404=0,COUNTIFS($A$2:A4404,A4404,$E$2:E4404,0)=1),L4404,0)</f>
        <v>0</v>
      </c>
    </row>
    <row r="4405" spans="1:13" ht="15" customHeight="1">
      <c r="A4405" s="1">
        <v>244</v>
      </c>
      <c r="B4405" s="1" t="s">
        <v>9</v>
      </c>
      <c r="C4405" s="2" t="s">
        <v>5234</v>
      </c>
      <c r="D4405" s="2" t="s">
        <v>5228</v>
      </c>
      <c r="E4405" s="1">
        <v>1</v>
      </c>
      <c r="F4405" s="2" t="s">
        <v>5235</v>
      </c>
      <c r="G4405" s="1">
        <v>4</v>
      </c>
      <c r="H4405" s="1" t="str">
        <f t="shared" si="71"/>
        <v>k244_4</v>
      </c>
      <c r="K4405" s="1">
        <f>IF(E4405=0,SUMPRODUCT(($A$2:$A$4734=A4405)*($B$2:$B$4734=B4405)*($D$2:$D$4734=D4405)*($E$2:$E$4734=0)),0)</f>
        <v>0</v>
      </c>
      <c r="L4405" s="1" t="str">
        <f>IF(E4405=0,SUMPRODUCT(MIN($K$2:$K$4734+((($A$2:$A$4734&lt;&gt;A4405)+($E$2:$E$4734&lt;&gt;0))&gt;0)*1000000)),"")</f>
        <v/>
      </c>
      <c r="M4405" s="1">
        <f>IF(AND(E4405=0,COUNTIFS($A$2:A4405,A4405,$E$2:E4405,0)=1),L4405,0)</f>
        <v>0</v>
      </c>
    </row>
    <row r="4406" spans="1:13" ht="15" customHeight="1">
      <c r="A4406" s="1">
        <v>244</v>
      </c>
      <c r="B4406" s="1" t="s">
        <v>9</v>
      </c>
      <c r="C4406" s="2" t="s">
        <v>5236</v>
      </c>
      <c r="D4406" s="2" t="s">
        <v>5228</v>
      </c>
      <c r="E4406" s="1">
        <v>1</v>
      </c>
      <c r="F4406" s="2" t="s">
        <v>5237</v>
      </c>
      <c r="G4406" s="1">
        <v>3</v>
      </c>
      <c r="H4406" s="1" t="str">
        <f t="shared" si="71"/>
        <v>k244_3</v>
      </c>
      <c r="K4406" s="1">
        <f>IF(E4406=0,SUMPRODUCT(($A$2:$A$4734=A4406)*($B$2:$B$4734=B4406)*($D$2:$D$4734=D4406)*($E$2:$E$4734=0)),0)</f>
        <v>0</v>
      </c>
      <c r="L4406" s="1" t="str">
        <f>IF(E4406=0,SUMPRODUCT(MIN($K$2:$K$4734+((($A$2:$A$4734&lt;&gt;A4406)+($E$2:$E$4734&lt;&gt;0))&gt;0)*1000000)),"")</f>
        <v/>
      </c>
      <c r="M4406" s="1">
        <f>IF(AND(E4406=0,COUNTIFS($A$2:A4406,A4406,$E$2:E4406,0)=1),L4406,0)</f>
        <v>0</v>
      </c>
    </row>
    <row r="4407" spans="1:13" ht="15" customHeight="1">
      <c r="A4407" s="1">
        <v>245</v>
      </c>
      <c r="B4407" s="1" t="s">
        <v>69</v>
      </c>
      <c r="C4407" s="2" t="s">
        <v>5238</v>
      </c>
      <c r="D4407" s="2" t="s">
        <v>5239</v>
      </c>
      <c r="E4407" s="1">
        <v>1</v>
      </c>
      <c r="F4407" s="2" t="s">
        <v>5240</v>
      </c>
      <c r="G4407" s="1">
        <v>1</v>
      </c>
      <c r="H4407" s="1" t="str">
        <f t="shared" si="71"/>
        <v>k245_1</v>
      </c>
      <c r="K4407" s="1">
        <f>IF(E4407=0,SUMPRODUCT(($A$2:$A$4734=A4407)*($B$2:$B$4734=B4407)*($D$2:$D$4734=D4407)*($E$2:$E$4734=0)),0)</f>
        <v>0</v>
      </c>
      <c r="L4407" s="1" t="str">
        <f>IF(E4407=0,SUMPRODUCT(MIN($K$2:$K$4734+((($A$2:$A$4734&lt;&gt;A4407)+($E$2:$E$4734&lt;&gt;0))&gt;0)*1000000)),"")</f>
        <v/>
      </c>
      <c r="M4407" s="1">
        <f>IF(AND(E4407=0,COUNTIFS($A$2:A4407,A4407,$E$2:E4407,0)=1),L4407,0)</f>
        <v>0</v>
      </c>
    </row>
    <row r="4408" spans="1:13" ht="15" customHeight="1">
      <c r="A4408" s="1">
        <v>245</v>
      </c>
      <c r="B4408" s="1" t="s">
        <v>69</v>
      </c>
      <c r="C4408" s="2" t="s">
        <v>5238</v>
      </c>
      <c r="D4408" s="2" t="s">
        <v>5239</v>
      </c>
      <c r="E4408" s="1">
        <v>1</v>
      </c>
      <c r="F4408" s="2" t="s">
        <v>5241</v>
      </c>
      <c r="G4408" s="1">
        <v>2</v>
      </c>
      <c r="H4408" s="1" t="str">
        <f t="shared" si="71"/>
        <v>k245_2</v>
      </c>
      <c r="K4408" s="1">
        <f>IF(E4408=0,SUMPRODUCT(($A$2:$A$4734=A4408)*($B$2:$B$4734=B4408)*($D$2:$D$4734=D4408)*($E$2:$E$4734=0)),0)</f>
        <v>0</v>
      </c>
      <c r="L4408" s="1" t="str">
        <f>IF(E4408=0,SUMPRODUCT(MIN($K$2:$K$4734+((($A$2:$A$4734&lt;&gt;A4408)+($E$2:$E$4734&lt;&gt;0))&gt;0)*1000000)),"")</f>
        <v/>
      </c>
      <c r="M4408" s="1">
        <f>IF(AND(E4408=0,COUNTIFS($A$2:A4408,A4408,$E$2:E4408,0)=1),L4408,0)</f>
        <v>0</v>
      </c>
    </row>
    <row r="4409" spans="1:13" ht="15" customHeight="1">
      <c r="A4409" s="1">
        <v>245</v>
      </c>
      <c r="B4409" s="1" t="s">
        <v>69</v>
      </c>
      <c r="C4409" s="2" t="s">
        <v>5238</v>
      </c>
      <c r="D4409" s="2" t="s">
        <v>5239</v>
      </c>
      <c r="E4409" s="1">
        <v>1</v>
      </c>
      <c r="F4409" s="2" t="s">
        <v>5242</v>
      </c>
      <c r="G4409" s="1">
        <v>3</v>
      </c>
      <c r="H4409" s="1" t="str">
        <f t="shared" si="71"/>
        <v>k245_3</v>
      </c>
      <c r="K4409" s="1">
        <f>IF(E4409=0,SUMPRODUCT(($A$2:$A$4734=A4409)*($B$2:$B$4734=B4409)*($D$2:$D$4734=D4409)*($E$2:$E$4734=0)),0)</f>
        <v>0</v>
      </c>
      <c r="L4409" s="1" t="str">
        <f>IF(E4409=0,SUMPRODUCT(MIN($K$2:$K$4734+((($A$2:$A$4734&lt;&gt;A4409)+($E$2:$E$4734&lt;&gt;0))&gt;0)*1000000)),"")</f>
        <v/>
      </c>
      <c r="M4409" s="1">
        <f>IF(AND(E4409=0,COUNTIFS($A$2:A4409,A4409,$E$2:E4409,0)=1),L4409,0)</f>
        <v>0</v>
      </c>
    </row>
    <row r="4410" spans="1:13" ht="15" customHeight="1">
      <c r="A4410" s="1">
        <v>245</v>
      </c>
      <c r="B4410" s="1" t="s">
        <v>69</v>
      </c>
      <c r="C4410" s="2" t="s">
        <v>5238</v>
      </c>
      <c r="D4410" s="2" t="s">
        <v>5239</v>
      </c>
      <c r="E4410" s="1">
        <v>1</v>
      </c>
      <c r="F4410" s="2" t="s">
        <v>5243</v>
      </c>
      <c r="G4410" s="1">
        <v>4</v>
      </c>
      <c r="H4410" s="1" t="str">
        <f t="shared" si="71"/>
        <v>k245_4</v>
      </c>
      <c r="K4410" s="1">
        <f>IF(E4410=0,SUMPRODUCT(($A$2:$A$4734=A4410)*($B$2:$B$4734=B4410)*($D$2:$D$4734=D4410)*($E$2:$E$4734=0)),0)</f>
        <v>0</v>
      </c>
      <c r="L4410" s="1" t="str">
        <f>IF(E4410=0,SUMPRODUCT(MIN($K$2:$K$4734+((($A$2:$A$4734&lt;&gt;A4410)+($E$2:$E$4734&lt;&gt;0))&gt;0)*1000000)),"")</f>
        <v/>
      </c>
      <c r="M4410" s="1">
        <f>IF(AND(E4410=0,COUNTIFS($A$2:A4410,A4410,$E$2:E4410,0)=1),L4410,0)</f>
        <v>0</v>
      </c>
    </row>
    <row r="4411" spans="1:13" ht="15" customHeight="1">
      <c r="A4411" s="1">
        <v>245</v>
      </c>
      <c r="B4411" s="1" t="s">
        <v>69</v>
      </c>
      <c r="C4411" s="2" t="s">
        <v>5238</v>
      </c>
      <c r="D4411" s="2" t="s">
        <v>5239</v>
      </c>
      <c r="E4411" s="1">
        <v>1</v>
      </c>
      <c r="F4411" s="2" t="s">
        <v>5244</v>
      </c>
      <c r="G4411" s="1">
        <v>5</v>
      </c>
      <c r="H4411" s="1" t="str">
        <f t="shared" si="71"/>
        <v>k245_5</v>
      </c>
      <c r="K4411" s="1">
        <f>IF(E4411=0,SUMPRODUCT(($A$2:$A$4734=A4411)*($B$2:$B$4734=B4411)*($D$2:$D$4734=D4411)*($E$2:$E$4734=0)),0)</f>
        <v>0</v>
      </c>
      <c r="L4411" s="1" t="str">
        <f>IF(E4411=0,SUMPRODUCT(MIN($K$2:$K$4734+((($A$2:$A$4734&lt;&gt;A4411)+($E$2:$E$4734&lt;&gt;0))&gt;0)*1000000)),"")</f>
        <v/>
      </c>
      <c r="M4411" s="1">
        <f>IF(AND(E4411=0,COUNTIFS($A$2:A4411,A4411,$E$2:E4411,0)=1),L4411,0)</f>
        <v>0</v>
      </c>
    </row>
    <row r="4412" spans="1:13" ht="15" customHeight="1">
      <c r="A4412" s="1">
        <v>246</v>
      </c>
      <c r="B4412" s="1" t="s">
        <v>16</v>
      </c>
      <c r="C4412" s="2" t="s">
        <v>5245</v>
      </c>
      <c r="D4412" s="2" t="s">
        <v>5246</v>
      </c>
      <c r="E4412" s="1">
        <v>1</v>
      </c>
      <c r="F4412" s="2" t="s">
        <v>5247</v>
      </c>
      <c r="G4412" s="1">
        <v>1</v>
      </c>
      <c r="H4412" s="1" t="str">
        <f t="shared" si="71"/>
        <v>k246_1</v>
      </c>
      <c r="K4412" s="1">
        <f>IF(E4412=0,SUMPRODUCT(($A$2:$A$4734=A4412)*($B$2:$B$4734=B4412)*($D$2:$D$4734=D4412)*($E$2:$E$4734=0)),0)</f>
        <v>0</v>
      </c>
      <c r="L4412" s="1" t="str">
        <f>IF(E4412=0,SUMPRODUCT(MIN($K$2:$K$4734+((($A$2:$A$4734&lt;&gt;A4412)+($E$2:$E$4734&lt;&gt;0))&gt;0)*1000000)),"")</f>
        <v/>
      </c>
      <c r="M4412" s="1">
        <f>IF(AND(E4412=0,COUNTIFS($A$2:A4412,A4412,$E$2:E4412,0)=1),L4412,0)</f>
        <v>0</v>
      </c>
    </row>
    <row r="4413" spans="1:13" ht="15" customHeight="1">
      <c r="A4413" s="1">
        <v>246</v>
      </c>
      <c r="B4413" s="1" t="s">
        <v>16</v>
      </c>
      <c r="C4413" s="2" t="s">
        <v>5245</v>
      </c>
      <c r="D4413" s="2" t="s">
        <v>5246</v>
      </c>
      <c r="E4413" s="1">
        <v>1</v>
      </c>
      <c r="F4413" s="2" t="s">
        <v>5248</v>
      </c>
      <c r="G4413" s="1">
        <v>4</v>
      </c>
      <c r="H4413" s="1" t="str">
        <f t="shared" si="71"/>
        <v>k246_4</v>
      </c>
      <c r="K4413" s="1">
        <f>IF(E4413=0,SUMPRODUCT(($A$2:$A$4734=A4413)*($B$2:$B$4734=B4413)*($D$2:$D$4734=D4413)*($E$2:$E$4734=0)),0)</f>
        <v>0</v>
      </c>
      <c r="L4413" s="1" t="str">
        <f>IF(E4413=0,SUMPRODUCT(MIN($K$2:$K$4734+((($A$2:$A$4734&lt;&gt;A4413)+($E$2:$E$4734&lt;&gt;0))&gt;0)*1000000)),"")</f>
        <v/>
      </c>
      <c r="M4413" s="1">
        <f>IF(AND(E4413=0,COUNTIFS($A$2:A4413,A4413,$E$2:E4413,0)=1),L4413,0)</f>
        <v>0</v>
      </c>
    </row>
    <row r="4414" spans="1:13" ht="15" customHeight="1">
      <c r="A4414" s="1">
        <v>246</v>
      </c>
      <c r="B4414" s="1" t="s">
        <v>16</v>
      </c>
      <c r="C4414" s="2" t="s">
        <v>5245</v>
      </c>
      <c r="D4414" s="2" t="s">
        <v>5246</v>
      </c>
      <c r="E4414" s="1">
        <v>1</v>
      </c>
      <c r="F4414" s="2" t="s">
        <v>5249</v>
      </c>
      <c r="G4414" s="1">
        <v>2</v>
      </c>
      <c r="H4414" s="1" t="str">
        <f t="shared" si="71"/>
        <v>k246_2</v>
      </c>
      <c r="K4414" s="1">
        <f>IF(E4414=0,SUMPRODUCT(($A$2:$A$4734=A4414)*($B$2:$B$4734=B4414)*($D$2:$D$4734=D4414)*($E$2:$E$4734=0)),0)</f>
        <v>0</v>
      </c>
      <c r="L4414" s="1" t="str">
        <f>IF(E4414=0,SUMPRODUCT(MIN($K$2:$K$4734+((($A$2:$A$4734&lt;&gt;A4414)+($E$2:$E$4734&lt;&gt;0))&gt;0)*1000000)),"")</f>
        <v/>
      </c>
      <c r="M4414" s="1">
        <f>IF(AND(E4414=0,COUNTIFS($A$2:A4414,A4414,$E$2:E4414,0)=1),L4414,0)</f>
        <v>0</v>
      </c>
    </row>
    <row r="4415" spans="1:13" ht="15" customHeight="1">
      <c r="A4415" s="1">
        <v>246</v>
      </c>
      <c r="B4415" s="1" t="s">
        <v>16</v>
      </c>
      <c r="C4415" s="2" t="s">
        <v>5245</v>
      </c>
      <c r="D4415" s="2" t="s">
        <v>5246</v>
      </c>
      <c r="E4415" s="1">
        <v>1</v>
      </c>
      <c r="F4415" s="2" t="s">
        <v>5250</v>
      </c>
      <c r="G4415" s="1">
        <v>3</v>
      </c>
      <c r="H4415" s="1" t="str">
        <f t="shared" si="71"/>
        <v>k246_3</v>
      </c>
      <c r="K4415" s="1">
        <f>IF(E4415=0,SUMPRODUCT(($A$2:$A$4734=A4415)*($B$2:$B$4734=B4415)*($D$2:$D$4734=D4415)*($E$2:$E$4734=0)),0)</f>
        <v>0</v>
      </c>
      <c r="L4415" s="1" t="str">
        <f>IF(E4415=0,SUMPRODUCT(MIN($K$2:$K$4734+((($A$2:$A$4734&lt;&gt;A4415)+($E$2:$E$4734&lt;&gt;0))&gt;0)*1000000)),"")</f>
        <v/>
      </c>
      <c r="M4415" s="1">
        <f>IF(AND(E4415=0,COUNTIFS($A$2:A4415,A4415,$E$2:E4415,0)=1),L4415,0)</f>
        <v>0</v>
      </c>
    </row>
    <row r="4416" spans="1:13" ht="15" customHeight="1">
      <c r="A4416" s="1">
        <v>246</v>
      </c>
      <c r="B4416" s="1" t="s">
        <v>9</v>
      </c>
      <c r="C4416" s="2" t="s">
        <v>5245</v>
      </c>
      <c r="D4416" s="2" t="s">
        <v>5251</v>
      </c>
      <c r="E4416" s="1">
        <v>1</v>
      </c>
      <c r="F4416" s="2" t="s">
        <v>5252</v>
      </c>
      <c r="G4416" s="1">
        <v>1</v>
      </c>
      <c r="H4416" s="1" t="str">
        <f t="shared" si="71"/>
        <v>k246_1</v>
      </c>
      <c r="K4416" s="1">
        <f>IF(E4416=0,SUMPRODUCT(($A$2:$A$4734=A4416)*($B$2:$B$4734=B4416)*($D$2:$D$4734=D4416)*($E$2:$E$4734=0)),0)</f>
        <v>0</v>
      </c>
      <c r="L4416" s="1" t="str">
        <f>IF(E4416=0,SUMPRODUCT(MIN($K$2:$K$4734+((($A$2:$A$4734&lt;&gt;A4416)+($E$2:$E$4734&lt;&gt;0))&gt;0)*1000000)),"")</f>
        <v/>
      </c>
      <c r="M4416" s="1">
        <f>IF(AND(E4416=0,COUNTIFS($A$2:A4416,A4416,$E$2:E4416,0)=1),L4416,0)</f>
        <v>0</v>
      </c>
    </row>
    <row r="4417" spans="1:13" ht="15" customHeight="1">
      <c r="A4417" s="1">
        <v>246</v>
      </c>
      <c r="B4417" s="1" t="s">
        <v>9</v>
      </c>
      <c r="C4417" s="2" t="s">
        <v>5245</v>
      </c>
      <c r="D4417" s="2" t="s">
        <v>5251</v>
      </c>
      <c r="E4417" s="1">
        <v>1</v>
      </c>
      <c r="F4417" s="2" t="s">
        <v>5253</v>
      </c>
      <c r="G4417" s="1">
        <v>3</v>
      </c>
      <c r="H4417" s="1" t="str">
        <f t="shared" si="71"/>
        <v>k246_3</v>
      </c>
      <c r="K4417" s="1">
        <f>IF(E4417=0,SUMPRODUCT(($A$2:$A$4734=A4417)*($B$2:$B$4734=B4417)*($D$2:$D$4734=D4417)*($E$2:$E$4734=0)),0)</f>
        <v>0</v>
      </c>
      <c r="L4417" s="1" t="str">
        <f>IF(E4417=0,SUMPRODUCT(MIN($K$2:$K$4734+((($A$2:$A$4734&lt;&gt;A4417)+($E$2:$E$4734&lt;&gt;0))&gt;0)*1000000)),"")</f>
        <v/>
      </c>
      <c r="M4417" s="1">
        <f>IF(AND(E4417=0,COUNTIFS($A$2:A4417,A4417,$E$2:E4417,0)=1),L4417,0)</f>
        <v>0</v>
      </c>
    </row>
    <row r="4418" spans="1:13" ht="15" customHeight="1">
      <c r="A4418" s="1">
        <v>246</v>
      </c>
      <c r="B4418" s="1" t="s">
        <v>9</v>
      </c>
      <c r="C4418" s="2" t="s">
        <v>5245</v>
      </c>
      <c r="D4418" s="2" t="s">
        <v>5251</v>
      </c>
      <c r="E4418" s="1">
        <v>1</v>
      </c>
      <c r="F4418" s="2" t="s">
        <v>5254</v>
      </c>
      <c r="G4418" s="1">
        <v>2</v>
      </c>
      <c r="H4418" s="1" t="str">
        <f t="shared" ref="H4418:H4481" si="72">IF(OR(E4418&lt;&gt;1,G4418=""),"","k"&amp;A4418&amp;"_"&amp;G4418)</f>
        <v>k246_2</v>
      </c>
      <c r="K4418" s="1">
        <f>IF(E4418=0,SUMPRODUCT(($A$2:$A$4734=A4418)*($B$2:$B$4734=B4418)*($D$2:$D$4734=D4418)*($E$2:$E$4734=0)),0)</f>
        <v>0</v>
      </c>
      <c r="L4418" s="1" t="str">
        <f>IF(E4418=0,SUMPRODUCT(MIN($K$2:$K$4734+((($A$2:$A$4734&lt;&gt;A4418)+($E$2:$E$4734&lt;&gt;0))&gt;0)*1000000)),"")</f>
        <v/>
      </c>
      <c r="M4418" s="1">
        <f>IF(AND(E4418=0,COUNTIFS($A$2:A4418,A4418,$E$2:E4418,0)=1),L4418,0)</f>
        <v>0</v>
      </c>
    </row>
    <row r="4419" spans="1:13" ht="15" customHeight="1">
      <c r="A4419" s="1">
        <v>246</v>
      </c>
      <c r="B4419" s="1" t="s">
        <v>9</v>
      </c>
      <c r="C4419" s="2" t="s">
        <v>5245</v>
      </c>
      <c r="D4419" s="2" t="s">
        <v>5251</v>
      </c>
      <c r="E4419" s="1">
        <v>1</v>
      </c>
      <c r="F4419" s="2" t="s">
        <v>5255</v>
      </c>
      <c r="G4419" s="1">
        <v>4</v>
      </c>
      <c r="H4419" s="1" t="str">
        <f t="shared" si="72"/>
        <v>k246_4</v>
      </c>
      <c r="K4419" s="1">
        <f>IF(E4419=0,SUMPRODUCT(($A$2:$A$4734=A4419)*($B$2:$B$4734=B4419)*($D$2:$D$4734=D4419)*($E$2:$E$4734=0)),0)</f>
        <v>0</v>
      </c>
      <c r="L4419" s="1" t="str">
        <f>IF(E4419=0,SUMPRODUCT(MIN($K$2:$K$4734+((($A$2:$A$4734&lt;&gt;A4419)+($E$2:$E$4734&lt;&gt;0))&gt;0)*1000000)),"")</f>
        <v/>
      </c>
      <c r="M4419" s="1">
        <f>IF(AND(E4419=0,COUNTIFS($A$2:A4419,A4419,$E$2:E4419,0)=1),L4419,0)</f>
        <v>0</v>
      </c>
    </row>
    <row r="4420" spans="1:13" ht="15" customHeight="1">
      <c r="A4420" s="1">
        <v>246</v>
      </c>
      <c r="B4420" s="1" t="s">
        <v>69</v>
      </c>
      <c r="C4420" s="2" t="s">
        <v>5245</v>
      </c>
      <c r="D4420" s="2" t="s">
        <v>5256</v>
      </c>
      <c r="E4420" s="1">
        <v>1</v>
      </c>
      <c r="F4420" s="2" t="s">
        <v>5257</v>
      </c>
      <c r="G4420" s="1">
        <v>1</v>
      </c>
      <c r="H4420" s="1" t="str">
        <f t="shared" si="72"/>
        <v>k246_1</v>
      </c>
      <c r="K4420" s="1">
        <f>IF(E4420=0,SUMPRODUCT(($A$2:$A$4734=A4420)*($B$2:$B$4734=B4420)*($D$2:$D$4734=D4420)*($E$2:$E$4734=0)),0)</f>
        <v>0</v>
      </c>
      <c r="L4420" s="1" t="str">
        <f>IF(E4420=0,SUMPRODUCT(MIN($K$2:$K$4734+((($A$2:$A$4734&lt;&gt;A4420)+($E$2:$E$4734&lt;&gt;0))&gt;0)*1000000)),"")</f>
        <v/>
      </c>
      <c r="M4420" s="1">
        <f>IF(AND(E4420=0,COUNTIFS($A$2:A4420,A4420,$E$2:E4420,0)=1),L4420,0)</f>
        <v>0</v>
      </c>
    </row>
    <row r="4421" spans="1:13" ht="15" customHeight="1">
      <c r="A4421" s="1">
        <v>246</v>
      </c>
      <c r="B4421" s="1" t="s">
        <v>69</v>
      </c>
      <c r="C4421" s="2" t="s">
        <v>5245</v>
      </c>
      <c r="D4421" s="2" t="s">
        <v>5256</v>
      </c>
      <c r="E4421" s="1">
        <v>1</v>
      </c>
      <c r="F4421" s="2" t="s">
        <v>5258</v>
      </c>
      <c r="G4421" s="1">
        <v>2</v>
      </c>
      <c r="H4421" s="1" t="str">
        <f t="shared" si="72"/>
        <v>k246_2</v>
      </c>
      <c r="K4421" s="1">
        <f>IF(E4421=0,SUMPRODUCT(($A$2:$A$4734=A4421)*($B$2:$B$4734=B4421)*($D$2:$D$4734=D4421)*($E$2:$E$4734=0)),0)</f>
        <v>0</v>
      </c>
      <c r="L4421" s="1" t="str">
        <f>IF(E4421=0,SUMPRODUCT(MIN($K$2:$K$4734+((($A$2:$A$4734&lt;&gt;A4421)+($E$2:$E$4734&lt;&gt;0))&gt;0)*1000000)),"")</f>
        <v/>
      </c>
      <c r="M4421" s="1">
        <f>IF(AND(E4421=0,COUNTIFS($A$2:A4421,A4421,$E$2:E4421,0)=1),L4421,0)</f>
        <v>0</v>
      </c>
    </row>
    <row r="4422" spans="1:13" ht="15" customHeight="1">
      <c r="A4422" s="1">
        <v>246</v>
      </c>
      <c r="B4422" s="1" t="s">
        <v>69</v>
      </c>
      <c r="C4422" s="2" t="s">
        <v>5245</v>
      </c>
      <c r="D4422" s="2" t="s">
        <v>5256</v>
      </c>
      <c r="E4422" s="1">
        <v>1</v>
      </c>
      <c r="F4422" s="2" t="s">
        <v>5258</v>
      </c>
      <c r="G4422" s="1">
        <v>3</v>
      </c>
      <c r="H4422" s="1" t="str">
        <f t="shared" si="72"/>
        <v>k246_3</v>
      </c>
      <c r="K4422" s="1">
        <f>IF(E4422=0,SUMPRODUCT(($A$2:$A$4734=A4422)*($B$2:$B$4734=B4422)*($D$2:$D$4734=D4422)*($E$2:$E$4734=0)),0)</f>
        <v>0</v>
      </c>
      <c r="L4422" s="1" t="str">
        <f>IF(E4422=0,SUMPRODUCT(MIN($K$2:$K$4734+((($A$2:$A$4734&lt;&gt;A4422)+($E$2:$E$4734&lt;&gt;0))&gt;0)*1000000)),"")</f>
        <v/>
      </c>
      <c r="M4422" s="1">
        <f>IF(AND(E4422=0,COUNTIFS($A$2:A4422,A4422,$E$2:E4422,0)=1),L4422,0)</f>
        <v>0</v>
      </c>
    </row>
    <row r="4423" spans="1:13" ht="15" customHeight="1">
      <c r="A4423" s="1">
        <v>246</v>
      </c>
      <c r="B4423" s="1" t="s">
        <v>69</v>
      </c>
      <c r="C4423" s="2" t="s">
        <v>5245</v>
      </c>
      <c r="D4423" s="2" t="s">
        <v>5256</v>
      </c>
      <c r="E4423" s="1">
        <v>1</v>
      </c>
      <c r="F4423" s="2" t="s">
        <v>5259</v>
      </c>
      <c r="G4423" s="1">
        <v>4</v>
      </c>
      <c r="H4423" s="1" t="str">
        <f t="shared" si="72"/>
        <v>k246_4</v>
      </c>
      <c r="K4423" s="1">
        <f>IF(E4423=0,SUMPRODUCT(($A$2:$A$4734=A4423)*($B$2:$B$4734=B4423)*($D$2:$D$4734=D4423)*($E$2:$E$4734=0)),0)</f>
        <v>0</v>
      </c>
      <c r="L4423" s="1" t="str">
        <f>IF(E4423=0,SUMPRODUCT(MIN($K$2:$K$4734+((($A$2:$A$4734&lt;&gt;A4423)+($E$2:$E$4734&lt;&gt;0))&gt;0)*1000000)),"")</f>
        <v/>
      </c>
      <c r="M4423" s="1">
        <f>IF(AND(E4423=0,COUNTIFS($A$2:A4423,A4423,$E$2:E4423,0)=1),L4423,0)</f>
        <v>0</v>
      </c>
    </row>
    <row r="4424" spans="1:13" ht="15" customHeight="1">
      <c r="A4424" s="1">
        <v>247</v>
      </c>
      <c r="B4424" s="1" t="s">
        <v>9</v>
      </c>
      <c r="C4424" s="2" t="s">
        <v>5260</v>
      </c>
      <c r="D4424" s="2" t="s">
        <v>5261</v>
      </c>
      <c r="E4424" s="1">
        <v>1</v>
      </c>
      <c r="F4424" s="2" t="s">
        <v>5262</v>
      </c>
      <c r="G4424" s="1">
        <v>1</v>
      </c>
      <c r="H4424" s="1" t="str">
        <f t="shared" si="72"/>
        <v>k247_1</v>
      </c>
      <c r="K4424" s="1">
        <f>IF(E4424=0,SUMPRODUCT(($A$2:$A$4734=A4424)*($B$2:$B$4734=B4424)*($D$2:$D$4734=D4424)*($E$2:$E$4734=0)),0)</f>
        <v>0</v>
      </c>
      <c r="L4424" s="1" t="str">
        <f>IF(E4424=0,SUMPRODUCT(MIN($K$2:$K$4734+((($A$2:$A$4734&lt;&gt;A4424)+($E$2:$E$4734&lt;&gt;0))&gt;0)*1000000)),"")</f>
        <v/>
      </c>
      <c r="M4424" s="1">
        <f>IF(AND(E4424=0,COUNTIFS($A$2:A4424,A4424,$E$2:E4424,0)=1),L4424,0)</f>
        <v>0</v>
      </c>
    </row>
    <row r="4425" spans="1:13" ht="15" customHeight="1">
      <c r="A4425" s="1">
        <v>247</v>
      </c>
      <c r="B4425" s="1" t="s">
        <v>9</v>
      </c>
      <c r="C4425" s="2" t="s">
        <v>5260</v>
      </c>
      <c r="D4425" s="2" t="s">
        <v>5261</v>
      </c>
      <c r="E4425" s="1">
        <v>1</v>
      </c>
      <c r="F4425" s="2" t="s">
        <v>5263</v>
      </c>
      <c r="G4425" s="1">
        <v>2</v>
      </c>
      <c r="H4425" s="1" t="str">
        <f t="shared" si="72"/>
        <v>k247_2</v>
      </c>
      <c r="K4425" s="1">
        <f>IF(E4425=0,SUMPRODUCT(($A$2:$A$4734=A4425)*($B$2:$B$4734=B4425)*($D$2:$D$4734=D4425)*($E$2:$E$4734=0)),0)</f>
        <v>0</v>
      </c>
      <c r="L4425" s="1" t="str">
        <f>IF(E4425=0,SUMPRODUCT(MIN($K$2:$K$4734+((($A$2:$A$4734&lt;&gt;A4425)+($E$2:$E$4734&lt;&gt;0))&gt;0)*1000000)),"")</f>
        <v/>
      </c>
      <c r="M4425" s="1">
        <f>IF(AND(E4425=0,COUNTIFS($A$2:A4425,A4425,$E$2:E4425,0)=1),L4425,0)</f>
        <v>0</v>
      </c>
    </row>
    <row r="4426" spans="1:13" ht="15" customHeight="1">
      <c r="A4426" s="1">
        <v>247</v>
      </c>
      <c r="B4426" s="1" t="s">
        <v>9</v>
      </c>
      <c r="C4426" s="2" t="s">
        <v>5260</v>
      </c>
      <c r="D4426" s="2" t="s">
        <v>5261</v>
      </c>
      <c r="E4426" s="1">
        <v>1</v>
      </c>
      <c r="F4426" s="2" t="s">
        <v>5263</v>
      </c>
      <c r="G4426" s="1">
        <v>3</v>
      </c>
      <c r="H4426" s="1" t="str">
        <f t="shared" si="72"/>
        <v>k247_3</v>
      </c>
      <c r="K4426" s="1">
        <f>IF(E4426=0,SUMPRODUCT(($A$2:$A$4734=A4426)*($B$2:$B$4734=B4426)*($D$2:$D$4734=D4426)*($E$2:$E$4734=0)),0)</f>
        <v>0</v>
      </c>
      <c r="L4426" s="1" t="str">
        <f>IF(E4426=0,SUMPRODUCT(MIN($K$2:$K$4734+((($A$2:$A$4734&lt;&gt;A4426)+($E$2:$E$4734&lt;&gt;0))&gt;0)*1000000)),"")</f>
        <v/>
      </c>
      <c r="M4426" s="1">
        <f>IF(AND(E4426=0,COUNTIFS($A$2:A4426,A4426,$E$2:E4426,0)=1),L4426,0)</f>
        <v>0</v>
      </c>
    </row>
    <row r="4427" spans="1:13" ht="15" customHeight="1">
      <c r="A4427" s="1">
        <v>247</v>
      </c>
      <c r="B4427" s="1" t="s">
        <v>9</v>
      </c>
      <c r="C4427" s="2" t="s">
        <v>5260</v>
      </c>
      <c r="D4427" s="2" t="s">
        <v>5261</v>
      </c>
      <c r="E4427" s="1">
        <v>1</v>
      </c>
      <c r="F4427" s="2" t="s">
        <v>5264</v>
      </c>
      <c r="G4427" s="1">
        <v>4</v>
      </c>
      <c r="H4427" s="1" t="str">
        <f t="shared" si="72"/>
        <v>k247_4</v>
      </c>
      <c r="K4427" s="1">
        <f>IF(E4427=0,SUMPRODUCT(($A$2:$A$4734=A4427)*($B$2:$B$4734=B4427)*($D$2:$D$4734=D4427)*($E$2:$E$4734=0)),0)</f>
        <v>0</v>
      </c>
      <c r="L4427" s="1" t="str">
        <f>IF(E4427=0,SUMPRODUCT(MIN($K$2:$K$4734+((($A$2:$A$4734&lt;&gt;A4427)+($E$2:$E$4734&lt;&gt;0))&gt;0)*1000000)),"")</f>
        <v/>
      </c>
      <c r="M4427" s="1">
        <f>IF(AND(E4427=0,COUNTIFS($A$2:A4427,A4427,$E$2:E4427,0)=1),L4427,0)</f>
        <v>0</v>
      </c>
    </row>
    <row r="4428" spans="1:13" ht="15" customHeight="1">
      <c r="A4428" s="1">
        <v>247</v>
      </c>
      <c r="B4428" s="1" t="s">
        <v>9</v>
      </c>
      <c r="C4428" s="2" t="s">
        <v>5260</v>
      </c>
      <c r="D4428" s="2" t="s">
        <v>5261</v>
      </c>
      <c r="E4428" s="1">
        <v>1</v>
      </c>
      <c r="F4428" s="2" t="s">
        <v>5265</v>
      </c>
      <c r="G4428" s="1">
        <v>5</v>
      </c>
      <c r="H4428" s="1" t="str">
        <f t="shared" si="72"/>
        <v>k247_5</v>
      </c>
      <c r="K4428" s="1">
        <f>IF(E4428=0,SUMPRODUCT(($A$2:$A$4734=A4428)*($B$2:$B$4734=B4428)*($D$2:$D$4734=D4428)*($E$2:$E$4734=0)),0)</f>
        <v>0</v>
      </c>
      <c r="L4428" s="1" t="str">
        <f>IF(E4428=0,SUMPRODUCT(MIN($K$2:$K$4734+((($A$2:$A$4734&lt;&gt;A4428)+($E$2:$E$4734&lt;&gt;0))&gt;0)*1000000)),"")</f>
        <v/>
      </c>
      <c r="M4428" s="1">
        <f>IF(AND(E4428=0,COUNTIFS($A$2:A4428,A4428,$E$2:E4428,0)=1),L4428,0)</f>
        <v>0</v>
      </c>
    </row>
    <row r="4429" spans="1:13" ht="15" customHeight="1">
      <c r="A4429" s="1">
        <v>247</v>
      </c>
      <c r="B4429" s="1" t="s">
        <v>9</v>
      </c>
      <c r="C4429" s="2" t="s">
        <v>5260</v>
      </c>
      <c r="D4429" s="2" t="s">
        <v>5261</v>
      </c>
      <c r="E4429" s="1">
        <v>1</v>
      </c>
      <c r="F4429" s="2" t="s">
        <v>5266</v>
      </c>
      <c r="G4429" s="1">
        <v>6</v>
      </c>
      <c r="H4429" s="1" t="str">
        <f t="shared" si="72"/>
        <v>k247_6</v>
      </c>
      <c r="K4429" s="1">
        <f>IF(E4429=0,SUMPRODUCT(($A$2:$A$4734=A4429)*($B$2:$B$4734=B4429)*($D$2:$D$4734=D4429)*($E$2:$E$4734=0)),0)</f>
        <v>0</v>
      </c>
      <c r="L4429" s="1" t="str">
        <f>IF(E4429=0,SUMPRODUCT(MIN($K$2:$K$4734+((($A$2:$A$4734&lt;&gt;A4429)+($E$2:$E$4734&lt;&gt;0))&gt;0)*1000000)),"")</f>
        <v/>
      </c>
      <c r="M4429" s="1">
        <f>IF(AND(E4429=0,COUNTIFS($A$2:A4429,A4429,$E$2:E4429,0)=1),L4429,0)</f>
        <v>0</v>
      </c>
    </row>
    <row r="4430" spans="1:13" ht="15" customHeight="1">
      <c r="A4430" s="1">
        <v>247</v>
      </c>
      <c r="B4430" s="1" t="s">
        <v>9</v>
      </c>
      <c r="C4430" s="2" t="s">
        <v>5260</v>
      </c>
      <c r="D4430" s="2" t="s">
        <v>5267</v>
      </c>
      <c r="E4430" s="1">
        <v>1</v>
      </c>
      <c r="F4430" s="2" t="s">
        <v>5268</v>
      </c>
      <c r="G4430" s="1">
        <v>1</v>
      </c>
      <c r="H4430" s="1" t="str">
        <f t="shared" si="72"/>
        <v>k247_1</v>
      </c>
      <c r="K4430" s="1">
        <f>IF(E4430=0,SUMPRODUCT(($A$2:$A$4734=A4430)*($B$2:$B$4734=B4430)*($D$2:$D$4734=D4430)*($E$2:$E$4734=0)),0)</f>
        <v>0</v>
      </c>
      <c r="L4430" s="1" t="str">
        <f>IF(E4430=0,SUMPRODUCT(MIN($K$2:$K$4734+((($A$2:$A$4734&lt;&gt;A4430)+($E$2:$E$4734&lt;&gt;0))&gt;0)*1000000)),"")</f>
        <v/>
      </c>
      <c r="M4430" s="1">
        <f>IF(AND(E4430=0,COUNTIFS($A$2:A4430,A4430,$E$2:E4430,0)=1),L4430,0)</f>
        <v>0</v>
      </c>
    </row>
    <row r="4431" spans="1:13" ht="15" customHeight="1">
      <c r="A4431" s="1">
        <v>247</v>
      </c>
      <c r="B4431" s="1" t="s">
        <v>9</v>
      </c>
      <c r="C4431" s="2" t="s">
        <v>5260</v>
      </c>
      <c r="D4431" s="2" t="s">
        <v>5267</v>
      </c>
      <c r="E4431" s="1">
        <v>1</v>
      </c>
      <c r="F4431" s="2" t="s">
        <v>5269</v>
      </c>
      <c r="G4431" s="1">
        <v>2</v>
      </c>
      <c r="H4431" s="1" t="str">
        <f t="shared" si="72"/>
        <v>k247_2</v>
      </c>
      <c r="K4431" s="1">
        <f>IF(E4431=0,SUMPRODUCT(($A$2:$A$4734=A4431)*($B$2:$B$4734=B4431)*($D$2:$D$4734=D4431)*($E$2:$E$4734=0)),0)</f>
        <v>0</v>
      </c>
      <c r="L4431" s="1" t="str">
        <f>IF(E4431=0,SUMPRODUCT(MIN($K$2:$K$4734+((($A$2:$A$4734&lt;&gt;A4431)+($E$2:$E$4734&lt;&gt;0))&gt;0)*1000000)),"")</f>
        <v/>
      </c>
      <c r="M4431" s="1">
        <f>IF(AND(E4431=0,COUNTIFS($A$2:A4431,A4431,$E$2:E4431,0)=1),L4431,0)</f>
        <v>0</v>
      </c>
    </row>
    <row r="4432" spans="1:13" ht="15" customHeight="1">
      <c r="A4432" s="1">
        <v>247</v>
      </c>
      <c r="B4432" s="1" t="s">
        <v>9</v>
      </c>
      <c r="C4432" s="2" t="s">
        <v>5260</v>
      </c>
      <c r="D4432" s="2" t="s">
        <v>5267</v>
      </c>
      <c r="E4432" s="1">
        <v>1</v>
      </c>
      <c r="F4432" s="2" t="s">
        <v>5269</v>
      </c>
      <c r="G4432" s="1">
        <v>5</v>
      </c>
      <c r="H4432" s="1" t="str">
        <f t="shared" si="72"/>
        <v>k247_5</v>
      </c>
      <c r="K4432" s="1">
        <f>IF(E4432=0,SUMPRODUCT(($A$2:$A$4734=A4432)*($B$2:$B$4734=B4432)*($D$2:$D$4734=D4432)*($E$2:$E$4734=0)),0)</f>
        <v>0</v>
      </c>
      <c r="L4432" s="1" t="str">
        <f>IF(E4432=0,SUMPRODUCT(MIN($K$2:$K$4734+((($A$2:$A$4734&lt;&gt;A4432)+($E$2:$E$4734&lt;&gt;0))&gt;0)*1000000)),"")</f>
        <v/>
      </c>
      <c r="M4432" s="1">
        <f>IF(AND(E4432=0,COUNTIFS($A$2:A4432,A4432,$E$2:E4432,0)=1),L4432,0)</f>
        <v>0</v>
      </c>
    </row>
    <row r="4433" spans="1:13" ht="15" customHeight="1">
      <c r="A4433" s="1">
        <v>247</v>
      </c>
      <c r="B4433" s="1" t="s">
        <v>9</v>
      </c>
      <c r="C4433" s="2" t="s">
        <v>5260</v>
      </c>
      <c r="D4433" s="2" t="s">
        <v>5267</v>
      </c>
      <c r="E4433" s="1">
        <v>1</v>
      </c>
      <c r="F4433" s="2" t="s">
        <v>5270</v>
      </c>
      <c r="G4433" s="1">
        <v>3</v>
      </c>
      <c r="H4433" s="1" t="str">
        <f t="shared" si="72"/>
        <v>k247_3</v>
      </c>
      <c r="K4433" s="1">
        <f>IF(E4433=0,SUMPRODUCT(($A$2:$A$4734=A4433)*($B$2:$B$4734=B4433)*($D$2:$D$4734=D4433)*($E$2:$E$4734=0)),0)</f>
        <v>0</v>
      </c>
      <c r="L4433" s="1" t="str">
        <f>IF(E4433=0,SUMPRODUCT(MIN($K$2:$K$4734+((($A$2:$A$4734&lt;&gt;A4433)+($E$2:$E$4734&lt;&gt;0))&gt;0)*1000000)),"")</f>
        <v/>
      </c>
      <c r="M4433" s="1">
        <f>IF(AND(E4433=0,COUNTIFS($A$2:A4433,A4433,$E$2:E4433,0)=1),L4433,0)</f>
        <v>0</v>
      </c>
    </row>
    <row r="4434" spans="1:13" ht="15" customHeight="1">
      <c r="A4434" s="1">
        <v>247</v>
      </c>
      <c r="B4434" s="1" t="s">
        <v>9</v>
      </c>
      <c r="C4434" s="2" t="s">
        <v>5260</v>
      </c>
      <c r="D4434" s="2" t="s">
        <v>5267</v>
      </c>
      <c r="E4434" s="1">
        <v>1</v>
      </c>
      <c r="F4434" s="2" t="s">
        <v>5271</v>
      </c>
      <c r="G4434" s="1">
        <v>4</v>
      </c>
      <c r="H4434" s="1" t="str">
        <f t="shared" si="72"/>
        <v>k247_4</v>
      </c>
      <c r="K4434" s="1">
        <f>IF(E4434=0,SUMPRODUCT(($A$2:$A$4734=A4434)*($B$2:$B$4734=B4434)*($D$2:$D$4734=D4434)*($E$2:$E$4734=0)),0)</f>
        <v>0</v>
      </c>
      <c r="L4434" s="1" t="str">
        <f>IF(E4434=0,SUMPRODUCT(MIN($K$2:$K$4734+((($A$2:$A$4734&lt;&gt;A4434)+($E$2:$E$4734&lt;&gt;0))&gt;0)*1000000)),"")</f>
        <v/>
      </c>
      <c r="M4434" s="1">
        <f>IF(AND(E4434=0,COUNTIFS($A$2:A4434,A4434,$E$2:E4434,0)=1),L4434,0)</f>
        <v>0</v>
      </c>
    </row>
    <row r="4435" spans="1:13" ht="15" customHeight="1">
      <c r="A4435" s="1">
        <v>247</v>
      </c>
      <c r="B4435" s="1" t="s">
        <v>9</v>
      </c>
      <c r="C4435" s="2" t="s">
        <v>5260</v>
      </c>
      <c r="D4435" s="2" t="s">
        <v>5267</v>
      </c>
      <c r="E4435" s="1">
        <v>1</v>
      </c>
      <c r="F4435" s="2" t="s">
        <v>5271</v>
      </c>
      <c r="G4435" s="1">
        <v>6</v>
      </c>
      <c r="H4435" s="1" t="str">
        <f t="shared" si="72"/>
        <v>k247_6</v>
      </c>
      <c r="K4435" s="1">
        <f>IF(E4435=0,SUMPRODUCT(($A$2:$A$4734=A4435)*($B$2:$B$4734=B4435)*($D$2:$D$4734=D4435)*($E$2:$E$4734=0)),0)</f>
        <v>0</v>
      </c>
      <c r="L4435" s="1" t="str">
        <f>IF(E4435=0,SUMPRODUCT(MIN($K$2:$K$4734+((($A$2:$A$4734&lt;&gt;A4435)+($E$2:$E$4734&lt;&gt;0))&gt;0)*1000000)),"")</f>
        <v/>
      </c>
      <c r="M4435" s="1">
        <f>IF(AND(E4435=0,COUNTIFS($A$2:A4435,A4435,$E$2:E4435,0)=1),L4435,0)</f>
        <v>0</v>
      </c>
    </row>
    <row r="4436" spans="1:13" ht="15" customHeight="1">
      <c r="A4436" s="1">
        <v>247</v>
      </c>
      <c r="B4436" s="1" t="s">
        <v>69</v>
      </c>
      <c r="C4436" s="2" t="s">
        <v>5260</v>
      </c>
      <c r="D4436" s="1" t="s">
        <v>5272</v>
      </c>
      <c r="E4436" s="1">
        <v>1</v>
      </c>
      <c r="F4436" s="2" t="s">
        <v>5273</v>
      </c>
      <c r="G4436" s="1">
        <v>1</v>
      </c>
      <c r="H4436" s="1" t="str">
        <f t="shared" si="72"/>
        <v>k247_1</v>
      </c>
      <c r="K4436" s="1">
        <f>IF(E4436=0,SUMPRODUCT(($A$2:$A$4734=A4436)*($B$2:$B$4734=B4436)*($D$2:$D$4734=D4436)*($E$2:$E$4734=0)),0)</f>
        <v>0</v>
      </c>
      <c r="L4436" s="1" t="str">
        <f>IF(E4436=0,SUMPRODUCT(MIN($K$2:$K$4734+((($A$2:$A$4734&lt;&gt;A4436)+($E$2:$E$4734&lt;&gt;0))&gt;0)*1000000)),"")</f>
        <v/>
      </c>
      <c r="M4436" s="1">
        <f>IF(AND(E4436=0,COUNTIFS($A$2:A4436,A4436,$E$2:E4436,0)=1),L4436,0)</f>
        <v>0</v>
      </c>
    </row>
    <row r="4437" spans="1:13" ht="15" customHeight="1">
      <c r="A4437" s="1">
        <v>247</v>
      </c>
      <c r="B4437" s="1" t="s">
        <v>69</v>
      </c>
      <c r="C4437" s="2" t="s">
        <v>5260</v>
      </c>
      <c r="D4437" s="1" t="s">
        <v>5272</v>
      </c>
      <c r="E4437" s="1">
        <v>1</v>
      </c>
      <c r="F4437" s="2" t="s">
        <v>5274</v>
      </c>
      <c r="G4437" s="1">
        <v>2</v>
      </c>
      <c r="H4437" s="1" t="str">
        <f t="shared" si="72"/>
        <v>k247_2</v>
      </c>
      <c r="K4437" s="1">
        <f>IF(E4437=0,SUMPRODUCT(($A$2:$A$4734=A4437)*($B$2:$B$4734=B4437)*($D$2:$D$4734=D4437)*($E$2:$E$4734=0)),0)</f>
        <v>0</v>
      </c>
      <c r="L4437" s="1" t="str">
        <f>IF(E4437=0,SUMPRODUCT(MIN($K$2:$K$4734+((($A$2:$A$4734&lt;&gt;A4437)+($E$2:$E$4734&lt;&gt;0))&gt;0)*1000000)),"")</f>
        <v/>
      </c>
      <c r="M4437" s="1">
        <f>IF(AND(E4437=0,COUNTIFS($A$2:A4437,A4437,$E$2:E4437,0)=1),L4437,0)</f>
        <v>0</v>
      </c>
    </row>
    <row r="4438" spans="1:13" ht="15" customHeight="1">
      <c r="A4438" s="1">
        <v>247</v>
      </c>
      <c r="B4438" s="1" t="s">
        <v>69</v>
      </c>
      <c r="C4438" s="2" t="s">
        <v>5260</v>
      </c>
      <c r="D4438" s="1" t="s">
        <v>5272</v>
      </c>
      <c r="E4438" s="1">
        <v>1</v>
      </c>
      <c r="F4438" s="2" t="s">
        <v>5275</v>
      </c>
      <c r="G4438" s="1">
        <v>3</v>
      </c>
      <c r="H4438" s="1" t="str">
        <f t="shared" si="72"/>
        <v>k247_3</v>
      </c>
      <c r="K4438" s="1">
        <f>IF(E4438=0,SUMPRODUCT(($A$2:$A$4734=A4438)*($B$2:$B$4734=B4438)*($D$2:$D$4734=D4438)*($E$2:$E$4734=0)),0)</f>
        <v>0</v>
      </c>
      <c r="L4438" s="1" t="str">
        <f>IF(E4438=0,SUMPRODUCT(MIN($K$2:$K$4734+((($A$2:$A$4734&lt;&gt;A4438)+($E$2:$E$4734&lt;&gt;0))&gt;0)*1000000)),"")</f>
        <v/>
      </c>
      <c r="M4438" s="1">
        <f>IF(AND(E4438=0,COUNTIFS($A$2:A4438,A4438,$E$2:E4438,0)=1),L4438,0)</f>
        <v>0</v>
      </c>
    </row>
    <row r="4439" spans="1:13" ht="15" customHeight="1">
      <c r="A4439" s="1">
        <v>247</v>
      </c>
      <c r="B4439" s="1" t="s">
        <v>69</v>
      </c>
      <c r="C4439" s="2" t="s">
        <v>5260</v>
      </c>
      <c r="D4439" s="1" t="s">
        <v>5272</v>
      </c>
      <c r="E4439" s="1">
        <v>1</v>
      </c>
      <c r="F4439" s="2" t="s">
        <v>5276</v>
      </c>
      <c r="G4439" s="1">
        <v>4</v>
      </c>
      <c r="H4439" s="1" t="str">
        <f t="shared" si="72"/>
        <v>k247_4</v>
      </c>
      <c r="K4439" s="1">
        <f>IF(E4439=0,SUMPRODUCT(($A$2:$A$4734=A4439)*($B$2:$B$4734=B4439)*($D$2:$D$4734=D4439)*($E$2:$E$4734=0)),0)</f>
        <v>0</v>
      </c>
      <c r="L4439" s="1" t="str">
        <f>IF(E4439=0,SUMPRODUCT(MIN($K$2:$K$4734+((($A$2:$A$4734&lt;&gt;A4439)+($E$2:$E$4734&lt;&gt;0))&gt;0)*1000000)),"")</f>
        <v/>
      </c>
      <c r="M4439" s="1">
        <f>IF(AND(E4439=0,COUNTIFS($A$2:A4439,A4439,$E$2:E4439,0)=1),L4439,0)</f>
        <v>0</v>
      </c>
    </row>
    <row r="4440" spans="1:13" ht="15" customHeight="1">
      <c r="A4440" s="1">
        <v>247</v>
      </c>
      <c r="B4440" s="1" t="s">
        <v>69</v>
      </c>
      <c r="C4440" s="2" t="s">
        <v>5260</v>
      </c>
      <c r="D4440" s="1" t="s">
        <v>5272</v>
      </c>
      <c r="E4440" s="1">
        <v>1</v>
      </c>
      <c r="F4440" s="2" t="s">
        <v>5275</v>
      </c>
      <c r="G4440" s="1">
        <v>5</v>
      </c>
      <c r="H4440" s="1" t="str">
        <f t="shared" si="72"/>
        <v>k247_5</v>
      </c>
      <c r="K4440" s="1">
        <f>IF(E4440=0,SUMPRODUCT(($A$2:$A$4734=A4440)*($B$2:$B$4734=B4440)*($D$2:$D$4734=D4440)*($E$2:$E$4734=0)),0)</f>
        <v>0</v>
      </c>
      <c r="L4440" s="1" t="str">
        <f>IF(E4440=0,SUMPRODUCT(MIN($K$2:$K$4734+((($A$2:$A$4734&lt;&gt;A4440)+($E$2:$E$4734&lt;&gt;0))&gt;0)*1000000)),"")</f>
        <v/>
      </c>
      <c r="M4440" s="1">
        <f>IF(AND(E4440=0,COUNTIFS($A$2:A4440,A4440,$E$2:E4440,0)=1),L4440,0)</f>
        <v>0</v>
      </c>
    </row>
    <row r="4441" spans="1:13" ht="15" customHeight="1">
      <c r="A4441" s="1">
        <v>247</v>
      </c>
      <c r="B4441" s="1" t="s">
        <v>69</v>
      </c>
      <c r="C4441" s="2" t="s">
        <v>5260</v>
      </c>
      <c r="D4441" s="1" t="s">
        <v>5272</v>
      </c>
      <c r="E4441" s="1">
        <v>1</v>
      </c>
      <c r="F4441" s="2" t="s">
        <v>5276</v>
      </c>
      <c r="G4441" s="1">
        <v>6</v>
      </c>
      <c r="H4441" s="1" t="str">
        <f t="shared" si="72"/>
        <v>k247_6</v>
      </c>
      <c r="K4441" s="1">
        <f>IF(E4441=0,SUMPRODUCT(($A$2:$A$4734=A4441)*($B$2:$B$4734=B4441)*($D$2:$D$4734=D4441)*($E$2:$E$4734=0)),0)</f>
        <v>0</v>
      </c>
      <c r="L4441" s="1" t="str">
        <f>IF(E4441=0,SUMPRODUCT(MIN($K$2:$K$4734+((($A$2:$A$4734&lt;&gt;A4441)+($E$2:$E$4734&lt;&gt;0))&gt;0)*1000000)),"")</f>
        <v/>
      </c>
      <c r="M4441" s="1">
        <f>IF(AND(E4441=0,COUNTIFS($A$2:A4441,A4441,$E$2:E4441,0)=1),L4441,0)</f>
        <v>0</v>
      </c>
    </row>
    <row r="4442" spans="1:13" ht="15" customHeight="1">
      <c r="A4442" s="1">
        <v>248</v>
      </c>
      <c r="B4442" s="1" t="s">
        <v>69</v>
      </c>
      <c r="C4442" s="2" t="s">
        <v>5277</v>
      </c>
      <c r="D4442" s="2" t="s">
        <v>5278</v>
      </c>
      <c r="E4442" s="1">
        <v>1</v>
      </c>
      <c r="F4442" s="2" t="s">
        <v>5279</v>
      </c>
      <c r="G4442" s="1">
        <v>1</v>
      </c>
      <c r="H4442" s="1" t="str">
        <f t="shared" si="72"/>
        <v>k248_1</v>
      </c>
      <c r="K4442" s="1">
        <f>IF(E4442=0,SUMPRODUCT(($A$2:$A$4734=A4442)*($B$2:$B$4734=B4442)*($D$2:$D$4734=D4442)*($E$2:$E$4734=0)),0)</f>
        <v>0</v>
      </c>
      <c r="L4442" s="1" t="str">
        <f>IF(E4442=0,SUMPRODUCT(MIN($K$2:$K$4734+((($A$2:$A$4734&lt;&gt;A4442)+($E$2:$E$4734&lt;&gt;0))&gt;0)*1000000)),"")</f>
        <v/>
      </c>
      <c r="M4442" s="1">
        <f>IF(AND(E4442=0,COUNTIFS($A$2:A4442,A4442,$E$2:E4442,0)=1),L4442,0)</f>
        <v>0</v>
      </c>
    </row>
    <row r="4443" spans="1:13" ht="15" customHeight="1">
      <c r="A4443" s="1">
        <v>248</v>
      </c>
      <c r="B4443" s="1" t="s">
        <v>69</v>
      </c>
      <c r="C4443" s="2" t="s">
        <v>5280</v>
      </c>
      <c r="D4443" s="2" t="s">
        <v>5278</v>
      </c>
      <c r="E4443" s="1">
        <v>1</v>
      </c>
      <c r="F4443" s="2" t="s">
        <v>5281</v>
      </c>
      <c r="G4443" s="1">
        <v>2</v>
      </c>
      <c r="H4443" s="1" t="str">
        <f t="shared" si="72"/>
        <v>k248_2</v>
      </c>
      <c r="K4443" s="1">
        <f>IF(E4443=0,SUMPRODUCT(($A$2:$A$4734=A4443)*($B$2:$B$4734=B4443)*($D$2:$D$4734=D4443)*($E$2:$E$4734=0)),0)</f>
        <v>0</v>
      </c>
      <c r="L4443" s="1" t="str">
        <f>IF(E4443=0,SUMPRODUCT(MIN($K$2:$K$4734+((($A$2:$A$4734&lt;&gt;A4443)+($E$2:$E$4734&lt;&gt;0))&gt;0)*1000000)),"")</f>
        <v/>
      </c>
      <c r="M4443" s="1">
        <f>IF(AND(E4443=0,COUNTIFS($A$2:A4443,A4443,$E$2:E4443,0)=1),L4443,0)</f>
        <v>0</v>
      </c>
    </row>
    <row r="4444" spans="1:13" ht="15" customHeight="1">
      <c r="A4444" s="1">
        <v>248</v>
      </c>
      <c r="B4444" s="1" t="s">
        <v>69</v>
      </c>
      <c r="C4444" s="2" t="s">
        <v>5282</v>
      </c>
      <c r="D4444" s="2" t="s">
        <v>5278</v>
      </c>
      <c r="E4444" s="1">
        <v>1</v>
      </c>
      <c r="F4444" s="2" t="s">
        <v>5283</v>
      </c>
      <c r="G4444" s="1">
        <v>3</v>
      </c>
      <c r="H4444" s="1" t="str">
        <f t="shared" si="72"/>
        <v>k248_3</v>
      </c>
      <c r="K4444" s="1">
        <f>IF(E4444=0,SUMPRODUCT(($A$2:$A$4734=A4444)*($B$2:$B$4734=B4444)*($D$2:$D$4734=D4444)*($E$2:$E$4734=0)),0)</f>
        <v>0</v>
      </c>
      <c r="L4444" s="1" t="str">
        <f>IF(E4444=0,SUMPRODUCT(MIN($K$2:$K$4734+((($A$2:$A$4734&lt;&gt;A4444)+($E$2:$E$4734&lt;&gt;0))&gt;0)*1000000)),"")</f>
        <v/>
      </c>
      <c r="M4444" s="1">
        <f>IF(AND(E4444=0,COUNTIFS($A$2:A4444,A4444,$E$2:E4444,0)=1),L4444,0)</f>
        <v>0</v>
      </c>
    </row>
    <row r="4445" spans="1:13" ht="15" customHeight="1">
      <c r="A4445" s="1">
        <v>248</v>
      </c>
      <c r="B4445" s="1" t="s">
        <v>69</v>
      </c>
      <c r="C4445" s="2" t="s">
        <v>5284</v>
      </c>
      <c r="D4445" s="2" t="s">
        <v>5278</v>
      </c>
      <c r="E4445" s="1">
        <v>1</v>
      </c>
      <c r="F4445" s="2" t="s">
        <v>5285</v>
      </c>
      <c r="G4445" s="1">
        <v>4</v>
      </c>
      <c r="H4445" s="1" t="str">
        <f t="shared" si="72"/>
        <v>k248_4</v>
      </c>
      <c r="K4445" s="1">
        <f>IF(E4445=0,SUMPRODUCT(($A$2:$A$4734=A4445)*($B$2:$B$4734=B4445)*($D$2:$D$4734=D4445)*($E$2:$E$4734=0)),0)</f>
        <v>0</v>
      </c>
      <c r="L4445" s="1" t="str">
        <f>IF(E4445=0,SUMPRODUCT(MIN($K$2:$K$4734+((($A$2:$A$4734&lt;&gt;A4445)+($E$2:$E$4734&lt;&gt;0))&gt;0)*1000000)),"")</f>
        <v/>
      </c>
      <c r="M4445" s="1">
        <f>IF(AND(E4445=0,COUNTIFS($A$2:A4445,A4445,$E$2:E4445,0)=1),L4445,0)</f>
        <v>0</v>
      </c>
    </row>
    <row r="4446" spans="1:13" ht="15" customHeight="1">
      <c r="A4446" s="1">
        <v>248</v>
      </c>
      <c r="B4446" s="1" t="s">
        <v>9</v>
      </c>
      <c r="C4446" s="2" t="s">
        <v>5286</v>
      </c>
      <c r="D4446" s="2" t="s">
        <v>5287</v>
      </c>
      <c r="E4446" s="1">
        <v>1</v>
      </c>
      <c r="F4446" s="2" t="s">
        <v>5288</v>
      </c>
      <c r="G4446" s="1">
        <v>1</v>
      </c>
      <c r="H4446" s="1" t="str">
        <f t="shared" si="72"/>
        <v>k248_1</v>
      </c>
      <c r="K4446" s="1">
        <f>IF(E4446=0,SUMPRODUCT(($A$2:$A$4734=A4446)*($B$2:$B$4734=B4446)*($D$2:$D$4734=D4446)*($E$2:$E$4734=0)),0)</f>
        <v>0</v>
      </c>
      <c r="L4446" s="1" t="str">
        <f>IF(E4446=0,SUMPRODUCT(MIN($K$2:$K$4734+((($A$2:$A$4734&lt;&gt;A4446)+($E$2:$E$4734&lt;&gt;0))&gt;0)*1000000)),"")</f>
        <v/>
      </c>
      <c r="M4446" s="1">
        <f>IF(AND(E4446=0,COUNTIFS($A$2:A4446,A4446,$E$2:E4446,0)=1),L4446,0)</f>
        <v>0</v>
      </c>
    </row>
    <row r="4447" spans="1:13" ht="15" customHeight="1">
      <c r="A4447" s="1">
        <v>248</v>
      </c>
      <c r="B4447" s="1" t="s">
        <v>9</v>
      </c>
      <c r="C4447" s="2" t="s">
        <v>5289</v>
      </c>
      <c r="D4447" s="2" t="s">
        <v>5287</v>
      </c>
      <c r="E4447" s="1">
        <v>1</v>
      </c>
      <c r="F4447" s="2" t="s">
        <v>5290</v>
      </c>
      <c r="G4447" s="1">
        <v>2</v>
      </c>
      <c r="H4447" s="1" t="str">
        <f t="shared" si="72"/>
        <v>k248_2</v>
      </c>
      <c r="K4447" s="1">
        <f>IF(E4447=0,SUMPRODUCT(($A$2:$A$4734=A4447)*($B$2:$B$4734=B4447)*($D$2:$D$4734=D4447)*($E$2:$E$4734=0)),0)</f>
        <v>0</v>
      </c>
      <c r="L4447" s="1" t="str">
        <f>IF(E4447=0,SUMPRODUCT(MIN($K$2:$K$4734+((($A$2:$A$4734&lt;&gt;A4447)+($E$2:$E$4734&lt;&gt;0))&gt;0)*1000000)),"")</f>
        <v/>
      </c>
      <c r="M4447" s="1">
        <f>IF(AND(E4447=0,COUNTIFS($A$2:A4447,A4447,$E$2:E4447,0)=1),L4447,0)</f>
        <v>0</v>
      </c>
    </row>
    <row r="4448" spans="1:13" ht="15" customHeight="1">
      <c r="A4448" s="1">
        <v>248</v>
      </c>
      <c r="B4448" s="1" t="s">
        <v>9</v>
      </c>
      <c r="C4448" s="2" t="s">
        <v>5286</v>
      </c>
      <c r="D4448" s="2" t="s">
        <v>5287</v>
      </c>
      <c r="E4448" s="1">
        <v>1</v>
      </c>
      <c r="F4448" s="2" t="s">
        <v>5288</v>
      </c>
      <c r="G4448" s="1">
        <v>3</v>
      </c>
      <c r="H4448" s="1" t="str">
        <f t="shared" si="72"/>
        <v>k248_3</v>
      </c>
      <c r="K4448" s="1">
        <f>IF(E4448=0,SUMPRODUCT(($A$2:$A$4734=A4448)*($B$2:$B$4734=B4448)*($D$2:$D$4734=D4448)*($E$2:$E$4734=0)),0)</f>
        <v>0</v>
      </c>
      <c r="L4448" s="1" t="str">
        <f>IF(E4448=0,SUMPRODUCT(MIN($K$2:$K$4734+((($A$2:$A$4734&lt;&gt;A4448)+($E$2:$E$4734&lt;&gt;0))&gt;0)*1000000)),"")</f>
        <v/>
      </c>
      <c r="M4448" s="1">
        <f>IF(AND(E4448=0,COUNTIFS($A$2:A4448,A4448,$E$2:E4448,0)=1),L4448,0)</f>
        <v>0</v>
      </c>
    </row>
    <row r="4449" spans="1:13" ht="15" customHeight="1">
      <c r="A4449" s="1">
        <v>248</v>
      </c>
      <c r="B4449" s="1" t="s">
        <v>9</v>
      </c>
      <c r="C4449" s="2" t="s">
        <v>5289</v>
      </c>
      <c r="D4449" s="2" t="s">
        <v>5287</v>
      </c>
      <c r="E4449" s="1">
        <v>1</v>
      </c>
      <c r="F4449" s="2" t="s">
        <v>5290</v>
      </c>
      <c r="G4449" s="1">
        <v>4</v>
      </c>
      <c r="H4449" s="1" t="str">
        <f t="shared" si="72"/>
        <v>k248_4</v>
      </c>
      <c r="K4449" s="1">
        <f>IF(E4449=0,SUMPRODUCT(($A$2:$A$4734=A4449)*($B$2:$B$4734=B4449)*($D$2:$D$4734=D4449)*($E$2:$E$4734=0)),0)</f>
        <v>0</v>
      </c>
      <c r="L4449" s="1" t="str">
        <f>IF(E4449=0,SUMPRODUCT(MIN($K$2:$K$4734+((($A$2:$A$4734&lt;&gt;A4449)+($E$2:$E$4734&lt;&gt;0))&gt;0)*1000000)),"")</f>
        <v/>
      </c>
      <c r="M4449" s="1">
        <f>IF(AND(E4449=0,COUNTIFS($A$2:A4449,A4449,$E$2:E4449,0)=1),L4449,0)</f>
        <v>0</v>
      </c>
    </row>
    <row r="4450" spans="1:13" ht="15" customHeight="1">
      <c r="A4450" s="1">
        <v>248</v>
      </c>
      <c r="B4450" s="1" t="s">
        <v>9</v>
      </c>
      <c r="C4450" s="2" t="s">
        <v>5291</v>
      </c>
      <c r="D4450" s="2" t="s">
        <v>5292</v>
      </c>
      <c r="E4450" s="1">
        <v>1</v>
      </c>
      <c r="F4450" s="2" t="s">
        <v>5293</v>
      </c>
      <c r="G4450" s="1">
        <v>1</v>
      </c>
      <c r="H4450" s="1" t="str">
        <f t="shared" si="72"/>
        <v>k248_1</v>
      </c>
      <c r="K4450" s="1">
        <f>IF(E4450=0,SUMPRODUCT(($A$2:$A$4734=A4450)*($B$2:$B$4734=B4450)*($D$2:$D$4734=D4450)*($E$2:$E$4734=0)),0)</f>
        <v>0</v>
      </c>
      <c r="L4450" s="1" t="str">
        <f>IF(E4450=0,SUMPRODUCT(MIN($K$2:$K$4734+((($A$2:$A$4734&lt;&gt;A4450)+($E$2:$E$4734&lt;&gt;0))&gt;0)*1000000)),"")</f>
        <v/>
      </c>
      <c r="M4450" s="1">
        <f>IF(AND(E4450=0,COUNTIFS($A$2:A4450,A4450,$E$2:E4450,0)=1),L4450,0)</f>
        <v>0</v>
      </c>
    </row>
    <row r="4451" spans="1:13" ht="15" customHeight="1">
      <c r="A4451" s="1">
        <v>248</v>
      </c>
      <c r="B4451" s="1" t="s">
        <v>9</v>
      </c>
      <c r="C4451" s="2" t="s">
        <v>5294</v>
      </c>
      <c r="D4451" s="2" t="s">
        <v>5292</v>
      </c>
      <c r="E4451" s="1">
        <v>1</v>
      </c>
      <c r="F4451" s="2" t="s">
        <v>5295</v>
      </c>
      <c r="G4451" s="1">
        <v>2</v>
      </c>
      <c r="H4451" s="1" t="str">
        <f t="shared" si="72"/>
        <v>k248_2</v>
      </c>
      <c r="K4451" s="1">
        <f>IF(E4451=0,SUMPRODUCT(($A$2:$A$4734=A4451)*($B$2:$B$4734=B4451)*($D$2:$D$4734=D4451)*($E$2:$E$4734=0)),0)</f>
        <v>0</v>
      </c>
      <c r="L4451" s="1" t="str">
        <f>IF(E4451=0,SUMPRODUCT(MIN($K$2:$K$4734+((($A$2:$A$4734&lt;&gt;A4451)+($E$2:$E$4734&lt;&gt;0))&gt;0)*1000000)),"")</f>
        <v/>
      </c>
      <c r="M4451" s="1">
        <f>IF(AND(E4451=0,COUNTIFS($A$2:A4451,A4451,$E$2:E4451,0)=1),L4451,0)</f>
        <v>0</v>
      </c>
    </row>
    <row r="4452" spans="1:13" ht="15" customHeight="1">
      <c r="A4452" s="1">
        <v>248</v>
      </c>
      <c r="B4452" s="1" t="s">
        <v>9</v>
      </c>
      <c r="C4452" s="2" t="s">
        <v>5296</v>
      </c>
      <c r="D4452" s="2" t="s">
        <v>5292</v>
      </c>
      <c r="E4452" s="1">
        <v>1</v>
      </c>
      <c r="F4452" s="2" t="s">
        <v>3771</v>
      </c>
      <c r="G4452" s="1">
        <v>3</v>
      </c>
      <c r="H4452" s="1" t="str">
        <f t="shared" si="72"/>
        <v>k248_3</v>
      </c>
      <c r="K4452" s="1">
        <f>IF(E4452=0,SUMPRODUCT(($A$2:$A$4734=A4452)*($B$2:$B$4734=B4452)*($D$2:$D$4734=D4452)*($E$2:$E$4734=0)),0)</f>
        <v>0</v>
      </c>
      <c r="L4452" s="1" t="str">
        <f>IF(E4452=0,SUMPRODUCT(MIN($K$2:$K$4734+((($A$2:$A$4734&lt;&gt;A4452)+($E$2:$E$4734&lt;&gt;0))&gt;0)*1000000)),"")</f>
        <v/>
      </c>
      <c r="M4452" s="1">
        <f>IF(AND(E4452=0,COUNTIFS($A$2:A4452,A4452,$E$2:E4452,0)=1),L4452,0)</f>
        <v>0</v>
      </c>
    </row>
    <row r="4453" spans="1:13" ht="15" customHeight="1">
      <c r="A4453" s="1">
        <v>248</v>
      </c>
      <c r="B4453" s="1" t="s">
        <v>9</v>
      </c>
      <c r="C4453" s="2" t="s">
        <v>5297</v>
      </c>
      <c r="D4453" s="2" t="s">
        <v>5292</v>
      </c>
      <c r="E4453" s="1">
        <v>1</v>
      </c>
      <c r="F4453" s="2" t="s">
        <v>5298</v>
      </c>
      <c r="G4453" s="1">
        <v>4</v>
      </c>
      <c r="H4453" s="1" t="str">
        <f t="shared" si="72"/>
        <v>k248_4</v>
      </c>
      <c r="K4453" s="1">
        <f>IF(E4453=0,SUMPRODUCT(($A$2:$A$4734=A4453)*($B$2:$B$4734=B4453)*($D$2:$D$4734=D4453)*($E$2:$E$4734=0)),0)</f>
        <v>0</v>
      </c>
      <c r="L4453" s="1" t="str">
        <f>IF(E4453=0,SUMPRODUCT(MIN($K$2:$K$4734+((($A$2:$A$4734&lt;&gt;A4453)+($E$2:$E$4734&lt;&gt;0))&gt;0)*1000000)),"")</f>
        <v/>
      </c>
      <c r="M4453" s="1">
        <f>IF(AND(E4453=0,COUNTIFS($A$2:A4453,A4453,$E$2:E4453,0)=1),L4453,0)</f>
        <v>0</v>
      </c>
    </row>
    <row r="4454" spans="1:13" ht="15" customHeight="1">
      <c r="A4454" s="1">
        <v>248</v>
      </c>
      <c r="B4454" s="1" t="s">
        <v>16</v>
      </c>
      <c r="C4454" s="2" t="s">
        <v>5299</v>
      </c>
      <c r="D4454" s="2" t="s">
        <v>3332</v>
      </c>
      <c r="E4454" s="1">
        <v>1</v>
      </c>
      <c r="F4454" s="2" t="s">
        <v>5300</v>
      </c>
      <c r="G4454" s="1">
        <v>1</v>
      </c>
      <c r="H4454" s="1" t="str">
        <f t="shared" si="72"/>
        <v>k248_1</v>
      </c>
      <c r="K4454" s="1">
        <f>IF(E4454=0,SUMPRODUCT(($A$2:$A$4734=A4454)*($B$2:$B$4734=B4454)*($D$2:$D$4734=D4454)*($E$2:$E$4734=0)),0)</f>
        <v>0</v>
      </c>
      <c r="L4454" s="1" t="str">
        <f>IF(E4454=0,SUMPRODUCT(MIN($K$2:$K$4734+((($A$2:$A$4734&lt;&gt;A4454)+($E$2:$E$4734&lt;&gt;0))&gt;0)*1000000)),"")</f>
        <v/>
      </c>
      <c r="M4454" s="1">
        <f>IF(AND(E4454=0,COUNTIFS($A$2:A4454,A4454,$E$2:E4454,0)=1),L4454,0)</f>
        <v>0</v>
      </c>
    </row>
    <row r="4455" spans="1:13" ht="15" customHeight="1">
      <c r="A4455" s="1">
        <v>248</v>
      </c>
      <c r="B4455" s="1" t="s">
        <v>16</v>
      </c>
      <c r="C4455" s="2" t="s">
        <v>5299</v>
      </c>
      <c r="D4455" s="2" t="s">
        <v>3332</v>
      </c>
      <c r="E4455" s="1">
        <v>1</v>
      </c>
      <c r="F4455" s="2" t="s">
        <v>5300</v>
      </c>
      <c r="G4455" s="1">
        <v>3</v>
      </c>
      <c r="H4455" s="1" t="str">
        <f t="shared" si="72"/>
        <v>k248_3</v>
      </c>
      <c r="K4455" s="1">
        <f>IF(E4455=0,SUMPRODUCT(($A$2:$A$4734=A4455)*($B$2:$B$4734=B4455)*($D$2:$D$4734=D4455)*($E$2:$E$4734=0)),0)</f>
        <v>0</v>
      </c>
      <c r="L4455" s="1" t="str">
        <f>IF(E4455=0,SUMPRODUCT(MIN($K$2:$K$4734+((($A$2:$A$4734&lt;&gt;A4455)+($E$2:$E$4734&lt;&gt;0))&gt;0)*1000000)),"")</f>
        <v/>
      </c>
      <c r="M4455" s="1">
        <f>IF(AND(E4455=0,COUNTIFS($A$2:A4455,A4455,$E$2:E4455,0)=1),L4455,0)</f>
        <v>0</v>
      </c>
    </row>
    <row r="4456" spans="1:13" ht="15" customHeight="1">
      <c r="A4456" s="1">
        <v>248</v>
      </c>
      <c r="B4456" s="1" t="s">
        <v>16</v>
      </c>
      <c r="C4456" s="2" t="s">
        <v>5299</v>
      </c>
      <c r="D4456" s="2" t="s">
        <v>3332</v>
      </c>
      <c r="E4456" s="1">
        <v>1</v>
      </c>
      <c r="F4456" s="2" t="s">
        <v>5300</v>
      </c>
      <c r="G4456" s="1">
        <v>2</v>
      </c>
      <c r="H4456" s="1" t="str">
        <f t="shared" si="72"/>
        <v>k248_2</v>
      </c>
      <c r="K4456" s="1">
        <f>IF(E4456=0,SUMPRODUCT(($A$2:$A$4734=A4456)*($B$2:$B$4734=B4456)*($D$2:$D$4734=D4456)*($E$2:$E$4734=0)),0)</f>
        <v>0</v>
      </c>
      <c r="L4456" s="1" t="str">
        <f>IF(E4456=0,SUMPRODUCT(MIN($K$2:$K$4734+((($A$2:$A$4734&lt;&gt;A4456)+($E$2:$E$4734&lt;&gt;0))&gt;0)*1000000)),"")</f>
        <v/>
      </c>
      <c r="M4456" s="1">
        <f>IF(AND(E4456=0,COUNTIFS($A$2:A4456,A4456,$E$2:E4456,0)=1),L4456,0)</f>
        <v>0</v>
      </c>
    </row>
    <row r="4457" spans="1:13" ht="15" customHeight="1">
      <c r="A4457" s="1">
        <v>248</v>
      </c>
      <c r="B4457" s="1" t="s">
        <v>16</v>
      </c>
      <c r="C4457" s="2" t="s">
        <v>5301</v>
      </c>
      <c r="D4457" s="2" t="s">
        <v>3332</v>
      </c>
      <c r="E4457" s="1">
        <v>1</v>
      </c>
      <c r="F4457" s="2" t="s">
        <v>5302</v>
      </c>
      <c r="G4457" s="1">
        <v>4</v>
      </c>
      <c r="H4457" s="1" t="str">
        <f t="shared" si="72"/>
        <v>k248_4</v>
      </c>
      <c r="K4457" s="1">
        <f>IF(E4457=0,SUMPRODUCT(($A$2:$A$4734=A4457)*($B$2:$B$4734=B4457)*($D$2:$D$4734=D4457)*($E$2:$E$4734=0)),0)</f>
        <v>0</v>
      </c>
      <c r="L4457" s="1" t="str">
        <f>IF(E4457=0,SUMPRODUCT(MIN($K$2:$K$4734+((($A$2:$A$4734&lt;&gt;A4457)+($E$2:$E$4734&lt;&gt;0))&gt;0)*1000000)),"")</f>
        <v/>
      </c>
      <c r="M4457" s="1">
        <f>IF(AND(E4457=0,COUNTIFS($A$2:A4457,A4457,$E$2:E4457,0)=1),L4457,0)</f>
        <v>0</v>
      </c>
    </row>
    <row r="4458" spans="1:13" ht="15" customHeight="1">
      <c r="A4458" s="1">
        <v>248</v>
      </c>
      <c r="B4458" s="1" t="s">
        <v>9</v>
      </c>
      <c r="C4458" s="2" t="s">
        <v>5303</v>
      </c>
      <c r="D4458" s="2" t="s">
        <v>5304</v>
      </c>
      <c r="E4458" s="1">
        <v>1</v>
      </c>
      <c r="F4458" s="2" t="s">
        <v>5305</v>
      </c>
      <c r="G4458" s="1">
        <v>4</v>
      </c>
      <c r="H4458" s="1" t="str">
        <f t="shared" si="72"/>
        <v>k248_4</v>
      </c>
      <c r="K4458" s="1">
        <f>IF(E4458=0,SUMPRODUCT(($A$2:$A$4734=A4458)*($B$2:$B$4734=B4458)*($D$2:$D$4734=D4458)*($E$2:$E$4734=0)),0)</f>
        <v>0</v>
      </c>
      <c r="L4458" s="1" t="str">
        <f>IF(E4458=0,SUMPRODUCT(MIN($K$2:$K$4734+((($A$2:$A$4734&lt;&gt;A4458)+($E$2:$E$4734&lt;&gt;0))&gt;0)*1000000)),"")</f>
        <v/>
      </c>
      <c r="M4458" s="1">
        <f>IF(AND(E4458=0,COUNTIFS($A$2:A4458,A4458,$E$2:E4458,0)=1),L4458,0)</f>
        <v>0</v>
      </c>
    </row>
    <row r="4459" spans="1:13" ht="15" customHeight="1">
      <c r="A4459" s="1">
        <v>248</v>
      </c>
      <c r="B4459" s="1" t="s">
        <v>9</v>
      </c>
      <c r="C4459" s="2" t="s">
        <v>5306</v>
      </c>
      <c r="D4459" s="2" t="s">
        <v>5304</v>
      </c>
      <c r="E4459" s="1">
        <v>1</v>
      </c>
      <c r="F4459" s="2" t="s">
        <v>5307</v>
      </c>
      <c r="G4459" s="1">
        <v>2</v>
      </c>
      <c r="H4459" s="1" t="str">
        <f t="shared" si="72"/>
        <v>k248_2</v>
      </c>
      <c r="K4459" s="1">
        <f>IF(E4459=0,SUMPRODUCT(($A$2:$A$4734=A4459)*($B$2:$B$4734=B4459)*($D$2:$D$4734=D4459)*($E$2:$E$4734=0)),0)</f>
        <v>0</v>
      </c>
      <c r="L4459" s="1" t="str">
        <f>IF(E4459=0,SUMPRODUCT(MIN($K$2:$K$4734+((($A$2:$A$4734&lt;&gt;A4459)+($E$2:$E$4734&lt;&gt;0))&gt;0)*1000000)),"")</f>
        <v/>
      </c>
      <c r="M4459" s="1">
        <f>IF(AND(E4459=0,COUNTIFS($A$2:A4459,A4459,$E$2:E4459,0)=1),L4459,0)</f>
        <v>0</v>
      </c>
    </row>
    <row r="4460" spans="1:13" ht="15" customHeight="1">
      <c r="A4460" s="1">
        <v>248</v>
      </c>
      <c r="B4460" s="1" t="s">
        <v>9</v>
      </c>
      <c r="C4460" s="2" t="s">
        <v>5308</v>
      </c>
      <c r="D4460" s="2" t="s">
        <v>5304</v>
      </c>
      <c r="E4460" s="1">
        <v>1</v>
      </c>
      <c r="F4460" s="2" t="s">
        <v>5309</v>
      </c>
      <c r="G4460" s="1">
        <v>1</v>
      </c>
      <c r="H4460" s="1" t="str">
        <f t="shared" si="72"/>
        <v>k248_1</v>
      </c>
      <c r="K4460" s="1">
        <f>IF(E4460=0,SUMPRODUCT(($A$2:$A$4734=A4460)*($B$2:$B$4734=B4460)*($D$2:$D$4734=D4460)*($E$2:$E$4734=0)),0)</f>
        <v>0</v>
      </c>
      <c r="L4460" s="1" t="str">
        <f>IF(E4460=0,SUMPRODUCT(MIN($K$2:$K$4734+((($A$2:$A$4734&lt;&gt;A4460)+($E$2:$E$4734&lt;&gt;0))&gt;0)*1000000)),"")</f>
        <v/>
      </c>
      <c r="M4460" s="1">
        <f>IF(AND(E4460=0,COUNTIFS($A$2:A4460,A4460,$E$2:E4460,0)=1),L4460,0)</f>
        <v>0</v>
      </c>
    </row>
    <row r="4461" spans="1:13" ht="15" customHeight="1">
      <c r="A4461" s="1">
        <v>248</v>
      </c>
      <c r="B4461" s="1" t="s">
        <v>9</v>
      </c>
      <c r="C4461" s="2" t="s">
        <v>5310</v>
      </c>
      <c r="D4461" s="2" t="s">
        <v>5304</v>
      </c>
      <c r="E4461" s="1">
        <v>1</v>
      </c>
      <c r="F4461" s="2" t="s">
        <v>5311</v>
      </c>
      <c r="G4461" s="1">
        <v>3</v>
      </c>
      <c r="H4461" s="1" t="str">
        <f t="shared" si="72"/>
        <v>k248_3</v>
      </c>
      <c r="K4461" s="1">
        <f>IF(E4461=0,SUMPRODUCT(($A$2:$A$4734=A4461)*($B$2:$B$4734=B4461)*($D$2:$D$4734=D4461)*($E$2:$E$4734=0)),0)</f>
        <v>0</v>
      </c>
      <c r="L4461" s="1" t="str">
        <f>IF(E4461=0,SUMPRODUCT(MIN($K$2:$K$4734+((($A$2:$A$4734&lt;&gt;A4461)+($E$2:$E$4734&lt;&gt;0))&gt;0)*1000000)),"")</f>
        <v/>
      </c>
      <c r="M4461" s="1">
        <f>IF(AND(E4461=0,COUNTIFS($A$2:A4461,A4461,$E$2:E4461,0)=1),L4461,0)</f>
        <v>0</v>
      </c>
    </row>
    <row r="4462" spans="1:13" ht="15" customHeight="1">
      <c r="A4462" s="1">
        <v>249</v>
      </c>
      <c r="B4462" s="1" t="s">
        <v>306</v>
      </c>
      <c r="C4462" s="2" t="s">
        <v>5312</v>
      </c>
      <c r="D4462" s="2" t="s">
        <v>5313</v>
      </c>
      <c r="E4462" s="1">
        <v>1</v>
      </c>
      <c r="F4462" s="2" t="s">
        <v>5314</v>
      </c>
      <c r="G4462" s="1">
        <v>1</v>
      </c>
      <c r="H4462" s="1" t="str">
        <f t="shared" si="72"/>
        <v>k249_1</v>
      </c>
      <c r="K4462" s="1">
        <f>IF(E4462=0,SUMPRODUCT(($A$2:$A$4734=A4462)*($B$2:$B$4734=B4462)*($D$2:$D$4734=D4462)*($E$2:$E$4734=0)),0)</f>
        <v>0</v>
      </c>
      <c r="L4462" s="1" t="str">
        <f>IF(E4462=0,SUMPRODUCT(MIN($K$2:$K$4734+((($A$2:$A$4734&lt;&gt;A4462)+($E$2:$E$4734&lt;&gt;0))&gt;0)*1000000)),"")</f>
        <v/>
      </c>
      <c r="M4462" s="1">
        <f>IF(AND(E4462=0,COUNTIFS($A$2:A4462,A4462,$E$2:E4462,0)=1),L4462,0)</f>
        <v>0</v>
      </c>
    </row>
    <row r="4463" spans="1:13" ht="15" customHeight="1">
      <c r="A4463" s="1">
        <v>249</v>
      </c>
      <c r="B4463" s="1" t="s">
        <v>306</v>
      </c>
      <c r="C4463" s="2" t="s">
        <v>5312</v>
      </c>
      <c r="D4463" s="2" t="s">
        <v>5313</v>
      </c>
      <c r="E4463" s="1">
        <v>1</v>
      </c>
      <c r="F4463" s="2" t="s">
        <v>5315</v>
      </c>
      <c r="G4463" s="1">
        <v>2</v>
      </c>
      <c r="H4463" s="1" t="str">
        <f t="shared" si="72"/>
        <v>k249_2</v>
      </c>
      <c r="K4463" s="1">
        <f>IF(E4463=0,SUMPRODUCT(($A$2:$A$4734=A4463)*($B$2:$B$4734=B4463)*($D$2:$D$4734=D4463)*($E$2:$E$4734=0)),0)</f>
        <v>0</v>
      </c>
      <c r="L4463" s="1" t="str">
        <f>IF(E4463=0,SUMPRODUCT(MIN($K$2:$K$4734+((($A$2:$A$4734&lt;&gt;A4463)+($E$2:$E$4734&lt;&gt;0))&gt;0)*1000000)),"")</f>
        <v/>
      </c>
      <c r="M4463" s="1">
        <f>IF(AND(E4463=0,COUNTIFS($A$2:A4463,A4463,$E$2:E4463,0)=1),L4463,0)</f>
        <v>0</v>
      </c>
    </row>
    <row r="4464" spans="1:13" ht="15" customHeight="1">
      <c r="A4464" s="1">
        <v>249</v>
      </c>
      <c r="B4464" s="1" t="s">
        <v>306</v>
      </c>
      <c r="C4464" s="2" t="s">
        <v>5312</v>
      </c>
      <c r="D4464" s="2" t="s">
        <v>5313</v>
      </c>
      <c r="E4464" s="1">
        <v>1</v>
      </c>
      <c r="F4464" s="2" t="s">
        <v>5316</v>
      </c>
      <c r="G4464" s="1">
        <v>3</v>
      </c>
      <c r="H4464" s="1" t="str">
        <f t="shared" si="72"/>
        <v>k249_3</v>
      </c>
      <c r="K4464" s="1">
        <f>IF(E4464=0,SUMPRODUCT(($A$2:$A$4734=A4464)*($B$2:$B$4734=B4464)*($D$2:$D$4734=D4464)*($E$2:$E$4734=0)),0)</f>
        <v>0</v>
      </c>
      <c r="L4464" s="1" t="str">
        <f>IF(E4464=0,SUMPRODUCT(MIN($K$2:$K$4734+((($A$2:$A$4734&lt;&gt;A4464)+($E$2:$E$4734&lt;&gt;0))&gt;0)*1000000)),"")</f>
        <v/>
      </c>
      <c r="M4464" s="1">
        <f>IF(AND(E4464=0,COUNTIFS($A$2:A4464,A4464,$E$2:E4464,0)=1),L4464,0)</f>
        <v>0</v>
      </c>
    </row>
    <row r="4465" spans="1:13" ht="15" customHeight="1">
      <c r="A4465" s="1">
        <v>249</v>
      </c>
      <c r="B4465" s="1" t="s">
        <v>306</v>
      </c>
      <c r="C4465" s="2" t="s">
        <v>5312</v>
      </c>
      <c r="D4465" s="2" t="s">
        <v>5313</v>
      </c>
      <c r="E4465" s="1">
        <v>1</v>
      </c>
      <c r="F4465" s="2" t="s">
        <v>5317</v>
      </c>
      <c r="G4465" s="1">
        <v>4</v>
      </c>
      <c r="H4465" s="1" t="str">
        <f t="shared" si="72"/>
        <v>k249_4</v>
      </c>
      <c r="K4465" s="1">
        <f>IF(E4465=0,SUMPRODUCT(($A$2:$A$4734=A4465)*($B$2:$B$4734=B4465)*($D$2:$D$4734=D4465)*($E$2:$E$4734=0)),0)</f>
        <v>0</v>
      </c>
      <c r="L4465" s="1" t="str">
        <f>IF(E4465=0,SUMPRODUCT(MIN($K$2:$K$4734+((($A$2:$A$4734&lt;&gt;A4465)+($E$2:$E$4734&lt;&gt;0))&gt;0)*1000000)),"")</f>
        <v/>
      </c>
      <c r="M4465" s="1">
        <f>IF(AND(E4465=0,COUNTIFS($A$2:A4465,A4465,$E$2:E4465,0)=1),L4465,0)</f>
        <v>0</v>
      </c>
    </row>
    <row r="4466" spans="1:13" ht="15" customHeight="1">
      <c r="A4466" s="1">
        <v>249</v>
      </c>
      <c r="B4466" s="1" t="s">
        <v>306</v>
      </c>
      <c r="C4466" s="2" t="s">
        <v>5312</v>
      </c>
      <c r="D4466" s="2" t="s">
        <v>5313</v>
      </c>
      <c r="E4466" s="1">
        <v>1</v>
      </c>
      <c r="F4466" s="2" t="s">
        <v>5318</v>
      </c>
      <c r="G4466" s="1">
        <v>5</v>
      </c>
      <c r="H4466" s="1" t="str">
        <f t="shared" si="72"/>
        <v>k249_5</v>
      </c>
      <c r="K4466" s="1">
        <f>IF(E4466=0,SUMPRODUCT(($A$2:$A$4734=A4466)*($B$2:$B$4734=B4466)*($D$2:$D$4734=D4466)*($E$2:$E$4734=0)),0)</f>
        <v>0</v>
      </c>
      <c r="L4466" s="1" t="str">
        <f>IF(E4466=0,SUMPRODUCT(MIN($K$2:$K$4734+((($A$2:$A$4734&lt;&gt;A4466)+($E$2:$E$4734&lt;&gt;0))&gt;0)*1000000)),"")</f>
        <v/>
      </c>
      <c r="M4466" s="1">
        <f>IF(AND(E4466=0,COUNTIFS($A$2:A4466,A4466,$E$2:E4466,0)=1),L4466,0)</f>
        <v>0</v>
      </c>
    </row>
    <row r="4467" spans="1:13" ht="15" customHeight="1">
      <c r="A4467" s="1">
        <v>249</v>
      </c>
      <c r="B4467" s="1" t="s">
        <v>306</v>
      </c>
      <c r="C4467" s="2" t="s">
        <v>5312</v>
      </c>
      <c r="D4467" s="2" t="s">
        <v>5313</v>
      </c>
      <c r="E4467" s="1">
        <v>1</v>
      </c>
      <c r="F4467" s="2" t="s">
        <v>5319</v>
      </c>
      <c r="G4467" s="1">
        <v>6</v>
      </c>
      <c r="H4467" s="1" t="str">
        <f t="shared" si="72"/>
        <v>k249_6</v>
      </c>
      <c r="K4467" s="1">
        <f>IF(E4467=0,SUMPRODUCT(($A$2:$A$4734=A4467)*($B$2:$B$4734=B4467)*($D$2:$D$4734=D4467)*($E$2:$E$4734=0)),0)</f>
        <v>0</v>
      </c>
      <c r="L4467" s="1" t="str">
        <f>IF(E4467=0,SUMPRODUCT(MIN($K$2:$K$4734+((($A$2:$A$4734&lt;&gt;A4467)+($E$2:$E$4734&lt;&gt;0))&gt;0)*1000000)),"")</f>
        <v/>
      </c>
      <c r="M4467" s="1">
        <f>IF(AND(E4467=0,COUNTIFS($A$2:A4467,A4467,$E$2:E4467,0)=1),L4467,0)</f>
        <v>0</v>
      </c>
    </row>
    <row r="4468" spans="1:13" ht="15" customHeight="1">
      <c r="A4468" s="1">
        <v>249</v>
      </c>
      <c r="B4468" s="1" t="s">
        <v>16</v>
      </c>
      <c r="C4468" s="2" t="s">
        <v>5312</v>
      </c>
      <c r="D4468" s="2" t="s">
        <v>993</v>
      </c>
      <c r="E4468" s="1">
        <v>1</v>
      </c>
      <c r="F4468" s="2" t="s">
        <v>997</v>
      </c>
      <c r="G4468" s="1">
        <v>3</v>
      </c>
      <c r="H4468" s="1" t="str">
        <f t="shared" si="72"/>
        <v>k249_3</v>
      </c>
      <c r="K4468" s="1">
        <f>IF(E4468=0,SUMPRODUCT(($A$2:$A$4734=A4468)*($B$2:$B$4734=B4468)*($D$2:$D$4734=D4468)*($E$2:$E$4734=0)),0)</f>
        <v>0</v>
      </c>
      <c r="L4468" s="1" t="str">
        <f>IF(E4468=0,SUMPRODUCT(MIN($K$2:$K$4734+((($A$2:$A$4734&lt;&gt;A4468)+($E$2:$E$4734&lt;&gt;0))&gt;0)*1000000)),"")</f>
        <v/>
      </c>
      <c r="M4468" s="1">
        <f>IF(AND(E4468=0,COUNTIFS($A$2:A4468,A4468,$E$2:E4468,0)=1),L4468,0)</f>
        <v>0</v>
      </c>
    </row>
    <row r="4469" spans="1:13" ht="15" customHeight="1">
      <c r="A4469" s="1">
        <v>249</v>
      </c>
      <c r="B4469" s="1" t="s">
        <v>16</v>
      </c>
      <c r="C4469" s="2" t="s">
        <v>5312</v>
      </c>
      <c r="D4469" s="2" t="s">
        <v>993</v>
      </c>
      <c r="E4469" s="1">
        <v>1</v>
      </c>
      <c r="F4469" s="2" t="s">
        <v>995</v>
      </c>
      <c r="G4469" s="1">
        <v>2</v>
      </c>
      <c r="H4469" s="1" t="str">
        <f t="shared" si="72"/>
        <v>k249_2</v>
      </c>
      <c r="K4469" s="1">
        <f>IF(E4469=0,SUMPRODUCT(($A$2:$A$4734=A4469)*($B$2:$B$4734=B4469)*($D$2:$D$4734=D4469)*($E$2:$E$4734=0)),0)</f>
        <v>0</v>
      </c>
      <c r="L4469" s="1" t="str">
        <f>IF(E4469=0,SUMPRODUCT(MIN($K$2:$K$4734+((($A$2:$A$4734&lt;&gt;A4469)+($E$2:$E$4734&lt;&gt;0))&gt;0)*1000000)),"")</f>
        <v/>
      </c>
      <c r="M4469" s="1">
        <f>IF(AND(E4469=0,COUNTIFS($A$2:A4469,A4469,$E$2:E4469,0)=1),L4469,0)</f>
        <v>0</v>
      </c>
    </row>
    <row r="4470" spans="1:13" ht="15" customHeight="1">
      <c r="A4470" s="1">
        <v>249</v>
      </c>
      <c r="B4470" s="1" t="s">
        <v>16</v>
      </c>
      <c r="C4470" s="2" t="s">
        <v>5312</v>
      </c>
      <c r="D4470" s="2" t="s">
        <v>993</v>
      </c>
      <c r="E4470" s="1">
        <v>1</v>
      </c>
      <c r="F4470" s="2" t="s">
        <v>996</v>
      </c>
      <c r="G4470" s="1">
        <v>1</v>
      </c>
      <c r="H4470" s="1" t="str">
        <f t="shared" si="72"/>
        <v>k249_1</v>
      </c>
      <c r="K4470" s="1">
        <f>IF(E4470=0,SUMPRODUCT(($A$2:$A$4734=A4470)*($B$2:$B$4734=B4470)*($D$2:$D$4734=D4470)*($E$2:$E$4734=0)),0)</f>
        <v>0</v>
      </c>
      <c r="L4470" s="1" t="str">
        <f>IF(E4470=0,SUMPRODUCT(MIN($K$2:$K$4734+((($A$2:$A$4734&lt;&gt;A4470)+($E$2:$E$4734&lt;&gt;0))&gt;0)*1000000)),"")</f>
        <v/>
      </c>
      <c r="M4470" s="1">
        <f>IF(AND(E4470=0,COUNTIFS($A$2:A4470,A4470,$E$2:E4470,0)=1),L4470,0)</f>
        <v>0</v>
      </c>
    </row>
    <row r="4471" spans="1:13" ht="15" customHeight="1">
      <c r="A4471" s="1">
        <v>249</v>
      </c>
      <c r="B4471" s="1" t="s">
        <v>16</v>
      </c>
      <c r="C4471" s="2" t="s">
        <v>5312</v>
      </c>
      <c r="D4471" s="2" t="s">
        <v>993</v>
      </c>
      <c r="E4471" s="1">
        <v>1</v>
      </c>
      <c r="F4471" s="2" t="s">
        <v>2751</v>
      </c>
      <c r="G4471" s="1">
        <v>4</v>
      </c>
      <c r="H4471" s="1" t="str">
        <f t="shared" si="72"/>
        <v>k249_4</v>
      </c>
      <c r="K4471" s="1">
        <f>IF(E4471=0,SUMPRODUCT(($A$2:$A$4734=A4471)*($B$2:$B$4734=B4471)*($D$2:$D$4734=D4471)*($E$2:$E$4734=0)),0)</f>
        <v>0</v>
      </c>
      <c r="L4471" s="1" t="str">
        <f>IF(E4471=0,SUMPRODUCT(MIN($K$2:$K$4734+((($A$2:$A$4734&lt;&gt;A4471)+($E$2:$E$4734&lt;&gt;0))&gt;0)*1000000)),"")</f>
        <v/>
      </c>
      <c r="M4471" s="1">
        <f>IF(AND(E4471=0,COUNTIFS($A$2:A4471,A4471,$E$2:E4471,0)=1),L4471,0)</f>
        <v>0</v>
      </c>
    </row>
    <row r="4472" spans="1:13" ht="15" customHeight="1">
      <c r="A4472" s="1">
        <v>249</v>
      </c>
      <c r="B4472" s="1" t="s">
        <v>16</v>
      </c>
      <c r="C4472" s="2" t="s">
        <v>5312</v>
      </c>
      <c r="D4472" s="2" t="s">
        <v>993</v>
      </c>
      <c r="E4472" s="1">
        <v>1</v>
      </c>
      <c r="F4472" s="2" t="s">
        <v>2751</v>
      </c>
      <c r="G4472" s="1">
        <v>6</v>
      </c>
      <c r="H4472" s="1" t="str">
        <f t="shared" si="72"/>
        <v>k249_6</v>
      </c>
      <c r="K4472" s="1">
        <f>IF(E4472=0,SUMPRODUCT(($A$2:$A$4734=A4472)*($B$2:$B$4734=B4472)*($D$2:$D$4734=D4472)*($E$2:$E$4734=0)),0)</f>
        <v>0</v>
      </c>
      <c r="L4472" s="1" t="str">
        <f>IF(E4472=0,SUMPRODUCT(MIN($K$2:$K$4734+((($A$2:$A$4734&lt;&gt;A4472)+($E$2:$E$4734&lt;&gt;0))&gt;0)*1000000)),"")</f>
        <v/>
      </c>
      <c r="M4472" s="1">
        <f>IF(AND(E4472=0,COUNTIFS($A$2:A4472,A4472,$E$2:E4472,0)=1),L4472,0)</f>
        <v>0</v>
      </c>
    </row>
    <row r="4473" spans="1:13" ht="15" customHeight="1">
      <c r="A4473" s="1">
        <v>249</v>
      </c>
      <c r="B4473" s="1" t="s">
        <v>16</v>
      </c>
      <c r="C4473" s="2" t="s">
        <v>5312</v>
      </c>
      <c r="D4473" s="2" t="s">
        <v>993</v>
      </c>
      <c r="E4473" s="1">
        <v>1</v>
      </c>
      <c r="F4473" s="2" t="s">
        <v>2751</v>
      </c>
      <c r="G4473" s="1">
        <v>5</v>
      </c>
      <c r="H4473" s="1" t="str">
        <f t="shared" si="72"/>
        <v>k249_5</v>
      </c>
      <c r="K4473" s="1">
        <f>IF(E4473=0,SUMPRODUCT(($A$2:$A$4734=A4473)*($B$2:$B$4734=B4473)*($D$2:$D$4734=D4473)*($E$2:$E$4734=0)),0)</f>
        <v>0</v>
      </c>
      <c r="L4473" s="1" t="str">
        <f>IF(E4473=0,SUMPRODUCT(MIN($K$2:$K$4734+((($A$2:$A$4734&lt;&gt;A4473)+($E$2:$E$4734&lt;&gt;0))&gt;0)*1000000)),"")</f>
        <v/>
      </c>
      <c r="M4473" s="1">
        <f>IF(AND(E4473=0,COUNTIFS($A$2:A4473,A4473,$E$2:E4473,0)=1),L4473,0)</f>
        <v>0</v>
      </c>
    </row>
    <row r="4474" spans="1:13" ht="15" customHeight="1">
      <c r="A4474" s="1">
        <v>249</v>
      </c>
      <c r="B4474" s="1" t="s">
        <v>69</v>
      </c>
      <c r="C4474" s="2" t="s">
        <v>5312</v>
      </c>
      <c r="D4474" s="2" t="s">
        <v>5320</v>
      </c>
      <c r="E4474" s="1">
        <v>1</v>
      </c>
      <c r="F4474" s="2" t="s">
        <v>5321</v>
      </c>
      <c r="G4474" s="1">
        <v>1</v>
      </c>
      <c r="H4474" s="1" t="str">
        <f t="shared" si="72"/>
        <v>k249_1</v>
      </c>
      <c r="K4474" s="1">
        <f>IF(E4474=0,SUMPRODUCT(($A$2:$A$4734=A4474)*($B$2:$B$4734=B4474)*($D$2:$D$4734=D4474)*($E$2:$E$4734=0)),0)</f>
        <v>0</v>
      </c>
      <c r="L4474" s="1" t="str">
        <f>IF(E4474=0,SUMPRODUCT(MIN($K$2:$K$4734+((($A$2:$A$4734&lt;&gt;A4474)+($E$2:$E$4734&lt;&gt;0))&gt;0)*1000000)),"")</f>
        <v/>
      </c>
      <c r="M4474" s="1">
        <f>IF(AND(E4474=0,COUNTIFS($A$2:A4474,A4474,$E$2:E4474,0)=1),L4474,0)</f>
        <v>0</v>
      </c>
    </row>
    <row r="4475" spans="1:13" ht="15" customHeight="1">
      <c r="A4475" s="1">
        <v>249</v>
      </c>
      <c r="B4475" s="1" t="s">
        <v>69</v>
      </c>
      <c r="C4475" s="2" t="s">
        <v>5312</v>
      </c>
      <c r="D4475" s="2" t="s">
        <v>5320</v>
      </c>
      <c r="E4475" s="1">
        <v>1</v>
      </c>
      <c r="F4475" s="2" t="s">
        <v>5322</v>
      </c>
      <c r="G4475" s="1">
        <v>2</v>
      </c>
      <c r="H4475" s="1" t="str">
        <f t="shared" si="72"/>
        <v>k249_2</v>
      </c>
      <c r="K4475" s="1">
        <f>IF(E4475=0,SUMPRODUCT(($A$2:$A$4734=A4475)*($B$2:$B$4734=B4475)*($D$2:$D$4734=D4475)*($E$2:$E$4734=0)),0)</f>
        <v>0</v>
      </c>
      <c r="L4475" s="1" t="str">
        <f>IF(E4475=0,SUMPRODUCT(MIN($K$2:$K$4734+((($A$2:$A$4734&lt;&gt;A4475)+($E$2:$E$4734&lt;&gt;0))&gt;0)*1000000)),"")</f>
        <v/>
      </c>
      <c r="M4475" s="1">
        <f>IF(AND(E4475=0,COUNTIFS($A$2:A4475,A4475,$E$2:E4475,0)=1),L4475,0)</f>
        <v>0</v>
      </c>
    </row>
    <row r="4476" spans="1:13" ht="15" customHeight="1">
      <c r="A4476" s="1">
        <v>249</v>
      </c>
      <c r="B4476" s="1" t="s">
        <v>69</v>
      </c>
      <c r="C4476" s="2" t="s">
        <v>5312</v>
      </c>
      <c r="D4476" s="2" t="s">
        <v>5320</v>
      </c>
      <c r="E4476" s="1">
        <v>1</v>
      </c>
      <c r="F4476" s="2" t="s">
        <v>5323</v>
      </c>
      <c r="G4476" s="1">
        <v>3</v>
      </c>
      <c r="H4476" s="1" t="str">
        <f t="shared" si="72"/>
        <v>k249_3</v>
      </c>
      <c r="K4476" s="1">
        <f>IF(E4476=0,SUMPRODUCT(($A$2:$A$4734=A4476)*($B$2:$B$4734=B4476)*($D$2:$D$4734=D4476)*($E$2:$E$4734=0)),0)</f>
        <v>0</v>
      </c>
      <c r="L4476" s="1" t="str">
        <f>IF(E4476=0,SUMPRODUCT(MIN($K$2:$K$4734+((($A$2:$A$4734&lt;&gt;A4476)+($E$2:$E$4734&lt;&gt;0))&gt;0)*1000000)),"")</f>
        <v/>
      </c>
      <c r="M4476" s="1">
        <f>IF(AND(E4476=0,COUNTIFS($A$2:A4476,A4476,$E$2:E4476,0)=1),L4476,0)</f>
        <v>0</v>
      </c>
    </row>
    <row r="4477" spans="1:13" ht="15" customHeight="1">
      <c r="A4477" s="1">
        <v>249</v>
      </c>
      <c r="B4477" s="1" t="s">
        <v>69</v>
      </c>
      <c r="C4477" s="2" t="s">
        <v>5312</v>
      </c>
      <c r="D4477" s="2" t="s">
        <v>5320</v>
      </c>
      <c r="E4477" s="1">
        <v>1</v>
      </c>
      <c r="F4477" s="2" t="s">
        <v>5324</v>
      </c>
      <c r="G4477" s="1">
        <v>4</v>
      </c>
      <c r="H4477" s="1" t="str">
        <f t="shared" si="72"/>
        <v>k249_4</v>
      </c>
      <c r="K4477" s="1">
        <f>IF(E4477=0,SUMPRODUCT(($A$2:$A$4734=A4477)*($B$2:$B$4734=B4477)*($D$2:$D$4734=D4477)*($E$2:$E$4734=0)),0)</f>
        <v>0</v>
      </c>
      <c r="L4477" s="1" t="str">
        <f>IF(E4477=0,SUMPRODUCT(MIN($K$2:$K$4734+((($A$2:$A$4734&lt;&gt;A4477)+($E$2:$E$4734&lt;&gt;0))&gt;0)*1000000)),"")</f>
        <v/>
      </c>
      <c r="M4477" s="1">
        <f>IF(AND(E4477=0,COUNTIFS($A$2:A4477,A4477,$E$2:E4477,0)=1),L4477,0)</f>
        <v>0</v>
      </c>
    </row>
    <row r="4478" spans="1:13" ht="15" customHeight="1">
      <c r="A4478" s="1">
        <v>249</v>
      </c>
      <c r="B4478" s="1" t="s">
        <v>69</v>
      </c>
      <c r="C4478" s="2" t="s">
        <v>5312</v>
      </c>
      <c r="D4478" s="2" t="s">
        <v>5320</v>
      </c>
      <c r="E4478" s="1">
        <v>1</v>
      </c>
      <c r="F4478" s="2" t="s">
        <v>5323</v>
      </c>
      <c r="G4478" s="1">
        <v>5</v>
      </c>
      <c r="H4478" s="1" t="str">
        <f t="shared" si="72"/>
        <v>k249_5</v>
      </c>
      <c r="K4478" s="1">
        <f>IF(E4478=0,SUMPRODUCT(($A$2:$A$4734=A4478)*($B$2:$B$4734=B4478)*($D$2:$D$4734=D4478)*($E$2:$E$4734=0)),0)</f>
        <v>0</v>
      </c>
      <c r="L4478" s="1" t="str">
        <f>IF(E4478=0,SUMPRODUCT(MIN($K$2:$K$4734+((($A$2:$A$4734&lt;&gt;A4478)+($E$2:$E$4734&lt;&gt;0))&gt;0)*1000000)),"")</f>
        <v/>
      </c>
      <c r="M4478" s="1">
        <f>IF(AND(E4478=0,COUNTIFS($A$2:A4478,A4478,$E$2:E4478,0)=1),L4478,0)</f>
        <v>0</v>
      </c>
    </row>
    <row r="4479" spans="1:13" ht="15" customHeight="1">
      <c r="A4479" s="1">
        <v>249</v>
      </c>
      <c r="B4479" s="1" t="s">
        <v>69</v>
      </c>
      <c r="C4479" s="2" t="s">
        <v>5312</v>
      </c>
      <c r="D4479" s="2" t="s">
        <v>5320</v>
      </c>
      <c r="E4479" s="1">
        <v>1</v>
      </c>
      <c r="F4479" s="2" t="s">
        <v>5324</v>
      </c>
      <c r="G4479" s="1">
        <v>6</v>
      </c>
      <c r="H4479" s="1" t="str">
        <f t="shared" si="72"/>
        <v>k249_6</v>
      </c>
      <c r="K4479" s="1">
        <f>IF(E4479=0,SUMPRODUCT(($A$2:$A$4734=A4479)*($B$2:$B$4734=B4479)*($D$2:$D$4734=D4479)*($E$2:$E$4734=0)),0)</f>
        <v>0</v>
      </c>
      <c r="L4479" s="1" t="str">
        <f>IF(E4479=0,SUMPRODUCT(MIN($K$2:$K$4734+((($A$2:$A$4734&lt;&gt;A4479)+($E$2:$E$4734&lt;&gt;0))&gt;0)*1000000)),"")</f>
        <v/>
      </c>
      <c r="M4479" s="1">
        <f>IF(AND(E4479=0,COUNTIFS($A$2:A4479,A4479,$E$2:E4479,0)=1),L4479,0)</f>
        <v>0</v>
      </c>
    </row>
    <row r="4480" spans="1:13" ht="15" customHeight="1">
      <c r="A4480" s="1">
        <v>250</v>
      </c>
      <c r="B4480" s="1" t="s">
        <v>9</v>
      </c>
      <c r="C4480" s="2" t="s">
        <v>5325</v>
      </c>
      <c r="D4480" s="2" t="s">
        <v>5326</v>
      </c>
      <c r="E4480" s="1">
        <v>1</v>
      </c>
      <c r="F4480" s="2" t="s">
        <v>5327</v>
      </c>
      <c r="G4480" s="1">
        <v>1</v>
      </c>
      <c r="H4480" s="1" t="str">
        <f t="shared" si="72"/>
        <v>k250_1</v>
      </c>
      <c r="K4480" s="1">
        <f>IF(E4480=0,SUMPRODUCT(($A$2:$A$4734=A4480)*($B$2:$B$4734=B4480)*($D$2:$D$4734=D4480)*($E$2:$E$4734=0)),0)</f>
        <v>0</v>
      </c>
      <c r="L4480" s="1" t="str">
        <f>IF(E4480=0,SUMPRODUCT(MIN($K$2:$K$4734+((($A$2:$A$4734&lt;&gt;A4480)+($E$2:$E$4734&lt;&gt;0))&gt;0)*1000000)),"")</f>
        <v/>
      </c>
      <c r="M4480" s="1">
        <f>IF(AND(E4480=0,COUNTIFS($A$2:A4480,A4480,$E$2:E4480,0)=1),L4480,0)</f>
        <v>0</v>
      </c>
    </row>
    <row r="4481" spans="1:13" ht="15" customHeight="1">
      <c r="A4481" s="1">
        <v>250</v>
      </c>
      <c r="B4481" s="1" t="s">
        <v>9</v>
      </c>
      <c r="C4481" s="2" t="s">
        <v>5325</v>
      </c>
      <c r="D4481" s="2" t="s">
        <v>5326</v>
      </c>
      <c r="E4481" s="1">
        <v>1</v>
      </c>
      <c r="F4481" s="2" t="s">
        <v>5328</v>
      </c>
      <c r="G4481" s="1">
        <v>2</v>
      </c>
      <c r="H4481" s="1" t="str">
        <f t="shared" si="72"/>
        <v>k250_2</v>
      </c>
      <c r="K4481" s="1">
        <f>IF(E4481=0,SUMPRODUCT(($A$2:$A$4734=A4481)*($B$2:$B$4734=B4481)*($D$2:$D$4734=D4481)*($E$2:$E$4734=0)),0)</f>
        <v>0</v>
      </c>
      <c r="L4481" s="1" t="str">
        <f>IF(E4481=0,SUMPRODUCT(MIN($K$2:$K$4734+((($A$2:$A$4734&lt;&gt;A4481)+($E$2:$E$4734&lt;&gt;0))&gt;0)*1000000)),"")</f>
        <v/>
      </c>
      <c r="M4481" s="1">
        <f>IF(AND(E4481=0,COUNTIFS($A$2:A4481,A4481,$E$2:E4481,0)=1),L4481,0)</f>
        <v>0</v>
      </c>
    </row>
    <row r="4482" spans="1:13" ht="15" customHeight="1">
      <c r="A4482" s="1">
        <v>250</v>
      </c>
      <c r="B4482" s="1" t="s">
        <v>9</v>
      </c>
      <c r="C4482" s="2" t="s">
        <v>5325</v>
      </c>
      <c r="D4482" s="2" t="s">
        <v>5326</v>
      </c>
      <c r="E4482" s="1">
        <v>1</v>
      </c>
      <c r="F4482" s="2" t="s">
        <v>5328</v>
      </c>
      <c r="G4482" s="1">
        <v>3</v>
      </c>
      <c r="H4482" s="1" t="str">
        <f t="shared" ref="H4482:H4545" si="73">IF(OR(E4482&lt;&gt;1,G4482=""),"","k"&amp;A4482&amp;"_"&amp;G4482)</f>
        <v>k250_3</v>
      </c>
      <c r="K4482" s="1">
        <f>IF(E4482=0,SUMPRODUCT(($A$2:$A$4734=A4482)*($B$2:$B$4734=B4482)*($D$2:$D$4734=D4482)*($E$2:$E$4734=0)),0)</f>
        <v>0</v>
      </c>
      <c r="L4482" s="1" t="str">
        <f>IF(E4482=0,SUMPRODUCT(MIN($K$2:$K$4734+((($A$2:$A$4734&lt;&gt;A4482)+($E$2:$E$4734&lt;&gt;0))&gt;0)*1000000)),"")</f>
        <v/>
      </c>
      <c r="M4482" s="1">
        <f>IF(AND(E4482=0,COUNTIFS($A$2:A4482,A4482,$E$2:E4482,0)=1),L4482,0)</f>
        <v>0</v>
      </c>
    </row>
    <row r="4483" spans="1:13" ht="15" customHeight="1">
      <c r="A4483" s="1">
        <v>250</v>
      </c>
      <c r="B4483" s="1" t="s">
        <v>9</v>
      </c>
      <c r="C4483" s="2" t="s">
        <v>5325</v>
      </c>
      <c r="D4483" s="2" t="s">
        <v>5326</v>
      </c>
      <c r="E4483" s="1">
        <v>1</v>
      </c>
      <c r="F4483" s="2" t="s">
        <v>5329</v>
      </c>
      <c r="G4483" s="1">
        <v>4</v>
      </c>
      <c r="H4483" s="1" t="str">
        <f t="shared" si="73"/>
        <v>k250_4</v>
      </c>
      <c r="K4483" s="1">
        <f>IF(E4483=0,SUMPRODUCT(($A$2:$A$4734=A4483)*($B$2:$B$4734=B4483)*($D$2:$D$4734=D4483)*($E$2:$E$4734=0)),0)</f>
        <v>0</v>
      </c>
      <c r="L4483" s="1" t="str">
        <f>IF(E4483=0,SUMPRODUCT(MIN($K$2:$K$4734+((($A$2:$A$4734&lt;&gt;A4483)+($E$2:$E$4734&lt;&gt;0))&gt;0)*1000000)),"")</f>
        <v/>
      </c>
      <c r="M4483" s="1">
        <f>IF(AND(E4483=0,COUNTIFS($A$2:A4483,A4483,$E$2:E4483,0)=1),L4483,0)</f>
        <v>0</v>
      </c>
    </row>
    <row r="4484" spans="1:13" ht="15" customHeight="1">
      <c r="A4484" s="1">
        <v>250</v>
      </c>
      <c r="B4484" s="1" t="s">
        <v>69</v>
      </c>
      <c r="C4484" s="2" t="s">
        <v>5325</v>
      </c>
      <c r="D4484" s="2" t="s">
        <v>5330</v>
      </c>
      <c r="E4484" s="1">
        <v>1</v>
      </c>
      <c r="F4484" s="2" t="s">
        <v>5331</v>
      </c>
      <c r="G4484" s="1">
        <v>1</v>
      </c>
      <c r="H4484" s="1" t="str">
        <f t="shared" si="73"/>
        <v>k250_1</v>
      </c>
      <c r="K4484" s="1">
        <f>IF(E4484=0,SUMPRODUCT(($A$2:$A$4734=A4484)*($B$2:$B$4734=B4484)*($D$2:$D$4734=D4484)*($E$2:$E$4734=0)),0)</f>
        <v>0</v>
      </c>
      <c r="L4484" s="1" t="str">
        <f>IF(E4484=0,SUMPRODUCT(MIN($K$2:$K$4734+((($A$2:$A$4734&lt;&gt;A4484)+($E$2:$E$4734&lt;&gt;0))&gt;0)*1000000)),"")</f>
        <v/>
      </c>
      <c r="M4484" s="1">
        <f>IF(AND(E4484=0,COUNTIFS($A$2:A4484,A4484,$E$2:E4484,0)=1),L4484,0)</f>
        <v>0</v>
      </c>
    </row>
    <row r="4485" spans="1:13" ht="15" customHeight="1">
      <c r="A4485" s="1">
        <v>250</v>
      </c>
      <c r="B4485" s="1" t="s">
        <v>69</v>
      </c>
      <c r="C4485" s="2" t="s">
        <v>5325</v>
      </c>
      <c r="D4485" s="2" t="s">
        <v>5330</v>
      </c>
      <c r="E4485" s="1">
        <v>1</v>
      </c>
      <c r="F4485" s="2" t="s">
        <v>5332</v>
      </c>
      <c r="G4485" s="1">
        <v>2</v>
      </c>
      <c r="H4485" s="1" t="str">
        <f t="shared" si="73"/>
        <v>k250_2</v>
      </c>
      <c r="K4485" s="1">
        <f>IF(E4485=0,SUMPRODUCT(($A$2:$A$4734=A4485)*($B$2:$B$4734=B4485)*($D$2:$D$4734=D4485)*($E$2:$E$4734=0)),0)</f>
        <v>0</v>
      </c>
      <c r="L4485" s="1" t="str">
        <f>IF(E4485=0,SUMPRODUCT(MIN($K$2:$K$4734+((($A$2:$A$4734&lt;&gt;A4485)+($E$2:$E$4734&lt;&gt;0))&gt;0)*1000000)),"")</f>
        <v/>
      </c>
      <c r="M4485" s="1">
        <f>IF(AND(E4485=0,COUNTIFS($A$2:A4485,A4485,$E$2:E4485,0)=1),L4485,0)</f>
        <v>0</v>
      </c>
    </row>
    <row r="4486" spans="1:13" ht="15" customHeight="1">
      <c r="A4486" s="1">
        <v>250</v>
      </c>
      <c r="B4486" s="1" t="s">
        <v>69</v>
      </c>
      <c r="C4486" s="2" t="s">
        <v>5325</v>
      </c>
      <c r="D4486" s="2" t="s">
        <v>5330</v>
      </c>
      <c r="E4486" s="1">
        <v>1</v>
      </c>
      <c r="F4486" s="2" t="s">
        <v>5333</v>
      </c>
      <c r="G4486" s="1">
        <v>3</v>
      </c>
      <c r="H4486" s="1" t="str">
        <f t="shared" si="73"/>
        <v>k250_3</v>
      </c>
      <c r="K4486" s="1">
        <f>IF(E4486=0,SUMPRODUCT(($A$2:$A$4734=A4486)*($B$2:$B$4734=B4486)*($D$2:$D$4734=D4486)*($E$2:$E$4734=0)),0)</f>
        <v>0</v>
      </c>
      <c r="L4486" s="1" t="str">
        <f>IF(E4486=0,SUMPRODUCT(MIN($K$2:$K$4734+((($A$2:$A$4734&lt;&gt;A4486)+($E$2:$E$4734&lt;&gt;0))&gt;0)*1000000)),"")</f>
        <v/>
      </c>
      <c r="M4486" s="1">
        <f>IF(AND(E4486=0,COUNTIFS($A$2:A4486,A4486,$E$2:E4486,0)=1),L4486,0)</f>
        <v>0</v>
      </c>
    </row>
    <row r="4487" spans="1:13" ht="15" customHeight="1">
      <c r="A4487" s="1">
        <v>250</v>
      </c>
      <c r="B4487" s="1" t="s">
        <v>69</v>
      </c>
      <c r="C4487" s="2" t="s">
        <v>5325</v>
      </c>
      <c r="D4487" s="2" t="s">
        <v>5330</v>
      </c>
      <c r="E4487" s="1">
        <v>1</v>
      </c>
      <c r="F4487" s="2" t="s">
        <v>5334</v>
      </c>
      <c r="G4487" s="1">
        <v>4</v>
      </c>
      <c r="H4487" s="1" t="str">
        <f t="shared" si="73"/>
        <v>k250_4</v>
      </c>
      <c r="K4487" s="1">
        <f>IF(E4487=0,SUMPRODUCT(($A$2:$A$4734=A4487)*($B$2:$B$4734=B4487)*($D$2:$D$4734=D4487)*($E$2:$E$4734=0)),0)</f>
        <v>0</v>
      </c>
      <c r="L4487" s="1" t="str">
        <f>IF(E4487=0,SUMPRODUCT(MIN($K$2:$K$4734+((($A$2:$A$4734&lt;&gt;A4487)+($E$2:$E$4734&lt;&gt;0))&gt;0)*1000000)),"")</f>
        <v/>
      </c>
      <c r="M4487" s="1">
        <f>IF(AND(E4487=0,COUNTIFS($A$2:A4487,A4487,$E$2:E4487,0)=1),L4487,0)</f>
        <v>0</v>
      </c>
    </row>
    <row r="4488" spans="1:13" ht="15" customHeight="1">
      <c r="A4488" s="1">
        <v>250</v>
      </c>
      <c r="B4488" s="1" t="s">
        <v>9</v>
      </c>
      <c r="C4488" s="2" t="s">
        <v>5325</v>
      </c>
      <c r="D4488" s="2" t="s">
        <v>5335</v>
      </c>
      <c r="E4488" s="1">
        <v>1</v>
      </c>
      <c r="F4488" s="2" t="s">
        <v>5336</v>
      </c>
      <c r="G4488" s="1">
        <v>1</v>
      </c>
      <c r="H4488" s="1" t="str">
        <f t="shared" si="73"/>
        <v>k250_1</v>
      </c>
      <c r="K4488" s="1">
        <f>IF(E4488=0,SUMPRODUCT(($A$2:$A$4734=A4488)*($B$2:$B$4734=B4488)*($D$2:$D$4734=D4488)*($E$2:$E$4734=0)),0)</f>
        <v>0</v>
      </c>
      <c r="L4488" s="1" t="str">
        <f>IF(E4488=0,SUMPRODUCT(MIN($K$2:$K$4734+((($A$2:$A$4734&lt;&gt;A4488)+($E$2:$E$4734&lt;&gt;0))&gt;0)*1000000)),"")</f>
        <v/>
      </c>
      <c r="M4488" s="1">
        <f>IF(AND(E4488=0,COUNTIFS($A$2:A4488,A4488,$E$2:E4488,0)=1),L4488,0)</f>
        <v>0</v>
      </c>
    </row>
    <row r="4489" spans="1:13" ht="15" customHeight="1">
      <c r="A4489" s="1">
        <v>250</v>
      </c>
      <c r="B4489" s="1" t="s">
        <v>9</v>
      </c>
      <c r="C4489" s="2" t="s">
        <v>5325</v>
      </c>
      <c r="D4489" s="2" t="s">
        <v>5335</v>
      </c>
      <c r="E4489" s="1">
        <v>1</v>
      </c>
      <c r="F4489" s="2" t="s">
        <v>5337</v>
      </c>
      <c r="G4489" s="1">
        <v>2</v>
      </c>
      <c r="H4489" s="1" t="str">
        <f t="shared" si="73"/>
        <v>k250_2</v>
      </c>
      <c r="K4489" s="1">
        <f>IF(E4489=0,SUMPRODUCT(($A$2:$A$4734=A4489)*($B$2:$B$4734=B4489)*($D$2:$D$4734=D4489)*($E$2:$E$4734=0)),0)</f>
        <v>0</v>
      </c>
      <c r="L4489" s="1" t="str">
        <f>IF(E4489=0,SUMPRODUCT(MIN($K$2:$K$4734+((($A$2:$A$4734&lt;&gt;A4489)+($E$2:$E$4734&lt;&gt;0))&gt;0)*1000000)),"")</f>
        <v/>
      </c>
      <c r="M4489" s="1">
        <f>IF(AND(E4489=0,COUNTIFS($A$2:A4489,A4489,$E$2:E4489,0)=1),L4489,0)</f>
        <v>0</v>
      </c>
    </row>
    <row r="4490" spans="1:13" ht="15" customHeight="1">
      <c r="A4490" s="1">
        <v>250</v>
      </c>
      <c r="B4490" s="1" t="s">
        <v>9</v>
      </c>
      <c r="C4490" s="2" t="s">
        <v>5325</v>
      </c>
      <c r="D4490" s="2" t="s">
        <v>5335</v>
      </c>
      <c r="E4490" s="1">
        <v>1</v>
      </c>
      <c r="F4490" s="2" t="s">
        <v>5338</v>
      </c>
      <c r="G4490" s="1">
        <v>3</v>
      </c>
      <c r="H4490" s="1" t="str">
        <f t="shared" si="73"/>
        <v>k250_3</v>
      </c>
      <c r="K4490" s="1">
        <f>IF(E4490=0,SUMPRODUCT(($A$2:$A$4734=A4490)*($B$2:$B$4734=B4490)*($D$2:$D$4734=D4490)*($E$2:$E$4734=0)),0)</f>
        <v>0</v>
      </c>
      <c r="L4490" s="1" t="str">
        <f>IF(E4490=0,SUMPRODUCT(MIN($K$2:$K$4734+((($A$2:$A$4734&lt;&gt;A4490)+($E$2:$E$4734&lt;&gt;0))&gt;0)*1000000)),"")</f>
        <v/>
      </c>
      <c r="M4490" s="1">
        <f>IF(AND(E4490=0,COUNTIFS($A$2:A4490,A4490,$E$2:E4490,0)=1),L4490,0)</f>
        <v>0</v>
      </c>
    </row>
    <row r="4491" spans="1:13" ht="15" customHeight="1">
      <c r="A4491" s="1">
        <v>250</v>
      </c>
      <c r="B4491" s="1" t="s">
        <v>9</v>
      </c>
      <c r="C4491" s="2" t="s">
        <v>5325</v>
      </c>
      <c r="D4491" s="2" t="s">
        <v>5335</v>
      </c>
      <c r="E4491" s="1">
        <v>1</v>
      </c>
      <c r="F4491" s="2" t="s">
        <v>5339</v>
      </c>
      <c r="G4491" s="1">
        <v>4</v>
      </c>
      <c r="H4491" s="1" t="str">
        <f t="shared" si="73"/>
        <v>k250_4</v>
      </c>
      <c r="K4491" s="1">
        <f>IF(E4491=0,SUMPRODUCT(($A$2:$A$4734=A4491)*($B$2:$B$4734=B4491)*($D$2:$D$4734=D4491)*($E$2:$E$4734=0)),0)</f>
        <v>0</v>
      </c>
      <c r="L4491" s="1" t="str">
        <f>IF(E4491=0,SUMPRODUCT(MIN($K$2:$K$4734+((($A$2:$A$4734&lt;&gt;A4491)+($E$2:$E$4734&lt;&gt;0))&gt;0)*1000000)),"")</f>
        <v/>
      </c>
      <c r="M4491" s="1">
        <f>IF(AND(E4491=0,COUNTIFS($A$2:A4491,A4491,$E$2:E4491,0)=1),L4491,0)</f>
        <v>0</v>
      </c>
    </row>
    <row r="4492" spans="1:13" ht="15" customHeight="1">
      <c r="A4492" s="1">
        <v>250</v>
      </c>
      <c r="B4492" s="1" t="s">
        <v>16</v>
      </c>
      <c r="C4492" s="2" t="s">
        <v>5325</v>
      </c>
      <c r="D4492" s="2" t="s">
        <v>5340</v>
      </c>
      <c r="E4492" s="1">
        <v>1</v>
      </c>
      <c r="F4492" s="2" t="s">
        <v>5341</v>
      </c>
      <c r="G4492" s="1">
        <v>1</v>
      </c>
      <c r="H4492" s="1" t="str">
        <f t="shared" si="73"/>
        <v>k250_1</v>
      </c>
      <c r="K4492" s="1">
        <f>IF(E4492=0,SUMPRODUCT(($A$2:$A$4734=A4492)*($B$2:$B$4734=B4492)*($D$2:$D$4734=D4492)*($E$2:$E$4734=0)),0)</f>
        <v>0</v>
      </c>
      <c r="L4492" s="1" t="str">
        <f>IF(E4492=0,SUMPRODUCT(MIN($K$2:$K$4734+((($A$2:$A$4734&lt;&gt;A4492)+($E$2:$E$4734&lt;&gt;0))&gt;0)*1000000)),"")</f>
        <v/>
      </c>
      <c r="M4492" s="1">
        <f>IF(AND(E4492=0,COUNTIFS($A$2:A4492,A4492,$E$2:E4492,0)=1),L4492,0)</f>
        <v>0</v>
      </c>
    </row>
    <row r="4493" spans="1:13" ht="15" customHeight="1">
      <c r="A4493" s="1">
        <v>250</v>
      </c>
      <c r="B4493" s="1" t="s">
        <v>16</v>
      </c>
      <c r="C4493" s="2" t="s">
        <v>5325</v>
      </c>
      <c r="D4493" s="2" t="s">
        <v>5340</v>
      </c>
      <c r="E4493" s="1">
        <v>1</v>
      </c>
      <c r="F4493" s="2" t="s">
        <v>5342</v>
      </c>
      <c r="G4493" s="1">
        <v>2</v>
      </c>
      <c r="H4493" s="1" t="str">
        <f t="shared" si="73"/>
        <v>k250_2</v>
      </c>
      <c r="K4493" s="1">
        <f>IF(E4493=0,SUMPRODUCT(($A$2:$A$4734=A4493)*($B$2:$B$4734=B4493)*($D$2:$D$4734=D4493)*($E$2:$E$4734=0)),0)</f>
        <v>0</v>
      </c>
      <c r="L4493" s="1" t="str">
        <f>IF(E4493=0,SUMPRODUCT(MIN($K$2:$K$4734+((($A$2:$A$4734&lt;&gt;A4493)+($E$2:$E$4734&lt;&gt;0))&gt;0)*1000000)),"")</f>
        <v/>
      </c>
      <c r="M4493" s="1">
        <f>IF(AND(E4493=0,COUNTIFS($A$2:A4493,A4493,$E$2:E4493,0)=1),L4493,0)</f>
        <v>0</v>
      </c>
    </row>
    <row r="4494" spans="1:13" ht="15" customHeight="1">
      <c r="A4494" s="1">
        <v>250</v>
      </c>
      <c r="B4494" s="1" t="s">
        <v>16</v>
      </c>
      <c r="C4494" s="2" t="s">
        <v>5325</v>
      </c>
      <c r="D4494" s="2" t="s">
        <v>5340</v>
      </c>
      <c r="E4494" s="1">
        <v>1</v>
      </c>
      <c r="F4494" s="2" t="s">
        <v>5343</v>
      </c>
      <c r="G4494" s="1">
        <v>3</v>
      </c>
      <c r="H4494" s="1" t="str">
        <f t="shared" si="73"/>
        <v>k250_3</v>
      </c>
      <c r="K4494" s="1">
        <f>IF(E4494=0,SUMPRODUCT(($A$2:$A$4734=A4494)*($B$2:$B$4734=B4494)*($D$2:$D$4734=D4494)*($E$2:$E$4734=0)),0)</f>
        <v>0</v>
      </c>
      <c r="L4494" s="1" t="str">
        <f>IF(E4494=0,SUMPRODUCT(MIN($K$2:$K$4734+((($A$2:$A$4734&lt;&gt;A4494)+($E$2:$E$4734&lt;&gt;0))&gt;0)*1000000)),"")</f>
        <v/>
      </c>
      <c r="M4494" s="1">
        <f>IF(AND(E4494=0,COUNTIFS($A$2:A4494,A4494,$E$2:E4494,0)=1),L4494,0)</f>
        <v>0</v>
      </c>
    </row>
    <row r="4495" spans="1:13" ht="15" customHeight="1">
      <c r="A4495" s="1">
        <v>250</v>
      </c>
      <c r="B4495" s="1" t="s">
        <v>16</v>
      </c>
      <c r="C4495" s="2" t="s">
        <v>5325</v>
      </c>
      <c r="D4495" s="2" t="s">
        <v>5340</v>
      </c>
      <c r="E4495" s="1">
        <v>1</v>
      </c>
      <c r="F4495" s="2" t="s">
        <v>5344</v>
      </c>
      <c r="G4495" s="1">
        <v>4</v>
      </c>
      <c r="H4495" s="1" t="str">
        <f t="shared" si="73"/>
        <v>k250_4</v>
      </c>
      <c r="K4495" s="1">
        <f>IF(E4495=0,SUMPRODUCT(($A$2:$A$4734=A4495)*($B$2:$B$4734=B4495)*($D$2:$D$4734=D4495)*($E$2:$E$4734=0)),0)</f>
        <v>0</v>
      </c>
      <c r="L4495" s="1" t="str">
        <f>IF(E4495=0,SUMPRODUCT(MIN($K$2:$K$4734+((($A$2:$A$4734&lt;&gt;A4495)+($E$2:$E$4734&lt;&gt;0))&gt;0)*1000000)),"")</f>
        <v/>
      </c>
      <c r="M4495" s="1">
        <f>IF(AND(E4495=0,COUNTIFS($A$2:A4495,A4495,$E$2:E4495,0)=1),L4495,0)</f>
        <v>0</v>
      </c>
    </row>
    <row r="4496" spans="1:13" ht="15" customHeight="1">
      <c r="A4496" s="1">
        <v>251</v>
      </c>
      <c r="B4496" s="1" t="s">
        <v>69</v>
      </c>
      <c r="C4496" s="2" t="s">
        <v>5345</v>
      </c>
      <c r="D4496" s="2" t="s">
        <v>5346</v>
      </c>
      <c r="E4496" s="1">
        <v>1</v>
      </c>
      <c r="F4496" s="2" t="s">
        <v>5347</v>
      </c>
      <c r="G4496" s="1">
        <v>1</v>
      </c>
      <c r="H4496" s="1" t="str">
        <f t="shared" si="73"/>
        <v>k251_1</v>
      </c>
      <c r="K4496" s="1">
        <f>IF(E4496=0,SUMPRODUCT(($A$2:$A$4734=A4496)*($B$2:$B$4734=B4496)*($D$2:$D$4734=D4496)*($E$2:$E$4734=0)),0)</f>
        <v>0</v>
      </c>
      <c r="L4496" s="1" t="str">
        <f>IF(E4496=0,SUMPRODUCT(MIN($K$2:$K$4734+((($A$2:$A$4734&lt;&gt;A4496)+($E$2:$E$4734&lt;&gt;0))&gt;0)*1000000)),"")</f>
        <v/>
      </c>
      <c r="M4496" s="1">
        <f>IF(AND(E4496=0,COUNTIFS($A$2:A4496,A4496,$E$2:E4496,0)=1),L4496,0)</f>
        <v>0</v>
      </c>
    </row>
    <row r="4497" spans="1:13" ht="15" customHeight="1">
      <c r="A4497" s="1">
        <v>251</v>
      </c>
      <c r="B4497" s="1" t="s">
        <v>69</v>
      </c>
      <c r="C4497" s="2" t="s">
        <v>5345</v>
      </c>
      <c r="D4497" s="2" t="s">
        <v>5346</v>
      </c>
      <c r="E4497" s="1">
        <v>1</v>
      </c>
      <c r="F4497" s="2" t="s">
        <v>5348</v>
      </c>
      <c r="G4497" s="1">
        <v>2</v>
      </c>
      <c r="H4497" s="1" t="str">
        <f t="shared" si="73"/>
        <v>k251_2</v>
      </c>
      <c r="K4497" s="1">
        <f>IF(E4497=0,SUMPRODUCT(($A$2:$A$4734=A4497)*($B$2:$B$4734=B4497)*($D$2:$D$4734=D4497)*($E$2:$E$4734=0)),0)</f>
        <v>0</v>
      </c>
      <c r="L4497" s="1" t="str">
        <f>IF(E4497=0,SUMPRODUCT(MIN($K$2:$K$4734+((($A$2:$A$4734&lt;&gt;A4497)+($E$2:$E$4734&lt;&gt;0))&gt;0)*1000000)),"")</f>
        <v/>
      </c>
      <c r="M4497" s="1">
        <f>IF(AND(E4497=0,COUNTIFS($A$2:A4497,A4497,$E$2:E4497,0)=1),L4497,0)</f>
        <v>0</v>
      </c>
    </row>
    <row r="4498" spans="1:13" ht="15" customHeight="1">
      <c r="A4498" s="1">
        <v>251</v>
      </c>
      <c r="B4498" s="1" t="s">
        <v>69</v>
      </c>
      <c r="C4498" s="2" t="s">
        <v>5345</v>
      </c>
      <c r="D4498" s="2" t="s">
        <v>5346</v>
      </c>
      <c r="E4498" s="1">
        <v>1</v>
      </c>
      <c r="F4498" s="2" t="s">
        <v>5349</v>
      </c>
      <c r="G4498" s="1">
        <v>3</v>
      </c>
      <c r="H4498" s="1" t="str">
        <f t="shared" si="73"/>
        <v>k251_3</v>
      </c>
      <c r="K4498" s="1">
        <f>IF(E4498=0,SUMPRODUCT(($A$2:$A$4734=A4498)*($B$2:$B$4734=B4498)*($D$2:$D$4734=D4498)*($E$2:$E$4734=0)),0)</f>
        <v>0</v>
      </c>
      <c r="L4498" s="1" t="str">
        <f>IF(E4498=0,SUMPRODUCT(MIN($K$2:$K$4734+((($A$2:$A$4734&lt;&gt;A4498)+($E$2:$E$4734&lt;&gt;0))&gt;0)*1000000)),"")</f>
        <v/>
      </c>
      <c r="M4498" s="1">
        <f>IF(AND(E4498=0,COUNTIFS($A$2:A4498,A4498,$E$2:E4498,0)=1),L4498,0)</f>
        <v>0</v>
      </c>
    </row>
    <row r="4499" spans="1:13" ht="15" customHeight="1">
      <c r="A4499" s="1">
        <v>251</v>
      </c>
      <c r="B4499" s="1" t="s">
        <v>69</v>
      </c>
      <c r="C4499" s="2" t="s">
        <v>5345</v>
      </c>
      <c r="D4499" s="2" t="s">
        <v>5346</v>
      </c>
      <c r="E4499" s="1">
        <v>1</v>
      </c>
      <c r="F4499" s="2" t="s">
        <v>5350</v>
      </c>
      <c r="G4499" s="1">
        <v>4</v>
      </c>
      <c r="H4499" s="1" t="str">
        <f t="shared" si="73"/>
        <v>k251_4</v>
      </c>
      <c r="K4499" s="1">
        <f>IF(E4499=0,SUMPRODUCT(($A$2:$A$4734=A4499)*($B$2:$B$4734=B4499)*($D$2:$D$4734=D4499)*($E$2:$E$4734=0)),0)</f>
        <v>0</v>
      </c>
      <c r="L4499" s="1" t="str">
        <f>IF(E4499=0,SUMPRODUCT(MIN($K$2:$K$4734+((($A$2:$A$4734&lt;&gt;A4499)+($E$2:$E$4734&lt;&gt;0))&gt;0)*1000000)),"")</f>
        <v/>
      </c>
      <c r="M4499" s="1">
        <f>IF(AND(E4499=0,COUNTIFS($A$2:A4499,A4499,$E$2:E4499,0)=1),L4499,0)</f>
        <v>0</v>
      </c>
    </row>
    <row r="4500" spans="1:13" ht="15" customHeight="1">
      <c r="A4500" s="1">
        <v>251</v>
      </c>
      <c r="B4500" s="1" t="s">
        <v>69</v>
      </c>
      <c r="C4500" s="2" t="s">
        <v>5345</v>
      </c>
      <c r="D4500" s="2" t="s">
        <v>5346</v>
      </c>
      <c r="E4500" s="1">
        <v>1</v>
      </c>
      <c r="F4500" s="2" t="s">
        <v>5351</v>
      </c>
      <c r="G4500" s="1">
        <v>5</v>
      </c>
      <c r="H4500" s="1" t="str">
        <f t="shared" si="73"/>
        <v>k251_5</v>
      </c>
      <c r="K4500" s="1">
        <f>IF(E4500=0,SUMPRODUCT(($A$2:$A$4734=A4500)*($B$2:$B$4734=B4500)*($D$2:$D$4734=D4500)*($E$2:$E$4734=0)),0)</f>
        <v>0</v>
      </c>
      <c r="L4500" s="1" t="str">
        <f>IF(E4500=0,SUMPRODUCT(MIN($K$2:$K$4734+((($A$2:$A$4734&lt;&gt;A4500)+($E$2:$E$4734&lt;&gt;0))&gt;0)*1000000)),"")</f>
        <v/>
      </c>
      <c r="M4500" s="1">
        <f>IF(AND(E4500=0,COUNTIFS($A$2:A4500,A4500,$E$2:E4500,0)=1),L4500,0)</f>
        <v>0</v>
      </c>
    </row>
    <row r="4501" spans="1:13" ht="15" customHeight="1">
      <c r="A4501" s="1">
        <v>251</v>
      </c>
      <c r="B4501" s="1" t="s">
        <v>69</v>
      </c>
      <c r="C4501" s="2" t="s">
        <v>5345</v>
      </c>
      <c r="D4501" s="2" t="s">
        <v>5352</v>
      </c>
      <c r="E4501" s="1">
        <v>1</v>
      </c>
      <c r="F4501" s="2" t="s">
        <v>5353</v>
      </c>
      <c r="G4501" s="1">
        <v>1</v>
      </c>
      <c r="H4501" s="1" t="str">
        <f t="shared" si="73"/>
        <v>k251_1</v>
      </c>
      <c r="K4501" s="1">
        <f>IF(E4501=0,SUMPRODUCT(($A$2:$A$4734=A4501)*($B$2:$B$4734=B4501)*($D$2:$D$4734=D4501)*($E$2:$E$4734=0)),0)</f>
        <v>0</v>
      </c>
      <c r="L4501" s="1" t="str">
        <f>IF(E4501=0,SUMPRODUCT(MIN($K$2:$K$4734+((($A$2:$A$4734&lt;&gt;A4501)+($E$2:$E$4734&lt;&gt;0))&gt;0)*1000000)),"")</f>
        <v/>
      </c>
      <c r="M4501" s="1">
        <f>IF(AND(E4501=0,COUNTIFS($A$2:A4501,A4501,$E$2:E4501,0)=1),L4501,0)</f>
        <v>0</v>
      </c>
    </row>
    <row r="4502" spans="1:13" ht="15" customHeight="1">
      <c r="A4502" s="1">
        <v>251</v>
      </c>
      <c r="B4502" s="1" t="s">
        <v>69</v>
      </c>
      <c r="C4502" s="2" t="s">
        <v>5345</v>
      </c>
      <c r="D4502" s="2" t="s">
        <v>5352</v>
      </c>
      <c r="E4502" s="1">
        <v>1</v>
      </c>
      <c r="F4502" s="2" t="s">
        <v>5354</v>
      </c>
      <c r="G4502" s="1">
        <v>2</v>
      </c>
      <c r="H4502" s="1" t="str">
        <f t="shared" si="73"/>
        <v>k251_2</v>
      </c>
      <c r="K4502" s="1">
        <f>IF(E4502=0,SUMPRODUCT(($A$2:$A$4734=A4502)*($B$2:$B$4734=B4502)*($D$2:$D$4734=D4502)*($E$2:$E$4734=0)),0)</f>
        <v>0</v>
      </c>
      <c r="L4502" s="1" t="str">
        <f>IF(E4502=0,SUMPRODUCT(MIN($K$2:$K$4734+((($A$2:$A$4734&lt;&gt;A4502)+($E$2:$E$4734&lt;&gt;0))&gt;0)*1000000)),"")</f>
        <v/>
      </c>
      <c r="M4502" s="1">
        <f>IF(AND(E4502=0,COUNTIFS($A$2:A4502,A4502,$E$2:E4502,0)=1),L4502,0)</f>
        <v>0</v>
      </c>
    </row>
    <row r="4503" spans="1:13" ht="15" customHeight="1">
      <c r="A4503" s="1">
        <v>251</v>
      </c>
      <c r="B4503" s="1" t="s">
        <v>69</v>
      </c>
      <c r="C4503" s="2" t="s">
        <v>5345</v>
      </c>
      <c r="D4503" s="2" t="s">
        <v>5352</v>
      </c>
      <c r="E4503" s="1">
        <v>1</v>
      </c>
      <c r="F4503" s="2" t="s">
        <v>5354</v>
      </c>
      <c r="G4503" s="1">
        <v>5</v>
      </c>
      <c r="H4503" s="1" t="str">
        <f t="shared" si="73"/>
        <v>k251_5</v>
      </c>
      <c r="K4503" s="1">
        <f>IF(E4503=0,SUMPRODUCT(($A$2:$A$4734=A4503)*($B$2:$B$4734=B4503)*($D$2:$D$4734=D4503)*($E$2:$E$4734=0)),0)</f>
        <v>0</v>
      </c>
      <c r="L4503" s="1" t="str">
        <f>IF(E4503=0,SUMPRODUCT(MIN($K$2:$K$4734+((($A$2:$A$4734&lt;&gt;A4503)+($E$2:$E$4734&lt;&gt;0))&gt;0)*1000000)),"")</f>
        <v/>
      </c>
      <c r="M4503" s="1">
        <f>IF(AND(E4503=0,COUNTIFS($A$2:A4503,A4503,$E$2:E4503,0)=1),L4503,0)</f>
        <v>0</v>
      </c>
    </row>
    <row r="4504" spans="1:13" ht="15" customHeight="1">
      <c r="A4504" s="1">
        <v>251</v>
      </c>
      <c r="B4504" s="1" t="s">
        <v>69</v>
      </c>
      <c r="C4504" s="2" t="s">
        <v>5345</v>
      </c>
      <c r="D4504" s="2" t="s">
        <v>5352</v>
      </c>
      <c r="E4504" s="1">
        <v>1</v>
      </c>
      <c r="F4504" s="2" t="s">
        <v>5355</v>
      </c>
      <c r="G4504" s="1">
        <v>3</v>
      </c>
      <c r="H4504" s="1" t="str">
        <f t="shared" si="73"/>
        <v>k251_3</v>
      </c>
      <c r="K4504" s="1">
        <f>IF(E4504=0,SUMPRODUCT(($A$2:$A$4734=A4504)*($B$2:$B$4734=B4504)*($D$2:$D$4734=D4504)*($E$2:$E$4734=0)),0)</f>
        <v>0</v>
      </c>
      <c r="L4504" s="1" t="str">
        <f>IF(E4504=0,SUMPRODUCT(MIN($K$2:$K$4734+((($A$2:$A$4734&lt;&gt;A4504)+($E$2:$E$4734&lt;&gt;0))&gt;0)*1000000)),"")</f>
        <v/>
      </c>
      <c r="M4504" s="1">
        <f>IF(AND(E4504=0,COUNTIFS($A$2:A4504,A4504,$E$2:E4504,0)=1),L4504,0)</f>
        <v>0</v>
      </c>
    </row>
    <row r="4505" spans="1:13" ht="15" customHeight="1">
      <c r="A4505" s="1">
        <v>251</v>
      </c>
      <c r="B4505" s="1" t="s">
        <v>69</v>
      </c>
      <c r="C4505" s="2" t="s">
        <v>5345</v>
      </c>
      <c r="D4505" s="2" t="s">
        <v>5352</v>
      </c>
      <c r="E4505" s="1">
        <v>1</v>
      </c>
      <c r="F4505" s="2" t="s">
        <v>5356</v>
      </c>
      <c r="G4505" s="1">
        <v>4</v>
      </c>
      <c r="H4505" s="1" t="str">
        <f t="shared" si="73"/>
        <v>k251_4</v>
      </c>
      <c r="K4505" s="1">
        <f>IF(E4505=0,SUMPRODUCT(($A$2:$A$4734=A4505)*($B$2:$B$4734=B4505)*($D$2:$D$4734=D4505)*($E$2:$E$4734=0)),0)</f>
        <v>0</v>
      </c>
      <c r="L4505" s="1" t="str">
        <f>IF(E4505=0,SUMPRODUCT(MIN($K$2:$K$4734+((($A$2:$A$4734&lt;&gt;A4505)+($E$2:$E$4734&lt;&gt;0))&gt;0)*1000000)),"")</f>
        <v/>
      </c>
      <c r="M4505" s="1">
        <f>IF(AND(E4505=0,COUNTIFS($A$2:A4505,A4505,$E$2:E4505,0)=1),L4505,0)</f>
        <v>0</v>
      </c>
    </row>
    <row r="4506" spans="1:13" ht="15" customHeight="1">
      <c r="A4506" s="1">
        <v>251</v>
      </c>
      <c r="B4506" s="1" t="s">
        <v>9</v>
      </c>
      <c r="C4506" s="2" t="s">
        <v>5345</v>
      </c>
      <c r="D4506" s="2" t="s">
        <v>5357</v>
      </c>
      <c r="E4506" s="1">
        <v>1</v>
      </c>
      <c r="F4506" s="2" t="s">
        <v>5358</v>
      </c>
      <c r="G4506" s="1">
        <v>2</v>
      </c>
      <c r="H4506" s="1" t="str">
        <f t="shared" si="73"/>
        <v>k251_2</v>
      </c>
      <c r="K4506" s="1">
        <f>IF(E4506=0,SUMPRODUCT(($A$2:$A$4734=A4506)*($B$2:$B$4734=B4506)*($D$2:$D$4734=D4506)*($E$2:$E$4734=0)),0)</f>
        <v>0</v>
      </c>
      <c r="L4506" s="1" t="str">
        <f>IF(E4506=0,SUMPRODUCT(MIN($K$2:$K$4734+((($A$2:$A$4734&lt;&gt;A4506)+($E$2:$E$4734&lt;&gt;0))&gt;0)*1000000)),"")</f>
        <v/>
      </c>
      <c r="M4506" s="1">
        <f>IF(AND(E4506=0,COUNTIFS($A$2:A4506,A4506,$E$2:E4506,0)=1),L4506,0)</f>
        <v>0</v>
      </c>
    </row>
    <row r="4507" spans="1:13" ht="15" customHeight="1">
      <c r="A4507" s="1">
        <v>251</v>
      </c>
      <c r="B4507" s="1" t="s">
        <v>9</v>
      </c>
      <c r="C4507" s="2" t="s">
        <v>5345</v>
      </c>
      <c r="D4507" s="2" t="s">
        <v>5357</v>
      </c>
      <c r="E4507" s="1">
        <v>1</v>
      </c>
      <c r="F4507" s="2" t="s">
        <v>5358</v>
      </c>
      <c r="G4507" s="1">
        <v>1</v>
      </c>
      <c r="H4507" s="1" t="str">
        <f t="shared" si="73"/>
        <v>k251_1</v>
      </c>
      <c r="K4507" s="1">
        <f>IF(E4507=0,SUMPRODUCT(($A$2:$A$4734=A4507)*($B$2:$B$4734=B4507)*($D$2:$D$4734=D4507)*($E$2:$E$4734=0)),0)</f>
        <v>0</v>
      </c>
      <c r="L4507" s="1" t="str">
        <f>IF(E4507=0,SUMPRODUCT(MIN($K$2:$K$4734+((($A$2:$A$4734&lt;&gt;A4507)+($E$2:$E$4734&lt;&gt;0))&gt;0)*1000000)),"")</f>
        <v/>
      </c>
      <c r="M4507" s="1">
        <f>IF(AND(E4507=0,COUNTIFS($A$2:A4507,A4507,$E$2:E4507,0)=1),L4507,0)</f>
        <v>0</v>
      </c>
    </row>
    <row r="4508" spans="1:13" ht="15" customHeight="1">
      <c r="A4508" s="1">
        <v>251</v>
      </c>
      <c r="B4508" s="1" t="s">
        <v>9</v>
      </c>
      <c r="C4508" s="2" t="s">
        <v>5345</v>
      </c>
      <c r="D4508" s="2" t="s">
        <v>5357</v>
      </c>
      <c r="E4508" s="1">
        <v>1</v>
      </c>
      <c r="F4508" s="2" t="s">
        <v>5359</v>
      </c>
      <c r="G4508" s="1">
        <v>3</v>
      </c>
      <c r="H4508" s="1" t="str">
        <f t="shared" si="73"/>
        <v>k251_3</v>
      </c>
      <c r="K4508" s="1">
        <f>IF(E4508=0,SUMPRODUCT(($A$2:$A$4734=A4508)*($B$2:$B$4734=B4508)*($D$2:$D$4734=D4508)*($E$2:$E$4734=0)),0)</f>
        <v>0</v>
      </c>
      <c r="L4508" s="1" t="str">
        <f>IF(E4508=0,SUMPRODUCT(MIN($K$2:$K$4734+((($A$2:$A$4734&lt;&gt;A4508)+($E$2:$E$4734&lt;&gt;0))&gt;0)*1000000)),"")</f>
        <v/>
      </c>
      <c r="M4508" s="1">
        <f>IF(AND(E4508=0,COUNTIFS($A$2:A4508,A4508,$E$2:E4508,0)=1),L4508,0)</f>
        <v>0</v>
      </c>
    </row>
    <row r="4509" spans="1:13" ht="15" customHeight="1">
      <c r="A4509" s="1">
        <v>251</v>
      </c>
      <c r="B4509" s="1" t="s">
        <v>9</v>
      </c>
      <c r="C4509" s="2" t="s">
        <v>5345</v>
      </c>
      <c r="D4509" s="2" t="s">
        <v>5357</v>
      </c>
      <c r="E4509" s="1">
        <v>1</v>
      </c>
      <c r="F4509" s="2" t="s">
        <v>5360</v>
      </c>
      <c r="G4509" s="1">
        <v>4</v>
      </c>
      <c r="H4509" s="1" t="str">
        <f t="shared" si="73"/>
        <v>k251_4</v>
      </c>
      <c r="K4509" s="1">
        <f>IF(E4509=0,SUMPRODUCT(($A$2:$A$4734=A4509)*($B$2:$B$4734=B4509)*($D$2:$D$4734=D4509)*($E$2:$E$4734=0)),0)</f>
        <v>0</v>
      </c>
      <c r="L4509" s="1" t="str">
        <f>IF(E4509=0,SUMPRODUCT(MIN($K$2:$K$4734+((($A$2:$A$4734&lt;&gt;A4509)+($E$2:$E$4734&lt;&gt;0))&gt;0)*1000000)),"")</f>
        <v/>
      </c>
      <c r="M4509" s="1">
        <f>IF(AND(E4509=0,COUNTIFS($A$2:A4509,A4509,$E$2:E4509,0)=1),L4509,0)</f>
        <v>0</v>
      </c>
    </row>
    <row r="4510" spans="1:13" ht="15" customHeight="1">
      <c r="A4510" s="1">
        <v>251</v>
      </c>
      <c r="B4510" s="1" t="s">
        <v>9</v>
      </c>
      <c r="C4510" s="2" t="s">
        <v>5345</v>
      </c>
      <c r="D4510" s="2" t="s">
        <v>5357</v>
      </c>
      <c r="E4510" s="1">
        <v>1</v>
      </c>
      <c r="F4510" s="2" t="s">
        <v>5361</v>
      </c>
      <c r="G4510" s="1">
        <v>5</v>
      </c>
      <c r="H4510" s="1" t="str">
        <f t="shared" si="73"/>
        <v>k251_5</v>
      </c>
      <c r="K4510" s="1">
        <f>IF(E4510=0,SUMPRODUCT(($A$2:$A$4734=A4510)*($B$2:$B$4734=B4510)*($D$2:$D$4734=D4510)*($E$2:$E$4734=0)),0)</f>
        <v>0</v>
      </c>
      <c r="L4510" s="1" t="str">
        <f>IF(E4510=0,SUMPRODUCT(MIN($K$2:$K$4734+((($A$2:$A$4734&lt;&gt;A4510)+($E$2:$E$4734&lt;&gt;0))&gt;0)*1000000)),"")</f>
        <v/>
      </c>
      <c r="M4510" s="1">
        <f>IF(AND(E4510=0,COUNTIFS($A$2:A4510,A4510,$E$2:E4510,0)=1),L4510,0)</f>
        <v>0</v>
      </c>
    </row>
    <row r="4511" spans="1:13" ht="15" customHeight="1">
      <c r="A4511" s="1">
        <v>251</v>
      </c>
      <c r="B4511" s="1" t="s">
        <v>9</v>
      </c>
      <c r="C4511" s="2" t="s">
        <v>5345</v>
      </c>
      <c r="D4511" s="2" t="s">
        <v>5362</v>
      </c>
      <c r="E4511" s="1">
        <v>1</v>
      </c>
      <c r="F4511" s="2" t="s">
        <v>5363</v>
      </c>
      <c r="G4511" s="1">
        <v>1</v>
      </c>
      <c r="H4511" s="1" t="str">
        <f t="shared" si="73"/>
        <v>k251_1</v>
      </c>
      <c r="K4511" s="1">
        <f>IF(E4511=0,SUMPRODUCT(($A$2:$A$4734=A4511)*($B$2:$B$4734=B4511)*($D$2:$D$4734=D4511)*($E$2:$E$4734=0)),0)</f>
        <v>0</v>
      </c>
      <c r="L4511" s="1" t="str">
        <f>IF(E4511=0,SUMPRODUCT(MIN($K$2:$K$4734+((($A$2:$A$4734&lt;&gt;A4511)+($E$2:$E$4734&lt;&gt;0))&gt;0)*1000000)),"")</f>
        <v/>
      </c>
      <c r="M4511" s="1">
        <f>IF(AND(E4511=0,COUNTIFS($A$2:A4511,A4511,$E$2:E4511,0)=1),L4511,0)</f>
        <v>0</v>
      </c>
    </row>
    <row r="4512" spans="1:13" ht="15" customHeight="1">
      <c r="A4512" s="1">
        <v>251</v>
      </c>
      <c r="B4512" s="1" t="s">
        <v>9</v>
      </c>
      <c r="C4512" s="2" t="s">
        <v>5345</v>
      </c>
      <c r="D4512" s="2" t="s">
        <v>5362</v>
      </c>
      <c r="E4512" s="1">
        <v>1</v>
      </c>
      <c r="F4512" s="2" t="s">
        <v>5364</v>
      </c>
      <c r="G4512" s="1">
        <v>4</v>
      </c>
      <c r="H4512" s="1" t="str">
        <f t="shared" si="73"/>
        <v>k251_4</v>
      </c>
      <c r="K4512" s="1">
        <f>IF(E4512=0,SUMPRODUCT(($A$2:$A$4734=A4512)*($B$2:$B$4734=B4512)*($D$2:$D$4734=D4512)*($E$2:$E$4734=0)),0)</f>
        <v>0</v>
      </c>
      <c r="L4512" s="1" t="str">
        <f>IF(E4512=0,SUMPRODUCT(MIN($K$2:$K$4734+((($A$2:$A$4734&lt;&gt;A4512)+($E$2:$E$4734&lt;&gt;0))&gt;0)*1000000)),"")</f>
        <v/>
      </c>
      <c r="M4512" s="1">
        <f>IF(AND(E4512=0,COUNTIFS($A$2:A4512,A4512,$E$2:E4512,0)=1),L4512,0)</f>
        <v>0</v>
      </c>
    </row>
    <row r="4513" spans="1:13" ht="15" customHeight="1">
      <c r="A4513" s="1">
        <v>251</v>
      </c>
      <c r="B4513" s="1" t="s">
        <v>9</v>
      </c>
      <c r="C4513" s="2" t="s">
        <v>5345</v>
      </c>
      <c r="D4513" s="2" t="s">
        <v>5362</v>
      </c>
      <c r="E4513" s="1">
        <v>1</v>
      </c>
      <c r="F4513" s="2" t="s">
        <v>5365</v>
      </c>
      <c r="G4513" s="1">
        <v>2</v>
      </c>
      <c r="H4513" s="1" t="str">
        <f t="shared" si="73"/>
        <v>k251_2</v>
      </c>
      <c r="K4513" s="1">
        <f>IF(E4513=0,SUMPRODUCT(($A$2:$A$4734=A4513)*($B$2:$B$4734=B4513)*($D$2:$D$4734=D4513)*($E$2:$E$4734=0)),0)</f>
        <v>0</v>
      </c>
      <c r="L4513" s="1" t="str">
        <f>IF(E4513=0,SUMPRODUCT(MIN($K$2:$K$4734+((($A$2:$A$4734&lt;&gt;A4513)+($E$2:$E$4734&lt;&gt;0))&gt;0)*1000000)),"")</f>
        <v/>
      </c>
      <c r="M4513" s="1">
        <f>IF(AND(E4513=0,COUNTIFS($A$2:A4513,A4513,$E$2:E4513,0)=1),L4513,0)</f>
        <v>0</v>
      </c>
    </row>
    <row r="4514" spans="1:13" ht="15" customHeight="1">
      <c r="A4514" s="1">
        <v>251</v>
      </c>
      <c r="B4514" s="1" t="s">
        <v>9</v>
      </c>
      <c r="C4514" s="2" t="s">
        <v>5345</v>
      </c>
      <c r="D4514" s="2" t="s">
        <v>5362</v>
      </c>
      <c r="E4514" s="1">
        <v>1</v>
      </c>
      <c r="F4514" s="2" t="s">
        <v>5366</v>
      </c>
      <c r="G4514" s="1">
        <v>3</v>
      </c>
      <c r="H4514" s="1" t="str">
        <f t="shared" si="73"/>
        <v>k251_3</v>
      </c>
      <c r="K4514" s="1">
        <f>IF(E4514=0,SUMPRODUCT(($A$2:$A$4734=A4514)*($B$2:$B$4734=B4514)*($D$2:$D$4734=D4514)*($E$2:$E$4734=0)),0)</f>
        <v>0</v>
      </c>
      <c r="L4514" s="1" t="str">
        <f>IF(E4514=0,SUMPRODUCT(MIN($K$2:$K$4734+((($A$2:$A$4734&lt;&gt;A4514)+($E$2:$E$4734&lt;&gt;0))&gt;0)*1000000)),"")</f>
        <v/>
      </c>
      <c r="M4514" s="1">
        <f>IF(AND(E4514=0,COUNTIFS($A$2:A4514,A4514,$E$2:E4514,0)=1),L4514,0)</f>
        <v>0</v>
      </c>
    </row>
    <row r="4515" spans="1:13" ht="15" customHeight="1">
      <c r="A4515" s="1">
        <v>251</v>
      </c>
      <c r="B4515" s="1" t="s">
        <v>9</v>
      </c>
      <c r="C4515" s="2" t="s">
        <v>5345</v>
      </c>
      <c r="D4515" s="2" t="s">
        <v>5362</v>
      </c>
      <c r="E4515" s="1">
        <v>1</v>
      </c>
      <c r="F4515" s="2" t="s">
        <v>5367</v>
      </c>
      <c r="G4515" s="1">
        <v>5</v>
      </c>
      <c r="H4515" s="1" t="str">
        <f t="shared" si="73"/>
        <v>k251_5</v>
      </c>
      <c r="K4515" s="1">
        <f>IF(E4515=0,SUMPRODUCT(($A$2:$A$4734=A4515)*($B$2:$B$4734=B4515)*($D$2:$D$4734=D4515)*($E$2:$E$4734=0)),0)</f>
        <v>0</v>
      </c>
      <c r="L4515" s="1" t="str">
        <f>IF(E4515=0,SUMPRODUCT(MIN($K$2:$K$4734+((($A$2:$A$4734&lt;&gt;A4515)+($E$2:$E$4734&lt;&gt;0))&gt;0)*1000000)),"")</f>
        <v/>
      </c>
      <c r="M4515" s="1">
        <f>IF(AND(E4515=0,COUNTIFS($A$2:A4515,A4515,$E$2:E4515,0)=1),L4515,0)</f>
        <v>0</v>
      </c>
    </row>
    <row r="4516" spans="1:13" ht="15" customHeight="1">
      <c r="A4516" s="1">
        <v>252</v>
      </c>
      <c r="B4516" s="1" t="s">
        <v>9</v>
      </c>
      <c r="C4516" s="2" t="s">
        <v>5368</v>
      </c>
      <c r="D4516" s="2" t="s">
        <v>5369</v>
      </c>
      <c r="E4516" s="1">
        <v>1</v>
      </c>
      <c r="F4516" s="2" t="s">
        <v>5370</v>
      </c>
      <c r="G4516" s="1">
        <v>1</v>
      </c>
      <c r="H4516" s="1" t="str">
        <f t="shared" si="73"/>
        <v>k252_1</v>
      </c>
      <c r="K4516" s="1">
        <f>IF(E4516=0,SUMPRODUCT(($A$2:$A$4734=A4516)*($B$2:$B$4734=B4516)*($D$2:$D$4734=D4516)*($E$2:$E$4734=0)),0)</f>
        <v>0</v>
      </c>
      <c r="L4516" s="1" t="str">
        <f>IF(E4516=0,SUMPRODUCT(MIN($K$2:$K$4734+((($A$2:$A$4734&lt;&gt;A4516)+($E$2:$E$4734&lt;&gt;0))&gt;0)*1000000)),"")</f>
        <v/>
      </c>
      <c r="M4516" s="1">
        <f>IF(AND(E4516=0,COUNTIFS($A$2:A4516,A4516,$E$2:E4516,0)=1),L4516,0)</f>
        <v>0</v>
      </c>
    </row>
    <row r="4517" spans="1:13" ht="15" customHeight="1">
      <c r="A4517" s="1">
        <v>252</v>
      </c>
      <c r="B4517" s="1" t="s">
        <v>9</v>
      </c>
      <c r="C4517" s="2" t="s">
        <v>5368</v>
      </c>
      <c r="D4517" s="2" t="s">
        <v>5369</v>
      </c>
      <c r="E4517" s="1">
        <v>1</v>
      </c>
      <c r="F4517" s="2" t="s">
        <v>544</v>
      </c>
      <c r="G4517" s="1">
        <v>4</v>
      </c>
      <c r="H4517" s="1" t="str">
        <f t="shared" si="73"/>
        <v>k252_4</v>
      </c>
      <c r="K4517" s="1">
        <f>IF(E4517=0,SUMPRODUCT(($A$2:$A$4734=A4517)*($B$2:$B$4734=B4517)*($D$2:$D$4734=D4517)*($E$2:$E$4734=0)),0)</f>
        <v>0</v>
      </c>
      <c r="L4517" s="1" t="str">
        <f>IF(E4517=0,SUMPRODUCT(MIN($K$2:$K$4734+((($A$2:$A$4734&lt;&gt;A4517)+($E$2:$E$4734&lt;&gt;0))&gt;0)*1000000)),"")</f>
        <v/>
      </c>
      <c r="M4517" s="1">
        <f>IF(AND(E4517=0,COUNTIFS($A$2:A4517,A4517,$E$2:E4517,0)=1),L4517,0)</f>
        <v>0</v>
      </c>
    </row>
    <row r="4518" spans="1:13" ht="15" customHeight="1">
      <c r="A4518" s="1">
        <v>252</v>
      </c>
      <c r="B4518" s="1" t="s">
        <v>9</v>
      </c>
      <c r="C4518" s="2" t="s">
        <v>5368</v>
      </c>
      <c r="D4518" s="2" t="s">
        <v>5369</v>
      </c>
      <c r="E4518" s="1">
        <v>1</v>
      </c>
      <c r="F4518" s="2" t="s">
        <v>5371</v>
      </c>
      <c r="G4518" s="1">
        <v>5</v>
      </c>
      <c r="H4518" s="1" t="str">
        <f t="shared" si="73"/>
        <v>k252_5</v>
      </c>
      <c r="K4518" s="1">
        <f>IF(E4518=0,SUMPRODUCT(($A$2:$A$4734=A4518)*($B$2:$B$4734=B4518)*($D$2:$D$4734=D4518)*($E$2:$E$4734=0)),0)</f>
        <v>0</v>
      </c>
      <c r="L4518" s="1" t="str">
        <f>IF(E4518=0,SUMPRODUCT(MIN($K$2:$K$4734+((($A$2:$A$4734&lt;&gt;A4518)+($E$2:$E$4734&lt;&gt;0))&gt;0)*1000000)),"")</f>
        <v/>
      </c>
      <c r="M4518" s="1">
        <f>IF(AND(E4518=0,COUNTIFS($A$2:A4518,A4518,$E$2:E4518,0)=1),L4518,0)</f>
        <v>0</v>
      </c>
    </row>
    <row r="4519" spans="1:13" ht="15" customHeight="1">
      <c r="A4519" s="1">
        <v>252</v>
      </c>
      <c r="B4519" s="1" t="s">
        <v>9</v>
      </c>
      <c r="C4519" s="2" t="s">
        <v>5368</v>
      </c>
      <c r="D4519" s="2" t="s">
        <v>5369</v>
      </c>
      <c r="E4519" s="1">
        <v>1</v>
      </c>
      <c r="F4519" s="2" t="s">
        <v>544</v>
      </c>
      <c r="G4519" s="1">
        <v>2</v>
      </c>
      <c r="H4519" s="1" t="str">
        <f t="shared" si="73"/>
        <v>k252_2</v>
      </c>
      <c r="K4519" s="1">
        <f>IF(E4519=0,SUMPRODUCT(($A$2:$A$4734=A4519)*($B$2:$B$4734=B4519)*($D$2:$D$4734=D4519)*($E$2:$E$4734=0)),0)</f>
        <v>0</v>
      </c>
      <c r="L4519" s="1" t="str">
        <f>IF(E4519=0,SUMPRODUCT(MIN($K$2:$K$4734+((($A$2:$A$4734&lt;&gt;A4519)+($E$2:$E$4734&lt;&gt;0))&gt;0)*1000000)),"")</f>
        <v/>
      </c>
      <c r="M4519" s="1">
        <f>IF(AND(E4519=0,COUNTIFS($A$2:A4519,A4519,$E$2:E4519,0)=1),L4519,0)</f>
        <v>0</v>
      </c>
    </row>
    <row r="4520" spans="1:13" ht="15" customHeight="1">
      <c r="A4520" s="1">
        <v>252</v>
      </c>
      <c r="B4520" s="1" t="s">
        <v>9</v>
      </c>
      <c r="C4520" s="2" t="s">
        <v>5368</v>
      </c>
      <c r="D4520" s="2" t="s">
        <v>5369</v>
      </c>
      <c r="E4520" s="1">
        <v>1</v>
      </c>
      <c r="F4520" s="2" t="s">
        <v>5371</v>
      </c>
      <c r="G4520" s="1">
        <v>3</v>
      </c>
      <c r="H4520" s="1" t="str">
        <f t="shared" si="73"/>
        <v>k252_3</v>
      </c>
      <c r="K4520" s="1">
        <f>IF(E4520=0,SUMPRODUCT(($A$2:$A$4734=A4520)*($B$2:$B$4734=B4520)*($D$2:$D$4734=D4520)*($E$2:$E$4734=0)),0)</f>
        <v>0</v>
      </c>
      <c r="L4520" s="1" t="str">
        <f>IF(E4520=0,SUMPRODUCT(MIN($K$2:$K$4734+((($A$2:$A$4734&lt;&gt;A4520)+($E$2:$E$4734&lt;&gt;0))&gt;0)*1000000)),"")</f>
        <v/>
      </c>
      <c r="M4520" s="1">
        <f>IF(AND(E4520=0,COUNTIFS($A$2:A4520,A4520,$E$2:E4520,0)=1),L4520,0)</f>
        <v>0</v>
      </c>
    </row>
    <row r="4521" spans="1:13" ht="15" customHeight="1">
      <c r="A4521" s="1">
        <v>252</v>
      </c>
      <c r="B4521" s="1" t="s">
        <v>69</v>
      </c>
      <c r="C4521" s="2" t="s">
        <v>5368</v>
      </c>
      <c r="D4521" s="2" t="s">
        <v>5372</v>
      </c>
      <c r="E4521" s="1">
        <v>1</v>
      </c>
      <c r="F4521" s="2" t="s">
        <v>5373</v>
      </c>
      <c r="G4521" s="1">
        <v>1</v>
      </c>
      <c r="H4521" s="1" t="str">
        <f t="shared" si="73"/>
        <v>k252_1</v>
      </c>
      <c r="K4521" s="1">
        <f>IF(E4521=0,SUMPRODUCT(($A$2:$A$4734=A4521)*($B$2:$B$4734=B4521)*($D$2:$D$4734=D4521)*($E$2:$E$4734=0)),0)</f>
        <v>0</v>
      </c>
      <c r="L4521" s="1" t="str">
        <f>IF(E4521=0,SUMPRODUCT(MIN($K$2:$K$4734+((($A$2:$A$4734&lt;&gt;A4521)+($E$2:$E$4734&lt;&gt;0))&gt;0)*1000000)),"")</f>
        <v/>
      </c>
      <c r="M4521" s="1">
        <f>IF(AND(E4521=0,COUNTIFS($A$2:A4521,A4521,$E$2:E4521,0)=1),L4521,0)</f>
        <v>0</v>
      </c>
    </row>
    <row r="4522" spans="1:13" ht="15" customHeight="1">
      <c r="A4522" s="1">
        <v>252</v>
      </c>
      <c r="B4522" s="1" t="s">
        <v>69</v>
      </c>
      <c r="C4522" s="2" t="s">
        <v>5368</v>
      </c>
      <c r="D4522" s="2" t="s">
        <v>5372</v>
      </c>
      <c r="E4522" s="1">
        <v>1</v>
      </c>
      <c r="F4522" s="2" t="s">
        <v>5374</v>
      </c>
      <c r="G4522" s="1">
        <v>2</v>
      </c>
      <c r="H4522" s="1" t="str">
        <f t="shared" si="73"/>
        <v>k252_2</v>
      </c>
      <c r="K4522" s="1">
        <f>IF(E4522=0,SUMPRODUCT(($A$2:$A$4734=A4522)*($B$2:$B$4734=B4522)*($D$2:$D$4734=D4522)*($E$2:$E$4734=0)),0)</f>
        <v>0</v>
      </c>
      <c r="L4522" s="1" t="str">
        <f>IF(E4522=0,SUMPRODUCT(MIN($K$2:$K$4734+((($A$2:$A$4734&lt;&gt;A4522)+($E$2:$E$4734&lt;&gt;0))&gt;0)*1000000)),"")</f>
        <v/>
      </c>
      <c r="M4522" s="1">
        <f>IF(AND(E4522=0,COUNTIFS($A$2:A4522,A4522,$E$2:E4522,0)=1),L4522,0)</f>
        <v>0</v>
      </c>
    </row>
    <row r="4523" spans="1:13" ht="15" customHeight="1">
      <c r="A4523" s="1">
        <v>252</v>
      </c>
      <c r="B4523" s="1" t="s">
        <v>69</v>
      </c>
      <c r="C4523" s="2" t="s">
        <v>5368</v>
      </c>
      <c r="D4523" s="2" t="s">
        <v>5372</v>
      </c>
      <c r="E4523" s="1">
        <v>1</v>
      </c>
      <c r="F4523" s="2" t="s">
        <v>5375</v>
      </c>
      <c r="G4523" s="1">
        <v>3</v>
      </c>
      <c r="H4523" s="1" t="str">
        <f t="shared" si="73"/>
        <v>k252_3</v>
      </c>
      <c r="K4523" s="1">
        <f>IF(E4523=0,SUMPRODUCT(($A$2:$A$4734=A4523)*($B$2:$B$4734=B4523)*($D$2:$D$4734=D4523)*($E$2:$E$4734=0)),0)</f>
        <v>0</v>
      </c>
      <c r="L4523" s="1" t="str">
        <f>IF(E4523=0,SUMPRODUCT(MIN($K$2:$K$4734+((($A$2:$A$4734&lt;&gt;A4523)+($E$2:$E$4734&lt;&gt;0))&gt;0)*1000000)),"")</f>
        <v/>
      </c>
      <c r="M4523" s="1">
        <f>IF(AND(E4523=0,COUNTIFS($A$2:A4523,A4523,$E$2:E4523,0)=1),L4523,0)</f>
        <v>0</v>
      </c>
    </row>
    <row r="4524" spans="1:13" ht="15" customHeight="1">
      <c r="A4524" s="1">
        <v>252</v>
      </c>
      <c r="B4524" s="1" t="s">
        <v>69</v>
      </c>
      <c r="C4524" s="2" t="s">
        <v>5368</v>
      </c>
      <c r="D4524" s="2" t="s">
        <v>5372</v>
      </c>
      <c r="E4524" s="1">
        <v>1</v>
      </c>
      <c r="F4524" s="2" t="s">
        <v>5374</v>
      </c>
      <c r="G4524" s="1">
        <v>4</v>
      </c>
      <c r="H4524" s="1" t="str">
        <f t="shared" si="73"/>
        <v>k252_4</v>
      </c>
      <c r="K4524" s="1">
        <f>IF(E4524=0,SUMPRODUCT(($A$2:$A$4734=A4524)*($B$2:$B$4734=B4524)*($D$2:$D$4734=D4524)*($E$2:$E$4734=0)),0)</f>
        <v>0</v>
      </c>
      <c r="L4524" s="1" t="str">
        <f>IF(E4524=0,SUMPRODUCT(MIN($K$2:$K$4734+((($A$2:$A$4734&lt;&gt;A4524)+($E$2:$E$4734&lt;&gt;0))&gt;0)*1000000)),"")</f>
        <v/>
      </c>
      <c r="M4524" s="1">
        <f>IF(AND(E4524=0,COUNTIFS($A$2:A4524,A4524,$E$2:E4524,0)=1),L4524,0)</f>
        <v>0</v>
      </c>
    </row>
    <row r="4525" spans="1:13" ht="15" customHeight="1">
      <c r="A4525" s="1">
        <v>252</v>
      </c>
      <c r="B4525" s="1" t="s">
        <v>69</v>
      </c>
      <c r="C4525" s="2" t="s">
        <v>5368</v>
      </c>
      <c r="D4525" s="2" t="s">
        <v>5372</v>
      </c>
      <c r="E4525" s="1">
        <v>1</v>
      </c>
      <c r="F4525" s="2" t="s">
        <v>5375</v>
      </c>
      <c r="G4525" s="1">
        <v>5</v>
      </c>
      <c r="H4525" s="1" t="str">
        <f t="shared" si="73"/>
        <v>k252_5</v>
      </c>
      <c r="K4525" s="1">
        <f>IF(E4525=0,SUMPRODUCT(($A$2:$A$4734=A4525)*($B$2:$B$4734=B4525)*($D$2:$D$4734=D4525)*($E$2:$E$4734=0)),0)</f>
        <v>0</v>
      </c>
      <c r="L4525" s="1" t="str">
        <f>IF(E4525=0,SUMPRODUCT(MIN($K$2:$K$4734+((($A$2:$A$4734&lt;&gt;A4525)+($E$2:$E$4734&lt;&gt;0))&gt;0)*1000000)),"")</f>
        <v/>
      </c>
      <c r="M4525" s="1">
        <f>IF(AND(E4525=0,COUNTIFS($A$2:A4525,A4525,$E$2:E4525,0)=1),L4525,0)</f>
        <v>0</v>
      </c>
    </row>
    <row r="4526" spans="1:13" ht="15" customHeight="1">
      <c r="A4526" s="1">
        <v>253</v>
      </c>
      <c r="B4526" s="1" t="s">
        <v>16</v>
      </c>
      <c r="C4526" s="2" t="s">
        <v>5376</v>
      </c>
      <c r="D4526" s="2" t="s">
        <v>993</v>
      </c>
      <c r="E4526" s="1">
        <v>1</v>
      </c>
      <c r="F4526" s="2" t="s">
        <v>996</v>
      </c>
      <c r="G4526" s="1">
        <v>2</v>
      </c>
      <c r="H4526" s="1" t="str">
        <f t="shared" si="73"/>
        <v>k253_2</v>
      </c>
      <c r="K4526" s="1">
        <f>IF(E4526=0,SUMPRODUCT(($A$2:$A$4734=A4526)*($B$2:$B$4734=B4526)*($D$2:$D$4734=D4526)*($E$2:$E$4734=0)),0)</f>
        <v>0</v>
      </c>
      <c r="L4526" s="1" t="str">
        <f>IF(E4526=0,SUMPRODUCT(MIN($K$2:$K$4734+((($A$2:$A$4734&lt;&gt;A4526)+($E$2:$E$4734&lt;&gt;0))&gt;0)*1000000)),"")</f>
        <v/>
      </c>
      <c r="M4526" s="1">
        <f>IF(AND(E4526=0,COUNTIFS($A$2:A4526,A4526,$E$2:E4526,0)=1),L4526,0)</f>
        <v>0</v>
      </c>
    </row>
    <row r="4527" spans="1:13" ht="15" customHeight="1">
      <c r="A4527" s="1">
        <v>253</v>
      </c>
      <c r="B4527" s="1" t="s">
        <v>16</v>
      </c>
      <c r="C4527" s="2" t="s">
        <v>5376</v>
      </c>
      <c r="D4527" s="2" t="s">
        <v>993</v>
      </c>
      <c r="E4527" s="1">
        <v>1</v>
      </c>
      <c r="F4527" s="2" t="s">
        <v>994</v>
      </c>
      <c r="G4527" s="1">
        <v>3</v>
      </c>
      <c r="H4527" s="1" t="str">
        <f t="shared" si="73"/>
        <v>k253_3</v>
      </c>
      <c r="K4527" s="1">
        <f>IF(E4527=0,SUMPRODUCT(($A$2:$A$4734=A4527)*($B$2:$B$4734=B4527)*($D$2:$D$4734=D4527)*($E$2:$E$4734=0)),0)</f>
        <v>0</v>
      </c>
      <c r="L4527" s="1" t="str">
        <f>IF(E4527=0,SUMPRODUCT(MIN($K$2:$K$4734+((($A$2:$A$4734&lt;&gt;A4527)+($E$2:$E$4734&lt;&gt;0))&gt;0)*1000000)),"")</f>
        <v/>
      </c>
      <c r="M4527" s="1">
        <f>IF(AND(E4527=0,COUNTIFS($A$2:A4527,A4527,$E$2:E4527,0)=1),L4527,0)</f>
        <v>0</v>
      </c>
    </row>
    <row r="4528" spans="1:13" ht="15" customHeight="1">
      <c r="A4528" s="1">
        <v>253</v>
      </c>
      <c r="B4528" s="1" t="s">
        <v>16</v>
      </c>
      <c r="C4528" s="2" t="s">
        <v>5376</v>
      </c>
      <c r="D4528" s="2" t="s">
        <v>993</v>
      </c>
      <c r="E4528" s="1">
        <v>1</v>
      </c>
      <c r="F4528" s="2" t="s">
        <v>1306</v>
      </c>
      <c r="G4528" s="1">
        <v>4</v>
      </c>
      <c r="H4528" s="1" t="str">
        <f t="shared" si="73"/>
        <v>k253_4</v>
      </c>
      <c r="K4528" s="1">
        <f>IF(E4528=0,SUMPRODUCT(($A$2:$A$4734=A4528)*($B$2:$B$4734=B4528)*($D$2:$D$4734=D4528)*($E$2:$E$4734=0)),0)</f>
        <v>0</v>
      </c>
      <c r="L4528" s="1" t="str">
        <f>IF(E4528=0,SUMPRODUCT(MIN($K$2:$K$4734+((($A$2:$A$4734&lt;&gt;A4528)+($E$2:$E$4734&lt;&gt;0))&gt;0)*1000000)),"")</f>
        <v/>
      </c>
      <c r="M4528" s="1">
        <f>IF(AND(E4528=0,COUNTIFS($A$2:A4528,A4528,$E$2:E4528,0)=1),L4528,0)</f>
        <v>0</v>
      </c>
    </row>
    <row r="4529" spans="1:13" ht="15" customHeight="1">
      <c r="A4529" s="1">
        <v>253</v>
      </c>
      <c r="B4529" s="1" t="s">
        <v>16</v>
      </c>
      <c r="C4529" s="2" t="s">
        <v>5376</v>
      </c>
      <c r="D4529" s="2" t="s">
        <v>993</v>
      </c>
      <c r="E4529" s="1">
        <v>1</v>
      </c>
      <c r="F4529" s="2" t="s">
        <v>995</v>
      </c>
      <c r="G4529" s="1">
        <v>1</v>
      </c>
      <c r="H4529" s="1" t="str">
        <f t="shared" si="73"/>
        <v>k253_1</v>
      </c>
      <c r="K4529" s="1">
        <f>IF(E4529=0,SUMPRODUCT(($A$2:$A$4734=A4529)*($B$2:$B$4734=B4529)*($D$2:$D$4734=D4529)*($E$2:$E$4734=0)),0)</f>
        <v>0</v>
      </c>
      <c r="L4529" s="1" t="str">
        <f>IF(E4529=0,SUMPRODUCT(MIN($K$2:$K$4734+((($A$2:$A$4734&lt;&gt;A4529)+($E$2:$E$4734&lt;&gt;0))&gt;0)*1000000)),"")</f>
        <v/>
      </c>
      <c r="M4529" s="1">
        <f>IF(AND(E4529=0,COUNTIFS($A$2:A4529,A4529,$E$2:E4529,0)=1),L4529,0)</f>
        <v>0</v>
      </c>
    </row>
    <row r="4530" spans="1:13" ht="15" customHeight="1">
      <c r="A4530" s="1">
        <v>253</v>
      </c>
      <c r="B4530" s="1" t="s">
        <v>69</v>
      </c>
      <c r="C4530" s="2" t="s">
        <v>5376</v>
      </c>
      <c r="D4530" s="2" t="s">
        <v>5377</v>
      </c>
      <c r="E4530" s="1">
        <v>1</v>
      </c>
      <c r="F4530" s="2" t="s">
        <v>5378</v>
      </c>
      <c r="G4530" s="1">
        <v>1</v>
      </c>
      <c r="H4530" s="1" t="str">
        <f t="shared" si="73"/>
        <v>k253_1</v>
      </c>
      <c r="K4530" s="1">
        <f>IF(E4530=0,SUMPRODUCT(($A$2:$A$4734=A4530)*($B$2:$B$4734=B4530)*($D$2:$D$4734=D4530)*($E$2:$E$4734=0)),0)</f>
        <v>0</v>
      </c>
      <c r="L4530" s="1" t="str">
        <f>IF(E4530=0,SUMPRODUCT(MIN($K$2:$K$4734+((($A$2:$A$4734&lt;&gt;A4530)+($E$2:$E$4734&lt;&gt;0))&gt;0)*1000000)),"")</f>
        <v/>
      </c>
      <c r="M4530" s="1">
        <f>IF(AND(E4530=0,COUNTIFS($A$2:A4530,A4530,$E$2:E4530,0)=1),L4530,0)</f>
        <v>0</v>
      </c>
    </row>
    <row r="4531" spans="1:13" ht="15" customHeight="1">
      <c r="A4531" s="1">
        <v>253</v>
      </c>
      <c r="B4531" s="1" t="s">
        <v>69</v>
      </c>
      <c r="C4531" s="2" t="s">
        <v>5376</v>
      </c>
      <c r="D4531" s="2" t="s">
        <v>5377</v>
      </c>
      <c r="E4531" s="1">
        <v>1</v>
      </c>
      <c r="F4531" s="2" t="s">
        <v>5379</v>
      </c>
      <c r="G4531" s="1">
        <v>2</v>
      </c>
      <c r="H4531" s="1" t="str">
        <f t="shared" si="73"/>
        <v>k253_2</v>
      </c>
      <c r="K4531" s="1">
        <f>IF(E4531=0,SUMPRODUCT(($A$2:$A$4734=A4531)*($B$2:$B$4734=B4531)*($D$2:$D$4734=D4531)*($E$2:$E$4734=0)),0)</f>
        <v>0</v>
      </c>
      <c r="L4531" s="1" t="str">
        <f>IF(E4531=0,SUMPRODUCT(MIN($K$2:$K$4734+((($A$2:$A$4734&lt;&gt;A4531)+($E$2:$E$4734&lt;&gt;0))&gt;0)*1000000)),"")</f>
        <v/>
      </c>
      <c r="M4531" s="1">
        <f>IF(AND(E4531=0,COUNTIFS($A$2:A4531,A4531,$E$2:E4531,0)=1),L4531,0)</f>
        <v>0</v>
      </c>
    </row>
    <row r="4532" spans="1:13" ht="15" customHeight="1">
      <c r="A4532" s="1">
        <v>253</v>
      </c>
      <c r="B4532" s="1" t="s">
        <v>69</v>
      </c>
      <c r="C4532" s="2" t="s">
        <v>5376</v>
      </c>
      <c r="D4532" s="2" t="s">
        <v>5377</v>
      </c>
      <c r="E4532" s="1">
        <v>1</v>
      </c>
      <c r="F4532" s="2" t="s">
        <v>5380</v>
      </c>
      <c r="G4532" s="1">
        <v>3</v>
      </c>
      <c r="H4532" s="1" t="str">
        <f t="shared" si="73"/>
        <v>k253_3</v>
      </c>
      <c r="K4532" s="1">
        <f>IF(E4532=0,SUMPRODUCT(($A$2:$A$4734=A4532)*($B$2:$B$4734=B4532)*($D$2:$D$4734=D4532)*($E$2:$E$4734=0)),0)</f>
        <v>0</v>
      </c>
      <c r="L4532" s="1" t="str">
        <f>IF(E4532=0,SUMPRODUCT(MIN($K$2:$K$4734+((($A$2:$A$4734&lt;&gt;A4532)+($E$2:$E$4734&lt;&gt;0))&gt;0)*1000000)),"")</f>
        <v/>
      </c>
      <c r="M4532" s="1">
        <f>IF(AND(E4532=0,COUNTIFS($A$2:A4532,A4532,$E$2:E4532,0)=1),L4532,0)</f>
        <v>0</v>
      </c>
    </row>
    <row r="4533" spans="1:13" ht="15" customHeight="1">
      <c r="A4533" s="1">
        <v>253</v>
      </c>
      <c r="B4533" s="1" t="s">
        <v>69</v>
      </c>
      <c r="C4533" s="2" t="s">
        <v>5376</v>
      </c>
      <c r="D4533" s="2" t="s">
        <v>5377</v>
      </c>
      <c r="E4533" s="1">
        <v>1</v>
      </c>
      <c r="F4533" s="2" t="s">
        <v>5381</v>
      </c>
      <c r="G4533" s="1">
        <v>4</v>
      </c>
      <c r="H4533" s="1" t="str">
        <f t="shared" si="73"/>
        <v>k253_4</v>
      </c>
      <c r="K4533" s="1">
        <f>IF(E4533=0,SUMPRODUCT(($A$2:$A$4734=A4533)*($B$2:$B$4734=B4533)*($D$2:$D$4734=D4533)*($E$2:$E$4734=0)),0)</f>
        <v>0</v>
      </c>
      <c r="L4533" s="1" t="str">
        <f>IF(E4533=0,SUMPRODUCT(MIN($K$2:$K$4734+((($A$2:$A$4734&lt;&gt;A4533)+($E$2:$E$4734&lt;&gt;0))&gt;0)*1000000)),"")</f>
        <v/>
      </c>
      <c r="M4533" s="1">
        <f>IF(AND(E4533=0,COUNTIFS($A$2:A4533,A4533,$E$2:E4533,0)=1),L4533,0)</f>
        <v>0</v>
      </c>
    </row>
    <row r="4534" spans="1:13" ht="15" customHeight="1">
      <c r="A4534" s="1">
        <v>253</v>
      </c>
      <c r="B4534" s="1" t="s">
        <v>9</v>
      </c>
      <c r="C4534" s="2" t="s">
        <v>5376</v>
      </c>
      <c r="D4534" s="2" t="s">
        <v>5382</v>
      </c>
      <c r="E4534" s="1">
        <v>1</v>
      </c>
      <c r="F4534" s="2" t="s">
        <v>5383</v>
      </c>
      <c r="G4534" s="1">
        <v>2</v>
      </c>
      <c r="H4534" s="1" t="str">
        <f t="shared" si="73"/>
        <v>k253_2</v>
      </c>
      <c r="K4534" s="1">
        <f>IF(E4534=0,SUMPRODUCT(($A$2:$A$4734=A4534)*($B$2:$B$4734=B4534)*($D$2:$D$4734=D4534)*($E$2:$E$4734=0)),0)</f>
        <v>0</v>
      </c>
      <c r="L4534" s="1" t="str">
        <f>IF(E4534=0,SUMPRODUCT(MIN($K$2:$K$4734+((($A$2:$A$4734&lt;&gt;A4534)+($E$2:$E$4734&lt;&gt;0))&gt;0)*1000000)),"")</f>
        <v/>
      </c>
      <c r="M4534" s="1">
        <f>IF(AND(E4534=0,COUNTIFS($A$2:A4534,A4534,$E$2:E4534,0)=1),L4534,0)</f>
        <v>0</v>
      </c>
    </row>
    <row r="4535" spans="1:13" ht="15" customHeight="1">
      <c r="A4535" s="1">
        <v>253</v>
      </c>
      <c r="B4535" s="1" t="s">
        <v>9</v>
      </c>
      <c r="C4535" s="2" t="s">
        <v>5376</v>
      </c>
      <c r="D4535" s="2" t="s">
        <v>5382</v>
      </c>
      <c r="E4535" s="1">
        <v>1</v>
      </c>
      <c r="F4535" s="2" t="s">
        <v>973</v>
      </c>
      <c r="G4535" s="1">
        <v>3</v>
      </c>
      <c r="H4535" s="1" t="str">
        <f t="shared" si="73"/>
        <v>k253_3</v>
      </c>
      <c r="K4535" s="1">
        <f>IF(E4535=0,SUMPRODUCT(($A$2:$A$4734=A4535)*($B$2:$B$4734=B4535)*($D$2:$D$4734=D4535)*($E$2:$E$4734=0)),0)</f>
        <v>0</v>
      </c>
      <c r="L4535" s="1" t="str">
        <f>IF(E4535=0,SUMPRODUCT(MIN($K$2:$K$4734+((($A$2:$A$4734&lt;&gt;A4535)+($E$2:$E$4734&lt;&gt;0))&gt;0)*1000000)),"")</f>
        <v/>
      </c>
      <c r="M4535" s="1">
        <f>IF(AND(E4535=0,COUNTIFS($A$2:A4535,A4535,$E$2:E4535,0)=1),L4535,0)</f>
        <v>0</v>
      </c>
    </row>
    <row r="4536" spans="1:13" ht="15" customHeight="1">
      <c r="A4536" s="1">
        <v>253</v>
      </c>
      <c r="B4536" s="1" t="s">
        <v>9</v>
      </c>
      <c r="C4536" s="2" t="s">
        <v>5376</v>
      </c>
      <c r="D4536" s="2" t="s">
        <v>5382</v>
      </c>
      <c r="E4536" s="1">
        <v>1</v>
      </c>
      <c r="F4536" s="2" t="s">
        <v>5384</v>
      </c>
      <c r="G4536" s="1">
        <v>4</v>
      </c>
      <c r="H4536" s="1" t="str">
        <f t="shared" si="73"/>
        <v>k253_4</v>
      </c>
      <c r="K4536" s="1">
        <f>IF(E4536=0,SUMPRODUCT(($A$2:$A$4734=A4536)*($B$2:$B$4734=B4536)*($D$2:$D$4734=D4536)*($E$2:$E$4734=0)),0)</f>
        <v>0</v>
      </c>
      <c r="L4536" s="1" t="str">
        <f>IF(E4536=0,SUMPRODUCT(MIN($K$2:$K$4734+((($A$2:$A$4734&lt;&gt;A4536)+($E$2:$E$4734&lt;&gt;0))&gt;0)*1000000)),"")</f>
        <v/>
      </c>
      <c r="M4536" s="1">
        <f>IF(AND(E4536=0,COUNTIFS($A$2:A4536,A4536,$E$2:E4536,0)=1),L4536,0)</f>
        <v>0</v>
      </c>
    </row>
    <row r="4537" spans="1:13" ht="15" customHeight="1">
      <c r="A4537" s="1">
        <v>253</v>
      </c>
      <c r="B4537" s="1" t="s">
        <v>9</v>
      </c>
      <c r="C4537" s="2" t="s">
        <v>5376</v>
      </c>
      <c r="D4537" s="2" t="s">
        <v>5382</v>
      </c>
      <c r="E4537" s="1">
        <v>1</v>
      </c>
      <c r="F4537" s="2" t="s">
        <v>5385</v>
      </c>
      <c r="G4537" s="1">
        <v>1</v>
      </c>
      <c r="H4537" s="1" t="str">
        <f t="shared" si="73"/>
        <v>k253_1</v>
      </c>
      <c r="K4537" s="1">
        <f>IF(E4537=0,SUMPRODUCT(($A$2:$A$4734=A4537)*($B$2:$B$4734=B4537)*($D$2:$D$4734=D4537)*($E$2:$E$4734=0)),0)</f>
        <v>0</v>
      </c>
      <c r="L4537" s="1" t="str">
        <f>IF(E4537=0,SUMPRODUCT(MIN($K$2:$K$4734+((($A$2:$A$4734&lt;&gt;A4537)+($E$2:$E$4734&lt;&gt;0))&gt;0)*1000000)),"")</f>
        <v/>
      </c>
      <c r="M4537" s="1">
        <f>IF(AND(E4537=0,COUNTIFS($A$2:A4537,A4537,$E$2:E4537,0)=1),L4537,0)</f>
        <v>0</v>
      </c>
    </row>
    <row r="4538" spans="1:13" ht="15" customHeight="1">
      <c r="A4538" s="1">
        <v>254</v>
      </c>
      <c r="B4538" s="1" t="s">
        <v>16</v>
      </c>
      <c r="C4538" s="2" t="s">
        <v>5386</v>
      </c>
      <c r="D4538" s="2" t="s">
        <v>5387</v>
      </c>
      <c r="E4538" s="1">
        <v>1</v>
      </c>
      <c r="F4538" s="2" t="s">
        <v>5388</v>
      </c>
      <c r="G4538" s="1">
        <v>1</v>
      </c>
      <c r="H4538" s="1" t="str">
        <f t="shared" si="73"/>
        <v>k254_1</v>
      </c>
      <c r="K4538" s="1">
        <f>IF(E4538=0,SUMPRODUCT(($A$2:$A$4734=A4538)*($B$2:$B$4734=B4538)*($D$2:$D$4734=D4538)*($E$2:$E$4734=0)),0)</f>
        <v>0</v>
      </c>
      <c r="L4538" s="1" t="str">
        <f>IF(E4538=0,SUMPRODUCT(MIN($K$2:$K$4734+((($A$2:$A$4734&lt;&gt;A4538)+($E$2:$E$4734&lt;&gt;0))&gt;0)*1000000)),"")</f>
        <v/>
      </c>
      <c r="M4538" s="1">
        <f>IF(AND(E4538=0,COUNTIFS($A$2:A4538,A4538,$E$2:E4538,0)=1),L4538,0)</f>
        <v>0</v>
      </c>
    </row>
    <row r="4539" spans="1:13" ht="15" customHeight="1">
      <c r="A4539" s="1">
        <v>254</v>
      </c>
      <c r="B4539" s="1" t="s">
        <v>16</v>
      </c>
      <c r="C4539" s="2" t="s">
        <v>5386</v>
      </c>
      <c r="D4539" s="2" t="s">
        <v>5387</v>
      </c>
      <c r="E4539" s="1">
        <v>1</v>
      </c>
      <c r="F4539" s="2" t="s">
        <v>5389</v>
      </c>
      <c r="G4539" s="1">
        <v>2</v>
      </c>
      <c r="H4539" s="1" t="str">
        <f t="shared" si="73"/>
        <v>k254_2</v>
      </c>
      <c r="K4539" s="1">
        <f>IF(E4539=0,SUMPRODUCT(($A$2:$A$4734=A4539)*($B$2:$B$4734=B4539)*($D$2:$D$4734=D4539)*($E$2:$E$4734=0)),0)</f>
        <v>0</v>
      </c>
      <c r="L4539" s="1" t="str">
        <f>IF(E4539=0,SUMPRODUCT(MIN($K$2:$K$4734+((($A$2:$A$4734&lt;&gt;A4539)+($E$2:$E$4734&lt;&gt;0))&gt;0)*1000000)),"")</f>
        <v/>
      </c>
      <c r="M4539" s="1">
        <f>IF(AND(E4539=0,COUNTIFS($A$2:A4539,A4539,$E$2:E4539,0)=1),L4539,0)</f>
        <v>0</v>
      </c>
    </row>
    <row r="4540" spans="1:13" ht="15" customHeight="1">
      <c r="A4540" s="1">
        <v>254</v>
      </c>
      <c r="B4540" s="1" t="s">
        <v>16</v>
      </c>
      <c r="C4540" s="2" t="s">
        <v>5386</v>
      </c>
      <c r="D4540" s="2" t="s">
        <v>5387</v>
      </c>
      <c r="E4540" s="1">
        <v>1</v>
      </c>
      <c r="F4540" s="2" t="s">
        <v>5390</v>
      </c>
      <c r="G4540" s="1">
        <v>3</v>
      </c>
      <c r="H4540" s="1" t="str">
        <f t="shared" si="73"/>
        <v>k254_3</v>
      </c>
      <c r="K4540" s="1">
        <f>IF(E4540=0,SUMPRODUCT(($A$2:$A$4734=A4540)*($B$2:$B$4734=B4540)*($D$2:$D$4734=D4540)*($E$2:$E$4734=0)),0)</f>
        <v>0</v>
      </c>
      <c r="L4540" s="1" t="str">
        <f>IF(E4540=0,SUMPRODUCT(MIN($K$2:$K$4734+((($A$2:$A$4734&lt;&gt;A4540)+($E$2:$E$4734&lt;&gt;0))&gt;0)*1000000)),"")</f>
        <v/>
      </c>
      <c r="M4540" s="1">
        <f>IF(AND(E4540=0,COUNTIFS($A$2:A4540,A4540,$E$2:E4540,0)=1),L4540,0)</f>
        <v>0</v>
      </c>
    </row>
    <row r="4541" spans="1:13" ht="15" customHeight="1">
      <c r="A4541" s="1">
        <v>254</v>
      </c>
      <c r="B4541" s="1" t="s">
        <v>16</v>
      </c>
      <c r="C4541" s="2" t="s">
        <v>5386</v>
      </c>
      <c r="D4541" s="2" t="s">
        <v>5387</v>
      </c>
      <c r="E4541" s="1">
        <v>1</v>
      </c>
      <c r="F4541" s="2" t="s">
        <v>5391</v>
      </c>
      <c r="G4541" s="1">
        <v>4</v>
      </c>
      <c r="H4541" s="1" t="str">
        <f t="shared" si="73"/>
        <v>k254_4</v>
      </c>
      <c r="K4541" s="1">
        <f>IF(E4541=0,SUMPRODUCT(($A$2:$A$4734=A4541)*($B$2:$B$4734=B4541)*($D$2:$D$4734=D4541)*($E$2:$E$4734=0)),0)</f>
        <v>0</v>
      </c>
      <c r="L4541" s="1" t="str">
        <f>IF(E4541=0,SUMPRODUCT(MIN($K$2:$K$4734+((($A$2:$A$4734&lt;&gt;A4541)+($E$2:$E$4734&lt;&gt;0))&gt;0)*1000000)),"")</f>
        <v/>
      </c>
      <c r="M4541" s="1">
        <f>IF(AND(E4541=0,COUNTIFS($A$2:A4541,A4541,$E$2:E4541,0)=1),L4541,0)</f>
        <v>0</v>
      </c>
    </row>
    <row r="4542" spans="1:13" ht="15" customHeight="1">
      <c r="A4542" s="1">
        <v>254</v>
      </c>
      <c r="B4542" s="1" t="s">
        <v>16</v>
      </c>
      <c r="C4542" s="2" t="s">
        <v>5386</v>
      </c>
      <c r="D4542" s="2" t="s">
        <v>993</v>
      </c>
      <c r="E4542" s="1">
        <v>1</v>
      </c>
      <c r="F4542" s="2" t="s">
        <v>995</v>
      </c>
      <c r="G4542" s="1">
        <v>1</v>
      </c>
      <c r="H4542" s="1" t="str">
        <f t="shared" si="73"/>
        <v>k254_1</v>
      </c>
      <c r="K4542" s="1">
        <f>IF(E4542=0,SUMPRODUCT(($A$2:$A$4734=A4542)*($B$2:$B$4734=B4542)*($D$2:$D$4734=D4542)*($E$2:$E$4734=0)),0)</f>
        <v>0</v>
      </c>
      <c r="L4542" s="1" t="str">
        <f>IF(E4542=0,SUMPRODUCT(MIN($K$2:$K$4734+((($A$2:$A$4734&lt;&gt;A4542)+($E$2:$E$4734&lt;&gt;0))&gt;0)*1000000)),"")</f>
        <v/>
      </c>
      <c r="M4542" s="1">
        <f>IF(AND(E4542=0,COUNTIFS($A$2:A4542,A4542,$E$2:E4542,0)=1),L4542,0)</f>
        <v>0</v>
      </c>
    </row>
    <row r="4543" spans="1:13" ht="15" customHeight="1">
      <c r="A4543" s="1">
        <v>254</v>
      </c>
      <c r="B4543" s="1" t="s">
        <v>16</v>
      </c>
      <c r="C4543" s="2" t="s">
        <v>5386</v>
      </c>
      <c r="D4543" s="2" t="s">
        <v>993</v>
      </c>
      <c r="E4543" s="1">
        <v>1</v>
      </c>
      <c r="F4543" s="2" t="s">
        <v>997</v>
      </c>
      <c r="G4543" s="1">
        <v>2</v>
      </c>
      <c r="H4543" s="1" t="str">
        <f t="shared" si="73"/>
        <v>k254_2</v>
      </c>
      <c r="K4543" s="1">
        <f>IF(E4543=0,SUMPRODUCT(($A$2:$A$4734=A4543)*($B$2:$B$4734=B4543)*($D$2:$D$4734=D4543)*($E$2:$E$4734=0)),0)</f>
        <v>0</v>
      </c>
      <c r="L4543" s="1" t="str">
        <f>IF(E4543=0,SUMPRODUCT(MIN($K$2:$K$4734+((($A$2:$A$4734&lt;&gt;A4543)+($E$2:$E$4734&lt;&gt;0))&gt;0)*1000000)),"")</f>
        <v/>
      </c>
      <c r="M4543" s="1">
        <f>IF(AND(E4543=0,COUNTIFS($A$2:A4543,A4543,$E$2:E4543,0)=1),L4543,0)</f>
        <v>0</v>
      </c>
    </row>
    <row r="4544" spans="1:13" ht="15" customHeight="1">
      <c r="A4544" s="1">
        <v>254</v>
      </c>
      <c r="B4544" s="1" t="s">
        <v>16</v>
      </c>
      <c r="C4544" s="2" t="s">
        <v>5386</v>
      </c>
      <c r="D4544" s="2" t="s">
        <v>993</v>
      </c>
      <c r="E4544" s="1">
        <v>1</v>
      </c>
      <c r="F4544" s="2" t="s">
        <v>698</v>
      </c>
      <c r="G4544" s="1">
        <v>4</v>
      </c>
      <c r="H4544" s="1" t="str">
        <f t="shared" si="73"/>
        <v>k254_4</v>
      </c>
      <c r="K4544" s="1">
        <f>IF(E4544=0,SUMPRODUCT(($A$2:$A$4734=A4544)*($B$2:$B$4734=B4544)*($D$2:$D$4734=D4544)*($E$2:$E$4734=0)),0)</f>
        <v>0</v>
      </c>
      <c r="L4544" s="1" t="str">
        <f>IF(E4544=0,SUMPRODUCT(MIN($K$2:$K$4734+((($A$2:$A$4734&lt;&gt;A4544)+($E$2:$E$4734&lt;&gt;0))&gt;0)*1000000)),"")</f>
        <v/>
      </c>
      <c r="M4544" s="1">
        <f>IF(AND(E4544=0,COUNTIFS($A$2:A4544,A4544,$E$2:E4544,0)=1),L4544,0)</f>
        <v>0</v>
      </c>
    </row>
    <row r="4545" spans="1:13" ht="15" customHeight="1">
      <c r="A4545" s="1">
        <v>254</v>
      </c>
      <c r="B4545" s="1" t="s">
        <v>16</v>
      </c>
      <c r="C4545" s="2" t="s">
        <v>5386</v>
      </c>
      <c r="D4545" s="2" t="s">
        <v>993</v>
      </c>
      <c r="E4545" s="1">
        <v>1</v>
      </c>
      <c r="F4545" s="2" t="s">
        <v>3508</v>
      </c>
      <c r="G4545" s="1">
        <v>3</v>
      </c>
      <c r="H4545" s="1" t="str">
        <f t="shared" si="73"/>
        <v>k254_3</v>
      </c>
      <c r="K4545" s="1">
        <f>IF(E4545=0,SUMPRODUCT(($A$2:$A$4734=A4545)*($B$2:$B$4734=B4545)*($D$2:$D$4734=D4545)*($E$2:$E$4734=0)),0)</f>
        <v>0</v>
      </c>
      <c r="L4545" s="1" t="str">
        <f>IF(E4545=0,SUMPRODUCT(MIN($K$2:$K$4734+((($A$2:$A$4734&lt;&gt;A4545)+($E$2:$E$4734&lt;&gt;0))&gt;0)*1000000)),"")</f>
        <v/>
      </c>
      <c r="M4545" s="1">
        <f>IF(AND(E4545=0,COUNTIFS($A$2:A4545,A4545,$E$2:E4545,0)=1),L4545,0)</f>
        <v>0</v>
      </c>
    </row>
    <row r="4546" spans="1:13" ht="15" customHeight="1">
      <c r="A4546" s="1">
        <v>254</v>
      </c>
      <c r="B4546" s="1" t="s">
        <v>69</v>
      </c>
      <c r="C4546" s="2" t="s">
        <v>5386</v>
      </c>
      <c r="D4546" s="2" t="s">
        <v>5392</v>
      </c>
      <c r="E4546" s="1">
        <v>1</v>
      </c>
      <c r="F4546" s="2" t="s">
        <v>5393</v>
      </c>
      <c r="G4546" s="1">
        <v>1</v>
      </c>
      <c r="H4546" s="1" t="str">
        <f t="shared" ref="H4546:H4609" si="74">IF(OR(E4546&lt;&gt;1,G4546=""),"","k"&amp;A4546&amp;"_"&amp;G4546)</f>
        <v>k254_1</v>
      </c>
      <c r="K4546" s="1">
        <f>IF(E4546=0,SUMPRODUCT(($A$2:$A$4734=A4546)*($B$2:$B$4734=B4546)*($D$2:$D$4734=D4546)*($E$2:$E$4734=0)),0)</f>
        <v>0</v>
      </c>
      <c r="L4546" s="1" t="str">
        <f>IF(E4546=0,SUMPRODUCT(MIN($K$2:$K$4734+((($A$2:$A$4734&lt;&gt;A4546)+($E$2:$E$4734&lt;&gt;0))&gt;0)*1000000)),"")</f>
        <v/>
      </c>
      <c r="M4546" s="1">
        <f>IF(AND(E4546=0,COUNTIFS($A$2:A4546,A4546,$E$2:E4546,0)=1),L4546,0)</f>
        <v>0</v>
      </c>
    </row>
    <row r="4547" spans="1:13" ht="15" customHeight="1">
      <c r="A4547" s="1">
        <v>254</v>
      </c>
      <c r="B4547" s="1" t="s">
        <v>69</v>
      </c>
      <c r="C4547" s="2" t="s">
        <v>5386</v>
      </c>
      <c r="D4547" s="2" t="s">
        <v>5392</v>
      </c>
      <c r="E4547" s="1">
        <v>1</v>
      </c>
      <c r="F4547" s="2" t="s">
        <v>5394</v>
      </c>
      <c r="G4547" s="1">
        <v>2</v>
      </c>
      <c r="H4547" s="1" t="str">
        <f t="shared" si="74"/>
        <v>k254_2</v>
      </c>
      <c r="K4547" s="1">
        <f>IF(E4547=0,SUMPRODUCT(($A$2:$A$4734=A4547)*($B$2:$B$4734=B4547)*($D$2:$D$4734=D4547)*($E$2:$E$4734=0)),0)</f>
        <v>0</v>
      </c>
      <c r="L4547" s="1" t="str">
        <f>IF(E4547=0,SUMPRODUCT(MIN($K$2:$K$4734+((($A$2:$A$4734&lt;&gt;A4547)+($E$2:$E$4734&lt;&gt;0))&gt;0)*1000000)),"")</f>
        <v/>
      </c>
      <c r="M4547" s="1">
        <f>IF(AND(E4547=0,COUNTIFS($A$2:A4547,A4547,$E$2:E4547,0)=1),L4547,0)</f>
        <v>0</v>
      </c>
    </row>
    <row r="4548" spans="1:13" ht="15" customHeight="1">
      <c r="A4548" s="1">
        <v>254</v>
      </c>
      <c r="B4548" s="1" t="s">
        <v>69</v>
      </c>
      <c r="C4548" s="2" t="s">
        <v>5386</v>
      </c>
      <c r="D4548" s="2" t="s">
        <v>5392</v>
      </c>
      <c r="E4548" s="1">
        <v>1</v>
      </c>
      <c r="F4548" s="2" t="s">
        <v>5395</v>
      </c>
      <c r="G4548" s="1">
        <v>3</v>
      </c>
      <c r="H4548" s="1" t="str">
        <f t="shared" si="74"/>
        <v>k254_3</v>
      </c>
      <c r="K4548" s="1">
        <f>IF(E4548=0,SUMPRODUCT(($A$2:$A$4734=A4548)*($B$2:$B$4734=B4548)*($D$2:$D$4734=D4548)*($E$2:$E$4734=0)),0)</f>
        <v>0</v>
      </c>
      <c r="L4548" s="1" t="str">
        <f>IF(E4548=0,SUMPRODUCT(MIN($K$2:$K$4734+((($A$2:$A$4734&lt;&gt;A4548)+($E$2:$E$4734&lt;&gt;0))&gt;0)*1000000)),"")</f>
        <v/>
      </c>
      <c r="M4548" s="1">
        <f>IF(AND(E4548=0,COUNTIFS($A$2:A4548,A4548,$E$2:E4548,0)=1),L4548,0)</f>
        <v>0</v>
      </c>
    </row>
    <row r="4549" spans="1:13" ht="15" customHeight="1">
      <c r="A4549" s="1">
        <v>254</v>
      </c>
      <c r="B4549" s="1" t="s">
        <v>69</v>
      </c>
      <c r="C4549" s="2" t="s">
        <v>5386</v>
      </c>
      <c r="D4549" s="2" t="s">
        <v>5392</v>
      </c>
      <c r="E4549" s="1">
        <v>1</v>
      </c>
      <c r="F4549" s="2" t="s">
        <v>5396</v>
      </c>
      <c r="G4549" s="1">
        <v>4</v>
      </c>
      <c r="H4549" s="1" t="str">
        <f t="shared" si="74"/>
        <v>k254_4</v>
      </c>
      <c r="K4549" s="1">
        <f>IF(E4549=0,SUMPRODUCT(($A$2:$A$4734=A4549)*($B$2:$B$4734=B4549)*($D$2:$D$4734=D4549)*($E$2:$E$4734=0)),0)</f>
        <v>0</v>
      </c>
      <c r="L4549" s="1" t="str">
        <f>IF(E4549=0,SUMPRODUCT(MIN($K$2:$K$4734+((($A$2:$A$4734&lt;&gt;A4549)+($E$2:$E$4734&lt;&gt;0))&gt;0)*1000000)),"")</f>
        <v/>
      </c>
      <c r="M4549" s="1">
        <f>IF(AND(E4549=0,COUNTIFS($A$2:A4549,A4549,$E$2:E4549,0)=1),L4549,0)</f>
        <v>0</v>
      </c>
    </row>
    <row r="4550" spans="1:13" ht="15" customHeight="1">
      <c r="A4550" s="1">
        <v>255</v>
      </c>
      <c r="B4550" s="1" t="s">
        <v>69</v>
      </c>
      <c r="C4550" s="2" t="s">
        <v>5397</v>
      </c>
      <c r="D4550" s="2" t="s">
        <v>5398</v>
      </c>
      <c r="E4550" s="1">
        <v>1</v>
      </c>
      <c r="F4550" s="2" t="s">
        <v>5399</v>
      </c>
      <c r="G4550" s="1">
        <v>1</v>
      </c>
      <c r="H4550" s="1" t="str">
        <f t="shared" si="74"/>
        <v>k255_1</v>
      </c>
      <c r="K4550" s="1">
        <f>IF(E4550=0,SUMPRODUCT(($A$2:$A$4734=A4550)*($B$2:$B$4734=B4550)*($D$2:$D$4734=D4550)*($E$2:$E$4734=0)),0)</f>
        <v>0</v>
      </c>
      <c r="L4550" s="1" t="str">
        <f>IF(E4550=0,SUMPRODUCT(MIN($K$2:$K$4734+((($A$2:$A$4734&lt;&gt;A4550)+($E$2:$E$4734&lt;&gt;0))&gt;0)*1000000)),"")</f>
        <v/>
      </c>
      <c r="M4550" s="1">
        <f>IF(AND(E4550=0,COUNTIFS($A$2:A4550,A4550,$E$2:E4550,0)=1),L4550,0)</f>
        <v>0</v>
      </c>
    </row>
    <row r="4551" spans="1:13" ht="15" customHeight="1">
      <c r="A4551" s="1">
        <v>255</v>
      </c>
      <c r="B4551" s="1" t="s">
        <v>69</v>
      </c>
      <c r="C4551" s="2" t="s">
        <v>5397</v>
      </c>
      <c r="D4551" s="2" t="s">
        <v>5398</v>
      </c>
      <c r="E4551" s="1">
        <v>1</v>
      </c>
      <c r="F4551" s="2" t="s">
        <v>5400</v>
      </c>
      <c r="G4551" s="1">
        <v>2</v>
      </c>
      <c r="H4551" s="1" t="str">
        <f t="shared" si="74"/>
        <v>k255_2</v>
      </c>
      <c r="K4551" s="1">
        <f>IF(E4551=0,SUMPRODUCT(($A$2:$A$4734=A4551)*($B$2:$B$4734=B4551)*($D$2:$D$4734=D4551)*($E$2:$E$4734=0)),0)</f>
        <v>0</v>
      </c>
      <c r="L4551" s="1" t="str">
        <f>IF(E4551=0,SUMPRODUCT(MIN($K$2:$K$4734+((($A$2:$A$4734&lt;&gt;A4551)+($E$2:$E$4734&lt;&gt;0))&gt;0)*1000000)),"")</f>
        <v/>
      </c>
      <c r="M4551" s="1">
        <f>IF(AND(E4551=0,COUNTIFS($A$2:A4551,A4551,$E$2:E4551,0)=1),L4551,0)</f>
        <v>0</v>
      </c>
    </row>
    <row r="4552" spans="1:13" ht="15" customHeight="1">
      <c r="A4552" s="1">
        <v>255</v>
      </c>
      <c r="B4552" s="1" t="s">
        <v>69</v>
      </c>
      <c r="C4552" s="2" t="s">
        <v>5397</v>
      </c>
      <c r="D4552" s="2" t="s">
        <v>5398</v>
      </c>
      <c r="E4552" s="1">
        <v>1</v>
      </c>
      <c r="F4552" s="2" t="s">
        <v>5401</v>
      </c>
      <c r="G4552" s="1">
        <v>3</v>
      </c>
      <c r="H4552" s="1" t="str">
        <f t="shared" si="74"/>
        <v>k255_3</v>
      </c>
      <c r="K4552" s="1">
        <f>IF(E4552=0,SUMPRODUCT(($A$2:$A$4734=A4552)*($B$2:$B$4734=B4552)*($D$2:$D$4734=D4552)*($E$2:$E$4734=0)),0)</f>
        <v>0</v>
      </c>
      <c r="L4552" s="1" t="str">
        <f>IF(E4552=0,SUMPRODUCT(MIN($K$2:$K$4734+((($A$2:$A$4734&lt;&gt;A4552)+($E$2:$E$4734&lt;&gt;0))&gt;0)*1000000)),"")</f>
        <v/>
      </c>
      <c r="M4552" s="1">
        <f>IF(AND(E4552=0,COUNTIFS($A$2:A4552,A4552,$E$2:E4552,0)=1),L4552,0)</f>
        <v>0</v>
      </c>
    </row>
    <row r="4553" spans="1:13" ht="15" customHeight="1">
      <c r="A4553" s="1">
        <v>255</v>
      </c>
      <c r="B4553" s="1" t="s">
        <v>69</v>
      </c>
      <c r="C4553" s="2" t="s">
        <v>5397</v>
      </c>
      <c r="D4553" s="2" t="s">
        <v>5398</v>
      </c>
      <c r="E4553" s="1">
        <v>1</v>
      </c>
      <c r="F4553" s="2" t="s">
        <v>5402</v>
      </c>
      <c r="G4553" s="1">
        <v>4</v>
      </c>
      <c r="H4553" s="1" t="str">
        <f t="shared" si="74"/>
        <v>k255_4</v>
      </c>
      <c r="K4553" s="1">
        <f>IF(E4553=0,SUMPRODUCT(($A$2:$A$4734=A4553)*($B$2:$B$4734=B4553)*($D$2:$D$4734=D4553)*($E$2:$E$4734=0)),0)</f>
        <v>0</v>
      </c>
      <c r="L4553" s="1" t="str">
        <f>IF(E4553=0,SUMPRODUCT(MIN($K$2:$K$4734+((($A$2:$A$4734&lt;&gt;A4553)+($E$2:$E$4734&lt;&gt;0))&gt;0)*1000000)),"")</f>
        <v/>
      </c>
      <c r="M4553" s="1">
        <f>IF(AND(E4553=0,COUNTIFS($A$2:A4553,A4553,$E$2:E4553,0)=1),L4553,0)</f>
        <v>0</v>
      </c>
    </row>
    <row r="4554" spans="1:13" ht="15" customHeight="1">
      <c r="A4554" s="1">
        <v>256</v>
      </c>
      <c r="B4554" s="1" t="s">
        <v>16</v>
      </c>
      <c r="C4554" s="2" t="s">
        <v>5403</v>
      </c>
      <c r="D4554" s="2" t="s">
        <v>999</v>
      </c>
      <c r="E4554" s="1">
        <v>1</v>
      </c>
      <c r="F4554" s="2" t="s">
        <v>5017</v>
      </c>
      <c r="G4554" s="1">
        <v>1</v>
      </c>
      <c r="H4554" s="1" t="str">
        <f t="shared" si="74"/>
        <v>k256_1</v>
      </c>
      <c r="K4554" s="1">
        <f>IF(E4554=0,SUMPRODUCT(($A$2:$A$4734=A4554)*($B$2:$B$4734=B4554)*($D$2:$D$4734=D4554)*($E$2:$E$4734=0)),0)</f>
        <v>0</v>
      </c>
      <c r="L4554" s="1" t="str">
        <f>IF(E4554=0,SUMPRODUCT(MIN($K$2:$K$4734+((($A$2:$A$4734&lt;&gt;A4554)+($E$2:$E$4734&lt;&gt;0))&gt;0)*1000000)),"")</f>
        <v/>
      </c>
      <c r="M4554" s="1">
        <f>IF(AND(E4554=0,COUNTIFS($A$2:A4554,A4554,$E$2:E4554,0)=1),L4554,0)</f>
        <v>0</v>
      </c>
    </row>
    <row r="4555" spans="1:13" ht="15" customHeight="1">
      <c r="A4555" s="1">
        <v>256</v>
      </c>
      <c r="B4555" s="1" t="s">
        <v>16</v>
      </c>
      <c r="C4555" s="2" t="s">
        <v>5403</v>
      </c>
      <c r="D4555" s="2" t="s">
        <v>999</v>
      </c>
      <c r="E4555" s="1">
        <v>1</v>
      </c>
      <c r="F4555" s="2" t="s">
        <v>5404</v>
      </c>
      <c r="G4555" s="1">
        <v>5</v>
      </c>
      <c r="H4555" s="1" t="str">
        <f t="shared" si="74"/>
        <v>k256_5</v>
      </c>
      <c r="K4555" s="1">
        <f>IF(E4555=0,SUMPRODUCT(($A$2:$A$4734=A4555)*($B$2:$B$4734=B4555)*($D$2:$D$4734=D4555)*($E$2:$E$4734=0)),0)</f>
        <v>0</v>
      </c>
      <c r="L4555" s="1" t="str">
        <f>IF(E4555=0,SUMPRODUCT(MIN($K$2:$K$4734+((($A$2:$A$4734&lt;&gt;A4555)+($E$2:$E$4734&lt;&gt;0))&gt;0)*1000000)),"")</f>
        <v/>
      </c>
      <c r="M4555" s="1">
        <f>IF(AND(E4555=0,COUNTIFS($A$2:A4555,A4555,$E$2:E4555,0)=1),L4555,0)</f>
        <v>0</v>
      </c>
    </row>
    <row r="4556" spans="1:13" ht="15" customHeight="1">
      <c r="A4556" s="1">
        <v>256</v>
      </c>
      <c r="B4556" s="1" t="s">
        <v>16</v>
      </c>
      <c r="C4556" s="2" t="s">
        <v>5403</v>
      </c>
      <c r="D4556" s="2" t="s">
        <v>999</v>
      </c>
      <c r="E4556" s="1">
        <v>1</v>
      </c>
      <c r="F4556" s="2" t="s">
        <v>5404</v>
      </c>
      <c r="G4556" s="1">
        <v>2</v>
      </c>
      <c r="H4556" s="1" t="str">
        <f t="shared" si="74"/>
        <v>k256_2</v>
      </c>
      <c r="K4556" s="1">
        <f>IF(E4556=0,SUMPRODUCT(($A$2:$A$4734=A4556)*($B$2:$B$4734=B4556)*($D$2:$D$4734=D4556)*($E$2:$E$4734=0)),0)</f>
        <v>0</v>
      </c>
      <c r="L4556" s="1" t="str">
        <f>IF(E4556=0,SUMPRODUCT(MIN($K$2:$K$4734+((($A$2:$A$4734&lt;&gt;A4556)+($E$2:$E$4734&lt;&gt;0))&gt;0)*1000000)),"")</f>
        <v/>
      </c>
      <c r="M4556" s="1">
        <f>IF(AND(E4556=0,COUNTIFS($A$2:A4556,A4556,$E$2:E4556,0)=1),L4556,0)</f>
        <v>0</v>
      </c>
    </row>
    <row r="4557" spans="1:13" ht="15" customHeight="1">
      <c r="A4557" s="1">
        <v>256</v>
      </c>
      <c r="B4557" s="1" t="s">
        <v>16</v>
      </c>
      <c r="C4557" s="2" t="s">
        <v>5403</v>
      </c>
      <c r="D4557" s="2" t="s">
        <v>999</v>
      </c>
      <c r="E4557" s="1">
        <v>1</v>
      </c>
      <c r="F4557" s="2" t="s">
        <v>1000</v>
      </c>
      <c r="G4557" s="1">
        <v>3</v>
      </c>
      <c r="H4557" s="1" t="str">
        <f t="shared" si="74"/>
        <v>k256_3</v>
      </c>
      <c r="K4557" s="1">
        <f>IF(E4557=0,SUMPRODUCT(($A$2:$A$4734=A4557)*($B$2:$B$4734=B4557)*($D$2:$D$4734=D4557)*($E$2:$E$4734=0)),0)</f>
        <v>0</v>
      </c>
      <c r="L4557" s="1" t="str">
        <f>IF(E4557=0,SUMPRODUCT(MIN($K$2:$K$4734+((($A$2:$A$4734&lt;&gt;A4557)+($E$2:$E$4734&lt;&gt;0))&gt;0)*1000000)),"")</f>
        <v/>
      </c>
      <c r="M4557" s="1">
        <f>IF(AND(E4557=0,COUNTIFS($A$2:A4557,A4557,$E$2:E4557,0)=1),L4557,0)</f>
        <v>0</v>
      </c>
    </row>
    <row r="4558" spans="1:13" ht="15" customHeight="1">
      <c r="A4558" s="1">
        <v>256</v>
      </c>
      <c r="B4558" s="1" t="s">
        <v>16</v>
      </c>
      <c r="C4558" s="2" t="s">
        <v>5403</v>
      </c>
      <c r="D4558" s="2" t="s">
        <v>999</v>
      </c>
      <c r="E4558" s="1">
        <v>1</v>
      </c>
      <c r="F4558" s="2" t="s">
        <v>5405</v>
      </c>
      <c r="G4558" s="1">
        <v>4</v>
      </c>
      <c r="H4558" s="1" t="str">
        <f t="shared" si="74"/>
        <v>k256_4</v>
      </c>
      <c r="K4558" s="1">
        <f>IF(E4558=0,SUMPRODUCT(($A$2:$A$4734=A4558)*($B$2:$B$4734=B4558)*($D$2:$D$4734=D4558)*($E$2:$E$4734=0)),0)</f>
        <v>0</v>
      </c>
      <c r="L4558" s="1" t="str">
        <f>IF(E4558=0,SUMPRODUCT(MIN($K$2:$K$4734+((($A$2:$A$4734&lt;&gt;A4558)+($E$2:$E$4734&lt;&gt;0))&gt;0)*1000000)),"")</f>
        <v/>
      </c>
      <c r="M4558" s="1">
        <f>IF(AND(E4558=0,COUNTIFS($A$2:A4558,A4558,$E$2:E4558,0)=1),L4558,0)</f>
        <v>0</v>
      </c>
    </row>
    <row r="4559" spans="1:13" ht="15" customHeight="1">
      <c r="A4559" s="1">
        <v>256</v>
      </c>
      <c r="B4559" s="1" t="s">
        <v>358</v>
      </c>
      <c r="C4559" s="2" t="s">
        <v>5403</v>
      </c>
      <c r="D4559" s="2" t="s">
        <v>5406</v>
      </c>
      <c r="E4559" s="1">
        <v>1</v>
      </c>
      <c r="F4559" s="2" t="s">
        <v>5407</v>
      </c>
      <c r="G4559" s="1">
        <v>3</v>
      </c>
      <c r="H4559" s="1" t="str">
        <f t="shared" si="74"/>
        <v>k256_3</v>
      </c>
      <c r="K4559" s="1">
        <f>IF(E4559=0,SUMPRODUCT(($A$2:$A$4734=A4559)*($B$2:$B$4734=B4559)*($D$2:$D$4734=D4559)*($E$2:$E$4734=0)),0)</f>
        <v>0</v>
      </c>
      <c r="L4559" s="1" t="str">
        <f>IF(E4559=0,SUMPRODUCT(MIN($K$2:$K$4734+((($A$2:$A$4734&lt;&gt;A4559)+($E$2:$E$4734&lt;&gt;0))&gt;0)*1000000)),"")</f>
        <v/>
      </c>
      <c r="M4559" s="1">
        <f>IF(AND(E4559=0,COUNTIFS($A$2:A4559,A4559,$E$2:E4559,0)=1),L4559,0)</f>
        <v>0</v>
      </c>
    </row>
    <row r="4560" spans="1:13" ht="15" customHeight="1">
      <c r="A4560" s="1">
        <v>256</v>
      </c>
      <c r="B4560" s="1" t="s">
        <v>358</v>
      </c>
      <c r="C4560" s="2" t="s">
        <v>5403</v>
      </c>
      <c r="D4560" s="2" t="s">
        <v>5406</v>
      </c>
      <c r="E4560" s="1">
        <v>1</v>
      </c>
      <c r="F4560" s="2" t="s">
        <v>5407</v>
      </c>
      <c r="G4560" s="1">
        <v>5</v>
      </c>
      <c r="H4560" s="1" t="str">
        <f t="shared" si="74"/>
        <v>k256_5</v>
      </c>
      <c r="K4560" s="1">
        <f>IF(E4560=0,SUMPRODUCT(($A$2:$A$4734=A4560)*($B$2:$B$4734=B4560)*($D$2:$D$4734=D4560)*($E$2:$E$4734=0)),0)</f>
        <v>0</v>
      </c>
      <c r="L4560" s="1" t="str">
        <f>IF(E4560=0,SUMPRODUCT(MIN($K$2:$K$4734+((($A$2:$A$4734&lt;&gt;A4560)+($E$2:$E$4734&lt;&gt;0))&gt;0)*1000000)),"")</f>
        <v/>
      </c>
      <c r="M4560" s="1">
        <f>IF(AND(E4560=0,COUNTIFS($A$2:A4560,A4560,$E$2:E4560,0)=1),L4560,0)</f>
        <v>0</v>
      </c>
    </row>
    <row r="4561" spans="1:13" ht="15" customHeight="1">
      <c r="A4561" s="1">
        <v>256</v>
      </c>
      <c r="B4561" s="1" t="s">
        <v>358</v>
      </c>
      <c r="C4561" s="2" t="s">
        <v>5403</v>
      </c>
      <c r="D4561" s="2" t="s">
        <v>5406</v>
      </c>
      <c r="E4561" s="1">
        <v>1</v>
      </c>
      <c r="F4561" s="2" t="s">
        <v>5408</v>
      </c>
      <c r="G4561" s="1">
        <v>1</v>
      </c>
      <c r="H4561" s="1" t="str">
        <f t="shared" si="74"/>
        <v>k256_1</v>
      </c>
      <c r="K4561" s="1">
        <f>IF(E4561=0,SUMPRODUCT(($A$2:$A$4734=A4561)*($B$2:$B$4734=B4561)*($D$2:$D$4734=D4561)*($E$2:$E$4734=0)),0)</f>
        <v>0</v>
      </c>
      <c r="L4561" s="1" t="str">
        <f>IF(E4561=0,SUMPRODUCT(MIN($K$2:$K$4734+((($A$2:$A$4734&lt;&gt;A4561)+($E$2:$E$4734&lt;&gt;0))&gt;0)*1000000)),"")</f>
        <v/>
      </c>
      <c r="M4561" s="1">
        <f>IF(AND(E4561=0,COUNTIFS($A$2:A4561,A4561,$E$2:E4561,0)=1),L4561,0)</f>
        <v>0</v>
      </c>
    </row>
    <row r="4562" spans="1:13" ht="15" customHeight="1">
      <c r="A4562" s="1">
        <v>256</v>
      </c>
      <c r="B4562" s="1" t="s">
        <v>358</v>
      </c>
      <c r="C4562" s="2" t="s">
        <v>5403</v>
      </c>
      <c r="D4562" s="2" t="s">
        <v>5406</v>
      </c>
      <c r="E4562" s="1">
        <v>1</v>
      </c>
      <c r="F4562" s="2" t="s">
        <v>5409</v>
      </c>
      <c r="G4562" s="1">
        <v>2</v>
      </c>
      <c r="H4562" s="1" t="str">
        <f t="shared" si="74"/>
        <v>k256_2</v>
      </c>
      <c r="K4562" s="1">
        <f>IF(E4562=0,SUMPRODUCT(($A$2:$A$4734=A4562)*($B$2:$B$4734=B4562)*($D$2:$D$4734=D4562)*($E$2:$E$4734=0)),0)</f>
        <v>0</v>
      </c>
      <c r="L4562" s="1" t="str">
        <f>IF(E4562=0,SUMPRODUCT(MIN($K$2:$K$4734+((($A$2:$A$4734&lt;&gt;A4562)+($E$2:$E$4734&lt;&gt;0))&gt;0)*1000000)),"")</f>
        <v/>
      </c>
      <c r="M4562" s="1">
        <f>IF(AND(E4562=0,COUNTIFS($A$2:A4562,A4562,$E$2:E4562,0)=1),L4562,0)</f>
        <v>0</v>
      </c>
    </row>
    <row r="4563" spans="1:13" ht="15" customHeight="1">
      <c r="A4563" s="1">
        <v>256</v>
      </c>
      <c r="B4563" s="1" t="s">
        <v>358</v>
      </c>
      <c r="C4563" s="2" t="s">
        <v>5403</v>
      </c>
      <c r="D4563" s="2" t="s">
        <v>5406</v>
      </c>
      <c r="E4563" s="1">
        <v>1</v>
      </c>
      <c r="F4563" s="2" t="s">
        <v>5410</v>
      </c>
      <c r="G4563" s="1">
        <v>4</v>
      </c>
      <c r="H4563" s="1" t="str">
        <f t="shared" si="74"/>
        <v>k256_4</v>
      </c>
      <c r="K4563" s="1">
        <f>IF(E4563=0,SUMPRODUCT(($A$2:$A$4734=A4563)*($B$2:$B$4734=B4563)*($D$2:$D$4734=D4563)*($E$2:$E$4734=0)),0)</f>
        <v>0</v>
      </c>
      <c r="L4563" s="1" t="str">
        <f>IF(E4563=0,SUMPRODUCT(MIN($K$2:$K$4734+((($A$2:$A$4734&lt;&gt;A4563)+($E$2:$E$4734&lt;&gt;0))&gt;0)*1000000)),"")</f>
        <v/>
      </c>
      <c r="M4563" s="1">
        <f>IF(AND(E4563=0,COUNTIFS($A$2:A4563,A4563,$E$2:E4563,0)=1),L4563,0)</f>
        <v>0</v>
      </c>
    </row>
    <row r="4564" spans="1:13" ht="15" customHeight="1">
      <c r="A4564" s="1">
        <v>256</v>
      </c>
      <c r="B4564" s="1" t="s">
        <v>69</v>
      </c>
      <c r="C4564" s="2" t="s">
        <v>5403</v>
      </c>
      <c r="D4564" s="2" t="s">
        <v>5411</v>
      </c>
      <c r="E4564" s="1">
        <v>1</v>
      </c>
      <c r="F4564" s="2" t="s">
        <v>5412</v>
      </c>
      <c r="G4564" s="1">
        <v>1</v>
      </c>
      <c r="H4564" s="1" t="str">
        <f t="shared" si="74"/>
        <v>k256_1</v>
      </c>
      <c r="K4564" s="1">
        <f>IF(E4564=0,SUMPRODUCT(($A$2:$A$4734=A4564)*($B$2:$B$4734=B4564)*($D$2:$D$4734=D4564)*($E$2:$E$4734=0)),0)</f>
        <v>0</v>
      </c>
      <c r="L4564" s="1" t="str">
        <f>IF(E4564=0,SUMPRODUCT(MIN($K$2:$K$4734+((($A$2:$A$4734&lt;&gt;A4564)+($E$2:$E$4734&lt;&gt;0))&gt;0)*1000000)),"")</f>
        <v/>
      </c>
      <c r="M4564" s="1">
        <f>IF(AND(E4564=0,COUNTIFS($A$2:A4564,A4564,$E$2:E4564,0)=1),L4564,0)</f>
        <v>0</v>
      </c>
    </row>
    <row r="4565" spans="1:13" ht="15" customHeight="1">
      <c r="A4565" s="1">
        <v>256</v>
      </c>
      <c r="B4565" s="1" t="s">
        <v>69</v>
      </c>
      <c r="C4565" s="2" t="s">
        <v>5403</v>
      </c>
      <c r="D4565" s="2" t="s">
        <v>5411</v>
      </c>
      <c r="E4565" s="1">
        <v>1</v>
      </c>
      <c r="F4565" s="2" t="s">
        <v>5413</v>
      </c>
      <c r="G4565" s="1">
        <v>2</v>
      </c>
      <c r="H4565" s="1" t="str">
        <f t="shared" si="74"/>
        <v>k256_2</v>
      </c>
      <c r="K4565" s="1">
        <f>IF(E4565=0,SUMPRODUCT(($A$2:$A$4734=A4565)*($B$2:$B$4734=B4565)*($D$2:$D$4734=D4565)*($E$2:$E$4734=0)),0)</f>
        <v>0</v>
      </c>
      <c r="L4565" s="1" t="str">
        <f>IF(E4565=0,SUMPRODUCT(MIN($K$2:$K$4734+((($A$2:$A$4734&lt;&gt;A4565)+($E$2:$E$4734&lt;&gt;0))&gt;0)*1000000)),"")</f>
        <v/>
      </c>
      <c r="M4565" s="1">
        <f>IF(AND(E4565=0,COUNTIFS($A$2:A4565,A4565,$E$2:E4565,0)=1),L4565,0)</f>
        <v>0</v>
      </c>
    </row>
    <row r="4566" spans="1:13" ht="15" customHeight="1">
      <c r="A4566" s="1">
        <v>256</v>
      </c>
      <c r="B4566" s="1" t="s">
        <v>69</v>
      </c>
      <c r="C4566" s="2" t="s">
        <v>5403</v>
      </c>
      <c r="D4566" s="2" t="s">
        <v>5411</v>
      </c>
      <c r="E4566" s="1">
        <v>1</v>
      </c>
      <c r="F4566" s="2" t="s">
        <v>5414</v>
      </c>
      <c r="G4566" s="1">
        <v>3</v>
      </c>
      <c r="H4566" s="1" t="str">
        <f t="shared" si="74"/>
        <v>k256_3</v>
      </c>
      <c r="K4566" s="1">
        <f>IF(E4566=0,SUMPRODUCT(($A$2:$A$4734=A4566)*($B$2:$B$4734=B4566)*($D$2:$D$4734=D4566)*($E$2:$E$4734=0)),0)</f>
        <v>0</v>
      </c>
      <c r="L4566" s="1" t="str">
        <f>IF(E4566=0,SUMPRODUCT(MIN($K$2:$K$4734+((($A$2:$A$4734&lt;&gt;A4566)+($E$2:$E$4734&lt;&gt;0))&gt;0)*1000000)),"")</f>
        <v/>
      </c>
      <c r="M4566" s="1">
        <f>IF(AND(E4566=0,COUNTIFS($A$2:A4566,A4566,$E$2:E4566,0)=1),L4566,0)</f>
        <v>0</v>
      </c>
    </row>
    <row r="4567" spans="1:13" ht="15" customHeight="1">
      <c r="A4567" s="1">
        <v>256</v>
      </c>
      <c r="B4567" s="1" t="s">
        <v>69</v>
      </c>
      <c r="C4567" s="2" t="s">
        <v>5403</v>
      </c>
      <c r="D4567" s="2" t="s">
        <v>5411</v>
      </c>
      <c r="E4567" s="1">
        <v>1</v>
      </c>
      <c r="F4567" s="2" t="s">
        <v>5414</v>
      </c>
      <c r="G4567" s="1">
        <v>4</v>
      </c>
      <c r="H4567" s="1" t="str">
        <f t="shared" si="74"/>
        <v>k256_4</v>
      </c>
      <c r="K4567" s="1">
        <f>IF(E4567=0,SUMPRODUCT(($A$2:$A$4734=A4567)*($B$2:$B$4734=B4567)*($D$2:$D$4734=D4567)*($E$2:$E$4734=0)),0)</f>
        <v>0</v>
      </c>
      <c r="L4567" s="1" t="str">
        <f>IF(E4567=0,SUMPRODUCT(MIN($K$2:$K$4734+((($A$2:$A$4734&lt;&gt;A4567)+($E$2:$E$4734&lt;&gt;0))&gt;0)*1000000)),"")</f>
        <v/>
      </c>
      <c r="M4567" s="1">
        <f>IF(AND(E4567=0,COUNTIFS($A$2:A4567,A4567,$E$2:E4567,0)=1),L4567,0)</f>
        <v>0</v>
      </c>
    </row>
    <row r="4568" spans="1:13" ht="15" customHeight="1">
      <c r="A4568" s="1">
        <v>256</v>
      </c>
      <c r="B4568" s="1" t="s">
        <v>69</v>
      </c>
      <c r="C4568" s="2" t="s">
        <v>5403</v>
      </c>
      <c r="D4568" s="2" t="s">
        <v>5411</v>
      </c>
      <c r="E4568" s="1">
        <v>1</v>
      </c>
      <c r="F4568" s="2" t="s">
        <v>5415</v>
      </c>
      <c r="G4568" s="1">
        <v>5</v>
      </c>
      <c r="H4568" s="1" t="str">
        <f t="shared" si="74"/>
        <v>k256_5</v>
      </c>
      <c r="K4568" s="1">
        <f>IF(E4568=0,SUMPRODUCT(($A$2:$A$4734=A4568)*($B$2:$B$4734=B4568)*($D$2:$D$4734=D4568)*($E$2:$E$4734=0)),0)</f>
        <v>0</v>
      </c>
      <c r="L4568" s="1" t="str">
        <f>IF(E4568=0,SUMPRODUCT(MIN($K$2:$K$4734+((($A$2:$A$4734&lt;&gt;A4568)+($E$2:$E$4734&lt;&gt;0))&gt;0)*1000000)),"")</f>
        <v/>
      </c>
      <c r="M4568" s="1">
        <f>IF(AND(E4568=0,COUNTIFS($A$2:A4568,A4568,$E$2:E4568,0)=1),L4568,0)</f>
        <v>0</v>
      </c>
    </row>
    <row r="4569" spans="1:13" ht="15" customHeight="1">
      <c r="A4569" s="1">
        <v>256</v>
      </c>
      <c r="B4569" s="1" t="s">
        <v>167</v>
      </c>
      <c r="C4569" s="2" t="s">
        <v>5403</v>
      </c>
      <c r="D4569" s="1" t="s">
        <v>4256</v>
      </c>
      <c r="E4569" s="1">
        <v>1</v>
      </c>
      <c r="F4569" s="2" t="s">
        <v>5416</v>
      </c>
      <c r="G4569" s="1">
        <v>1</v>
      </c>
      <c r="H4569" s="1" t="str">
        <f t="shared" si="74"/>
        <v>k256_1</v>
      </c>
      <c r="K4569" s="1">
        <f>IF(E4569=0,SUMPRODUCT(($A$2:$A$4734=A4569)*($B$2:$B$4734=B4569)*($D$2:$D$4734=D4569)*($E$2:$E$4734=0)),0)</f>
        <v>0</v>
      </c>
      <c r="L4569" s="1" t="str">
        <f>IF(E4569=0,SUMPRODUCT(MIN($K$2:$K$4734+((($A$2:$A$4734&lt;&gt;A4569)+($E$2:$E$4734&lt;&gt;0))&gt;0)*1000000)),"")</f>
        <v/>
      </c>
      <c r="M4569" s="1">
        <f>IF(AND(E4569=0,COUNTIFS($A$2:A4569,A4569,$E$2:E4569,0)=1),L4569,0)</f>
        <v>0</v>
      </c>
    </row>
    <row r="4570" spans="1:13" ht="15" customHeight="1">
      <c r="A4570" s="1">
        <v>256</v>
      </c>
      <c r="B4570" s="1" t="s">
        <v>167</v>
      </c>
      <c r="C4570" s="2" t="s">
        <v>5403</v>
      </c>
      <c r="D4570" s="1" t="s">
        <v>4256</v>
      </c>
      <c r="E4570" s="1">
        <v>1</v>
      </c>
      <c r="F4570" s="2" t="s">
        <v>5417</v>
      </c>
      <c r="G4570" s="1">
        <v>2</v>
      </c>
      <c r="H4570" s="1" t="str">
        <f t="shared" si="74"/>
        <v>k256_2</v>
      </c>
      <c r="K4570" s="1">
        <f>IF(E4570=0,SUMPRODUCT(($A$2:$A$4734=A4570)*($B$2:$B$4734=B4570)*($D$2:$D$4734=D4570)*($E$2:$E$4734=0)),0)</f>
        <v>0</v>
      </c>
      <c r="L4570" s="1" t="str">
        <f>IF(E4570=0,SUMPRODUCT(MIN($K$2:$K$4734+((($A$2:$A$4734&lt;&gt;A4570)+($E$2:$E$4734&lt;&gt;0))&gt;0)*1000000)),"")</f>
        <v/>
      </c>
      <c r="M4570" s="1">
        <f>IF(AND(E4570=0,COUNTIFS($A$2:A4570,A4570,$E$2:E4570,0)=1),L4570,0)</f>
        <v>0</v>
      </c>
    </row>
    <row r="4571" spans="1:13" ht="15" customHeight="1">
      <c r="A4571" s="1">
        <v>256</v>
      </c>
      <c r="B4571" s="1" t="s">
        <v>167</v>
      </c>
      <c r="C4571" s="2" t="s">
        <v>5403</v>
      </c>
      <c r="D4571" s="1" t="s">
        <v>4256</v>
      </c>
      <c r="E4571" s="1">
        <v>1</v>
      </c>
      <c r="F4571" s="2" t="s">
        <v>5418</v>
      </c>
      <c r="G4571" s="1">
        <v>3</v>
      </c>
      <c r="H4571" s="1" t="str">
        <f t="shared" si="74"/>
        <v>k256_3</v>
      </c>
      <c r="K4571" s="1">
        <f>IF(E4571=0,SUMPRODUCT(($A$2:$A$4734=A4571)*($B$2:$B$4734=B4571)*($D$2:$D$4734=D4571)*($E$2:$E$4734=0)),0)</f>
        <v>0</v>
      </c>
      <c r="L4571" s="1" t="str">
        <f>IF(E4571=0,SUMPRODUCT(MIN($K$2:$K$4734+((($A$2:$A$4734&lt;&gt;A4571)+($E$2:$E$4734&lt;&gt;0))&gt;0)*1000000)),"")</f>
        <v/>
      </c>
      <c r="M4571" s="1">
        <f>IF(AND(E4571=0,COUNTIFS($A$2:A4571,A4571,$E$2:E4571,0)=1),L4571,0)</f>
        <v>0</v>
      </c>
    </row>
    <row r="4572" spans="1:13" ht="15" customHeight="1">
      <c r="A4572" s="1">
        <v>256</v>
      </c>
      <c r="B4572" s="1" t="s">
        <v>167</v>
      </c>
      <c r="C4572" s="2" t="s">
        <v>5403</v>
      </c>
      <c r="D4572" s="1" t="s">
        <v>4256</v>
      </c>
      <c r="E4572" s="1">
        <v>1</v>
      </c>
      <c r="F4572" s="2" t="s">
        <v>5418</v>
      </c>
      <c r="G4572" s="1">
        <v>5</v>
      </c>
      <c r="H4572" s="1" t="str">
        <f t="shared" si="74"/>
        <v>k256_5</v>
      </c>
      <c r="K4572" s="1">
        <f>IF(E4572=0,SUMPRODUCT(($A$2:$A$4734=A4572)*($B$2:$B$4734=B4572)*($D$2:$D$4734=D4572)*($E$2:$E$4734=0)),0)</f>
        <v>0</v>
      </c>
      <c r="L4572" s="1" t="str">
        <f>IF(E4572=0,SUMPRODUCT(MIN($K$2:$K$4734+((($A$2:$A$4734&lt;&gt;A4572)+($E$2:$E$4734&lt;&gt;0))&gt;0)*1000000)),"")</f>
        <v/>
      </c>
      <c r="M4572" s="1">
        <f>IF(AND(E4572=0,COUNTIFS($A$2:A4572,A4572,$E$2:E4572,0)=1),L4572,0)</f>
        <v>0</v>
      </c>
    </row>
    <row r="4573" spans="1:13" ht="15" customHeight="1">
      <c r="A4573" s="1">
        <v>256</v>
      </c>
      <c r="B4573" s="1" t="s">
        <v>167</v>
      </c>
      <c r="C4573" s="2" t="s">
        <v>5403</v>
      </c>
      <c r="D4573" s="1" t="s">
        <v>4256</v>
      </c>
      <c r="E4573" s="1">
        <v>1</v>
      </c>
      <c r="F4573" s="2" t="s">
        <v>5419</v>
      </c>
      <c r="G4573" s="1">
        <v>4</v>
      </c>
      <c r="H4573" s="1" t="str">
        <f t="shared" si="74"/>
        <v>k256_4</v>
      </c>
      <c r="K4573" s="1">
        <f>IF(E4573=0,SUMPRODUCT(($A$2:$A$4734=A4573)*($B$2:$B$4734=B4573)*($D$2:$D$4734=D4573)*($E$2:$E$4734=0)),0)</f>
        <v>0</v>
      </c>
      <c r="L4573" s="1" t="str">
        <f>IF(E4573=0,SUMPRODUCT(MIN($K$2:$K$4734+((($A$2:$A$4734&lt;&gt;A4573)+($E$2:$E$4734&lt;&gt;0))&gt;0)*1000000)),"")</f>
        <v/>
      </c>
      <c r="M4573" s="1">
        <f>IF(AND(E4573=0,COUNTIFS($A$2:A4573,A4573,$E$2:E4573,0)=1),L4573,0)</f>
        <v>0</v>
      </c>
    </row>
    <row r="4574" spans="1:13" ht="15" customHeight="1">
      <c r="A4574" s="1">
        <v>256</v>
      </c>
      <c r="B4574" s="1" t="s">
        <v>167</v>
      </c>
      <c r="C4574" s="2" t="s">
        <v>5403</v>
      </c>
      <c r="D4574" s="1" t="s">
        <v>5420</v>
      </c>
      <c r="E4574" s="1">
        <v>1</v>
      </c>
      <c r="F4574" s="2" t="s">
        <v>5421</v>
      </c>
      <c r="G4574" s="1">
        <v>1</v>
      </c>
      <c r="H4574" s="1" t="str">
        <f t="shared" si="74"/>
        <v>k256_1</v>
      </c>
      <c r="K4574" s="1">
        <f>IF(E4574=0,SUMPRODUCT(($A$2:$A$4734=A4574)*($B$2:$B$4734=B4574)*($D$2:$D$4734=D4574)*($E$2:$E$4734=0)),0)</f>
        <v>0</v>
      </c>
      <c r="L4574" s="1" t="str">
        <f>IF(E4574=0,SUMPRODUCT(MIN($K$2:$K$4734+((($A$2:$A$4734&lt;&gt;A4574)+($E$2:$E$4734&lt;&gt;0))&gt;0)*1000000)),"")</f>
        <v/>
      </c>
      <c r="M4574" s="1">
        <f>IF(AND(E4574=0,COUNTIFS($A$2:A4574,A4574,$E$2:E4574,0)=1),L4574,0)</f>
        <v>0</v>
      </c>
    </row>
    <row r="4575" spans="1:13" ht="15" customHeight="1">
      <c r="A4575" s="1">
        <v>256</v>
      </c>
      <c r="B4575" s="1" t="s">
        <v>167</v>
      </c>
      <c r="C4575" s="2" t="s">
        <v>5403</v>
      </c>
      <c r="D4575" s="1" t="s">
        <v>5420</v>
      </c>
      <c r="E4575" s="1">
        <v>1</v>
      </c>
      <c r="F4575" s="2" t="s">
        <v>5421</v>
      </c>
      <c r="G4575" s="1">
        <v>5</v>
      </c>
      <c r="H4575" s="1" t="str">
        <f t="shared" si="74"/>
        <v>k256_5</v>
      </c>
      <c r="K4575" s="1">
        <f>IF(E4575=0,SUMPRODUCT(($A$2:$A$4734=A4575)*($B$2:$B$4734=B4575)*($D$2:$D$4734=D4575)*($E$2:$E$4734=0)),0)</f>
        <v>0</v>
      </c>
      <c r="L4575" s="1" t="str">
        <f>IF(E4575=0,SUMPRODUCT(MIN($K$2:$K$4734+((($A$2:$A$4734&lt;&gt;A4575)+($E$2:$E$4734&lt;&gt;0))&gt;0)*1000000)),"")</f>
        <v/>
      </c>
      <c r="M4575" s="1">
        <f>IF(AND(E4575=0,COUNTIFS($A$2:A4575,A4575,$E$2:E4575,0)=1),L4575,0)</f>
        <v>0</v>
      </c>
    </row>
    <row r="4576" spans="1:13" ht="15" customHeight="1">
      <c r="A4576" s="1">
        <v>256</v>
      </c>
      <c r="B4576" s="1" t="s">
        <v>167</v>
      </c>
      <c r="C4576" s="2" t="s">
        <v>5403</v>
      </c>
      <c r="D4576" s="1" t="s">
        <v>5420</v>
      </c>
      <c r="E4576" s="1">
        <v>1</v>
      </c>
      <c r="F4576" s="2" t="s">
        <v>5422</v>
      </c>
      <c r="G4576" s="1">
        <v>2</v>
      </c>
      <c r="H4576" s="1" t="str">
        <f t="shared" si="74"/>
        <v>k256_2</v>
      </c>
      <c r="K4576" s="1">
        <f>IF(E4576=0,SUMPRODUCT(($A$2:$A$4734=A4576)*($B$2:$B$4734=B4576)*($D$2:$D$4734=D4576)*($E$2:$E$4734=0)),0)</f>
        <v>0</v>
      </c>
      <c r="L4576" s="1" t="str">
        <f>IF(E4576=0,SUMPRODUCT(MIN($K$2:$K$4734+((($A$2:$A$4734&lt;&gt;A4576)+($E$2:$E$4734&lt;&gt;0))&gt;0)*1000000)),"")</f>
        <v/>
      </c>
      <c r="M4576" s="1">
        <f>IF(AND(E4576=0,COUNTIFS($A$2:A4576,A4576,$E$2:E4576,0)=1),L4576,0)</f>
        <v>0</v>
      </c>
    </row>
    <row r="4577" spans="1:13" ht="15" customHeight="1">
      <c r="A4577" s="1">
        <v>256</v>
      </c>
      <c r="B4577" s="1" t="s">
        <v>167</v>
      </c>
      <c r="C4577" s="2" t="s">
        <v>5403</v>
      </c>
      <c r="D4577" s="1" t="s">
        <v>5420</v>
      </c>
      <c r="E4577" s="1">
        <v>1</v>
      </c>
      <c r="F4577" s="2" t="s">
        <v>5423</v>
      </c>
      <c r="G4577" s="1">
        <v>3</v>
      </c>
      <c r="H4577" s="1" t="str">
        <f t="shared" si="74"/>
        <v>k256_3</v>
      </c>
      <c r="K4577" s="1">
        <f>IF(E4577=0,SUMPRODUCT(($A$2:$A$4734=A4577)*($B$2:$B$4734=B4577)*($D$2:$D$4734=D4577)*($E$2:$E$4734=0)),0)</f>
        <v>0</v>
      </c>
      <c r="L4577" s="1" t="str">
        <f>IF(E4577=0,SUMPRODUCT(MIN($K$2:$K$4734+((($A$2:$A$4734&lt;&gt;A4577)+($E$2:$E$4734&lt;&gt;0))&gt;0)*1000000)),"")</f>
        <v/>
      </c>
      <c r="M4577" s="1">
        <f>IF(AND(E4577=0,COUNTIFS($A$2:A4577,A4577,$E$2:E4577,0)=1),L4577,0)</f>
        <v>0</v>
      </c>
    </row>
    <row r="4578" spans="1:13" ht="15" customHeight="1">
      <c r="A4578" s="1">
        <v>256</v>
      </c>
      <c r="B4578" s="1" t="s">
        <v>167</v>
      </c>
      <c r="C4578" s="2" t="s">
        <v>5403</v>
      </c>
      <c r="D4578" s="1" t="s">
        <v>5420</v>
      </c>
      <c r="E4578" s="1">
        <v>1</v>
      </c>
      <c r="F4578" s="2" t="s">
        <v>5424</v>
      </c>
      <c r="G4578" s="1">
        <v>4</v>
      </c>
      <c r="H4578" s="1" t="str">
        <f t="shared" si="74"/>
        <v>k256_4</v>
      </c>
      <c r="K4578" s="1">
        <f>IF(E4578=0,SUMPRODUCT(($A$2:$A$4734=A4578)*($B$2:$B$4734=B4578)*($D$2:$D$4734=D4578)*($E$2:$E$4734=0)),0)</f>
        <v>0</v>
      </c>
      <c r="L4578" s="1" t="str">
        <f>IF(E4578=0,SUMPRODUCT(MIN($K$2:$K$4734+((($A$2:$A$4734&lt;&gt;A4578)+($E$2:$E$4734&lt;&gt;0))&gt;0)*1000000)),"")</f>
        <v/>
      </c>
      <c r="M4578" s="1">
        <f>IF(AND(E4578=0,COUNTIFS($A$2:A4578,A4578,$E$2:E4578,0)=1),L4578,0)</f>
        <v>0</v>
      </c>
    </row>
    <row r="4579" spans="1:13" ht="15" customHeight="1">
      <c r="A4579" s="1">
        <v>257</v>
      </c>
      <c r="B4579" s="1" t="s">
        <v>69</v>
      </c>
      <c r="C4579" s="2" t="s">
        <v>5425</v>
      </c>
      <c r="D4579" s="2" t="s">
        <v>5426</v>
      </c>
      <c r="E4579" s="1">
        <v>1</v>
      </c>
      <c r="F4579" s="2" t="s">
        <v>5427</v>
      </c>
      <c r="G4579" s="1">
        <v>1</v>
      </c>
      <c r="H4579" s="1" t="str">
        <f t="shared" si="74"/>
        <v>k257_1</v>
      </c>
      <c r="K4579" s="1">
        <f>IF(E4579=0,SUMPRODUCT(($A$2:$A$4734=A4579)*($B$2:$B$4734=B4579)*($D$2:$D$4734=D4579)*($E$2:$E$4734=0)),0)</f>
        <v>0</v>
      </c>
      <c r="L4579" s="1" t="str">
        <f>IF(E4579=0,SUMPRODUCT(MIN($K$2:$K$4734+((($A$2:$A$4734&lt;&gt;A4579)+($E$2:$E$4734&lt;&gt;0))&gt;0)*1000000)),"")</f>
        <v/>
      </c>
      <c r="M4579" s="1">
        <f>IF(AND(E4579=0,COUNTIFS($A$2:A4579,A4579,$E$2:E4579,0)=1),L4579,0)</f>
        <v>0</v>
      </c>
    </row>
    <row r="4580" spans="1:13" ht="15" customHeight="1">
      <c r="A4580" s="1">
        <v>257</v>
      </c>
      <c r="B4580" s="1" t="s">
        <v>69</v>
      </c>
      <c r="C4580" s="2" t="s">
        <v>5425</v>
      </c>
      <c r="D4580" s="2" t="s">
        <v>5426</v>
      </c>
      <c r="E4580" s="1">
        <v>1</v>
      </c>
      <c r="F4580" s="2" t="s">
        <v>5428</v>
      </c>
      <c r="G4580" s="1">
        <v>2</v>
      </c>
      <c r="H4580" s="1" t="str">
        <f t="shared" si="74"/>
        <v>k257_2</v>
      </c>
      <c r="K4580" s="1">
        <f>IF(E4580=0,SUMPRODUCT(($A$2:$A$4734=A4580)*($B$2:$B$4734=B4580)*($D$2:$D$4734=D4580)*($E$2:$E$4734=0)),0)</f>
        <v>0</v>
      </c>
      <c r="L4580" s="1" t="str">
        <f>IF(E4580=0,SUMPRODUCT(MIN($K$2:$K$4734+((($A$2:$A$4734&lt;&gt;A4580)+($E$2:$E$4734&lt;&gt;0))&gt;0)*1000000)),"")</f>
        <v/>
      </c>
      <c r="M4580" s="1">
        <f>IF(AND(E4580=0,COUNTIFS($A$2:A4580,A4580,$E$2:E4580,0)=1),L4580,0)</f>
        <v>0</v>
      </c>
    </row>
    <row r="4581" spans="1:13" ht="15" customHeight="1">
      <c r="A4581" s="1">
        <v>257</v>
      </c>
      <c r="B4581" s="1" t="s">
        <v>69</v>
      </c>
      <c r="C4581" s="2" t="s">
        <v>5425</v>
      </c>
      <c r="D4581" s="2" t="s">
        <v>5426</v>
      </c>
      <c r="E4581" s="1">
        <v>1</v>
      </c>
      <c r="F4581" s="2" t="s">
        <v>5429</v>
      </c>
      <c r="G4581" s="1">
        <v>3</v>
      </c>
      <c r="H4581" s="1" t="str">
        <f t="shared" si="74"/>
        <v>k257_3</v>
      </c>
      <c r="K4581" s="1">
        <f>IF(E4581=0,SUMPRODUCT(($A$2:$A$4734=A4581)*($B$2:$B$4734=B4581)*($D$2:$D$4734=D4581)*($E$2:$E$4734=0)),0)</f>
        <v>0</v>
      </c>
      <c r="L4581" s="1" t="str">
        <f>IF(E4581=0,SUMPRODUCT(MIN($K$2:$K$4734+((($A$2:$A$4734&lt;&gt;A4581)+($E$2:$E$4734&lt;&gt;0))&gt;0)*1000000)),"")</f>
        <v/>
      </c>
      <c r="M4581" s="1">
        <f>IF(AND(E4581=0,COUNTIFS($A$2:A4581,A4581,$E$2:E4581,0)=1),L4581,0)</f>
        <v>0</v>
      </c>
    </row>
    <row r="4582" spans="1:13" ht="15" customHeight="1">
      <c r="A4582" s="1">
        <v>257</v>
      </c>
      <c r="B4582" s="1" t="s">
        <v>69</v>
      </c>
      <c r="C4582" s="2" t="s">
        <v>5425</v>
      </c>
      <c r="D4582" s="2" t="s">
        <v>5426</v>
      </c>
      <c r="E4582" s="1">
        <v>1</v>
      </c>
      <c r="F4582" s="2" t="s">
        <v>5430</v>
      </c>
      <c r="G4582" s="1">
        <v>4</v>
      </c>
      <c r="H4582" s="1" t="str">
        <f t="shared" si="74"/>
        <v>k257_4</v>
      </c>
      <c r="K4582" s="1">
        <f>IF(E4582=0,SUMPRODUCT(($A$2:$A$4734=A4582)*($B$2:$B$4734=B4582)*($D$2:$D$4734=D4582)*($E$2:$E$4734=0)),0)</f>
        <v>0</v>
      </c>
      <c r="L4582" s="1" t="str">
        <f>IF(E4582=0,SUMPRODUCT(MIN($K$2:$K$4734+((($A$2:$A$4734&lt;&gt;A4582)+($E$2:$E$4734&lt;&gt;0))&gt;0)*1000000)),"")</f>
        <v/>
      </c>
      <c r="M4582" s="1">
        <f>IF(AND(E4582=0,COUNTIFS($A$2:A4582,A4582,$E$2:E4582,0)=1),L4582,0)</f>
        <v>0</v>
      </c>
    </row>
    <row r="4583" spans="1:13" ht="15" customHeight="1">
      <c r="A4583" s="1">
        <v>258</v>
      </c>
      <c r="B4583" s="1" t="s">
        <v>9</v>
      </c>
      <c r="C4583" s="2" t="s">
        <v>5431</v>
      </c>
      <c r="D4583" s="2" t="s">
        <v>5432</v>
      </c>
      <c r="E4583" s="1">
        <v>1</v>
      </c>
      <c r="F4583" s="2" t="s">
        <v>5433</v>
      </c>
      <c r="G4583" s="1">
        <v>1</v>
      </c>
      <c r="H4583" s="1" t="str">
        <f t="shared" si="74"/>
        <v>k258_1</v>
      </c>
      <c r="K4583" s="1">
        <f>IF(E4583=0,SUMPRODUCT(($A$2:$A$4734=A4583)*($B$2:$B$4734=B4583)*($D$2:$D$4734=D4583)*($E$2:$E$4734=0)),0)</f>
        <v>0</v>
      </c>
      <c r="L4583" s="1" t="str">
        <f>IF(E4583=0,SUMPRODUCT(MIN($K$2:$K$4734+((($A$2:$A$4734&lt;&gt;A4583)+($E$2:$E$4734&lt;&gt;0))&gt;0)*1000000)),"")</f>
        <v/>
      </c>
      <c r="M4583" s="1">
        <f>IF(AND(E4583=0,COUNTIFS($A$2:A4583,A4583,$E$2:E4583,0)=1),L4583,0)</f>
        <v>0</v>
      </c>
    </row>
    <row r="4584" spans="1:13" ht="15" customHeight="1">
      <c r="A4584" s="1">
        <v>258</v>
      </c>
      <c r="B4584" s="1" t="s">
        <v>9</v>
      </c>
      <c r="C4584" s="2" t="s">
        <v>5434</v>
      </c>
      <c r="D4584" s="2" t="s">
        <v>5432</v>
      </c>
      <c r="E4584" s="1">
        <v>1</v>
      </c>
      <c r="F4584" s="2" t="s">
        <v>5435</v>
      </c>
      <c r="G4584" s="1">
        <v>4</v>
      </c>
      <c r="H4584" s="1" t="str">
        <f t="shared" si="74"/>
        <v>k258_4</v>
      </c>
      <c r="K4584" s="1">
        <f>IF(E4584=0,SUMPRODUCT(($A$2:$A$4734=A4584)*($B$2:$B$4734=B4584)*($D$2:$D$4734=D4584)*($E$2:$E$4734=0)),0)</f>
        <v>0</v>
      </c>
      <c r="L4584" s="1" t="str">
        <f>IF(E4584=0,SUMPRODUCT(MIN($K$2:$K$4734+((($A$2:$A$4734&lt;&gt;A4584)+($E$2:$E$4734&lt;&gt;0))&gt;0)*1000000)),"")</f>
        <v/>
      </c>
      <c r="M4584" s="1">
        <f>IF(AND(E4584=0,COUNTIFS($A$2:A4584,A4584,$E$2:E4584,0)=1),L4584,0)</f>
        <v>0</v>
      </c>
    </row>
    <row r="4585" spans="1:13" ht="15" customHeight="1">
      <c r="A4585" s="1">
        <v>258</v>
      </c>
      <c r="B4585" s="1" t="s">
        <v>9</v>
      </c>
      <c r="C4585" s="2" t="s">
        <v>5436</v>
      </c>
      <c r="D4585" s="2" t="s">
        <v>5432</v>
      </c>
      <c r="E4585" s="1">
        <v>1</v>
      </c>
      <c r="F4585" s="2" t="s">
        <v>5433</v>
      </c>
      <c r="G4585" s="1">
        <v>2</v>
      </c>
      <c r="H4585" s="1" t="str">
        <f t="shared" si="74"/>
        <v>k258_2</v>
      </c>
      <c r="K4585" s="1">
        <f>IF(E4585=0,SUMPRODUCT(($A$2:$A$4734=A4585)*($B$2:$B$4734=B4585)*($D$2:$D$4734=D4585)*($E$2:$E$4734=0)),0)</f>
        <v>0</v>
      </c>
      <c r="L4585" s="1" t="str">
        <f>IF(E4585=0,SUMPRODUCT(MIN($K$2:$K$4734+((($A$2:$A$4734&lt;&gt;A4585)+($E$2:$E$4734&lt;&gt;0))&gt;0)*1000000)),"")</f>
        <v/>
      </c>
      <c r="M4585" s="1">
        <f>IF(AND(E4585=0,COUNTIFS($A$2:A4585,A4585,$E$2:E4585,0)=1),L4585,0)</f>
        <v>0</v>
      </c>
    </row>
    <row r="4586" spans="1:13" ht="15" customHeight="1">
      <c r="A4586" s="1">
        <v>258</v>
      </c>
      <c r="B4586" s="1" t="s">
        <v>9</v>
      </c>
      <c r="C4586" s="2" t="s">
        <v>5437</v>
      </c>
      <c r="D4586" s="2" t="s">
        <v>5432</v>
      </c>
      <c r="E4586" s="1">
        <v>1</v>
      </c>
      <c r="F4586" s="2" t="s">
        <v>5433</v>
      </c>
      <c r="G4586" s="1">
        <v>3</v>
      </c>
      <c r="H4586" s="1" t="str">
        <f t="shared" si="74"/>
        <v>k258_3</v>
      </c>
      <c r="K4586" s="1">
        <f>IF(E4586=0,SUMPRODUCT(($A$2:$A$4734=A4586)*($B$2:$B$4734=B4586)*($D$2:$D$4734=D4586)*($E$2:$E$4734=0)),0)</f>
        <v>0</v>
      </c>
      <c r="L4586" s="1" t="str">
        <f>IF(E4586=0,SUMPRODUCT(MIN($K$2:$K$4734+((($A$2:$A$4734&lt;&gt;A4586)+($E$2:$E$4734&lt;&gt;0))&gt;0)*1000000)),"")</f>
        <v/>
      </c>
      <c r="M4586" s="1">
        <f>IF(AND(E4586=0,COUNTIFS($A$2:A4586,A4586,$E$2:E4586,0)=1),L4586,0)</f>
        <v>0</v>
      </c>
    </row>
    <row r="4587" spans="1:13" ht="15" customHeight="1">
      <c r="A4587" s="1">
        <v>258</v>
      </c>
      <c r="B4587" s="1" t="s">
        <v>9</v>
      </c>
      <c r="C4587" s="2" t="s">
        <v>5438</v>
      </c>
      <c r="D4587" s="2" t="s">
        <v>5432</v>
      </c>
      <c r="E4587" s="1">
        <v>1</v>
      </c>
      <c r="F4587" s="2" t="s">
        <v>5435</v>
      </c>
      <c r="G4587" s="1">
        <v>5</v>
      </c>
      <c r="H4587" s="1" t="str">
        <f t="shared" si="74"/>
        <v>k258_5</v>
      </c>
      <c r="K4587" s="1">
        <f>IF(E4587=0,SUMPRODUCT(($A$2:$A$4734=A4587)*($B$2:$B$4734=B4587)*($D$2:$D$4734=D4587)*($E$2:$E$4734=0)),0)</f>
        <v>0</v>
      </c>
      <c r="L4587" s="1" t="str">
        <f>IF(E4587=0,SUMPRODUCT(MIN($K$2:$K$4734+((($A$2:$A$4734&lt;&gt;A4587)+($E$2:$E$4734&lt;&gt;0))&gt;0)*1000000)),"")</f>
        <v/>
      </c>
      <c r="M4587" s="1">
        <f>IF(AND(E4587=0,COUNTIFS($A$2:A4587,A4587,$E$2:E4587,0)=1),L4587,0)</f>
        <v>0</v>
      </c>
    </row>
    <row r="4588" spans="1:13" ht="15" customHeight="1">
      <c r="A4588" s="1">
        <v>258</v>
      </c>
      <c r="B4588" s="1" t="s">
        <v>69</v>
      </c>
      <c r="C4588" s="2" t="s">
        <v>5439</v>
      </c>
      <c r="D4588" s="2" t="s">
        <v>5440</v>
      </c>
      <c r="E4588" s="1">
        <v>1</v>
      </c>
      <c r="F4588" s="2" t="s">
        <v>5441</v>
      </c>
      <c r="G4588" s="1">
        <v>1</v>
      </c>
      <c r="H4588" s="1" t="str">
        <f t="shared" si="74"/>
        <v>k258_1</v>
      </c>
      <c r="K4588" s="1">
        <f>IF(E4588=0,SUMPRODUCT(($A$2:$A$4734=A4588)*($B$2:$B$4734=B4588)*($D$2:$D$4734=D4588)*($E$2:$E$4734=0)),0)</f>
        <v>0</v>
      </c>
      <c r="L4588" s="1" t="str">
        <f>IF(E4588=0,SUMPRODUCT(MIN($K$2:$K$4734+((($A$2:$A$4734&lt;&gt;A4588)+($E$2:$E$4734&lt;&gt;0))&gt;0)*1000000)),"")</f>
        <v/>
      </c>
      <c r="M4588" s="1">
        <f>IF(AND(E4588=0,COUNTIFS($A$2:A4588,A4588,$E$2:E4588,0)=1),L4588,0)</f>
        <v>0</v>
      </c>
    </row>
    <row r="4589" spans="1:13" ht="15" customHeight="1">
      <c r="A4589" s="1">
        <v>258</v>
      </c>
      <c r="B4589" s="1" t="s">
        <v>69</v>
      </c>
      <c r="C4589" s="2" t="s">
        <v>5442</v>
      </c>
      <c r="D4589" s="2" t="s">
        <v>5440</v>
      </c>
      <c r="E4589" s="1">
        <v>1</v>
      </c>
      <c r="F4589" s="2" t="s">
        <v>5441</v>
      </c>
      <c r="G4589" s="1">
        <v>2</v>
      </c>
      <c r="H4589" s="1" t="str">
        <f t="shared" si="74"/>
        <v>k258_2</v>
      </c>
      <c r="K4589" s="1">
        <f>IF(E4589=0,SUMPRODUCT(($A$2:$A$4734=A4589)*($B$2:$B$4734=B4589)*($D$2:$D$4734=D4589)*($E$2:$E$4734=0)),0)</f>
        <v>0</v>
      </c>
      <c r="L4589" s="1" t="str">
        <f>IF(E4589=0,SUMPRODUCT(MIN($K$2:$K$4734+((($A$2:$A$4734&lt;&gt;A4589)+($E$2:$E$4734&lt;&gt;0))&gt;0)*1000000)),"")</f>
        <v/>
      </c>
      <c r="M4589" s="1">
        <f>IF(AND(E4589=0,COUNTIFS($A$2:A4589,A4589,$E$2:E4589,0)=1),L4589,0)</f>
        <v>0</v>
      </c>
    </row>
    <row r="4590" spans="1:13" ht="15" customHeight="1">
      <c r="A4590" s="1">
        <v>258</v>
      </c>
      <c r="B4590" s="1" t="s">
        <v>69</v>
      </c>
      <c r="C4590" s="2" t="s">
        <v>5443</v>
      </c>
      <c r="D4590" s="2" t="s">
        <v>5440</v>
      </c>
      <c r="E4590" s="1">
        <v>1</v>
      </c>
      <c r="F4590" s="2" t="s">
        <v>5444</v>
      </c>
      <c r="G4590" s="1">
        <v>3</v>
      </c>
      <c r="H4590" s="1" t="str">
        <f t="shared" si="74"/>
        <v>k258_3</v>
      </c>
      <c r="K4590" s="1">
        <f>IF(E4590=0,SUMPRODUCT(($A$2:$A$4734=A4590)*($B$2:$B$4734=B4590)*($D$2:$D$4734=D4590)*($E$2:$E$4734=0)),0)</f>
        <v>0</v>
      </c>
      <c r="L4590" s="1" t="str">
        <f>IF(E4590=0,SUMPRODUCT(MIN($K$2:$K$4734+((($A$2:$A$4734&lt;&gt;A4590)+($E$2:$E$4734&lt;&gt;0))&gt;0)*1000000)),"")</f>
        <v/>
      </c>
      <c r="M4590" s="1">
        <f>IF(AND(E4590=0,COUNTIFS($A$2:A4590,A4590,$E$2:E4590,0)=1),L4590,0)</f>
        <v>0</v>
      </c>
    </row>
    <row r="4591" spans="1:13" ht="15" customHeight="1">
      <c r="A4591" s="1">
        <v>258</v>
      </c>
      <c r="B4591" s="1" t="s">
        <v>69</v>
      </c>
      <c r="C4591" s="2" t="s">
        <v>5445</v>
      </c>
      <c r="D4591" s="2" t="s">
        <v>5440</v>
      </c>
      <c r="E4591" s="1">
        <v>1</v>
      </c>
      <c r="F4591" s="2" t="s">
        <v>5446</v>
      </c>
      <c r="G4591" s="1">
        <v>4</v>
      </c>
      <c r="H4591" s="1" t="str">
        <f t="shared" si="74"/>
        <v>k258_4</v>
      </c>
      <c r="K4591" s="1">
        <f>IF(E4591=0,SUMPRODUCT(($A$2:$A$4734=A4591)*($B$2:$B$4734=B4591)*($D$2:$D$4734=D4591)*($E$2:$E$4734=0)),0)</f>
        <v>0</v>
      </c>
      <c r="L4591" s="1" t="str">
        <f>IF(E4591=0,SUMPRODUCT(MIN($K$2:$K$4734+((($A$2:$A$4734&lt;&gt;A4591)+($E$2:$E$4734&lt;&gt;0))&gt;0)*1000000)),"")</f>
        <v/>
      </c>
      <c r="M4591" s="1">
        <f>IF(AND(E4591=0,COUNTIFS($A$2:A4591,A4591,$E$2:E4591,0)=1),L4591,0)</f>
        <v>0</v>
      </c>
    </row>
    <row r="4592" spans="1:13" ht="15" customHeight="1">
      <c r="A4592" s="1">
        <v>258</v>
      </c>
      <c r="B4592" s="1" t="s">
        <v>69</v>
      </c>
      <c r="C4592" s="2" t="s">
        <v>5447</v>
      </c>
      <c r="D4592" s="2" t="s">
        <v>5440</v>
      </c>
      <c r="E4592" s="1">
        <v>1</v>
      </c>
      <c r="F4592" s="2" t="s">
        <v>5448</v>
      </c>
      <c r="G4592" s="1">
        <v>5</v>
      </c>
      <c r="H4592" s="1" t="str">
        <f t="shared" si="74"/>
        <v>k258_5</v>
      </c>
      <c r="K4592" s="1">
        <f>IF(E4592=0,SUMPRODUCT(($A$2:$A$4734=A4592)*($B$2:$B$4734=B4592)*($D$2:$D$4734=D4592)*($E$2:$E$4734=0)),0)</f>
        <v>0</v>
      </c>
      <c r="L4592" s="1" t="str">
        <f>IF(E4592=0,SUMPRODUCT(MIN($K$2:$K$4734+((($A$2:$A$4734&lt;&gt;A4592)+($E$2:$E$4734&lt;&gt;0))&gt;0)*1000000)),"")</f>
        <v/>
      </c>
      <c r="M4592" s="1">
        <f>IF(AND(E4592=0,COUNTIFS($A$2:A4592,A4592,$E$2:E4592,0)=1),L4592,0)</f>
        <v>0</v>
      </c>
    </row>
    <row r="4593" spans="1:13" ht="15" customHeight="1">
      <c r="A4593" s="1">
        <v>258</v>
      </c>
      <c r="B4593" s="1" t="s">
        <v>16</v>
      </c>
      <c r="C4593" s="2" t="s">
        <v>5449</v>
      </c>
      <c r="D4593" s="2" t="s">
        <v>993</v>
      </c>
      <c r="E4593" s="1">
        <v>1</v>
      </c>
      <c r="F4593" s="2" t="s">
        <v>996</v>
      </c>
      <c r="G4593" s="1">
        <v>1</v>
      </c>
      <c r="H4593" s="1" t="str">
        <f t="shared" si="74"/>
        <v>k258_1</v>
      </c>
      <c r="K4593" s="1">
        <f>IF(E4593=0,SUMPRODUCT(($A$2:$A$4734=A4593)*($B$2:$B$4734=B4593)*($D$2:$D$4734=D4593)*($E$2:$E$4734=0)),0)</f>
        <v>0</v>
      </c>
      <c r="L4593" s="1" t="str">
        <f>IF(E4593=0,SUMPRODUCT(MIN($K$2:$K$4734+((($A$2:$A$4734&lt;&gt;A4593)+($E$2:$E$4734&lt;&gt;0))&gt;0)*1000000)),"")</f>
        <v/>
      </c>
      <c r="M4593" s="1">
        <f>IF(AND(E4593=0,COUNTIFS($A$2:A4593,A4593,$E$2:E4593,0)=1),L4593,0)</f>
        <v>0</v>
      </c>
    </row>
    <row r="4594" spans="1:13" ht="15" customHeight="1">
      <c r="A4594" s="1">
        <v>258</v>
      </c>
      <c r="B4594" s="1" t="s">
        <v>16</v>
      </c>
      <c r="C4594" s="2" t="s">
        <v>5450</v>
      </c>
      <c r="D4594" s="2" t="s">
        <v>993</v>
      </c>
      <c r="E4594" s="1">
        <v>1</v>
      </c>
      <c r="F4594" s="2" t="s">
        <v>2431</v>
      </c>
      <c r="G4594" s="1">
        <v>2</v>
      </c>
      <c r="H4594" s="1" t="str">
        <f t="shared" si="74"/>
        <v>k258_2</v>
      </c>
      <c r="K4594" s="1">
        <f>IF(E4594=0,SUMPRODUCT(($A$2:$A$4734=A4594)*($B$2:$B$4734=B4594)*($D$2:$D$4734=D4594)*($E$2:$E$4734=0)),0)</f>
        <v>0</v>
      </c>
      <c r="L4594" s="1" t="str">
        <f>IF(E4594=0,SUMPRODUCT(MIN($K$2:$K$4734+((($A$2:$A$4734&lt;&gt;A4594)+($E$2:$E$4734&lt;&gt;0))&gt;0)*1000000)),"")</f>
        <v/>
      </c>
      <c r="M4594" s="1">
        <f>IF(AND(E4594=0,COUNTIFS($A$2:A4594,A4594,$E$2:E4594,0)=1),L4594,0)</f>
        <v>0</v>
      </c>
    </row>
    <row r="4595" spans="1:13" ht="15" customHeight="1">
      <c r="A4595" s="1">
        <v>258</v>
      </c>
      <c r="B4595" s="1" t="s">
        <v>16</v>
      </c>
      <c r="C4595" s="2" t="s">
        <v>5449</v>
      </c>
      <c r="D4595" s="2" t="s">
        <v>993</v>
      </c>
      <c r="E4595" s="1">
        <v>1</v>
      </c>
      <c r="F4595" s="2" t="s">
        <v>996</v>
      </c>
      <c r="G4595" s="1">
        <v>3</v>
      </c>
      <c r="H4595" s="1" t="str">
        <f t="shared" si="74"/>
        <v>k258_3</v>
      </c>
      <c r="K4595" s="1">
        <f>IF(E4595=0,SUMPRODUCT(($A$2:$A$4734=A4595)*($B$2:$B$4734=B4595)*($D$2:$D$4734=D4595)*($E$2:$E$4734=0)),0)</f>
        <v>0</v>
      </c>
      <c r="L4595" s="1" t="str">
        <f>IF(E4595=0,SUMPRODUCT(MIN($K$2:$K$4734+((($A$2:$A$4734&lt;&gt;A4595)+($E$2:$E$4734&lt;&gt;0))&gt;0)*1000000)),"")</f>
        <v/>
      </c>
      <c r="M4595" s="1">
        <f>IF(AND(E4595=0,COUNTIFS($A$2:A4595,A4595,$E$2:E4595,0)=1),L4595,0)</f>
        <v>0</v>
      </c>
    </row>
    <row r="4596" spans="1:13" ht="15" customHeight="1">
      <c r="A4596" s="1">
        <v>258</v>
      </c>
      <c r="B4596" s="1" t="s">
        <v>16</v>
      </c>
      <c r="C4596" s="2" t="s">
        <v>5450</v>
      </c>
      <c r="D4596" s="2" t="s">
        <v>993</v>
      </c>
      <c r="E4596" s="1">
        <v>1</v>
      </c>
      <c r="F4596" s="2" t="s">
        <v>2431</v>
      </c>
      <c r="G4596" s="1">
        <v>4</v>
      </c>
      <c r="H4596" s="1" t="str">
        <f t="shared" si="74"/>
        <v>k258_4</v>
      </c>
      <c r="K4596" s="1">
        <f>IF(E4596=0,SUMPRODUCT(($A$2:$A$4734=A4596)*($B$2:$B$4734=B4596)*($D$2:$D$4734=D4596)*($E$2:$E$4734=0)),0)</f>
        <v>0</v>
      </c>
      <c r="L4596" s="1" t="str">
        <f>IF(E4596=0,SUMPRODUCT(MIN($K$2:$K$4734+((($A$2:$A$4734&lt;&gt;A4596)+($E$2:$E$4734&lt;&gt;0))&gt;0)*1000000)),"")</f>
        <v/>
      </c>
      <c r="M4596" s="1">
        <f>IF(AND(E4596=0,COUNTIFS($A$2:A4596,A4596,$E$2:E4596,0)=1),L4596,0)</f>
        <v>0</v>
      </c>
    </row>
    <row r="4597" spans="1:13" ht="15" customHeight="1">
      <c r="A4597" s="1">
        <v>258</v>
      </c>
      <c r="B4597" s="1" t="s">
        <v>16</v>
      </c>
      <c r="C4597" s="2" t="s">
        <v>5450</v>
      </c>
      <c r="D4597" s="2" t="s">
        <v>993</v>
      </c>
      <c r="E4597" s="1">
        <v>1</v>
      </c>
      <c r="F4597" s="2" t="s">
        <v>2431</v>
      </c>
      <c r="G4597" s="1">
        <v>5</v>
      </c>
      <c r="H4597" s="1" t="str">
        <f t="shared" si="74"/>
        <v>k258_5</v>
      </c>
      <c r="K4597" s="1">
        <f>IF(E4597=0,SUMPRODUCT(($A$2:$A$4734=A4597)*($B$2:$B$4734=B4597)*($D$2:$D$4734=D4597)*($E$2:$E$4734=0)),0)</f>
        <v>0</v>
      </c>
      <c r="L4597" s="1" t="str">
        <f>IF(E4597=0,SUMPRODUCT(MIN($K$2:$K$4734+((($A$2:$A$4734&lt;&gt;A4597)+($E$2:$E$4734&lt;&gt;0))&gt;0)*1000000)),"")</f>
        <v/>
      </c>
      <c r="M4597" s="1">
        <f>IF(AND(E4597=0,COUNTIFS($A$2:A4597,A4597,$E$2:E4597,0)=1),L4597,0)</f>
        <v>0</v>
      </c>
    </row>
    <row r="4598" spans="1:13" ht="15" customHeight="1">
      <c r="A4598" s="1">
        <v>258</v>
      </c>
      <c r="B4598" s="1" t="s">
        <v>9</v>
      </c>
      <c r="C4598" s="2" t="s">
        <v>5451</v>
      </c>
      <c r="D4598" s="2" t="s">
        <v>5452</v>
      </c>
      <c r="E4598" s="1">
        <v>1</v>
      </c>
      <c r="F4598" s="2" t="s">
        <v>5453</v>
      </c>
      <c r="G4598" s="1">
        <v>1</v>
      </c>
      <c r="H4598" s="1" t="str">
        <f t="shared" si="74"/>
        <v>k258_1</v>
      </c>
      <c r="K4598" s="1">
        <f>IF(E4598=0,SUMPRODUCT(($A$2:$A$4734=A4598)*($B$2:$B$4734=B4598)*($D$2:$D$4734=D4598)*($E$2:$E$4734=0)),0)</f>
        <v>0</v>
      </c>
      <c r="L4598" s="1" t="str">
        <f>IF(E4598=0,SUMPRODUCT(MIN($K$2:$K$4734+((($A$2:$A$4734&lt;&gt;A4598)+($E$2:$E$4734&lt;&gt;0))&gt;0)*1000000)),"")</f>
        <v/>
      </c>
      <c r="M4598" s="1">
        <f>IF(AND(E4598=0,COUNTIFS($A$2:A4598,A4598,$E$2:E4598,0)=1),L4598,0)</f>
        <v>0</v>
      </c>
    </row>
    <row r="4599" spans="1:13" ht="15" customHeight="1">
      <c r="A4599" s="1">
        <v>258</v>
      </c>
      <c r="B4599" s="1" t="s">
        <v>9</v>
      </c>
      <c r="C4599" s="2" t="s">
        <v>5454</v>
      </c>
      <c r="D4599" s="2" t="s">
        <v>5452</v>
      </c>
      <c r="E4599" s="1">
        <v>1</v>
      </c>
      <c r="F4599" s="2" t="s">
        <v>5455</v>
      </c>
      <c r="G4599" s="1">
        <v>2</v>
      </c>
      <c r="H4599" s="1" t="str">
        <f t="shared" si="74"/>
        <v>k258_2</v>
      </c>
      <c r="K4599" s="1">
        <f>IF(E4599=0,SUMPRODUCT(($A$2:$A$4734=A4599)*($B$2:$B$4734=B4599)*($D$2:$D$4734=D4599)*($E$2:$E$4734=0)),0)</f>
        <v>0</v>
      </c>
      <c r="L4599" s="1" t="str">
        <f>IF(E4599=0,SUMPRODUCT(MIN($K$2:$K$4734+((($A$2:$A$4734&lt;&gt;A4599)+($E$2:$E$4734&lt;&gt;0))&gt;0)*1000000)),"")</f>
        <v/>
      </c>
      <c r="M4599" s="1">
        <f>IF(AND(E4599=0,COUNTIFS($A$2:A4599,A4599,$E$2:E4599,0)=1),L4599,0)</f>
        <v>0</v>
      </c>
    </row>
    <row r="4600" spans="1:13" ht="15" customHeight="1">
      <c r="A4600" s="1">
        <v>258</v>
      </c>
      <c r="B4600" s="1" t="s">
        <v>9</v>
      </c>
      <c r="C4600" s="2" t="s">
        <v>5456</v>
      </c>
      <c r="D4600" s="2" t="s">
        <v>5452</v>
      </c>
      <c r="E4600" s="1">
        <v>1</v>
      </c>
      <c r="F4600" s="2" t="s">
        <v>5457</v>
      </c>
      <c r="G4600" s="1">
        <v>3</v>
      </c>
      <c r="H4600" s="1" t="str">
        <f t="shared" si="74"/>
        <v>k258_3</v>
      </c>
      <c r="K4600" s="1">
        <f>IF(E4600=0,SUMPRODUCT(($A$2:$A$4734=A4600)*($B$2:$B$4734=B4600)*($D$2:$D$4734=D4600)*($E$2:$E$4734=0)),0)</f>
        <v>0</v>
      </c>
      <c r="L4600" s="1" t="str">
        <f>IF(E4600=0,SUMPRODUCT(MIN($K$2:$K$4734+((($A$2:$A$4734&lt;&gt;A4600)+($E$2:$E$4734&lt;&gt;0))&gt;0)*1000000)),"")</f>
        <v/>
      </c>
      <c r="M4600" s="1">
        <f>IF(AND(E4600=0,COUNTIFS($A$2:A4600,A4600,$E$2:E4600,0)=1),L4600,0)</f>
        <v>0</v>
      </c>
    </row>
    <row r="4601" spans="1:13" ht="15" customHeight="1">
      <c r="A4601" s="1">
        <v>258</v>
      </c>
      <c r="B4601" s="1" t="s">
        <v>9</v>
      </c>
      <c r="C4601" s="2" t="s">
        <v>5458</v>
      </c>
      <c r="D4601" s="2" t="s">
        <v>5452</v>
      </c>
      <c r="E4601" s="1">
        <v>1</v>
      </c>
      <c r="F4601" s="2" t="s">
        <v>5459</v>
      </c>
      <c r="G4601" s="1">
        <v>5</v>
      </c>
      <c r="H4601" s="1" t="str">
        <f t="shared" si="74"/>
        <v>k258_5</v>
      </c>
      <c r="K4601" s="1">
        <f>IF(E4601=0,SUMPRODUCT(($A$2:$A$4734=A4601)*($B$2:$B$4734=B4601)*($D$2:$D$4734=D4601)*($E$2:$E$4734=0)),0)</f>
        <v>0</v>
      </c>
      <c r="L4601" s="1" t="str">
        <f>IF(E4601=0,SUMPRODUCT(MIN($K$2:$K$4734+((($A$2:$A$4734&lt;&gt;A4601)+($E$2:$E$4734&lt;&gt;0))&gt;0)*1000000)),"")</f>
        <v/>
      </c>
      <c r="M4601" s="1">
        <f>IF(AND(E4601=0,COUNTIFS($A$2:A4601,A4601,$E$2:E4601,0)=1),L4601,0)</f>
        <v>0</v>
      </c>
    </row>
    <row r="4602" spans="1:13" ht="15" customHeight="1">
      <c r="A4602" s="1">
        <v>259</v>
      </c>
      <c r="B4602" s="1" t="s">
        <v>69</v>
      </c>
      <c r="C4602" s="2" t="s">
        <v>5460</v>
      </c>
      <c r="D4602" s="2" t="s">
        <v>5461</v>
      </c>
      <c r="E4602" s="1">
        <v>1</v>
      </c>
      <c r="F4602" s="2" t="s">
        <v>5462</v>
      </c>
      <c r="G4602" s="1">
        <v>1</v>
      </c>
      <c r="H4602" s="1" t="str">
        <f t="shared" si="74"/>
        <v>k259_1</v>
      </c>
      <c r="K4602" s="1">
        <f>IF(E4602=0,SUMPRODUCT(($A$2:$A$4734=A4602)*($B$2:$B$4734=B4602)*($D$2:$D$4734=D4602)*($E$2:$E$4734=0)),0)</f>
        <v>0</v>
      </c>
      <c r="L4602" s="1" t="str">
        <f>IF(E4602=0,SUMPRODUCT(MIN($K$2:$K$4734+((($A$2:$A$4734&lt;&gt;A4602)+($E$2:$E$4734&lt;&gt;0))&gt;0)*1000000)),"")</f>
        <v/>
      </c>
      <c r="M4602" s="1">
        <f>IF(AND(E4602=0,COUNTIFS($A$2:A4602,A4602,$E$2:E4602,0)=1),L4602,0)</f>
        <v>0</v>
      </c>
    </row>
    <row r="4603" spans="1:13" ht="15" customHeight="1">
      <c r="A4603" s="1">
        <v>259</v>
      </c>
      <c r="B4603" s="1" t="s">
        <v>69</v>
      </c>
      <c r="C4603" s="2" t="s">
        <v>5460</v>
      </c>
      <c r="D4603" s="2" t="s">
        <v>5461</v>
      </c>
      <c r="E4603" s="1">
        <v>1</v>
      </c>
      <c r="F4603" s="2" t="s">
        <v>5463</v>
      </c>
      <c r="G4603" s="1">
        <v>2</v>
      </c>
      <c r="H4603" s="1" t="str">
        <f t="shared" si="74"/>
        <v>k259_2</v>
      </c>
      <c r="K4603" s="1">
        <f>IF(E4603=0,SUMPRODUCT(($A$2:$A$4734=A4603)*($B$2:$B$4734=B4603)*($D$2:$D$4734=D4603)*($E$2:$E$4734=0)),0)</f>
        <v>0</v>
      </c>
      <c r="L4603" s="1" t="str">
        <f>IF(E4603=0,SUMPRODUCT(MIN($K$2:$K$4734+((($A$2:$A$4734&lt;&gt;A4603)+($E$2:$E$4734&lt;&gt;0))&gt;0)*1000000)),"")</f>
        <v/>
      </c>
      <c r="M4603" s="1">
        <f>IF(AND(E4603=0,COUNTIFS($A$2:A4603,A4603,$E$2:E4603,0)=1),L4603,0)</f>
        <v>0</v>
      </c>
    </row>
    <row r="4604" spans="1:13" ht="15" customHeight="1">
      <c r="A4604" s="1">
        <v>259</v>
      </c>
      <c r="B4604" s="1" t="s">
        <v>69</v>
      </c>
      <c r="C4604" s="2" t="s">
        <v>5460</v>
      </c>
      <c r="D4604" s="2" t="s">
        <v>5461</v>
      </c>
      <c r="E4604" s="1">
        <v>1</v>
      </c>
      <c r="F4604" s="2" t="s">
        <v>5464</v>
      </c>
      <c r="G4604" s="1">
        <v>3</v>
      </c>
      <c r="H4604" s="1" t="str">
        <f t="shared" si="74"/>
        <v>k259_3</v>
      </c>
      <c r="K4604" s="1">
        <f>IF(E4604=0,SUMPRODUCT(($A$2:$A$4734=A4604)*($B$2:$B$4734=B4604)*($D$2:$D$4734=D4604)*($E$2:$E$4734=0)),0)</f>
        <v>0</v>
      </c>
      <c r="L4604" s="1" t="str">
        <f>IF(E4604=0,SUMPRODUCT(MIN($K$2:$K$4734+((($A$2:$A$4734&lt;&gt;A4604)+($E$2:$E$4734&lt;&gt;0))&gt;0)*1000000)),"")</f>
        <v/>
      </c>
      <c r="M4604" s="1">
        <f>IF(AND(E4604=0,COUNTIFS($A$2:A4604,A4604,$E$2:E4604,0)=1),L4604,0)</f>
        <v>0</v>
      </c>
    </row>
    <row r="4605" spans="1:13" ht="15" customHeight="1">
      <c r="A4605" s="1">
        <v>259</v>
      </c>
      <c r="B4605" s="1" t="s">
        <v>69</v>
      </c>
      <c r="C4605" s="2" t="s">
        <v>5460</v>
      </c>
      <c r="D4605" s="2" t="s">
        <v>5461</v>
      </c>
      <c r="E4605" s="1">
        <v>1</v>
      </c>
      <c r="F4605" s="2" t="s">
        <v>5463</v>
      </c>
      <c r="G4605" s="1">
        <v>4</v>
      </c>
      <c r="H4605" s="1" t="str">
        <f t="shared" si="74"/>
        <v>k259_4</v>
      </c>
      <c r="K4605" s="1">
        <f>IF(E4605=0,SUMPRODUCT(($A$2:$A$4734=A4605)*($B$2:$B$4734=B4605)*($D$2:$D$4734=D4605)*($E$2:$E$4734=0)),0)</f>
        <v>0</v>
      </c>
      <c r="L4605" s="1" t="str">
        <f>IF(E4605=0,SUMPRODUCT(MIN($K$2:$K$4734+((($A$2:$A$4734&lt;&gt;A4605)+($E$2:$E$4734&lt;&gt;0))&gt;0)*1000000)),"")</f>
        <v/>
      </c>
      <c r="M4605" s="1">
        <f>IF(AND(E4605=0,COUNTIFS($A$2:A4605,A4605,$E$2:E4605,0)=1),L4605,0)</f>
        <v>0</v>
      </c>
    </row>
    <row r="4606" spans="1:13" ht="15" customHeight="1">
      <c r="A4606" s="1">
        <v>259</v>
      </c>
      <c r="B4606" s="1" t="s">
        <v>69</v>
      </c>
      <c r="C4606" s="2" t="s">
        <v>5460</v>
      </c>
      <c r="D4606" s="2" t="s">
        <v>5461</v>
      </c>
      <c r="E4606" s="1">
        <v>1</v>
      </c>
      <c r="F4606" s="2" t="s">
        <v>5464</v>
      </c>
      <c r="G4606" s="1">
        <v>5</v>
      </c>
      <c r="H4606" s="1" t="str">
        <f t="shared" si="74"/>
        <v>k259_5</v>
      </c>
      <c r="K4606" s="1">
        <f>IF(E4606=0,SUMPRODUCT(($A$2:$A$4734=A4606)*($B$2:$B$4734=B4606)*($D$2:$D$4734=D4606)*($E$2:$E$4734=0)),0)</f>
        <v>0</v>
      </c>
      <c r="L4606" s="1" t="str">
        <f>IF(E4606=0,SUMPRODUCT(MIN($K$2:$K$4734+((($A$2:$A$4734&lt;&gt;A4606)+($E$2:$E$4734&lt;&gt;0))&gt;0)*1000000)),"")</f>
        <v/>
      </c>
      <c r="M4606" s="1">
        <f>IF(AND(E4606=0,COUNTIFS($A$2:A4606,A4606,$E$2:E4606,0)=1),L4606,0)</f>
        <v>0</v>
      </c>
    </row>
    <row r="4607" spans="1:13" ht="15" customHeight="1">
      <c r="A4607" s="1">
        <v>259</v>
      </c>
      <c r="B4607" s="1" t="s">
        <v>69</v>
      </c>
      <c r="C4607" s="2" t="s">
        <v>5460</v>
      </c>
      <c r="D4607" s="2" t="s">
        <v>5461</v>
      </c>
      <c r="E4607" s="1">
        <v>1</v>
      </c>
      <c r="F4607" s="2" t="s">
        <v>5465</v>
      </c>
      <c r="G4607" s="1">
        <v>6</v>
      </c>
      <c r="H4607" s="1" t="str">
        <f t="shared" si="74"/>
        <v>k259_6</v>
      </c>
      <c r="K4607" s="1">
        <f>IF(E4607=0,SUMPRODUCT(($A$2:$A$4734=A4607)*($B$2:$B$4734=B4607)*($D$2:$D$4734=D4607)*($E$2:$E$4734=0)),0)</f>
        <v>0</v>
      </c>
      <c r="L4607" s="1" t="str">
        <f>IF(E4607=0,SUMPRODUCT(MIN($K$2:$K$4734+((($A$2:$A$4734&lt;&gt;A4607)+($E$2:$E$4734&lt;&gt;0))&gt;0)*1000000)),"")</f>
        <v/>
      </c>
      <c r="M4607" s="1">
        <f>IF(AND(E4607=0,COUNTIFS($A$2:A4607,A4607,$E$2:E4607,0)=1),L4607,0)</f>
        <v>0</v>
      </c>
    </row>
    <row r="4608" spans="1:13" ht="15" customHeight="1">
      <c r="A4608" s="1">
        <v>259</v>
      </c>
      <c r="B4608" s="1" t="s">
        <v>9</v>
      </c>
      <c r="C4608" s="2" t="s">
        <v>5460</v>
      </c>
      <c r="D4608" s="2" t="s">
        <v>5466</v>
      </c>
      <c r="E4608" s="1">
        <v>1</v>
      </c>
      <c r="F4608" s="2" t="s">
        <v>5467</v>
      </c>
      <c r="G4608" s="1">
        <v>1</v>
      </c>
      <c r="H4608" s="1" t="str">
        <f t="shared" si="74"/>
        <v>k259_1</v>
      </c>
      <c r="K4608" s="1">
        <f>IF(E4608=0,SUMPRODUCT(($A$2:$A$4734=A4608)*($B$2:$B$4734=B4608)*($D$2:$D$4734=D4608)*($E$2:$E$4734=0)),0)</f>
        <v>0</v>
      </c>
      <c r="L4608" s="1" t="str">
        <f>IF(E4608=0,SUMPRODUCT(MIN($K$2:$K$4734+((($A$2:$A$4734&lt;&gt;A4608)+($E$2:$E$4734&lt;&gt;0))&gt;0)*1000000)),"")</f>
        <v/>
      </c>
      <c r="M4608" s="1">
        <f>IF(AND(E4608=0,COUNTIFS($A$2:A4608,A4608,$E$2:E4608,0)=1),L4608,0)</f>
        <v>0</v>
      </c>
    </row>
    <row r="4609" spans="1:13" ht="15" customHeight="1">
      <c r="A4609" s="1">
        <v>259</v>
      </c>
      <c r="B4609" s="1" t="s">
        <v>9</v>
      </c>
      <c r="C4609" s="2" t="s">
        <v>5460</v>
      </c>
      <c r="D4609" s="2" t="s">
        <v>5466</v>
      </c>
      <c r="E4609" s="1">
        <v>1</v>
      </c>
      <c r="F4609" s="2" t="s">
        <v>5468</v>
      </c>
      <c r="G4609" s="1">
        <v>2</v>
      </c>
      <c r="H4609" s="1" t="str">
        <f t="shared" si="74"/>
        <v>k259_2</v>
      </c>
      <c r="K4609" s="1">
        <f>IF(E4609=0,SUMPRODUCT(($A$2:$A$4734=A4609)*($B$2:$B$4734=B4609)*($D$2:$D$4734=D4609)*($E$2:$E$4734=0)),0)</f>
        <v>0</v>
      </c>
      <c r="L4609" s="1" t="str">
        <f>IF(E4609=0,SUMPRODUCT(MIN($K$2:$K$4734+((($A$2:$A$4734&lt;&gt;A4609)+($E$2:$E$4734&lt;&gt;0))&gt;0)*1000000)),"")</f>
        <v/>
      </c>
      <c r="M4609" s="1">
        <f>IF(AND(E4609=0,COUNTIFS($A$2:A4609,A4609,$E$2:E4609,0)=1),L4609,0)</f>
        <v>0</v>
      </c>
    </row>
    <row r="4610" spans="1:13" ht="15" customHeight="1">
      <c r="A4610" s="1">
        <v>259</v>
      </c>
      <c r="B4610" s="1" t="s">
        <v>9</v>
      </c>
      <c r="C4610" s="2" t="s">
        <v>5460</v>
      </c>
      <c r="D4610" s="2" t="s">
        <v>5466</v>
      </c>
      <c r="E4610" s="1">
        <v>1</v>
      </c>
      <c r="F4610" s="2" t="s">
        <v>5469</v>
      </c>
      <c r="G4610" s="1">
        <v>3</v>
      </c>
      <c r="H4610" s="1" t="str">
        <f t="shared" ref="H4610:H4673" si="75">IF(OR(E4610&lt;&gt;1,G4610=""),"","k"&amp;A4610&amp;"_"&amp;G4610)</f>
        <v>k259_3</v>
      </c>
      <c r="K4610" s="1">
        <f>IF(E4610=0,SUMPRODUCT(($A$2:$A$4734=A4610)*($B$2:$B$4734=B4610)*($D$2:$D$4734=D4610)*($E$2:$E$4734=0)),0)</f>
        <v>0</v>
      </c>
      <c r="L4610" s="1" t="str">
        <f>IF(E4610=0,SUMPRODUCT(MIN($K$2:$K$4734+((($A$2:$A$4734&lt;&gt;A4610)+($E$2:$E$4734&lt;&gt;0))&gt;0)*1000000)),"")</f>
        <v/>
      </c>
      <c r="M4610" s="1">
        <f>IF(AND(E4610=0,COUNTIFS($A$2:A4610,A4610,$E$2:E4610,0)=1),L4610,0)</f>
        <v>0</v>
      </c>
    </row>
    <row r="4611" spans="1:13" ht="15" customHeight="1">
      <c r="A4611" s="1">
        <v>259</v>
      </c>
      <c r="B4611" s="1" t="s">
        <v>9</v>
      </c>
      <c r="C4611" s="2" t="s">
        <v>5460</v>
      </c>
      <c r="D4611" s="2" t="s">
        <v>5466</v>
      </c>
      <c r="E4611" s="1">
        <v>1</v>
      </c>
      <c r="F4611" s="2" t="s">
        <v>5467</v>
      </c>
      <c r="G4611" s="1">
        <v>6</v>
      </c>
      <c r="H4611" s="1" t="str">
        <f t="shared" si="75"/>
        <v>k259_6</v>
      </c>
      <c r="K4611" s="1">
        <f>IF(E4611=0,SUMPRODUCT(($A$2:$A$4734=A4611)*($B$2:$B$4734=B4611)*($D$2:$D$4734=D4611)*($E$2:$E$4734=0)),0)</f>
        <v>0</v>
      </c>
      <c r="L4611" s="1" t="str">
        <f>IF(E4611=0,SUMPRODUCT(MIN($K$2:$K$4734+((($A$2:$A$4734&lt;&gt;A4611)+($E$2:$E$4734&lt;&gt;0))&gt;0)*1000000)),"")</f>
        <v/>
      </c>
      <c r="M4611" s="1">
        <f>IF(AND(E4611=0,COUNTIFS($A$2:A4611,A4611,$E$2:E4611,0)=1),L4611,0)</f>
        <v>0</v>
      </c>
    </row>
    <row r="4612" spans="1:13" ht="15" customHeight="1">
      <c r="A4612" s="1">
        <v>259</v>
      </c>
      <c r="B4612" s="1" t="s">
        <v>9</v>
      </c>
      <c r="C4612" s="2" t="s">
        <v>5460</v>
      </c>
      <c r="D4612" s="2" t="s">
        <v>5466</v>
      </c>
      <c r="E4612" s="1">
        <v>1</v>
      </c>
      <c r="F4612" s="2" t="s">
        <v>5468</v>
      </c>
      <c r="G4612" s="1">
        <v>4</v>
      </c>
      <c r="H4612" s="1" t="str">
        <f t="shared" si="75"/>
        <v>k259_4</v>
      </c>
      <c r="K4612" s="1">
        <f>IF(E4612=0,SUMPRODUCT(($A$2:$A$4734=A4612)*($B$2:$B$4734=B4612)*($D$2:$D$4734=D4612)*($E$2:$E$4734=0)),0)</f>
        <v>0</v>
      </c>
      <c r="L4612" s="1" t="str">
        <f>IF(E4612=0,SUMPRODUCT(MIN($K$2:$K$4734+((($A$2:$A$4734&lt;&gt;A4612)+($E$2:$E$4734&lt;&gt;0))&gt;0)*1000000)),"")</f>
        <v/>
      </c>
      <c r="M4612" s="1">
        <f>IF(AND(E4612=0,COUNTIFS($A$2:A4612,A4612,$E$2:E4612,0)=1),L4612,0)</f>
        <v>0</v>
      </c>
    </row>
    <row r="4613" spans="1:13" ht="15" customHeight="1">
      <c r="A4613" s="1">
        <v>259</v>
      </c>
      <c r="B4613" s="1" t="s">
        <v>9</v>
      </c>
      <c r="C4613" s="2" t="s">
        <v>5460</v>
      </c>
      <c r="D4613" s="2" t="s">
        <v>5466</v>
      </c>
      <c r="E4613" s="1">
        <v>1</v>
      </c>
      <c r="F4613" s="2" t="s">
        <v>5469</v>
      </c>
      <c r="G4613" s="1">
        <v>5</v>
      </c>
      <c r="H4613" s="1" t="str">
        <f t="shared" si="75"/>
        <v>k259_5</v>
      </c>
      <c r="K4613" s="1">
        <f>IF(E4613=0,SUMPRODUCT(($A$2:$A$4734=A4613)*($B$2:$B$4734=B4613)*($D$2:$D$4734=D4613)*($E$2:$E$4734=0)),0)</f>
        <v>0</v>
      </c>
      <c r="L4613" s="1" t="str">
        <f>IF(E4613=0,SUMPRODUCT(MIN($K$2:$K$4734+((($A$2:$A$4734&lt;&gt;A4613)+($E$2:$E$4734&lt;&gt;0))&gt;0)*1000000)),"")</f>
        <v/>
      </c>
      <c r="M4613" s="1">
        <f>IF(AND(E4613=0,COUNTIFS($A$2:A4613,A4613,$E$2:E4613,0)=1),L4613,0)</f>
        <v>0</v>
      </c>
    </row>
    <row r="4614" spans="1:13" ht="15" customHeight="1">
      <c r="A4614" s="1">
        <v>259</v>
      </c>
      <c r="B4614" s="1" t="s">
        <v>9</v>
      </c>
      <c r="C4614" s="2" t="s">
        <v>5460</v>
      </c>
      <c r="D4614" s="2" t="s">
        <v>5470</v>
      </c>
      <c r="E4614" s="1">
        <v>1</v>
      </c>
      <c r="F4614" s="2" t="s">
        <v>5471</v>
      </c>
      <c r="G4614" s="1">
        <v>2</v>
      </c>
      <c r="H4614" s="1" t="str">
        <f t="shared" si="75"/>
        <v>k259_2</v>
      </c>
      <c r="K4614" s="1">
        <f>IF(E4614=0,SUMPRODUCT(($A$2:$A$4734=A4614)*($B$2:$B$4734=B4614)*($D$2:$D$4734=D4614)*($E$2:$E$4734=0)),0)</f>
        <v>0</v>
      </c>
      <c r="L4614" s="1" t="str">
        <f>IF(E4614=0,SUMPRODUCT(MIN($K$2:$K$4734+((($A$2:$A$4734&lt;&gt;A4614)+($E$2:$E$4734&lt;&gt;0))&gt;0)*1000000)),"")</f>
        <v/>
      </c>
      <c r="M4614" s="1">
        <f>IF(AND(E4614=0,COUNTIFS($A$2:A4614,A4614,$E$2:E4614,0)=1),L4614,0)</f>
        <v>0</v>
      </c>
    </row>
    <row r="4615" spans="1:13" ht="15" customHeight="1">
      <c r="A4615" s="1">
        <v>259</v>
      </c>
      <c r="B4615" s="1" t="s">
        <v>9</v>
      </c>
      <c r="C4615" s="2" t="s">
        <v>5460</v>
      </c>
      <c r="D4615" s="2" t="s">
        <v>5470</v>
      </c>
      <c r="E4615" s="1">
        <v>1</v>
      </c>
      <c r="F4615" s="2" t="s">
        <v>5472</v>
      </c>
      <c r="G4615" s="1">
        <v>4</v>
      </c>
      <c r="H4615" s="1" t="str">
        <f t="shared" si="75"/>
        <v>k259_4</v>
      </c>
      <c r="K4615" s="1">
        <f>IF(E4615=0,SUMPRODUCT(($A$2:$A$4734=A4615)*($B$2:$B$4734=B4615)*($D$2:$D$4734=D4615)*($E$2:$E$4734=0)),0)</f>
        <v>0</v>
      </c>
      <c r="L4615" s="1" t="str">
        <f>IF(E4615=0,SUMPRODUCT(MIN($K$2:$K$4734+((($A$2:$A$4734&lt;&gt;A4615)+($E$2:$E$4734&lt;&gt;0))&gt;0)*1000000)),"")</f>
        <v/>
      </c>
      <c r="M4615" s="1">
        <f>IF(AND(E4615=0,COUNTIFS($A$2:A4615,A4615,$E$2:E4615,0)=1),L4615,0)</f>
        <v>0</v>
      </c>
    </row>
    <row r="4616" spans="1:13" ht="15" customHeight="1">
      <c r="A4616" s="1">
        <v>259</v>
      </c>
      <c r="B4616" s="1" t="s">
        <v>9</v>
      </c>
      <c r="C4616" s="2" t="s">
        <v>5460</v>
      </c>
      <c r="D4616" s="2" t="s">
        <v>5470</v>
      </c>
      <c r="E4616" s="1">
        <v>1</v>
      </c>
      <c r="F4616" s="2" t="s">
        <v>5473</v>
      </c>
      <c r="G4616" s="1">
        <v>5</v>
      </c>
      <c r="H4616" s="1" t="str">
        <f t="shared" si="75"/>
        <v>k259_5</v>
      </c>
      <c r="K4616" s="1">
        <f>IF(E4616=0,SUMPRODUCT(($A$2:$A$4734=A4616)*($B$2:$B$4734=B4616)*($D$2:$D$4734=D4616)*($E$2:$E$4734=0)),0)</f>
        <v>0</v>
      </c>
      <c r="L4616" s="1" t="str">
        <f>IF(E4616=0,SUMPRODUCT(MIN($K$2:$K$4734+((($A$2:$A$4734&lt;&gt;A4616)+($E$2:$E$4734&lt;&gt;0))&gt;0)*1000000)),"")</f>
        <v/>
      </c>
      <c r="M4616" s="1">
        <f>IF(AND(E4616=0,COUNTIFS($A$2:A4616,A4616,$E$2:E4616,0)=1),L4616,0)</f>
        <v>0</v>
      </c>
    </row>
    <row r="4617" spans="1:13" ht="15" customHeight="1">
      <c r="A4617" s="1">
        <v>259</v>
      </c>
      <c r="B4617" s="1" t="s">
        <v>9</v>
      </c>
      <c r="C4617" s="2" t="s">
        <v>5460</v>
      </c>
      <c r="D4617" s="2" t="s">
        <v>5470</v>
      </c>
      <c r="E4617" s="1">
        <v>1</v>
      </c>
      <c r="F4617" s="2" t="s">
        <v>5472</v>
      </c>
      <c r="G4617" s="1">
        <v>1</v>
      </c>
      <c r="H4617" s="1" t="str">
        <f t="shared" si="75"/>
        <v>k259_1</v>
      </c>
      <c r="K4617" s="1">
        <f>IF(E4617=0,SUMPRODUCT(($A$2:$A$4734=A4617)*($B$2:$B$4734=B4617)*($D$2:$D$4734=D4617)*($E$2:$E$4734=0)),0)</f>
        <v>0</v>
      </c>
      <c r="L4617" s="1" t="str">
        <f>IF(E4617=0,SUMPRODUCT(MIN($K$2:$K$4734+((($A$2:$A$4734&lt;&gt;A4617)+($E$2:$E$4734&lt;&gt;0))&gt;0)*1000000)),"")</f>
        <v/>
      </c>
      <c r="M4617" s="1">
        <f>IF(AND(E4617=0,COUNTIFS($A$2:A4617,A4617,$E$2:E4617,0)=1),L4617,0)</f>
        <v>0</v>
      </c>
    </row>
    <row r="4618" spans="1:13" ht="15" customHeight="1">
      <c r="A4618" s="1">
        <v>259</v>
      </c>
      <c r="B4618" s="1" t="s">
        <v>9</v>
      </c>
      <c r="C4618" s="2" t="s">
        <v>5460</v>
      </c>
      <c r="D4618" s="2" t="s">
        <v>5470</v>
      </c>
      <c r="E4618" s="1">
        <v>1</v>
      </c>
      <c r="F4618" s="2" t="s">
        <v>5473</v>
      </c>
      <c r="G4618" s="1">
        <v>3</v>
      </c>
      <c r="H4618" s="1" t="str">
        <f t="shared" si="75"/>
        <v>k259_3</v>
      </c>
      <c r="K4618" s="1">
        <f>IF(E4618=0,SUMPRODUCT(($A$2:$A$4734=A4618)*($B$2:$B$4734=B4618)*($D$2:$D$4734=D4618)*($E$2:$E$4734=0)),0)</f>
        <v>0</v>
      </c>
      <c r="L4618" s="1" t="str">
        <f>IF(E4618=0,SUMPRODUCT(MIN($K$2:$K$4734+((($A$2:$A$4734&lt;&gt;A4618)+($E$2:$E$4734&lt;&gt;0))&gt;0)*1000000)),"")</f>
        <v/>
      </c>
      <c r="M4618" s="1">
        <f>IF(AND(E4618=0,COUNTIFS($A$2:A4618,A4618,$E$2:E4618,0)=1),L4618,0)</f>
        <v>0</v>
      </c>
    </row>
    <row r="4619" spans="1:13" ht="15" customHeight="1">
      <c r="A4619" s="1">
        <v>259</v>
      </c>
      <c r="B4619" s="1" t="s">
        <v>9</v>
      </c>
      <c r="C4619" s="2" t="s">
        <v>5460</v>
      </c>
      <c r="D4619" s="2" t="s">
        <v>5470</v>
      </c>
      <c r="E4619" s="1">
        <v>1</v>
      </c>
      <c r="F4619" s="2" t="s">
        <v>5474</v>
      </c>
      <c r="G4619" s="1">
        <v>6</v>
      </c>
      <c r="H4619" s="1" t="str">
        <f t="shared" si="75"/>
        <v>k259_6</v>
      </c>
      <c r="K4619" s="1">
        <f>IF(E4619=0,SUMPRODUCT(($A$2:$A$4734=A4619)*($B$2:$B$4734=B4619)*($D$2:$D$4734=D4619)*($E$2:$E$4734=0)),0)</f>
        <v>0</v>
      </c>
      <c r="L4619" s="1" t="str">
        <f>IF(E4619=0,SUMPRODUCT(MIN($K$2:$K$4734+((($A$2:$A$4734&lt;&gt;A4619)+($E$2:$E$4734&lt;&gt;0))&gt;0)*1000000)),"")</f>
        <v/>
      </c>
      <c r="M4619" s="1">
        <f>IF(AND(E4619=0,COUNTIFS($A$2:A4619,A4619,$E$2:E4619,0)=1),L4619,0)</f>
        <v>0</v>
      </c>
    </row>
    <row r="4620" spans="1:13" ht="15" customHeight="1">
      <c r="A4620" s="1">
        <v>260</v>
      </c>
      <c r="B4620" s="1" t="s">
        <v>69</v>
      </c>
      <c r="C4620" s="2" t="s">
        <v>5475</v>
      </c>
      <c r="D4620" s="2" t="s">
        <v>5476</v>
      </c>
      <c r="E4620" s="1">
        <v>1</v>
      </c>
      <c r="F4620" s="2" t="s">
        <v>5477</v>
      </c>
      <c r="G4620" s="1">
        <v>1</v>
      </c>
      <c r="H4620" s="1" t="str">
        <f t="shared" si="75"/>
        <v>k260_1</v>
      </c>
      <c r="K4620" s="1">
        <f>IF(E4620=0,SUMPRODUCT(($A$2:$A$4734=A4620)*($B$2:$B$4734=B4620)*($D$2:$D$4734=D4620)*($E$2:$E$4734=0)),0)</f>
        <v>0</v>
      </c>
      <c r="L4620" s="1" t="str">
        <f>IF(E4620=0,SUMPRODUCT(MIN($K$2:$K$4734+((($A$2:$A$4734&lt;&gt;A4620)+($E$2:$E$4734&lt;&gt;0))&gt;0)*1000000)),"")</f>
        <v/>
      </c>
      <c r="M4620" s="1">
        <f>IF(AND(E4620=0,COUNTIFS($A$2:A4620,A4620,$E$2:E4620,0)=1),L4620,0)</f>
        <v>0</v>
      </c>
    </row>
    <row r="4621" spans="1:13" ht="15" customHeight="1">
      <c r="A4621" s="1">
        <v>260</v>
      </c>
      <c r="B4621" s="1" t="s">
        <v>69</v>
      </c>
      <c r="C4621" s="2" t="s">
        <v>5475</v>
      </c>
      <c r="D4621" s="2" t="s">
        <v>5476</v>
      </c>
      <c r="E4621" s="1">
        <v>1</v>
      </c>
      <c r="F4621" s="2" t="s">
        <v>5478</v>
      </c>
      <c r="G4621" s="1">
        <v>2</v>
      </c>
      <c r="H4621" s="1" t="str">
        <f t="shared" si="75"/>
        <v>k260_2</v>
      </c>
      <c r="K4621" s="1">
        <f>IF(E4621=0,SUMPRODUCT(($A$2:$A$4734=A4621)*($B$2:$B$4734=B4621)*($D$2:$D$4734=D4621)*($E$2:$E$4734=0)),0)</f>
        <v>0</v>
      </c>
      <c r="L4621" s="1" t="str">
        <f>IF(E4621=0,SUMPRODUCT(MIN($K$2:$K$4734+((($A$2:$A$4734&lt;&gt;A4621)+($E$2:$E$4734&lt;&gt;0))&gt;0)*1000000)),"")</f>
        <v/>
      </c>
      <c r="M4621" s="1">
        <f>IF(AND(E4621=0,COUNTIFS($A$2:A4621,A4621,$E$2:E4621,0)=1),L4621,0)</f>
        <v>0</v>
      </c>
    </row>
    <row r="4622" spans="1:13" ht="15" customHeight="1">
      <c r="A4622" s="1">
        <v>260</v>
      </c>
      <c r="B4622" s="1" t="s">
        <v>69</v>
      </c>
      <c r="C4622" s="2" t="s">
        <v>5475</v>
      </c>
      <c r="D4622" s="2" t="s">
        <v>5476</v>
      </c>
      <c r="E4622" s="1">
        <v>1</v>
      </c>
      <c r="F4622" s="2" t="s">
        <v>5479</v>
      </c>
      <c r="G4622" s="1">
        <v>3</v>
      </c>
      <c r="H4622" s="1" t="str">
        <f t="shared" si="75"/>
        <v>k260_3</v>
      </c>
      <c r="K4622" s="1">
        <f>IF(E4622=0,SUMPRODUCT(($A$2:$A$4734=A4622)*($B$2:$B$4734=B4622)*($D$2:$D$4734=D4622)*($E$2:$E$4734=0)),0)</f>
        <v>0</v>
      </c>
      <c r="L4622" s="1" t="str">
        <f>IF(E4622=0,SUMPRODUCT(MIN($K$2:$K$4734+((($A$2:$A$4734&lt;&gt;A4622)+($E$2:$E$4734&lt;&gt;0))&gt;0)*1000000)),"")</f>
        <v/>
      </c>
      <c r="M4622" s="1">
        <f>IF(AND(E4622=0,COUNTIFS($A$2:A4622,A4622,$E$2:E4622,0)=1),L4622,0)</f>
        <v>0</v>
      </c>
    </row>
    <row r="4623" spans="1:13" ht="15" customHeight="1">
      <c r="A4623" s="1">
        <v>260</v>
      </c>
      <c r="B4623" s="1" t="s">
        <v>69</v>
      </c>
      <c r="C4623" s="2" t="s">
        <v>5475</v>
      </c>
      <c r="D4623" s="2" t="s">
        <v>5476</v>
      </c>
      <c r="E4623" s="1">
        <v>1</v>
      </c>
      <c r="F4623" s="2" t="s">
        <v>5480</v>
      </c>
      <c r="G4623" s="1">
        <v>4</v>
      </c>
      <c r="H4623" s="1" t="str">
        <f t="shared" si="75"/>
        <v>k260_4</v>
      </c>
      <c r="K4623" s="1">
        <f>IF(E4623=0,SUMPRODUCT(($A$2:$A$4734=A4623)*($B$2:$B$4734=B4623)*($D$2:$D$4734=D4623)*($E$2:$E$4734=0)),0)</f>
        <v>0</v>
      </c>
      <c r="L4623" s="1" t="str">
        <f>IF(E4623=0,SUMPRODUCT(MIN($K$2:$K$4734+((($A$2:$A$4734&lt;&gt;A4623)+($E$2:$E$4734&lt;&gt;0))&gt;0)*1000000)),"")</f>
        <v/>
      </c>
      <c r="M4623" s="1">
        <f>IF(AND(E4623=0,COUNTIFS($A$2:A4623,A4623,$E$2:E4623,0)=1),L4623,0)</f>
        <v>0</v>
      </c>
    </row>
    <row r="4624" spans="1:13" ht="15" customHeight="1">
      <c r="A4624" s="1">
        <v>261</v>
      </c>
      <c r="B4624" s="1" t="s">
        <v>69</v>
      </c>
      <c r="C4624" s="2" t="s">
        <v>5481</v>
      </c>
      <c r="D4624" s="2" t="s">
        <v>5482</v>
      </c>
      <c r="E4624" s="1">
        <v>1</v>
      </c>
      <c r="F4624" s="2" t="s">
        <v>5483</v>
      </c>
      <c r="G4624" s="1">
        <v>1</v>
      </c>
      <c r="H4624" s="1" t="str">
        <f t="shared" si="75"/>
        <v>k261_1</v>
      </c>
      <c r="K4624" s="1">
        <f>IF(E4624=0,SUMPRODUCT(($A$2:$A$4734=A4624)*($B$2:$B$4734=B4624)*($D$2:$D$4734=D4624)*($E$2:$E$4734=0)),0)</f>
        <v>0</v>
      </c>
      <c r="L4624" s="1" t="str">
        <f>IF(E4624=0,SUMPRODUCT(MIN($K$2:$K$4734+((($A$2:$A$4734&lt;&gt;A4624)+($E$2:$E$4734&lt;&gt;0))&gt;0)*1000000)),"")</f>
        <v/>
      </c>
      <c r="M4624" s="1">
        <f>IF(AND(E4624=0,COUNTIFS($A$2:A4624,A4624,$E$2:E4624,0)=1),L4624,0)</f>
        <v>0</v>
      </c>
    </row>
    <row r="4625" spans="1:13" ht="15" customHeight="1">
      <c r="A4625" s="1">
        <v>261</v>
      </c>
      <c r="B4625" s="1" t="s">
        <v>69</v>
      </c>
      <c r="C4625" s="2" t="s">
        <v>5481</v>
      </c>
      <c r="D4625" s="2" t="s">
        <v>5482</v>
      </c>
      <c r="E4625" s="1">
        <v>1</v>
      </c>
      <c r="F4625" s="2" t="s">
        <v>5484</v>
      </c>
      <c r="G4625" s="1">
        <v>2</v>
      </c>
      <c r="H4625" s="1" t="str">
        <f t="shared" si="75"/>
        <v>k261_2</v>
      </c>
      <c r="K4625" s="1">
        <f>IF(E4625=0,SUMPRODUCT(($A$2:$A$4734=A4625)*($B$2:$B$4734=B4625)*($D$2:$D$4734=D4625)*($E$2:$E$4734=0)),0)</f>
        <v>0</v>
      </c>
      <c r="L4625" s="1" t="str">
        <f>IF(E4625=0,SUMPRODUCT(MIN($K$2:$K$4734+((($A$2:$A$4734&lt;&gt;A4625)+($E$2:$E$4734&lt;&gt;0))&gt;0)*1000000)),"")</f>
        <v/>
      </c>
      <c r="M4625" s="1">
        <f>IF(AND(E4625=0,COUNTIFS($A$2:A4625,A4625,$E$2:E4625,0)=1),L4625,0)</f>
        <v>0</v>
      </c>
    </row>
    <row r="4626" spans="1:13" ht="15" customHeight="1">
      <c r="A4626" s="1">
        <v>261</v>
      </c>
      <c r="B4626" s="1" t="s">
        <v>69</v>
      </c>
      <c r="C4626" s="2" t="s">
        <v>5481</v>
      </c>
      <c r="D4626" s="2" t="s">
        <v>5482</v>
      </c>
      <c r="E4626" s="1">
        <v>1</v>
      </c>
      <c r="F4626" s="2" t="s">
        <v>5485</v>
      </c>
      <c r="G4626" s="1">
        <v>3</v>
      </c>
      <c r="H4626" s="1" t="str">
        <f t="shared" si="75"/>
        <v>k261_3</v>
      </c>
      <c r="K4626" s="1">
        <f>IF(E4626=0,SUMPRODUCT(($A$2:$A$4734=A4626)*($B$2:$B$4734=B4626)*($D$2:$D$4734=D4626)*($E$2:$E$4734=0)),0)</f>
        <v>0</v>
      </c>
      <c r="L4626" s="1" t="str">
        <f>IF(E4626=0,SUMPRODUCT(MIN($K$2:$K$4734+((($A$2:$A$4734&lt;&gt;A4626)+($E$2:$E$4734&lt;&gt;0))&gt;0)*1000000)),"")</f>
        <v/>
      </c>
      <c r="M4626" s="1">
        <f>IF(AND(E4626=0,COUNTIFS($A$2:A4626,A4626,$E$2:E4626,0)=1),L4626,0)</f>
        <v>0</v>
      </c>
    </row>
    <row r="4627" spans="1:13" ht="15" customHeight="1">
      <c r="A4627" s="1">
        <v>261</v>
      </c>
      <c r="B4627" s="1" t="s">
        <v>69</v>
      </c>
      <c r="C4627" s="2" t="s">
        <v>5481</v>
      </c>
      <c r="D4627" s="2" t="s">
        <v>5482</v>
      </c>
      <c r="E4627" s="1">
        <v>1</v>
      </c>
      <c r="F4627" s="2" t="s">
        <v>5486</v>
      </c>
      <c r="G4627" s="1">
        <v>4</v>
      </c>
      <c r="H4627" s="1" t="str">
        <f t="shared" si="75"/>
        <v>k261_4</v>
      </c>
      <c r="K4627" s="1">
        <f>IF(E4627=0,SUMPRODUCT(($A$2:$A$4734=A4627)*($B$2:$B$4734=B4627)*($D$2:$D$4734=D4627)*($E$2:$E$4734=0)),0)</f>
        <v>0</v>
      </c>
      <c r="L4627" s="1" t="str">
        <f>IF(E4627=0,SUMPRODUCT(MIN($K$2:$K$4734+((($A$2:$A$4734&lt;&gt;A4627)+($E$2:$E$4734&lt;&gt;0))&gt;0)*1000000)),"")</f>
        <v/>
      </c>
      <c r="M4627" s="1">
        <f>IF(AND(E4627=0,COUNTIFS($A$2:A4627,A4627,$E$2:E4627,0)=1),L4627,0)</f>
        <v>0</v>
      </c>
    </row>
    <row r="4628" spans="1:13" ht="15" customHeight="1">
      <c r="A4628" s="1">
        <v>261</v>
      </c>
      <c r="B4628" s="1" t="s">
        <v>69</v>
      </c>
      <c r="C4628" s="2" t="s">
        <v>5481</v>
      </c>
      <c r="D4628" s="2" t="s">
        <v>5482</v>
      </c>
      <c r="E4628" s="1">
        <v>1</v>
      </c>
      <c r="F4628" s="2" t="s">
        <v>5487</v>
      </c>
      <c r="G4628" s="1">
        <v>5</v>
      </c>
      <c r="H4628" s="1" t="str">
        <f t="shared" si="75"/>
        <v>k261_5</v>
      </c>
      <c r="K4628" s="1">
        <f>IF(E4628=0,SUMPRODUCT(($A$2:$A$4734=A4628)*($B$2:$B$4734=B4628)*($D$2:$D$4734=D4628)*($E$2:$E$4734=0)),0)</f>
        <v>0</v>
      </c>
      <c r="L4628" s="1" t="str">
        <f>IF(E4628=0,SUMPRODUCT(MIN($K$2:$K$4734+((($A$2:$A$4734&lt;&gt;A4628)+($E$2:$E$4734&lt;&gt;0))&gt;0)*1000000)),"")</f>
        <v/>
      </c>
      <c r="M4628" s="1">
        <f>IF(AND(E4628=0,COUNTIFS($A$2:A4628,A4628,$E$2:E4628,0)=1),L4628,0)</f>
        <v>0</v>
      </c>
    </row>
    <row r="4629" spans="1:13" ht="15" customHeight="1">
      <c r="A4629" s="1">
        <v>261</v>
      </c>
      <c r="B4629" s="1" t="s">
        <v>9</v>
      </c>
      <c r="C4629" s="2" t="s">
        <v>5481</v>
      </c>
      <c r="D4629" s="2" t="s">
        <v>5488</v>
      </c>
      <c r="E4629" s="1">
        <v>1</v>
      </c>
      <c r="F4629" s="2" t="s">
        <v>5489</v>
      </c>
      <c r="G4629" s="1">
        <v>1</v>
      </c>
      <c r="H4629" s="1" t="str">
        <f t="shared" si="75"/>
        <v>k261_1</v>
      </c>
      <c r="K4629" s="1">
        <f>IF(E4629=0,SUMPRODUCT(($A$2:$A$4734=A4629)*($B$2:$B$4734=B4629)*($D$2:$D$4734=D4629)*($E$2:$E$4734=0)),0)</f>
        <v>0</v>
      </c>
      <c r="L4629" s="1" t="str">
        <f>IF(E4629=0,SUMPRODUCT(MIN($K$2:$K$4734+((($A$2:$A$4734&lt;&gt;A4629)+($E$2:$E$4734&lt;&gt;0))&gt;0)*1000000)),"")</f>
        <v/>
      </c>
      <c r="M4629" s="1">
        <f>IF(AND(E4629=0,COUNTIFS($A$2:A4629,A4629,$E$2:E4629,0)=1),L4629,0)</f>
        <v>0</v>
      </c>
    </row>
    <row r="4630" spans="1:13" ht="15" customHeight="1">
      <c r="A4630" s="1">
        <v>261</v>
      </c>
      <c r="B4630" s="1" t="s">
        <v>9</v>
      </c>
      <c r="C4630" s="2" t="s">
        <v>5481</v>
      </c>
      <c r="D4630" s="2" t="s">
        <v>5488</v>
      </c>
      <c r="E4630" s="1">
        <v>1</v>
      </c>
      <c r="F4630" s="2" t="s">
        <v>5490</v>
      </c>
      <c r="G4630" s="1">
        <v>2</v>
      </c>
      <c r="H4630" s="1" t="str">
        <f t="shared" si="75"/>
        <v>k261_2</v>
      </c>
      <c r="K4630" s="1">
        <f>IF(E4630=0,SUMPRODUCT(($A$2:$A$4734=A4630)*($B$2:$B$4734=B4630)*($D$2:$D$4734=D4630)*($E$2:$E$4734=0)),0)</f>
        <v>0</v>
      </c>
      <c r="L4630" s="1" t="str">
        <f>IF(E4630=0,SUMPRODUCT(MIN($K$2:$K$4734+((($A$2:$A$4734&lt;&gt;A4630)+($E$2:$E$4734&lt;&gt;0))&gt;0)*1000000)),"")</f>
        <v/>
      </c>
      <c r="M4630" s="1">
        <f>IF(AND(E4630=0,COUNTIFS($A$2:A4630,A4630,$E$2:E4630,0)=1),L4630,0)</f>
        <v>0</v>
      </c>
    </row>
    <row r="4631" spans="1:13" ht="15" customHeight="1">
      <c r="A4631" s="1">
        <v>261</v>
      </c>
      <c r="B4631" s="1" t="s">
        <v>9</v>
      </c>
      <c r="C4631" s="2" t="s">
        <v>5481</v>
      </c>
      <c r="D4631" s="2" t="s">
        <v>5488</v>
      </c>
      <c r="E4631" s="1">
        <v>1</v>
      </c>
      <c r="F4631" s="2" t="s">
        <v>5491</v>
      </c>
      <c r="G4631" s="1">
        <v>3</v>
      </c>
      <c r="H4631" s="1" t="str">
        <f t="shared" si="75"/>
        <v>k261_3</v>
      </c>
      <c r="K4631" s="1">
        <f>IF(E4631=0,SUMPRODUCT(($A$2:$A$4734=A4631)*($B$2:$B$4734=B4631)*($D$2:$D$4734=D4631)*($E$2:$E$4734=0)),0)</f>
        <v>0</v>
      </c>
      <c r="L4631" s="1" t="str">
        <f>IF(E4631=0,SUMPRODUCT(MIN($K$2:$K$4734+((($A$2:$A$4734&lt;&gt;A4631)+($E$2:$E$4734&lt;&gt;0))&gt;0)*1000000)),"")</f>
        <v/>
      </c>
      <c r="M4631" s="1">
        <f>IF(AND(E4631=0,COUNTIFS($A$2:A4631,A4631,$E$2:E4631,0)=1),L4631,0)</f>
        <v>0</v>
      </c>
    </row>
    <row r="4632" spans="1:13" ht="15" customHeight="1">
      <c r="A4632" s="1">
        <v>261</v>
      </c>
      <c r="B4632" s="1" t="s">
        <v>9</v>
      </c>
      <c r="C4632" s="2" t="s">
        <v>5481</v>
      </c>
      <c r="D4632" s="2" t="s">
        <v>5488</v>
      </c>
      <c r="E4632" s="1">
        <v>1</v>
      </c>
      <c r="F4632" s="2" t="s">
        <v>5492</v>
      </c>
      <c r="G4632" s="1">
        <v>4</v>
      </c>
      <c r="H4632" s="1" t="str">
        <f t="shared" si="75"/>
        <v>k261_4</v>
      </c>
      <c r="K4632" s="1">
        <f>IF(E4632=0,SUMPRODUCT(($A$2:$A$4734=A4632)*($B$2:$B$4734=B4632)*($D$2:$D$4734=D4632)*($E$2:$E$4734=0)),0)</f>
        <v>0</v>
      </c>
      <c r="L4632" s="1" t="str">
        <f>IF(E4632=0,SUMPRODUCT(MIN($K$2:$K$4734+((($A$2:$A$4734&lt;&gt;A4632)+($E$2:$E$4734&lt;&gt;0))&gt;0)*1000000)),"")</f>
        <v/>
      </c>
      <c r="M4632" s="1">
        <f>IF(AND(E4632=0,COUNTIFS($A$2:A4632,A4632,$E$2:E4632,0)=1),L4632,0)</f>
        <v>0</v>
      </c>
    </row>
    <row r="4633" spans="1:13" ht="15" customHeight="1">
      <c r="A4633" s="1">
        <v>261</v>
      </c>
      <c r="B4633" s="1" t="s">
        <v>9</v>
      </c>
      <c r="C4633" s="2" t="s">
        <v>5481</v>
      </c>
      <c r="D4633" s="2" t="s">
        <v>5488</v>
      </c>
      <c r="E4633" s="1">
        <v>1</v>
      </c>
      <c r="F4633" s="2" t="s">
        <v>5493</v>
      </c>
      <c r="G4633" s="1">
        <v>5</v>
      </c>
      <c r="H4633" s="1" t="str">
        <f t="shared" si="75"/>
        <v>k261_5</v>
      </c>
      <c r="K4633" s="1">
        <f>IF(E4633=0,SUMPRODUCT(($A$2:$A$4734=A4633)*($B$2:$B$4734=B4633)*($D$2:$D$4734=D4633)*($E$2:$E$4734=0)),0)</f>
        <v>0</v>
      </c>
      <c r="L4633" s="1" t="str">
        <f>IF(E4633=0,SUMPRODUCT(MIN($K$2:$K$4734+((($A$2:$A$4734&lt;&gt;A4633)+($E$2:$E$4734&lt;&gt;0))&gt;0)*1000000)),"")</f>
        <v/>
      </c>
      <c r="M4633" s="1">
        <f>IF(AND(E4633=0,COUNTIFS($A$2:A4633,A4633,$E$2:E4633,0)=1),L4633,0)</f>
        <v>0</v>
      </c>
    </row>
    <row r="4634" spans="1:13" ht="15" customHeight="1">
      <c r="A4634" s="1">
        <v>261</v>
      </c>
      <c r="B4634" s="1" t="s">
        <v>9</v>
      </c>
      <c r="C4634" s="2" t="s">
        <v>5481</v>
      </c>
      <c r="D4634" s="2" t="s">
        <v>5494</v>
      </c>
      <c r="E4634" s="1">
        <v>1</v>
      </c>
      <c r="F4634" s="2" t="s">
        <v>5495</v>
      </c>
      <c r="G4634" s="1">
        <v>2</v>
      </c>
      <c r="H4634" s="1" t="str">
        <f t="shared" si="75"/>
        <v>k261_2</v>
      </c>
      <c r="K4634" s="1">
        <f>IF(E4634=0,SUMPRODUCT(($A$2:$A$4734=A4634)*($B$2:$B$4734=B4634)*($D$2:$D$4734=D4634)*($E$2:$E$4734=0)),0)</f>
        <v>0</v>
      </c>
      <c r="L4634" s="1" t="str">
        <f>IF(E4634=0,SUMPRODUCT(MIN($K$2:$K$4734+((($A$2:$A$4734&lt;&gt;A4634)+($E$2:$E$4734&lt;&gt;0))&gt;0)*1000000)),"")</f>
        <v/>
      </c>
      <c r="M4634" s="1">
        <f>IF(AND(E4634=0,COUNTIFS($A$2:A4634,A4634,$E$2:E4634,0)=1),L4634,0)</f>
        <v>0</v>
      </c>
    </row>
    <row r="4635" spans="1:13" ht="15" customHeight="1">
      <c r="A4635" s="1">
        <v>261</v>
      </c>
      <c r="B4635" s="1" t="s">
        <v>9</v>
      </c>
      <c r="C4635" s="2" t="s">
        <v>5481</v>
      </c>
      <c r="D4635" s="2" t="s">
        <v>5494</v>
      </c>
      <c r="E4635" s="1">
        <v>1</v>
      </c>
      <c r="F4635" s="2" t="s">
        <v>5496</v>
      </c>
      <c r="G4635" s="1">
        <v>1</v>
      </c>
      <c r="H4635" s="1" t="str">
        <f t="shared" si="75"/>
        <v>k261_1</v>
      </c>
      <c r="K4635" s="1">
        <f>IF(E4635=0,SUMPRODUCT(($A$2:$A$4734=A4635)*($B$2:$B$4734=B4635)*($D$2:$D$4734=D4635)*($E$2:$E$4734=0)),0)</f>
        <v>0</v>
      </c>
      <c r="L4635" s="1" t="str">
        <f>IF(E4635=0,SUMPRODUCT(MIN($K$2:$K$4734+((($A$2:$A$4734&lt;&gt;A4635)+($E$2:$E$4734&lt;&gt;0))&gt;0)*1000000)),"")</f>
        <v/>
      </c>
      <c r="M4635" s="1">
        <f>IF(AND(E4635=0,COUNTIFS($A$2:A4635,A4635,$E$2:E4635,0)=1),L4635,0)</f>
        <v>0</v>
      </c>
    </row>
    <row r="4636" spans="1:13" ht="15" customHeight="1">
      <c r="A4636" s="1">
        <v>261</v>
      </c>
      <c r="B4636" s="1" t="s">
        <v>9</v>
      </c>
      <c r="C4636" s="2" t="s">
        <v>5481</v>
      </c>
      <c r="D4636" s="2" t="s">
        <v>5494</v>
      </c>
      <c r="E4636" s="1">
        <v>1</v>
      </c>
      <c r="F4636" s="2" t="s">
        <v>5497</v>
      </c>
      <c r="G4636" s="1">
        <v>3</v>
      </c>
      <c r="H4636" s="1" t="str">
        <f t="shared" si="75"/>
        <v>k261_3</v>
      </c>
      <c r="K4636" s="1">
        <f>IF(E4636=0,SUMPRODUCT(($A$2:$A$4734=A4636)*($B$2:$B$4734=B4636)*($D$2:$D$4734=D4636)*($E$2:$E$4734=0)),0)</f>
        <v>0</v>
      </c>
      <c r="L4636" s="1" t="str">
        <f>IF(E4636=0,SUMPRODUCT(MIN($K$2:$K$4734+((($A$2:$A$4734&lt;&gt;A4636)+($E$2:$E$4734&lt;&gt;0))&gt;0)*1000000)),"")</f>
        <v/>
      </c>
      <c r="M4636" s="1">
        <f>IF(AND(E4636=0,COUNTIFS($A$2:A4636,A4636,$E$2:E4636,0)=1),L4636,0)</f>
        <v>0</v>
      </c>
    </row>
    <row r="4637" spans="1:13" ht="15" customHeight="1">
      <c r="A4637" s="1">
        <v>261</v>
      </c>
      <c r="B4637" s="1" t="s">
        <v>9</v>
      </c>
      <c r="C4637" s="2" t="s">
        <v>5481</v>
      </c>
      <c r="D4637" s="2" t="s">
        <v>5494</v>
      </c>
      <c r="E4637" s="1">
        <v>1</v>
      </c>
      <c r="F4637" s="2" t="s">
        <v>5497</v>
      </c>
      <c r="G4637" s="1">
        <v>5</v>
      </c>
      <c r="H4637" s="1" t="str">
        <f t="shared" si="75"/>
        <v>k261_5</v>
      </c>
      <c r="K4637" s="1">
        <f>IF(E4637=0,SUMPRODUCT(($A$2:$A$4734=A4637)*($B$2:$B$4734=B4637)*($D$2:$D$4734=D4637)*($E$2:$E$4734=0)),0)</f>
        <v>0</v>
      </c>
      <c r="L4637" s="1" t="str">
        <f>IF(E4637=0,SUMPRODUCT(MIN($K$2:$K$4734+((($A$2:$A$4734&lt;&gt;A4637)+($E$2:$E$4734&lt;&gt;0))&gt;0)*1000000)),"")</f>
        <v/>
      </c>
      <c r="M4637" s="1">
        <f>IF(AND(E4637=0,COUNTIFS($A$2:A4637,A4637,$E$2:E4637,0)=1),L4637,0)</f>
        <v>0</v>
      </c>
    </row>
    <row r="4638" spans="1:13" ht="15" customHeight="1">
      <c r="A4638" s="1">
        <v>261</v>
      </c>
      <c r="B4638" s="1" t="s">
        <v>9</v>
      </c>
      <c r="C4638" s="2" t="s">
        <v>5481</v>
      </c>
      <c r="D4638" s="2" t="s">
        <v>5494</v>
      </c>
      <c r="E4638" s="1">
        <v>1</v>
      </c>
      <c r="F4638" s="2" t="s">
        <v>5498</v>
      </c>
      <c r="G4638" s="1">
        <v>4</v>
      </c>
      <c r="H4638" s="1" t="str">
        <f t="shared" si="75"/>
        <v>k261_4</v>
      </c>
      <c r="K4638" s="1">
        <f>IF(E4638=0,SUMPRODUCT(($A$2:$A$4734=A4638)*($B$2:$B$4734=B4638)*($D$2:$D$4734=D4638)*($E$2:$E$4734=0)),0)</f>
        <v>0</v>
      </c>
      <c r="L4638" s="1" t="str">
        <f>IF(E4638=0,SUMPRODUCT(MIN($K$2:$K$4734+((($A$2:$A$4734&lt;&gt;A4638)+($E$2:$E$4734&lt;&gt;0))&gt;0)*1000000)),"")</f>
        <v/>
      </c>
      <c r="M4638" s="1">
        <f>IF(AND(E4638=0,COUNTIFS($A$2:A4638,A4638,$E$2:E4638,0)=1),L4638,0)</f>
        <v>0</v>
      </c>
    </row>
    <row r="4639" spans="1:13" ht="15" customHeight="1">
      <c r="A4639" s="1">
        <v>262</v>
      </c>
      <c r="B4639" s="1" t="s">
        <v>69</v>
      </c>
      <c r="C4639" s="2" t="s">
        <v>5499</v>
      </c>
      <c r="D4639" s="2" t="s">
        <v>5500</v>
      </c>
      <c r="E4639" s="1">
        <v>1</v>
      </c>
      <c r="F4639" s="2" t="s">
        <v>5501</v>
      </c>
      <c r="G4639" s="1">
        <v>1</v>
      </c>
      <c r="H4639" s="1" t="str">
        <f t="shared" si="75"/>
        <v>k262_1</v>
      </c>
      <c r="K4639" s="1">
        <f>IF(E4639=0,SUMPRODUCT(($A$2:$A$4734=A4639)*($B$2:$B$4734=B4639)*($D$2:$D$4734=D4639)*($E$2:$E$4734=0)),0)</f>
        <v>0</v>
      </c>
      <c r="L4639" s="1" t="str">
        <f>IF(E4639=0,SUMPRODUCT(MIN($K$2:$K$4734+((($A$2:$A$4734&lt;&gt;A4639)+($E$2:$E$4734&lt;&gt;0))&gt;0)*1000000)),"")</f>
        <v/>
      </c>
      <c r="M4639" s="1">
        <f>IF(AND(E4639=0,COUNTIFS($A$2:A4639,A4639,$E$2:E4639,0)=1),L4639,0)</f>
        <v>0</v>
      </c>
    </row>
    <row r="4640" spans="1:13" ht="15" customHeight="1">
      <c r="A4640" s="1">
        <v>262</v>
      </c>
      <c r="B4640" s="1" t="s">
        <v>69</v>
      </c>
      <c r="C4640" s="2" t="s">
        <v>5499</v>
      </c>
      <c r="D4640" s="2" t="s">
        <v>5500</v>
      </c>
      <c r="E4640" s="1">
        <v>1</v>
      </c>
      <c r="F4640" s="2" t="s">
        <v>5502</v>
      </c>
      <c r="G4640" s="1">
        <v>2</v>
      </c>
      <c r="H4640" s="1" t="str">
        <f t="shared" si="75"/>
        <v>k262_2</v>
      </c>
      <c r="K4640" s="1">
        <f>IF(E4640=0,SUMPRODUCT(($A$2:$A$4734=A4640)*($B$2:$B$4734=B4640)*($D$2:$D$4734=D4640)*($E$2:$E$4734=0)),0)</f>
        <v>0</v>
      </c>
      <c r="L4640" s="1" t="str">
        <f>IF(E4640=0,SUMPRODUCT(MIN($K$2:$K$4734+((($A$2:$A$4734&lt;&gt;A4640)+($E$2:$E$4734&lt;&gt;0))&gt;0)*1000000)),"")</f>
        <v/>
      </c>
      <c r="M4640" s="1">
        <f>IF(AND(E4640=0,COUNTIFS($A$2:A4640,A4640,$E$2:E4640,0)=1),L4640,0)</f>
        <v>0</v>
      </c>
    </row>
    <row r="4641" spans="1:13" ht="15" customHeight="1">
      <c r="A4641" s="1">
        <v>262</v>
      </c>
      <c r="B4641" s="1" t="s">
        <v>69</v>
      </c>
      <c r="C4641" s="2" t="s">
        <v>5499</v>
      </c>
      <c r="D4641" s="2" t="s">
        <v>5500</v>
      </c>
      <c r="E4641" s="1">
        <v>1</v>
      </c>
      <c r="F4641" s="2" t="s">
        <v>5503</v>
      </c>
      <c r="G4641" s="1">
        <v>3</v>
      </c>
      <c r="H4641" s="1" t="str">
        <f t="shared" si="75"/>
        <v>k262_3</v>
      </c>
      <c r="K4641" s="1">
        <f>IF(E4641=0,SUMPRODUCT(($A$2:$A$4734=A4641)*($B$2:$B$4734=B4641)*($D$2:$D$4734=D4641)*($E$2:$E$4734=0)),0)</f>
        <v>0</v>
      </c>
      <c r="L4641" s="1" t="str">
        <f>IF(E4641=0,SUMPRODUCT(MIN($K$2:$K$4734+((($A$2:$A$4734&lt;&gt;A4641)+($E$2:$E$4734&lt;&gt;0))&gt;0)*1000000)),"")</f>
        <v/>
      </c>
      <c r="M4641" s="1">
        <f>IF(AND(E4641=0,COUNTIFS($A$2:A4641,A4641,$E$2:E4641,0)=1),L4641,0)</f>
        <v>0</v>
      </c>
    </row>
    <row r="4642" spans="1:13" ht="15" customHeight="1">
      <c r="A4642" s="1">
        <v>262</v>
      </c>
      <c r="B4642" s="1" t="s">
        <v>69</v>
      </c>
      <c r="C4642" s="2" t="s">
        <v>5499</v>
      </c>
      <c r="D4642" s="2" t="s">
        <v>5500</v>
      </c>
      <c r="E4642" s="1">
        <v>1</v>
      </c>
      <c r="F4642" s="2" t="s">
        <v>5502</v>
      </c>
      <c r="G4642" s="1">
        <v>4</v>
      </c>
      <c r="H4642" s="1" t="str">
        <f t="shared" si="75"/>
        <v>k262_4</v>
      </c>
      <c r="K4642" s="1">
        <f>IF(E4642=0,SUMPRODUCT(($A$2:$A$4734=A4642)*($B$2:$B$4734=B4642)*($D$2:$D$4734=D4642)*($E$2:$E$4734=0)),0)</f>
        <v>0</v>
      </c>
      <c r="L4642" s="1" t="str">
        <f>IF(E4642=0,SUMPRODUCT(MIN($K$2:$K$4734+((($A$2:$A$4734&lt;&gt;A4642)+($E$2:$E$4734&lt;&gt;0))&gt;0)*1000000)),"")</f>
        <v/>
      </c>
      <c r="M4642" s="1">
        <f>IF(AND(E4642=0,COUNTIFS($A$2:A4642,A4642,$E$2:E4642,0)=1),L4642,0)</f>
        <v>0</v>
      </c>
    </row>
    <row r="4643" spans="1:13" ht="15" customHeight="1">
      <c r="A4643" s="1">
        <v>262</v>
      </c>
      <c r="B4643" s="1" t="s">
        <v>69</v>
      </c>
      <c r="C4643" s="2" t="s">
        <v>5499</v>
      </c>
      <c r="D4643" s="2" t="s">
        <v>5500</v>
      </c>
      <c r="E4643" s="1">
        <v>1</v>
      </c>
      <c r="F4643" s="2" t="s">
        <v>5503</v>
      </c>
      <c r="G4643" s="1">
        <v>5</v>
      </c>
      <c r="H4643" s="1" t="str">
        <f t="shared" si="75"/>
        <v>k262_5</v>
      </c>
      <c r="K4643" s="1">
        <f>IF(E4643=0,SUMPRODUCT(($A$2:$A$4734=A4643)*($B$2:$B$4734=B4643)*($D$2:$D$4734=D4643)*($E$2:$E$4734=0)),0)</f>
        <v>0</v>
      </c>
      <c r="L4643" s="1" t="str">
        <f>IF(E4643=0,SUMPRODUCT(MIN($K$2:$K$4734+((($A$2:$A$4734&lt;&gt;A4643)+($E$2:$E$4734&lt;&gt;0))&gt;0)*1000000)),"")</f>
        <v/>
      </c>
      <c r="M4643" s="1">
        <f>IF(AND(E4643=0,COUNTIFS($A$2:A4643,A4643,$E$2:E4643,0)=1),L4643,0)</f>
        <v>0</v>
      </c>
    </row>
    <row r="4644" spans="1:13" ht="15" customHeight="1">
      <c r="A4644" s="1">
        <v>262</v>
      </c>
      <c r="B4644" s="1" t="s">
        <v>9</v>
      </c>
      <c r="C4644" s="2" t="s">
        <v>5499</v>
      </c>
      <c r="D4644" s="2" t="s">
        <v>5504</v>
      </c>
      <c r="E4644" s="1">
        <v>1</v>
      </c>
      <c r="F4644" s="2" t="s">
        <v>5505</v>
      </c>
      <c r="G4644" s="1">
        <v>4</v>
      </c>
      <c r="H4644" s="1" t="str">
        <f t="shared" si="75"/>
        <v>k262_4</v>
      </c>
      <c r="K4644" s="1">
        <f>IF(E4644=0,SUMPRODUCT(($A$2:$A$4734=A4644)*($B$2:$B$4734=B4644)*($D$2:$D$4734=D4644)*($E$2:$E$4734=0)),0)</f>
        <v>0</v>
      </c>
      <c r="L4644" s="1" t="str">
        <f>IF(E4644=0,SUMPRODUCT(MIN($K$2:$K$4734+((($A$2:$A$4734&lt;&gt;A4644)+($E$2:$E$4734&lt;&gt;0))&gt;0)*1000000)),"")</f>
        <v/>
      </c>
      <c r="M4644" s="1">
        <f>IF(AND(E4644=0,COUNTIFS($A$2:A4644,A4644,$E$2:E4644,0)=1),L4644,0)</f>
        <v>0</v>
      </c>
    </row>
    <row r="4645" spans="1:13" ht="15" customHeight="1">
      <c r="A4645" s="1">
        <v>262</v>
      </c>
      <c r="B4645" s="1" t="s">
        <v>9</v>
      </c>
      <c r="C4645" s="2" t="s">
        <v>5499</v>
      </c>
      <c r="D4645" s="2" t="s">
        <v>5504</v>
      </c>
      <c r="E4645" s="1">
        <v>1</v>
      </c>
      <c r="F4645" s="2" t="s">
        <v>5506</v>
      </c>
      <c r="G4645" s="1">
        <v>2</v>
      </c>
      <c r="H4645" s="1" t="str">
        <f t="shared" si="75"/>
        <v>k262_2</v>
      </c>
      <c r="K4645" s="1">
        <f>IF(E4645=0,SUMPRODUCT(($A$2:$A$4734=A4645)*($B$2:$B$4734=B4645)*($D$2:$D$4734=D4645)*($E$2:$E$4734=0)),0)</f>
        <v>0</v>
      </c>
      <c r="L4645" s="1" t="str">
        <f>IF(E4645=0,SUMPRODUCT(MIN($K$2:$K$4734+((($A$2:$A$4734&lt;&gt;A4645)+($E$2:$E$4734&lt;&gt;0))&gt;0)*1000000)),"")</f>
        <v/>
      </c>
      <c r="M4645" s="1">
        <f>IF(AND(E4645=0,COUNTIFS($A$2:A4645,A4645,$E$2:E4645,0)=1),L4645,0)</f>
        <v>0</v>
      </c>
    </row>
    <row r="4646" spans="1:13" ht="15" customHeight="1">
      <c r="A4646" s="1">
        <v>262</v>
      </c>
      <c r="B4646" s="1" t="s">
        <v>9</v>
      </c>
      <c r="C4646" s="2" t="s">
        <v>5499</v>
      </c>
      <c r="D4646" s="2" t="s">
        <v>5504</v>
      </c>
      <c r="E4646" s="1">
        <v>1</v>
      </c>
      <c r="F4646" s="2" t="s">
        <v>5507</v>
      </c>
      <c r="G4646" s="1">
        <v>5</v>
      </c>
      <c r="H4646" s="1" t="str">
        <f t="shared" si="75"/>
        <v>k262_5</v>
      </c>
      <c r="K4646" s="1">
        <f>IF(E4646=0,SUMPRODUCT(($A$2:$A$4734=A4646)*($B$2:$B$4734=B4646)*($D$2:$D$4734=D4646)*($E$2:$E$4734=0)),0)</f>
        <v>0</v>
      </c>
      <c r="L4646" s="1" t="str">
        <f>IF(E4646=0,SUMPRODUCT(MIN($K$2:$K$4734+((($A$2:$A$4734&lt;&gt;A4646)+($E$2:$E$4734&lt;&gt;0))&gt;0)*1000000)),"")</f>
        <v/>
      </c>
      <c r="M4646" s="1">
        <f>IF(AND(E4646=0,COUNTIFS($A$2:A4646,A4646,$E$2:E4646,0)=1),L4646,0)</f>
        <v>0</v>
      </c>
    </row>
    <row r="4647" spans="1:13" ht="15" customHeight="1">
      <c r="A4647" s="1">
        <v>262</v>
      </c>
      <c r="B4647" s="1" t="s">
        <v>9</v>
      </c>
      <c r="C4647" s="2" t="s">
        <v>5499</v>
      </c>
      <c r="D4647" s="2" t="s">
        <v>5504</v>
      </c>
      <c r="E4647" s="1">
        <v>1</v>
      </c>
      <c r="F4647" s="2" t="s">
        <v>5506</v>
      </c>
      <c r="G4647" s="1">
        <v>1</v>
      </c>
      <c r="H4647" s="1" t="str">
        <f t="shared" si="75"/>
        <v>k262_1</v>
      </c>
      <c r="K4647" s="1">
        <f>IF(E4647=0,SUMPRODUCT(($A$2:$A$4734=A4647)*($B$2:$B$4734=B4647)*($D$2:$D$4734=D4647)*($E$2:$E$4734=0)),0)</f>
        <v>0</v>
      </c>
      <c r="L4647" s="1" t="str">
        <f>IF(E4647=0,SUMPRODUCT(MIN($K$2:$K$4734+((($A$2:$A$4734&lt;&gt;A4647)+($E$2:$E$4734&lt;&gt;0))&gt;0)*1000000)),"")</f>
        <v/>
      </c>
      <c r="M4647" s="1">
        <f>IF(AND(E4647=0,COUNTIFS($A$2:A4647,A4647,$E$2:E4647,0)=1),L4647,0)</f>
        <v>0</v>
      </c>
    </row>
    <row r="4648" spans="1:13" ht="15" customHeight="1">
      <c r="A4648" s="1">
        <v>262</v>
      </c>
      <c r="B4648" s="1" t="s">
        <v>9</v>
      </c>
      <c r="C4648" s="2" t="s">
        <v>5499</v>
      </c>
      <c r="D4648" s="2" t="s">
        <v>5504</v>
      </c>
      <c r="E4648" s="1">
        <v>1</v>
      </c>
      <c r="F4648" s="2" t="s">
        <v>5508</v>
      </c>
      <c r="G4648" s="1">
        <v>3</v>
      </c>
      <c r="H4648" s="1" t="str">
        <f t="shared" si="75"/>
        <v>k262_3</v>
      </c>
      <c r="K4648" s="1">
        <f>IF(E4648=0,SUMPRODUCT(($A$2:$A$4734=A4648)*($B$2:$B$4734=B4648)*($D$2:$D$4734=D4648)*($E$2:$E$4734=0)),0)</f>
        <v>0</v>
      </c>
      <c r="L4648" s="1" t="str">
        <f>IF(E4648=0,SUMPRODUCT(MIN($K$2:$K$4734+((($A$2:$A$4734&lt;&gt;A4648)+($E$2:$E$4734&lt;&gt;0))&gt;0)*1000000)),"")</f>
        <v/>
      </c>
      <c r="M4648" s="1">
        <f>IF(AND(E4648=0,COUNTIFS($A$2:A4648,A4648,$E$2:E4648,0)=1),L4648,0)</f>
        <v>0</v>
      </c>
    </row>
    <row r="4649" spans="1:13" ht="15" customHeight="1">
      <c r="A4649" s="1">
        <v>262</v>
      </c>
      <c r="B4649" s="1" t="s">
        <v>9</v>
      </c>
      <c r="C4649" s="2" t="s">
        <v>5499</v>
      </c>
      <c r="D4649" s="2" t="s">
        <v>5509</v>
      </c>
      <c r="E4649" s="1">
        <v>1</v>
      </c>
      <c r="F4649" s="2" t="s">
        <v>5510</v>
      </c>
      <c r="G4649" s="1">
        <v>2</v>
      </c>
      <c r="H4649" s="1" t="str">
        <f t="shared" si="75"/>
        <v>k262_2</v>
      </c>
      <c r="K4649" s="1">
        <f>IF(E4649=0,SUMPRODUCT(($A$2:$A$4734=A4649)*($B$2:$B$4734=B4649)*($D$2:$D$4734=D4649)*($E$2:$E$4734=0)),0)</f>
        <v>0</v>
      </c>
      <c r="L4649" s="1" t="str">
        <f>IF(E4649=0,SUMPRODUCT(MIN($K$2:$K$4734+((($A$2:$A$4734&lt;&gt;A4649)+($E$2:$E$4734&lt;&gt;0))&gt;0)*1000000)),"")</f>
        <v/>
      </c>
      <c r="M4649" s="1">
        <f>IF(AND(E4649=0,COUNTIFS($A$2:A4649,A4649,$E$2:E4649,0)=1),L4649,0)</f>
        <v>0</v>
      </c>
    </row>
    <row r="4650" spans="1:13" ht="15" customHeight="1">
      <c r="A4650" s="1">
        <v>262</v>
      </c>
      <c r="B4650" s="1" t="s">
        <v>9</v>
      </c>
      <c r="C4650" s="2" t="s">
        <v>5499</v>
      </c>
      <c r="D4650" s="2" t="s">
        <v>5509</v>
      </c>
      <c r="E4650" s="1">
        <v>1</v>
      </c>
      <c r="F4650" s="2" t="s">
        <v>5511</v>
      </c>
      <c r="G4650" s="1">
        <v>3</v>
      </c>
      <c r="H4650" s="1" t="str">
        <f t="shared" si="75"/>
        <v>k262_3</v>
      </c>
      <c r="K4650" s="1">
        <f>IF(E4650=0,SUMPRODUCT(($A$2:$A$4734=A4650)*($B$2:$B$4734=B4650)*($D$2:$D$4734=D4650)*($E$2:$E$4734=0)),0)</f>
        <v>0</v>
      </c>
      <c r="L4650" s="1" t="str">
        <f>IF(E4650=0,SUMPRODUCT(MIN($K$2:$K$4734+((($A$2:$A$4734&lt;&gt;A4650)+($E$2:$E$4734&lt;&gt;0))&gt;0)*1000000)),"")</f>
        <v/>
      </c>
      <c r="M4650" s="1">
        <f>IF(AND(E4650=0,COUNTIFS($A$2:A4650,A4650,$E$2:E4650,0)=1),L4650,0)</f>
        <v>0</v>
      </c>
    </row>
    <row r="4651" spans="1:13" ht="15" customHeight="1">
      <c r="A4651" s="1">
        <v>262</v>
      </c>
      <c r="B4651" s="1" t="s">
        <v>9</v>
      </c>
      <c r="C4651" s="2" t="s">
        <v>5499</v>
      </c>
      <c r="D4651" s="2" t="s">
        <v>5509</v>
      </c>
      <c r="E4651" s="1">
        <v>1</v>
      </c>
      <c r="F4651" s="2" t="s">
        <v>5510</v>
      </c>
      <c r="G4651" s="1">
        <v>4</v>
      </c>
      <c r="H4651" s="1" t="str">
        <f t="shared" si="75"/>
        <v>k262_4</v>
      </c>
      <c r="K4651" s="1">
        <f>IF(E4651=0,SUMPRODUCT(($A$2:$A$4734=A4651)*($B$2:$B$4734=B4651)*($D$2:$D$4734=D4651)*($E$2:$E$4734=0)),0)</f>
        <v>0</v>
      </c>
      <c r="L4651" s="1" t="str">
        <f>IF(E4651=0,SUMPRODUCT(MIN($K$2:$K$4734+((($A$2:$A$4734&lt;&gt;A4651)+($E$2:$E$4734&lt;&gt;0))&gt;0)*1000000)),"")</f>
        <v/>
      </c>
      <c r="M4651" s="1">
        <f>IF(AND(E4651=0,COUNTIFS($A$2:A4651,A4651,$E$2:E4651,0)=1),L4651,0)</f>
        <v>0</v>
      </c>
    </row>
    <row r="4652" spans="1:13" ht="15" customHeight="1">
      <c r="A4652" s="1">
        <v>262</v>
      </c>
      <c r="B4652" s="1" t="s">
        <v>9</v>
      </c>
      <c r="C4652" s="2" t="s">
        <v>5499</v>
      </c>
      <c r="D4652" s="2" t="s">
        <v>5509</v>
      </c>
      <c r="E4652" s="1">
        <v>1</v>
      </c>
      <c r="F4652" s="2" t="s">
        <v>5511</v>
      </c>
      <c r="G4652" s="1">
        <v>5</v>
      </c>
      <c r="H4652" s="1" t="str">
        <f t="shared" si="75"/>
        <v>k262_5</v>
      </c>
      <c r="K4652" s="1">
        <f>IF(E4652=0,SUMPRODUCT(($A$2:$A$4734=A4652)*($B$2:$B$4734=B4652)*($D$2:$D$4734=D4652)*($E$2:$E$4734=0)),0)</f>
        <v>0</v>
      </c>
      <c r="L4652" s="1" t="str">
        <f>IF(E4652=0,SUMPRODUCT(MIN($K$2:$K$4734+((($A$2:$A$4734&lt;&gt;A4652)+($E$2:$E$4734&lt;&gt;0))&gt;0)*1000000)),"")</f>
        <v/>
      </c>
      <c r="M4652" s="1">
        <f>IF(AND(E4652=0,COUNTIFS($A$2:A4652,A4652,$E$2:E4652,0)=1),L4652,0)</f>
        <v>0</v>
      </c>
    </row>
    <row r="4653" spans="1:13" ht="15" customHeight="1">
      <c r="A4653" s="1">
        <v>262</v>
      </c>
      <c r="B4653" s="1" t="s">
        <v>9</v>
      </c>
      <c r="C4653" s="2" t="s">
        <v>5499</v>
      </c>
      <c r="D4653" s="2" t="s">
        <v>5509</v>
      </c>
      <c r="E4653" s="1">
        <v>1</v>
      </c>
      <c r="F4653" s="2" t="s">
        <v>5512</v>
      </c>
      <c r="G4653" s="1">
        <v>1</v>
      </c>
      <c r="H4653" s="1" t="str">
        <f t="shared" si="75"/>
        <v>k262_1</v>
      </c>
      <c r="K4653" s="1">
        <f>IF(E4653=0,SUMPRODUCT(($A$2:$A$4734=A4653)*($B$2:$B$4734=B4653)*($D$2:$D$4734=D4653)*($E$2:$E$4734=0)),0)</f>
        <v>0</v>
      </c>
      <c r="L4653" s="1" t="str">
        <f>IF(E4653=0,SUMPRODUCT(MIN($K$2:$K$4734+((($A$2:$A$4734&lt;&gt;A4653)+($E$2:$E$4734&lt;&gt;0))&gt;0)*1000000)),"")</f>
        <v/>
      </c>
      <c r="M4653" s="1">
        <f>IF(AND(E4653=0,COUNTIFS($A$2:A4653,A4653,$E$2:E4653,0)=1),L4653,0)</f>
        <v>0</v>
      </c>
    </row>
    <row r="4654" spans="1:13" ht="15" customHeight="1">
      <c r="A4654" s="1">
        <v>263</v>
      </c>
      <c r="B4654" s="1" t="s">
        <v>69</v>
      </c>
      <c r="C4654" s="2" t="s">
        <v>5513</v>
      </c>
      <c r="D4654" s="2" t="s">
        <v>5514</v>
      </c>
      <c r="E4654" s="1">
        <v>1</v>
      </c>
      <c r="F4654" s="2" t="s">
        <v>5515</v>
      </c>
      <c r="G4654" s="1">
        <v>1</v>
      </c>
      <c r="H4654" s="1" t="str">
        <f t="shared" si="75"/>
        <v>k263_1</v>
      </c>
      <c r="K4654" s="1">
        <f>IF(E4654=0,SUMPRODUCT(($A$2:$A$4734=A4654)*($B$2:$B$4734=B4654)*($D$2:$D$4734=D4654)*($E$2:$E$4734=0)),0)</f>
        <v>0</v>
      </c>
      <c r="L4654" s="1" t="str">
        <f>IF(E4654=0,SUMPRODUCT(MIN($K$2:$K$4734+((($A$2:$A$4734&lt;&gt;A4654)+($E$2:$E$4734&lt;&gt;0))&gt;0)*1000000)),"")</f>
        <v/>
      </c>
      <c r="M4654" s="1">
        <f>IF(AND(E4654=0,COUNTIFS($A$2:A4654,A4654,$E$2:E4654,0)=1),L4654,0)</f>
        <v>0</v>
      </c>
    </row>
    <row r="4655" spans="1:13" ht="15" customHeight="1">
      <c r="A4655" s="1">
        <v>263</v>
      </c>
      <c r="B4655" s="1" t="s">
        <v>69</v>
      </c>
      <c r="C4655" s="2" t="s">
        <v>5513</v>
      </c>
      <c r="D4655" s="2" t="s">
        <v>5514</v>
      </c>
      <c r="E4655" s="1">
        <v>1</v>
      </c>
      <c r="F4655" s="2" t="s">
        <v>5516</v>
      </c>
      <c r="G4655" s="1">
        <v>2</v>
      </c>
      <c r="H4655" s="1" t="str">
        <f t="shared" si="75"/>
        <v>k263_2</v>
      </c>
      <c r="K4655" s="1">
        <f>IF(E4655=0,SUMPRODUCT(($A$2:$A$4734=A4655)*($B$2:$B$4734=B4655)*($D$2:$D$4734=D4655)*($E$2:$E$4734=0)),0)</f>
        <v>0</v>
      </c>
      <c r="L4655" s="1" t="str">
        <f>IF(E4655=0,SUMPRODUCT(MIN($K$2:$K$4734+((($A$2:$A$4734&lt;&gt;A4655)+($E$2:$E$4734&lt;&gt;0))&gt;0)*1000000)),"")</f>
        <v/>
      </c>
      <c r="M4655" s="1">
        <f>IF(AND(E4655=0,COUNTIFS($A$2:A4655,A4655,$E$2:E4655,0)=1),L4655,0)</f>
        <v>0</v>
      </c>
    </row>
    <row r="4656" spans="1:13" ht="15" customHeight="1">
      <c r="A4656" s="1">
        <v>263</v>
      </c>
      <c r="B4656" s="1" t="s">
        <v>69</v>
      </c>
      <c r="C4656" s="2" t="s">
        <v>5513</v>
      </c>
      <c r="D4656" s="2" t="s">
        <v>5514</v>
      </c>
      <c r="E4656" s="1">
        <v>1</v>
      </c>
      <c r="F4656" s="2" t="s">
        <v>5517</v>
      </c>
      <c r="G4656" s="1">
        <v>3</v>
      </c>
      <c r="H4656" s="1" t="str">
        <f t="shared" si="75"/>
        <v>k263_3</v>
      </c>
      <c r="K4656" s="1">
        <f>IF(E4656=0,SUMPRODUCT(($A$2:$A$4734=A4656)*($B$2:$B$4734=B4656)*($D$2:$D$4734=D4656)*($E$2:$E$4734=0)),0)</f>
        <v>0</v>
      </c>
      <c r="L4656" s="1" t="str">
        <f>IF(E4656=0,SUMPRODUCT(MIN($K$2:$K$4734+((($A$2:$A$4734&lt;&gt;A4656)+($E$2:$E$4734&lt;&gt;0))&gt;0)*1000000)),"")</f>
        <v/>
      </c>
      <c r="M4656" s="1">
        <f>IF(AND(E4656=0,COUNTIFS($A$2:A4656,A4656,$E$2:E4656,0)=1),L4656,0)</f>
        <v>0</v>
      </c>
    </row>
    <row r="4657" spans="1:13" ht="15" customHeight="1">
      <c r="A4657" s="1">
        <v>263</v>
      </c>
      <c r="B4657" s="1" t="s">
        <v>9</v>
      </c>
      <c r="C4657" s="2" t="s">
        <v>5513</v>
      </c>
      <c r="D4657" s="2" t="s">
        <v>5518</v>
      </c>
      <c r="E4657" s="1">
        <v>1</v>
      </c>
      <c r="F4657" s="2" t="s">
        <v>5519</v>
      </c>
      <c r="G4657" s="1">
        <v>4</v>
      </c>
      <c r="H4657" s="1" t="str">
        <f t="shared" si="75"/>
        <v>k263_4</v>
      </c>
      <c r="K4657" s="1">
        <f>IF(E4657=0,SUMPRODUCT(($A$2:$A$4734=A4657)*($B$2:$B$4734=B4657)*($D$2:$D$4734=D4657)*($E$2:$E$4734=0)),0)</f>
        <v>0</v>
      </c>
      <c r="L4657" s="1" t="str">
        <f>IF(E4657=0,SUMPRODUCT(MIN($K$2:$K$4734+((($A$2:$A$4734&lt;&gt;A4657)+($E$2:$E$4734&lt;&gt;0))&gt;0)*1000000)),"")</f>
        <v/>
      </c>
      <c r="M4657" s="1">
        <f>IF(AND(E4657=0,COUNTIFS($A$2:A4657,A4657,$E$2:E4657,0)=1),L4657,0)</f>
        <v>0</v>
      </c>
    </row>
    <row r="4658" spans="1:13" ht="15" customHeight="1">
      <c r="A4658" s="1">
        <v>263</v>
      </c>
      <c r="B4658" s="1" t="s">
        <v>9</v>
      </c>
      <c r="C4658" s="2" t="s">
        <v>5513</v>
      </c>
      <c r="D4658" s="2" t="s">
        <v>5518</v>
      </c>
      <c r="E4658" s="1">
        <v>1</v>
      </c>
      <c r="F4658" s="2" t="s">
        <v>5520</v>
      </c>
      <c r="G4658" s="1">
        <v>5</v>
      </c>
      <c r="H4658" s="1" t="str">
        <f t="shared" si="75"/>
        <v>k263_5</v>
      </c>
      <c r="K4658" s="1">
        <f>IF(E4658=0,SUMPRODUCT(($A$2:$A$4734=A4658)*($B$2:$B$4734=B4658)*($D$2:$D$4734=D4658)*($E$2:$E$4734=0)),0)</f>
        <v>0</v>
      </c>
      <c r="L4658" s="1" t="str">
        <f>IF(E4658=0,SUMPRODUCT(MIN($K$2:$K$4734+((($A$2:$A$4734&lt;&gt;A4658)+($E$2:$E$4734&lt;&gt;0))&gt;0)*1000000)),"")</f>
        <v/>
      </c>
      <c r="M4658" s="1">
        <f>IF(AND(E4658=0,COUNTIFS($A$2:A4658,A4658,$E$2:E4658,0)=1),L4658,0)</f>
        <v>0</v>
      </c>
    </row>
    <row r="4659" spans="1:13" ht="15" customHeight="1">
      <c r="A4659" s="1">
        <v>264</v>
      </c>
      <c r="B4659" s="1" t="s">
        <v>9</v>
      </c>
      <c r="C4659" s="2" t="s">
        <v>5521</v>
      </c>
      <c r="D4659" s="2" t="s">
        <v>3151</v>
      </c>
      <c r="E4659" s="1">
        <v>1</v>
      </c>
      <c r="F4659" s="2" t="s">
        <v>5522</v>
      </c>
      <c r="G4659" s="1">
        <v>2</v>
      </c>
      <c r="H4659" s="1" t="str">
        <f t="shared" si="75"/>
        <v>k264_2</v>
      </c>
      <c r="K4659" s="1">
        <f>IF(E4659=0,SUMPRODUCT(($A$2:$A$4734=A4659)*($B$2:$B$4734=B4659)*($D$2:$D$4734=D4659)*($E$2:$E$4734=0)),0)</f>
        <v>0</v>
      </c>
      <c r="L4659" s="1" t="str">
        <f>IF(E4659=0,SUMPRODUCT(MIN($K$2:$K$4734+((($A$2:$A$4734&lt;&gt;A4659)+($E$2:$E$4734&lt;&gt;0))&gt;0)*1000000)),"")</f>
        <v/>
      </c>
      <c r="M4659" s="1">
        <f>IF(AND(E4659=0,COUNTIFS($A$2:A4659,A4659,$E$2:E4659,0)=1),L4659,0)</f>
        <v>0</v>
      </c>
    </row>
    <row r="4660" spans="1:13" ht="15" customHeight="1">
      <c r="A4660" s="1">
        <v>264</v>
      </c>
      <c r="B4660" s="1" t="s">
        <v>9</v>
      </c>
      <c r="C4660" s="2" t="s">
        <v>5521</v>
      </c>
      <c r="D4660" s="2" t="s">
        <v>3151</v>
      </c>
      <c r="E4660" s="1">
        <v>1</v>
      </c>
      <c r="F4660" s="2" t="s">
        <v>5523</v>
      </c>
      <c r="G4660" s="1">
        <v>1</v>
      </c>
      <c r="H4660" s="1" t="str">
        <f t="shared" si="75"/>
        <v>k264_1</v>
      </c>
      <c r="K4660" s="1">
        <f>IF(E4660=0,SUMPRODUCT(($A$2:$A$4734=A4660)*($B$2:$B$4734=B4660)*($D$2:$D$4734=D4660)*($E$2:$E$4734=0)),0)</f>
        <v>0</v>
      </c>
      <c r="L4660" s="1" t="str">
        <f>IF(E4660=0,SUMPRODUCT(MIN($K$2:$K$4734+((($A$2:$A$4734&lt;&gt;A4660)+($E$2:$E$4734&lt;&gt;0))&gt;0)*1000000)),"")</f>
        <v/>
      </c>
      <c r="M4660" s="1">
        <f>IF(AND(E4660=0,COUNTIFS($A$2:A4660,A4660,$E$2:E4660,0)=1),L4660,0)</f>
        <v>0</v>
      </c>
    </row>
    <row r="4661" spans="1:13" ht="15" customHeight="1">
      <c r="A4661" s="1">
        <v>264</v>
      </c>
      <c r="B4661" s="1" t="s">
        <v>9</v>
      </c>
      <c r="C4661" s="2" t="s">
        <v>5521</v>
      </c>
      <c r="D4661" s="2" t="s">
        <v>3151</v>
      </c>
      <c r="E4661" s="1">
        <v>1</v>
      </c>
      <c r="F4661" s="2" t="s">
        <v>5522</v>
      </c>
      <c r="G4661" s="1">
        <v>4</v>
      </c>
      <c r="H4661" s="1" t="str">
        <f t="shared" si="75"/>
        <v>k264_4</v>
      </c>
      <c r="K4661" s="1">
        <f>IF(E4661=0,SUMPRODUCT(($A$2:$A$4734=A4661)*($B$2:$B$4734=B4661)*($D$2:$D$4734=D4661)*($E$2:$E$4734=0)),0)</f>
        <v>0</v>
      </c>
      <c r="L4661" s="1" t="str">
        <f>IF(E4661=0,SUMPRODUCT(MIN($K$2:$K$4734+((($A$2:$A$4734&lt;&gt;A4661)+($E$2:$E$4734&lt;&gt;0))&gt;0)*1000000)),"")</f>
        <v/>
      </c>
      <c r="M4661" s="1">
        <f>IF(AND(E4661=0,COUNTIFS($A$2:A4661,A4661,$E$2:E4661,0)=1),L4661,0)</f>
        <v>0</v>
      </c>
    </row>
    <row r="4662" spans="1:13" ht="15" customHeight="1">
      <c r="A4662" s="1">
        <v>264</v>
      </c>
      <c r="B4662" s="1" t="s">
        <v>9</v>
      </c>
      <c r="C4662" s="2" t="s">
        <v>5521</v>
      </c>
      <c r="D4662" s="2" t="s">
        <v>3151</v>
      </c>
      <c r="E4662" s="1">
        <v>1</v>
      </c>
      <c r="F4662" s="2" t="s">
        <v>5523</v>
      </c>
      <c r="G4662" s="1">
        <v>3</v>
      </c>
      <c r="H4662" s="1" t="str">
        <f t="shared" si="75"/>
        <v>k264_3</v>
      </c>
      <c r="K4662" s="1">
        <f>IF(E4662=0,SUMPRODUCT(($A$2:$A$4734=A4662)*($B$2:$B$4734=B4662)*($D$2:$D$4734=D4662)*($E$2:$E$4734=0)),0)</f>
        <v>0</v>
      </c>
      <c r="L4662" s="1" t="str">
        <f>IF(E4662=0,SUMPRODUCT(MIN($K$2:$K$4734+((($A$2:$A$4734&lt;&gt;A4662)+($E$2:$E$4734&lt;&gt;0))&gt;0)*1000000)),"")</f>
        <v/>
      </c>
      <c r="M4662" s="1">
        <f>IF(AND(E4662=0,COUNTIFS($A$2:A4662,A4662,$E$2:E4662,0)=1),L4662,0)</f>
        <v>0</v>
      </c>
    </row>
    <row r="4663" spans="1:13" ht="15" customHeight="1">
      <c r="A4663" s="1">
        <v>264</v>
      </c>
      <c r="B4663" s="1" t="s">
        <v>69</v>
      </c>
      <c r="C4663" s="2" t="s">
        <v>5521</v>
      </c>
      <c r="D4663" s="1" t="s">
        <v>5524</v>
      </c>
      <c r="E4663" s="1">
        <v>1</v>
      </c>
      <c r="F4663" s="2" t="s">
        <v>5525</v>
      </c>
      <c r="G4663" s="1">
        <v>1</v>
      </c>
      <c r="H4663" s="1" t="str">
        <f t="shared" si="75"/>
        <v>k264_1</v>
      </c>
      <c r="K4663" s="1">
        <f>IF(E4663=0,SUMPRODUCT(($A$2:$A$4734=A4663)*($B$2:$B$4734=B4663)*($D$2:$D$4734=D4663)*($E$2:$E$4734=0)),0)</f>
        <v>0</v>
      </c>
      <c r="L4663" s="1" t="str">
        <f>IF(E4663=0,SUMPRODUCT(MIN($K$2:$K$4734+((($A$2:$A$4734&lt;&gt;A4663)+($E$2:$E$4734&lt;&gt;0))&gt;0)*1000000)),"")</f>
        <v/>
      </c>
      <c r="M4663" s="1">
        <f>IF(AND(E4663=0,COUNTIFS($A$2:A4663,A4663,$E$2:E4663,0)=1),L4663,0)</f>
        <v>0</v>
      </c>
    </row>
    <row r="4664" spans="1:13" ht="15" customHeight="1">
      <c r="A4664" s="1">
        <v>264</v>
      </c>
      <c r="B4664" s="1" t="s">
        <v>69</v>
      </c>
      <c r="C4664" s="2" t="s">
        <v>5521</v>
      </c>
      <c r="D4664" s="1" t="s">
        <v>5524</v>
      </c>
      <c r="E4664" s="1">
        <v>1</v>
      </c>
      <c r="F4664" s="2" t="s">
        <v>5526</v>
      </c>
      <c r="G4664" s="1">
        <v>2</v>
      </c>
      <c r="H4664" s="1" t="str">
        <f t="shared" si="75"/>
        <v>k264_2</v>
      </c>
      <c r="K4664" s="1">
        <f>IF(E4664=0,SUMPRODUCT(($A$2:$A$4734=A4664)*($B$2:$B$4734=B4664)*($D$2:$D$4734=D4664)*($E$2:$E$4734=0)),0)</f>
        <v>0</v>
      </c>
      <c r="L4664" s="1" t="str">
        <f>IF(E4664=0,SUMPRODUCT(MIN($K$2:$K$4734+((($A$2:$A$4734&lt;&gt;A4664)+($E$2:$E$4734&lt;&gt;0))&gt;0)*1000000)),"")</f>
        <v/>
      </c>
      <c r="M4664" s="1">
        <f>IF(AND(E4664=0,COUNTIFS($A$2:A4664,A4664,$E$2:E4664,0)=1),L4664,0)</f>
        <v>0</v>
      </c>
    </row>
    <row r="4665" spans="1:13" ht="15" customHeight="1">
      <c r="A4665" s="1">
        <v>264</v>
      </c>
      <c r="B4665" s="1" t="s">
        <v>69</v>
      </c>
      <c r="C4665" s="2" t="s">
        <v>5521</v>
      </c>
      <c r="D4665" s="1" t="s">
        <v>5524</v>
      </c>
      <c r="E4665" s="1">
        <v>1</v>
      </c>
      <c r="F4665" s="2" t="s">
        <v>5527</v>
      </c>
      <c r="G4665" s="1">
        <v>3</v>
      </c>
      <c r="H4665" s="1" t="str">
        <f t="shared" si="75"/>
        <v>k264_3</v>
      </c>
      <c r="K4665" s="1">
        <f>IF(E4665=0,SUMPRODUCT(($A$2:$A$4734=A4665)*($B$2:$B$4734=B4665)*($D$2:$D$4734=D4665)*($E$2:$E$4734=0)),0)</f>
        <v>0</v>
      </c>
      <c r="L4665" s="1" t="str">
        <f>IF(E4665=0,SUMPRODUCT(MIN($K$2:$K$4734+((($A$2:$A$4734&lt;&gt;A4665)+($E$2:$E$4734&lt;&gt;0))&gt;0)*1000000)),"")</f>
        <v/>
      </c>
      <c r="M4665" s="1">
        <f>IF(AND(E4665=0,COUNTIFS($A$2:A4665,A4665,$E$2:E4665,0)=1),L4665,0)</f>
        <v>0</v>
      </c>
    </row>
    <row r="4666" spans="1:13" ht="15" customHeight="1">
      <c r="A4666" s="1">
        <v>264</v>
      </c>
      <c r="B4666" s="1" t="s">
        <v>69</v>
      </c>
      <c r="C4666" s="2" t="s">
        <v>5521</v>
      </c>
      <c r="D4666" s="1" t="s">
        <v>5524</v>
      </c>
      <c r="E4666" s="1">
        <v>1</v>
      </c>
      <c r="F4666" s="2" t="s">
        <v>5528</v>
      </c>
      <c r="G4666" s="1">
        <v>4</v>
      </c>
      <c r="H4666" s="1" t="str">
        <f t="shared" si="75"/>
        <v>k264_4</v>
      </c>
      <c r="K4666" s="1">
        <f>IF(E4666=0,SUMPRODUCT(($A$2:$A$4734=A4666)*($B$2:$B$4734=B4666)*($D$2:$D$4734=D4666)*($E$2:$E$4734=0)),0)</f>
        <v>0</v>
      </c>
      <c r="L4666" s="1" t="str">
        <f>IF(E4666=0,SUMPRODUCT(MIN($K$2:$K$4734+((($A$2:$A$4734&lt;&gt;A4666)+($E$2:$E$4734&lt;&gt;0))&gt;0)*1000000)),"")</f>
        <v/>
      </c>
      <c r="M4666" s="1">
        <f>IF(AND(E4666=0,COUNTIFS($A$2:A4666,A4666,$E$2:E4666,0)=1),L4666,0)</f>
        <v>0</v>
      </c>
    </row>
    <row r="4667" spans="1:13" ht="15" customHeight="1">
      <c r="A4667" s="1">
        <v>265</v>
      </c>
      <c r="B4667" s="1" t="s">
        <v>69</v>
      </c>
      <c r="C4667" s="2" t="s">
        <v>5529</v>
      </c>
      <c r="D4667" s="2" t="s">
        <v>5530</v>
      </c>
      <c r="E4667" s="1">
        <v>1</v>
      </c>
      <c r="F4667" s="2" t="s">
        <v>5531</v>
      </c>
      <c r="G4667" s="1">
        <v>1</v>
      </c>
      <c r="H4667" s="1" t="str">
        <f t="shared" si="75"/>
        <v>k265_1</v>
      </c>
      <c r="K4667" s="1">
        <f>IF(E4667=0,SUMPRODUCT(($A$2:$A$4734=A4667)*($B$2:$B$4734=B4667)*($D$2:$D$4734=D4667)*($E$2:$E$4734=0)),0)</f>
        <v>0</v>
      </c>
      <c r="L4667" s="1" t="str">
        <f>IF(E4667=0,SUMPRODUCT(MIN($K$2:$K$4734+((($A$2:$A$4734&lt;&gt;A4667)+($E$2:$E$4734&lt;&gt;0))&gt;0)*1000000)),"")</f>
        <v/>
      </c>
      <c r="M4667" s="1">
        <f>IF(AND(E4667=0,COUNTIFS($A$2:A4667,A4667,$E$2:E4667,0)=1),L4667,0)</f>
        <v>0</v>
      </c>
    </row>
    <row r="4668" spans="1:13" ht="15" customHeight="1">
      <c r="A4668" s="1">
        <v>265</v>
      </c>
      <c r="B4668" s="1" t="s">
        <v>69</v>
      </c>
      <c r="C4668" s="2" t="s">
        <v>5529</v>
      </c>
      <c r="D4668" s="2" t="s">
        <v>5530</v>
      </c>
      <c r="E4668" s="1">
        <v>1</v>
      </c>
      <c r="F4668" s="2" t="s">
        <v>5532</v>
      </c>
      <c r="G4668" s="1">
        <v>2</v>
      </c>
      <c r="H4668" s="1" t="str">
        <f t="shared" si="75"/>
        <v>k265_2</v>
      </c>
      <c r="K4668" s="1">
        <f>IF(E4668=0,SUMPRODUCT(($A$2:$A$4734=A4668)*($B$2:$B$4734=B4668)*($D$2:$D$4734=D4668)*($E$2:$E$4734=0)),0)</f>
        <v>0</v>
      </c>
      <c r="L4668" s="1" t="str">
        <f>IF(E4668=0,SUMPRODUCT(MIN($K$2:$K$4734+((($A$2:$A$4734&lt;&gt;A4668)+($E$2:$E$4734&lt;&gt;0))&gt;0)*1000000)),"")</f>
        <v/>
      </c>
      <c r="M4668" s="1">
        <f>IF(AND(E4668=0,COUNTIFS($A$2:A4668,A4668,$E$2:E4668,0)=1),L4668,0)</f>
        <v>0</v>
      </c>
    </row>
    <row r="4669" spans="1:13" ht="15" customHeight="1">
      <c r="A4669" s="1">
        <v>265</v>
      </c>
      <c r="B4669" s="1" t="s">
        <v>69</v>
      </c>
      <c r="C4669" s="2" t="s">
        <v>5529</v>
      </c>
      <c r="D4669" s="2" t="s">
        <v>5530</v>
      </c>
      <c r="E4669" s="1">
        <v>1</v>
      </c>
      <c r="F4669" s="2" t="s">
        <v>5533</v>
      </c>
      <c r="G4669" s="1">
        <v>3</v>
      </c>
      <c r="H4669" s="1" t="str">
        <f t="shared" si="75"/>
        <v>k265_3</v>
      </c>
      <c r="K4669" s="1">
        <f>IF(E4669=0,SUMPRODUCT(($A$2:$A$4734=A4669)*($B$2:$B$4734=B4669)*($D$2:$D$4734=D4669)*($E$2:$E$4734=0)),0)</f>
        <v>0</v>
      </c>
      <c r="L4669" s="1" t="str">
        <f>IF(E4669=0,SUMPRODUCT(MIN($K$2:$K$4734+((($A$2:$A$4734&lt;&gt;A4669)+($E$2:$E$4734&lt;&gt;0))&gt;0)*1000000)),"")</f>
        <v/>
      </c>
      <c r="M4669" s="1">
        <f>IF(AND(E4669=0,COUNTIFS($A$2:A4669,A4669,$E$2:E4669,0)=1),L4669,0)</f>
        <v>0</v>
      </c>
    </row>
    <row r="4670" spans="1:13" ht="15" customHeight="1">
      <c r="A4670" s="1">
        <v>265</v>
      </c>
      <c r="B4670" s="1" t="s">
        <v>9</v>
      </c>
      <c r="C4670" s="2" t="s">
        <v>5529</v>
      </c>
      <c r="D4670" s="2" t="s">
        <v>5534</v>
      </c>
      <c r="E4670" s="1">
        <v>1</v>
      </c>
      <c r="F4670" s="2" t="s">
        <v>5535</v>
      </c>
      <c r="G4670" s="1">
        <v>1</v>
      </c>
      <c r="H4670" s="1" t="str">
        <f t="shared" si="75"/>
        <v>k265_1</v>
      </c>
      <c r="K4670" s="1">
        <f>IF(E4670=0,SUMPRODUCT(($A$2:$A$4734=A4670)*($B$2:$B$4734=B4670)*($D$2:$D$4734=D4670)*($E$2:$E$4734=0)),0)</f>
        <v>0</v>
      </c>
      <c r="L4670" s="1" t="str">
        <f>IF(E4670=0,SUMPRODUCT(MIN($K$2:$K$4734+((($A$2:$A$4734&lt;&gt;A4670)+($E$2:$E$4734&lt;&gt;0))&gt;0)*1000000)),"")</f>
        <v/>
      </c>
      <c r="M4670" s="1">
        <f>IF(AND(E4670=0,COUNTIFS($A$2:A4670,A4670,$E$2:E4670,0)=1),L4670,0)</f>
        <v>0</v>
      </c>
    </row>
    <row r="4671" spans="1:13" ht="15" customHeight="1">
      <c r="A4671" s="1">
        <v>265</v>
      </c>
      <c r="B4671" s="1" t="s">
        <v>9</v>
      </c>
      <c r="C4671" s="2" t="s">
        <v>5529</v>
      </c>
      <c r="D4671" s="2" t="s">
        <v>5534</v>
      </c>
      <c r="E4671" s="1">
        <v>1</v>
      </c>
      <c r="F4671" s="2" t="s">
        <v>5536</v>
      </c>
      <c r="G4671" s="1">
        <v>2</v>
      </c>
      <c r="H4671" s="1" t="str">
        <f t="shared" si="75"/>
        <v>k265_2</v>
      </c>
      <c r="K4671" s="1">
        <f>IF(E4671=0,SUMPRODUCT(($A$2:$A$4734=A4671)*($B$2:$B$4734=B4671)*($D$2:$D$4734=D4671)*($E$2:$E$4734=0)),0)</f>
        <v>0</v>
      </c>
      <c r="L4671" s="1" t="str">
        <f>IF(E4671=0,SUMPRODUCT(MIN($K$2:$K$4734+((($A$2:$A$4734&lt;&gt;A4671)+($E$2:$E$4734&lt;&gt;0))&gt;0)*1000000)),"")</f>
        <v/>
      </c>
      <c r="M4671" s="1">
        <f>IF(AND(E4671=0,COUNTIFS($A$2:A4671,A4671,$E$2:E4671,0)=1),L4671,0)</f>
        <v>0</v>
      </c>
    </row>
    <row r="4672" spans="1:13" ht="15" customHeight="1">
      <c r="A4672" s="1">
        <v>265</v>
      </c>
      <c r="B4672" s="1" t="s">
        <v>9</v>
      </c>
      <c r="C4672" s="2" t="s">
        <v>5529</v>
      </c>
      <c r="D4672" s="2" t="s">
        <v>5534</v>
      </c>
      <c r="E4672" s="1">
        <v>1</v>
      </c>
      <c r="F4672" s="2" t="s">
        <v>5537</v>
      </c>
      <c r="G4672" s="1">
        <v>3</v>
      </c>
      <c r="H4672" s="1" t="str">
        <f t="shared" si="75"/>
        <v>k265_3</v>
      </c>
      <c r="K4672" s="1">
        <f>IF(E4672=0,SUMPRODUCT(($A$2:$A$4734=A4672)*($B$2:$B$4734=B4672)*($D$2:$D$4734=D4672)*($E$2:$E$4734=0)),0)</f>
        <v>0</v>
      </c>
      <c r="L4672" s="1" t="str">
        <f>IF(E4672=0,SUMPRODUCT(MIN($K$2:$K$4734+((($A$2:$A$4734&lt;&gt;A4672)+($E$2:$E$4734&lt;&gt;0))&gt;0)*1000000)),"")</f>
        <v/>
      </c>
      <c r="M4672" s="1">
        <f>IF(AND(E4672=0,COUNTIFS($A$2:A4672,A4672,$E$2:E4672,0)=1),L4672,0)</f>
        <v>0</v>
      </c>
    </row>
    <row r="4673" spans="1:13" ht="15" customHeight="1">
      <c r="A4673" s="1">
        <v>266</v>
      </c>
      <c r="B4673" s="1" t="s">
        <v>69</v>
      </c>
      <c r="C4673" s="2" t="s">
        <v>5538</v>
      </c>
      <c r="D4673" s="2" t="s">
        <v>5539</v>
      </c>
      <c r="E4673" s="1">
        <v>1</v>
      </c>
      <c r="F4673" s="2" t="s">
        <v>5540</v>
      </c>
      <c r="G4673" s="1">
        <v>1</v>
      </c>
      <c r="H4673" s="1" t="str">
        <f t="shared" si="75"/>
        <v>k266_1</v>
      </c>
      <c r="K4673" s="1">
        <f>IF(E4673=0,SUMPRODUCT(($A$2:$A$4734=A4673)*($B$2:$B$4734=B4673)*($D$2:$D$4734=D4673)*($E$2:$E$4734=0)),0)</f>
        <v>0</v>
      </c>
      <c r="L4673" s="1" t="str">
        <f>IF(E4673=0,SUMPRODUCT(MIN($K$2:$K$4734+((($A$2:$A$4734&lt;&gt;A4673)+($E$2:$E$4734&lt;&gt;0))&gt;0)*1000000)),"")</f>
        <v/>
      </c>
      <c r="M4673" s="1">
        <f>IF(AND(E4673=0,COUNTIFS($A$2:A4673,A4673,$E$2:E4673,0)=1),L4673,0)</f>
        <v>0</v>
      </c>
    </row>
    <row r="4674" spans="1:13" ht="15" customHeight="1">
      <c r="A4674" s="1">
        <v>266</v>
      </c>
      <c r="B4674" s="1" t="s">
        <v>69</v>
      </c>
      <c r="C4674" s="2" t="s">
        <v>5541</v>
      </c>
      <c r="D4674" s="2" t="s">
        <v>5539</v>
      </c>
      <c r="E4674" s="1">
        <v>1</v>
      </c>
      <c r="F4674" s="2" t="s">
        <v>5542</v>
      </c>
      <c r="G4674" s="1">
        <v>2</v>
      </c>
      <c r="H4674" s="1" t="str">
        <f t="shared" ref="H4674:H4734" si="76">IF(OR(E4674&lt;&gt;1,G4674=""),"","k"&amp;A4674&amp;"_"&amp;G4674)</f>
        <v>k266_2</v>
      </c>
      <c r="K4674" s="1">
        <f>IF(E4674=0,SUMPRODUCT(($A$2:$A$4734=A4674)*($B$2:$B$4734=B4674)*($D$2:$D$4734=D4674)*($E$2:$E$4734=0)),0)</f>
        <v>0</v>
      </c>
      <c r="L4674" s="1" t="str">
        <f>IF(E4674=0,SUMPRODUCT(MIN($K$2:$K$4734+((($A$2:$A$4734&lt;&gt;A4674)+($E$2:$E$4734&lt;&gt;0))&gt;0)*1000000)),"")</f>
        <v/>
      </c>
      <c r="M4674" s="1">
        <f>IF(AND(E4674=0,COUNTIFS($A$2:A4674,A4674,$E$2:E4674,0)=1),L4674,0)</f>
        <v>0</v>
      </c>
    </row>
    <row r="4675" spans="1:13" ht="15" customHeight="1">
      <c r="A4675" s="1">
        <v>266</v>
      </c>
      <c r="B4675" s="1" t="s">
        <v>69</v>
      </c>
      <c r="C4675" s="2" t="s">
        <v>5543</v>
      </c>
      <c r="D4675" s="2" t="s">
        <v>5539</v>
      </c>
      <c r="E4675" s="1">
        <v>1</v>
      </c>
      <c r="F4675" s="2" t="s">
        <v>5544</v>
      </c>
      <c r="G4675" s="1">
        <v>3</v>
      </c>
      <c r="H4675" s="1" t="str">
        <f t="shared" si="76"/>
        <v>k266_3</v>
      </c>
      <c r="K4675" s="1">
        <f>IF(E4675=0,SUMPRODUCT(($A$2:$A$4734=A4675)*($B$2:$B$4734=B4675)*($D$2:$D$4734=D4675)*($E$2:$E$4734=0)),0)</f>
        <v>0</v>
      </c>
      <c r="L4675" s="1" t="str">
        <f>IF(E4675=0,SUMPRODUCT(MIN($K$2:$K$4734+((($A$2:$A$4734&lt;&gt;A4675)+($E$2:$E$4734&lt;&gt;0))&gt;0)*1000000)),"")</f>
        <v/>
      </c>
      <c r="M4675" s="1">
        <f>IF(AND(E4675=0,COUNTIFS($A$2:A4675,A4675,$E$2:E4675,0)=1),L4675,0)</f>
        <v>0</v>
      </c>
    </row>
    <row r="4676" spans="1:13" ht="15" customHeight="1">
      <c r="A4676" s="1">
        <v>266</v>
      </c>
      <c r="B4676" s="1" t="s">
        <v>69</v>
      </c>
      <c r="C4676" s="2" t="s">
        <v>5545</v>
      </c>
      <c r="D4676" s="2" t="s">
        <v>5539</v>
      </c>
      <c r="E4676" s="1">
        <v>1</v>
      </c>
      <c r="F4676" s="2" t="s">
        <v>5546</v>
      </c>
      <c r="G4676" s="1">
        <v>4</v>
      </c>
      <c r="H4676" s="1" t="str">
        <f t="shared" si="76"/>
        <v>k266_4</v>
      </c>
      <c r="K4676" s="1">
        <f>IF(E4676=0,SUMPRODUCT(($A$2:$A$4734=A4676)*($B$2:$B$4734=B4676)*($D$2:$D$4734=D4676)*($E$2:$E$4734=0)),0)</f>
        <v>0</v>
      </c>
      <c r="L4676" s="1" t="str">
        <f>IF(E4676=0,SUMPRODUCT(MIN($K$2:$K$4734+((($A$2:$A$4734&lt;&gt;A4676)+($E$2:$E$4734&lt;&gt;0))&gt;0)*1000000)),"")</f>
        <v/>
      </c>
      <c r="M4676" s="1">
        <f>IF(AND(E4676=0,COUNTIFS($A$2:A4676,A4676,$E$2:E4676,0)=1),L4676,0)</f>
        <v>0</v>
      </c>
    </row>
    <row r="4677" spans="1:13" ht="15" customHeight="1">
      <c r="A4677" s="1">
        <v>266</v>
      </c>
      <c r="B4677" s="1" t="s">
        <v>69</v>
      </c>
      <c r="C4677" s="2" t="s">
        <v>5547</v>
      </c>
      <c r="D4677" s="2" t="s">
        <v>5539</v>
      </c>
      <c r="E4677" s="1">
        <v>1</v>
      </c>
      <c r="F4677" s="2" t="s">
        <v>5544</v>
      </c>
      <c r="G4677" s="1">
        <v>5</v>
      </c>
      <c r="H4677" s="1" t="str">
        <f t="shared" si="76"/>
        <v>k266_5</v>
      </c>
      <c r="K4677" s="1">
        <f>IF(E4677=0,SUMPRODUCT(($A$2:$A$4734=A4677)*($B$2:$B$4734=B4677)*($D$2:$D$4734=D4677)*($E$2:$E$4734=0)),0)</f>
        <v>0</v>
      </c>
      <c r="L4677" s="1" t="str">
        <f>IF(E4677=0,SUMPRODUCT(MIN($K$2:$K$4734+((($A$2:$A$4734&lt;&gt;A4677)+($E$2:$E$4734&lt;&gt;0))&gt;0)*1000000)),"")</f>
        <v/>
      </c>
      <c r="M4677" s="1">
        <f>IF(AND(E4677=0,COUNTIFS($A$2:A4677,A4677,$E$2:E4677,0)=1),L4677,0)</f>
        <v>0</v>
      </c>
    </row>
    <row r="4678" spans="1:13" ht="15" customHeight="1">
      <c r="A4678" s="1">
        <v>266</v>
      </c>
      <c r="B4678" s="1" t="s">
        <v>69</v>
      </c>
      <c r="C4678" s="2" t="s">
        <v>5548</v>
      </c>
      <c r="D4678" s="2" t="s">
        <v>5539</v>
      </c>
      <c r="E4678" s="1">
        <v>1</v>
      </c>
      <c r="F4678" s="2" t="s">
        <v>5546</v>
      </c>
      <c r="G4678" s="1">
        <v>6</v>
      </c>
      <c r="H4678" s="1" t="str">
        <f t="shared" si="76"/>
        <v>k266_6</v>
      </c>
      <c r="K4678" s="1">
        <f>IF(E4678=0,SUMPRODUCT(($A$2:$A$4734=A4678)*($B$2:$B$4734=B4678)*($D$2:$D$4734=D4678)*($E$2:$E$4734=0)),0)</f>
        <v>0</v>
      </c>
      <c r="L4678" s="1" t="str">
        <f>IF(E4678=0,SUMPRODUCT(MIN($K$2:$K$4734+((($A$2:$A$4734&lt;&gt;A4678)+($E$2:$E$4734&lt;&gt;0))&gt;0)*1000000)),"")</f>
        <v/>
      </c>
      <c r="M4678" s="1">
        <f>IF(AND(E4678=0,COUNTIFS($A$2:A4678,A4678,$E$2:E4678,0)=1),L4678,0)</f>
        <v>0</v>
      </c>
    </row>
    <row r="4679" spans="1:13" ht="15" customHeight="1">
      <c r="A4679" s="1">
        <v>266</v>
      </c>
      <c r="B4679" s="1" t="s">
        <v>9</v>
      </c>
      <c r="C4679" s="2" t="s">
        <v>5549</v>
      </c>
      <c r="D4679" s="2" t="s">
        <v>5550</v>
      </c>
      <c r="E4679" s="1">
        <v>1</v>
      </c>
      <c r="F4679" s="2" t="s">
        <v>5367</v>
      </c>
      <c r="G4679" s="1">
        <v>1</v>
      </c>
      <c r="H4679" s="1" t="str">
        <f t="shared" si="76"/>
        <v>k266_1</v>
      </c>
      <c r="K4679" s="1">
        <f>IF(E4679=0,SUMPRODUCT(($A$2:$A$4734=A4679)*($B$2:$B$4734=B4679)*($D$2:$D$4734=D4679)*($E$2:$E$4734=0)),0)</f>
        <v>0</v>
      </c>
      <c r="L4679" s="1" t="str">
        <f>IF(E4679=0,SUMPRODUCT(MIN($K$2:$K$4734+((($A$2:$A$4734&lt;&gt;A4679)+($E$2:$E$4734&lt;&gt;0))&gt;0)*1000000)),"")</f>
        <v/>
      </c>
      <c r="M4679" s="1">
        <f>IF(AND(E4679=0,COUNTIFS($A$2:A4679,A4679,$E$2:E4679,0)=1),L4679,0)</f>
        <v>0</v>
      </c>
    </row>
    <row r="4680" spans="1:13" ht="15" customHeight="1">
      <c r="A4680" s="1">
        <v>266</v>
      </c>
      <c r="B4680" s="1" t="s">
        <v>9</v>
      </c>
      <c r="C4680" s="2" t="s">
        <v>5551</v>
      </c>
      <c r="D4680" s="2" t="s">
        <v>5550</v>
      </c>
      <c r="E4680" s="1">
        <v>1</v>
      </c>
      <c r="F4680" s="2" t="s">
        <v>5552</v>
      </c>
      <c r="G4680" s="1">
        <v>2</v>
      </c>
      <c r="H4680" s="1" t="str">
        <f t="shared" si="76"/>
        <v>k266_2</v>
      </c>
      <c r="K4680" s="1">
        <f>IF(E4680=0,SUMPRODUCT(($A$2:$A$4734=A4680)*($B$2:$B$4734=B4680)*($D$2:$D$4734=D4680)*($E$2:$E$4734=0)),0)</f>
        <v>0</v>
      </c>
      <c r="L4680" s="1" t="str">
        <f>IF(E4680=0,SUMPRODUCT(MIN($K$2:$K$4734+((($A$2:$A$4734&lt;&gt;A4680)+($E$2:$E$4734&lt;&gt;0))&gt;0)*1000000)),"")</f>
        <v/>
      </c>
      <c r="M4680" s="1">
        <f>IF(AND(E4680=0,COUNTIFS($A$2:A4680,A4680,$E$2:E4680,0)=1),L4680,0)</f>
        <v>0</v>
      </c>
    </row>
    <row r="4681" spans="1:13" ht="15" customHeight="1">
      <c r="A4681" s="1">
        <v>266</v>
      </c>
      <c r="B4681" s="1" t="s">
        <v>9</v>
      </c>
      <c r="C4681" s="2" t="s">
        <v>5553</v>
      </c>
      <c r="D4681" s="2" t="s">
        <v>5550</v>
      </c>
      <c r="E4681" s="1">
        <v>1</v>
      </c>
      <c r="F4681" s="2" t="s">
        <v>5554</v>
      </c>
      <c r="G4681" s="1">
        <v>3</v>
      </c>
      <c r="H4681" s="1" t="str">
        <f t="shared" si="76"/>
        <v>k266_3</v>
      </c>
      <c r="K4681" s="1">
        <f>IF(E4681=0,SUMPRODUCT(($A$2:$A$4734=A4681)*($B$2:$B$4734=B4681)*($D$2:$D$4734=D4681)*($E$2:$E$4734=0)),0)</f>
        <v>0</v>
      </c>
      <c r="L4681" s="1" t="str">
        <f>IF(E4681=0,SUMPRODUCT(MIN($K$2:$K$4734+((($A$2:$A$4734&lt;&gt;A4681)+($E$2:$E$4734&lt;&gt;0))&gt;0)*1000000)),"")</f>
        <v/>
      </c>
      <c r="M4681" s="1">
        <f>IF(AND(E4681=0,COUNTIFS($A$2:A4681,A4681,$E$2:E4681,0)=1),L4681,0)</f>
        <v>0</v>
      </c>
    </row>
    <row r="4682" spans="1:13" ht="15" customHeight="1">
      <c r="A4682" s="1">
        <v>266</v>
      </c>
      <c r="B4682" s="1" t="s">
        <v>9</v>
      </c>
      <c r="C4682" s="2" t="s">
        <v>5555</v>
      </c>
      <c r="D4682" s="2" t="s">
        <v>5550</v>
      </c>
      <c r="E4682" s="1">
        <v>1</v>
      </c>
      <c r="F4682" s="2" t="s">
        <v>5556</v>
      </c>
      <c r="G4682" s="1">
        <v>5</v>
      </c>
      <c r="H4682" s="1" t="str">
        <f t="shared" si="76"/>
        <v>k266_5</v>
      </c>
      <c r="K4682" s="1">
        <f>IF(E4682=0,SUMPRODUCT(($A$2:$A$4734=A4682)*($B$2:$B$4734=B4682)*($D$2:$D$4734=D4682)*($E$2:$E$4734=0)),0)</f>
        <v>0</v>
      </c>
      <c r="L4682" s="1" t="str">
        <f>IF(E4682=0,SUMPRODUCT(MIN($K$2:$K$4734+((($A$2:$A$4734&lt;&gt;A4682)+($E$2:$E$4734&lt;&gt;0))&gt;0)*1000000)),"")</f>
        <v/>
      </c>
      <c r="M4682" s="1">
        <f>IF(AND(E4682=0,COUNTIFS($A$2:A4682,A4682,$E$2:E4682,0)=1),L4682,0)</f>
        <v>0</v>
      </c>
    </row>
    <row r="4683" spans="1:13" ht="15" customHeight="1">
      <c r="A4683" s="1">
        <v>266</v>
      </c>
      <c r="B4683" s="1" t="s">
        <v>9</v>
      </c>
      <c r="C4683" s="2" t="s">
        <v>5557</v>
      </c>
      <c r="D4683" s="2" t="s">
        <v>5550</v>
      </c>
      <c r="E4683" s="1">
        <v>1</v>
      </c>
      <c r="F4683" s="2" t="s">
        <v>5558</v>
      </c>
      <c r="G4683" s="1">
        <v>4</v>
      </c>
      <c r="H4683" s="1" t="str">
        <f t="shared" si="76"/>
        <v>k266_4</v>
      </c>
      <c r="K4683" s="1">
        <f>IF(E4683=0,SUMPRODUCT(($A$2:$A$4734=A4683)*($B$2:$B$4734=B4683)*($D$2:$D$4734=D4683)*($E$2:$E$4734=0)),0)</f>
        <v>0</v>
      </c>
      <c r="L4683" s="1" t="str">
        <f>IF(E4683=0,SUMPRODUCT(MIN($K$2:$K$4734+((($A$2:$A$4734&lt;&gt;A4683)+($E$2:$E$4734&lt;&gt;0))&gt;0)*1000000)),"")</f>
        <v/>
      </c>
      <c r="M4683" s="1">
        <f>IF(AND(E4683=0,COUNTIFS($A$2:A4683,A4683,$E$2:E4683,0)=1),L4683,0)</f>
        <v>0</v>
      </c>
    </row>
    <row r="4684" spans="1:13" ht="15" customHeight="1">
      <c r="A4684" s="1">
        <v>266</v>
      </c>
      <c r="B4684" s="1" t="s">
        <v>9</v>
      </c>
      <c r="C4684" s="2" t="s">
        <v>5559</v>
      </c>
      <c r="D4684" s="2" t="s">
        <v>5550</v>
      </c>
      <c r="E4684" s="1">
        <v>1</v>
      </c>
      <c r="F4684" s="2" t="s">
        <v>5560</v>
      </c>
      <c r="G4684" s="1">
        <v>6</v>
      </c>
      <c r="H4684" s="1" t="str">
        <f t="shared" si="76"/>
        <v>k266_6</v>
      </c>
      <c r="K4684" s="1">
        <f>IF(E4684=0,SUMPRODUCT(($A$2:$A$4734=A4684)*($B$2:$B$4734=B4684)*($D$2:$D$4734=D4684)*($E$2:$E$4734=0)),0)</f>
        <v>0</v>
      </c>
      <c r="L4684" s="1" t="str">
        <f>IF(E4684=0,SUMPRODUCT(MIN($K$2:$K$4734+((($A$2:$A$4734&lt;&gt;A4684)+($E$2:$E$4734&lt;&gt;0))&gt;0)*1000000)),"")</f>
        <v/>
      </c>
      <c r="M4684" s="1">
        <f>IF(AND(E4684=0,COUNTIFS($A$2:A4684,A4684,$E$2:E4684,0)=1),L4684,0)</f>
        <v>0</v>
      </c>
    </row>
    <row r="4685" spans="1:13" ht="15" customHeight="1">
      <c r="A4685" s="1">
        <v>267</v>
      </c>
      <c r="B4685" s="1" t="s">
        <v>69</v>
      </c>
      <c r="C4685" s="2" t="s">
        <v>5561</v>
      </c>
      <c r="D4685" s="2" t="s">
        <v>5561</v>
      </c>
      <c r="E4685" s="1">
        <v>1</v>
      </c>
      <c r="F4685" s="2" t="s">
        <v>5562</v>
      </c>
      <c r="G4685" s="1">
        <v>1</v>
      </c>
      <c r="H4685" s="1" t="str">
        <f t="shared" si="76"/>
        <v>k267_1</v>
      </c>
      <c r="K4685" s="1">
        <f>IF(E4685=0,SUMPRODUCT(($A$2:$A$4734=A4685)*($B$2:$B$4734=B4685)*($D$2:$D$4734=D4685)*($E$2:$E$4734=0)),0)</f>
        <v>0</v>
      </c>
      <c r="L4685" s="1" t="str">
        <f>IF(E4685=0,SUMPRODUCT(MIN($K$2:$K$4734+((($A$2:$A$4734&lt;&gt;A4685)+($E$2:$E$4734&lt;&gt;0))&gt;0)*1000000)),"")</f>
        <v/>
      </c>
      <c r="M4685" s="1">
        <f>IF(AND(E4685=0,COUNTIFS($A$2:A4685,A4685,$E$2:E4685,0)=1),L4685,0)</f>
        <v>0</v>
      </c>
    </row>
    <row r="4686" spans="1:13" ht="15" customHeight="1">
      <c r="A4686" s="1">
        <v>267</v>
      </c>
      <c r="B4686" s="1" t="s">
        <v>69</v>
      </c>
      <c r="C4686" s="2" t="s">
        <v>5561</v>
      </c>
      <c r="D4686" s="2" t="s">
        <v>5561</v>
      </c>
      <c r="E4686" s="1">
        <v>1</v>
      </c>
      <c r="F4686" s="2" t="s">
        <v>5563</v>
      </c>
      <c r="G4686" s="1">
        <v>2</v>
      </c>
      <c r="H4686" s="1" t="str">
        <f t="shared" si="76"/>
        <v>k267_2</v>
      </c>
      <c r="K4686" s="1">
        <f>IF(E4686=0,SUMPRODUCT(($A$2:$A$4734=A4686)*($B$2:$B$4734=B4686)*($D$2:$D$4734=D4686)*($E$2:$E$4734=0)),0)</f>
        <v>0</v>
      </c>
      <c r="L4686" s="1" t="str">
        <f>IF(E4686=0,SUMPRODUCT(MIN($K$2:$K$4734+((($A$2:$A$4734&lt;&gt;A4686)+($E$2:$E$4734&lt;&gt;0))&gt;0)*1000000)),"")</f>
        <v/>
      </c>
      <c r="M4686" s="1">
        <f>IF(AND(E4686=0,COUNTIFS($A$2:A4686,A4686,$E$2:E4686,0)=1),L4686,0)</f>
        <v>0</v>
      </c>
    </row>
    <row r="4687" spans="1:13" ht="15" customHeight="1">
      <c r="A4687" s="1">
        <v>267</v>
      </c>
      <c r="B4687" s="1" t="s">
        <v>69</v>
      </c>
      <c r="C4687" s="2" t="s">
        <v>5561</v>
      </c>
      <c r="D4687" s="2" t="s">
        <v>5561</v>
      </c>
      <c r="E4687" s="1">
        <v>1</v>
      </c>
      <c r="F4687" s="2" t="s">
        <v>5564</v>
      </c>
      <c r="G4687" s="1">
        <v>3</v>
      </c>
      <c r="H4687" s="1" t="str">
        <f t="shared" si="76"/>
        <v>k267_3</v>
      </c>
      <c r="K4687" s="1">
        <f>IF(E4687=0,SUMPRODUCT(($A$2:$A$4734=A4687)*($B$2:$B$4734=B4687)*($D$2:$D$4734=D4687)*($E$2:$E$4734=0)),0)</f>
        <v>0</v>
      </c>
      <c r="L4687" s="1" t="str">
        <f>IF(E4687=0,SUMPRODUCT(MIN($K$2:$K$4734+((($A$2:$A$4734&lt;&gt;A4687)+($E$2:$E$4734&lt;&gt;0))&gt;0)*1000000)),"")</f>
        <v/>
      </c>
      <c r="M4687" s="1">
        <f>IF(AND(E4687=0,COUNTIFS($A$2:A4687,A4687,$E$2:E4687,0)=1),L4687,0)</f>
        <v>0</v>
      </c>
    </row>
    <row r="4688" spans="1:13" ht="15" customHeight="1">
      <c r="A4688" s="1">
        <v>267</v>
      </c>
      <c r="B4688" s="1" t="s">
        <v>69</v>
      </c>
      <c r="C4688" s="2" t="s">
        <v>5561</v>
      </c>
      <c r="D4688" s="2" t="s">
        <v>5561</v>
      </c>
      <c r="E4688" s="1">
        <v>1</v>
      </c>
      <c r="F4688" s="2" t="s">
        <v>5565</v>
      </c>
      <c r="G4688" s="1">
        <v>4</v>
      </c>
      <c r="H4688" s="1" t="str">
        <f t="shared" si="76"/>
        <v>k267_4</v>
      </c>
      <c r="K4688" s="1">
        <f>IF(E4688=0,SUMPRODUCT(($A$2:$A$4734=A4688)*($B$2:$B$4734=B4688)*($D$2:$D$4734=D4688)*($E$2:$E$4734=0)),0)</f>
        <v>0</v>
      </c>
      <c r="L4688" s="1" t="str">
        <f>IF(E4688=0,SUMPRODUCT(MIN($K$2:$K$4734+((($A$2:$A$4734&lt;&gt;A4688)+($E$2:$E$4734&lt;&gt;0))&gt;0)*1000000)),"")</f>
        <v/>
      </c>
      <c r="M4688" s="1">
        <f>IF(AND(E4688=0,COUNTIFS($A$2:A4688,A4688,$E$2:E4688,0)=1),L4688,0)</f>
        <v>0</v>
      </c>
    </row>
    <row r="4689" spans="1:13" ht="15" customHeight="1">
      <c r="A4689" s="1">
        <v>268</v>
      </c>
      <c r="B4689" s="1" t="s">
        <v>69</v>
      </c>
      <c r="C4689" s="2" t="s">
        <v>5566</v>
      </c>
      <c r="D4689" s="2" t="s">
        <v>5567</v>
      </c>
      <c r="E4689" s="1">
        <v>1</v>
      </c>
      <c r="F4689" s="2" t="s">
        <v>5568</v>
      </c>
      <c r="G4689" s="1">
        <v>1</v>
      </c>
      <c r="H4689" s="1" t="str">
        <f t="shared" si="76"/>
        <v>k268_1</v>
      </c>
      <c r="K4689" s="1">
        <f>IF(E4689=0,SUMPRODUCT(($A$2:$A$4734=A4689)*($B$2:$B$4734=B4689)*($D$2:$D$4734=D4689)*($E$2:$E$4734=0)),0)</f>
        <v>0</v>
      </c>
      <c r="L4689" s="1" t="str">
        <f>IF(E4689=0,SUMPRODUCT(MIN($K$2:$K$4734+((($A$2:$A$4734&lt;&gt;A4689)+($E$2:$E$4734&lt;&gt;0))&gt;0)*1000000)),"")</f>
        <v/>
      </c>
      <c r="M4689" s="1">
        <f>IF(AND(E4689=0,COUNTIFS($A$2:A4689,A4689,$E$2:E4689,0)=1),L4689,0)</f>
        <v>0</v>
      </c>
    </row>
    <row r="4690" spans="1:13" ht="15" customHeight="1">
      <c r="A4690" s="1">
        <v>268</v>
      </c>
      <c r="B4690" s="1" t="s">
        <v>69</v>
      </c>
      <c r="C4690" s="2" t="s">
        <v>5566</v>
      </c>
      <c r="D4690" s="2" t="s">
        <v>5567</v>
      </c>
      <c r="E4690" s="1">
        <v>1</v>
      </c>
      <c r="F4690" s="2" t="s">
        <v>5569</v>
      </c>
      <c r="G4690" s="1">
        <v>2</v>
      </c>
      <c r="H4690" s="1" t="str">
        <f t="shared" si="76"/>
        <v>k268_2</v>
      </c>
      <c r="K4690" s="1">
        <f>IF(E4690=0,SUMPRODUCT(($A$2:$A$4734=A4690)*($B$2:$B$4734=B4690)*($D$2:$D$4734=D4690)*($E$2:$E$4734=0)),0)</f>
        <v>0</v>
      </c>
      <c r="L4690" s="1" t="str">
        <f>IF(E4690=0,SUMPRODUCT(MIN($K$2:$K$4734+((($A$2:$A$4734&lt;&gt;A4690)+($E$2:$E$4734&lt;&gt;0))&gt;0)*1000000)),"")</f>
        <v/>
      </c>
      <c r="M4690" s="1">
        <f>IF(AND(E4690=0,COUNTIFS($A$2:A4690,A4690,$E$2:E4690,0)=1),L4690,0)</f>
        <v>0</v>
      </c>
    </row>
    <row r="4691" spans="1:13" ht="15" customHeight="1">
      <c r="A4691" s="1">
        <v>268</v>
      </c>
      <c r="B4691" s="1" t="s">
        <v>69</v>
      </c>
      <c r="C4691" s="2" t="s">
        <v>5566</v>
      </c>
      <c r="D4691" s="2" t="s">
        <v>5567</v>
      </c>
      <c r="E4691" s="1">
        <v>1</v>
      </c>
      <c r="F4691" s="2" t="s">
        <v>5570</v>
      </c>
      <c r="G4691" s="1">
        <v>3</v>
      </c>
      <c r="H4691" s="1" t="str">
        <f t="shared" si="76"/>
        <v>k268_3</v>
      </c>
      <c r="K4691" s="1">
        <f>IF(E4691=0,SUMPRODUCT(($A$2:$A$4734=A4691)*($B$2:$B$4734=B4691)*($D$2:$D$4734=D4691)*($E$2:$E$4734=0)),0)</f>
        <v>0</v>
      </c>
      <c r="L4691" s="1" t="str">
        <f>IF(E4691=0,SUMPRODUCT(MIN($K$2:$K$4734+((($A$2:$A$4734&lt;&gt;A4691)+($E$2:$E$4734&lt;&gt;0))&gt;0)*1000000)),"")</f>
        <v/>
      </c>
      <c r="M4691" s="1">
        <f>IF(AND(E4691=0,COUNTIFS($A$2:A4691,A4691,$E$2:E4691,0)=1),L4691,0)</f>
        <v>0</v>
      </c>
    </row>
    <row r="4692" spans="1:13" ht="15" customHeight="1">
      <c r="A4692" s="1">
        <v>268</v>
      </c>
      <c r="B4692" s="1" t="s">
        <v>69</v>
      </c>
      <c r="C4692" s="2" t="s">
        <v>5566</v>
      </c>
      <c r="D4692" s="2" t="s">
        <v>5567</v>
      </c>
      <c r="E4692" s="1">
        <v>1</v>
      </c>
      <c r="F4692" s="2" t="s">
        <v>5571</v>
      </c>
      <c r="G4692" s="1">
        <v>4</v>
      </c>
      <c r="H4692" s="1" t="str">
        <f t="shared" si="76"/>
        <v>k268_4</v>
      </c>
      <c r="K4692" s="1">
        <f>IF(E4692=0,SUMPRODUCT(($A$2:$A$4734=A4692)*($B$2:$B$4734=B4692)*($D$2:$D$4734=D4692)*($E$2:$E$4734=0)),0)</f>
        <v>0</v>
      </c>
      <c r="L4692" s="1" t="str">
        <f>IF(E4692=0,SUMPRODUCT(MIN($K$2:$K$4734+((($A$2:$A$4734&lt;&gt;A4692)+($E$2:$E$4734&lt;&gt;0))&gt;0)*1000000)),"")</f>
        <v/>
      </c>
      <c r="M4692" s="1">
        <f>IF(AND(E4692=0,COUNTIFS($A$2:A4692,A4692,$E$2:E4692,0)=1),L4692,0)</f>
        <v>0</v>
      </c>
    </row>
    <row r="4693" spans="1:13" ht="15" customHeight="1">
      <c r="A4693" s="1">
        <v>268</v>
      </c>
      <c r="B4693" s="1" t="s">
        <v>9</v>
      </c>
      <c r="C4693" s="2" t="s">
        <v>5566</v>
      </c>
      <c r="D4693" s="2" t="s">
        <v>1306</v>
      </c>
      <c r="E4693" s="1">
        <v>1</v>
      </c>
      <c r="F4693" s="2" t="s">
        <v>3703</v>
      </c>
      <c r="G4693" s="1">
        <v>4</v>
      </c>
      <c r="H4693" s="1" t="str">
        <f t="shared" si="76"/>
        <v>k268_4</v>
      </c>
      <c r="K4693" s="1">
        <f>IF(E4693=0,SUMPRODUCT(($A$2:$A$4734=A4693)*($B$2:$B$4734=B4693)*($D$2:$D$4734=D4693)*($E$2:$E$4734=0)),0)</f>
        <v>0</v>
      </c>
      <c r="L4693" s="1" t="str">
        <f>IF(E4693=0,SUMPRODUCT(MIN($K$2:$K$4734+((($A$2:$A$4734&lt;&gt;A4693)+($E$2:$E$4734&lt;&gt;0))&gt;0)*1000000)),"")</f>
        <v/>
      </c>
      <c r="M4693" s="1">
        <f>IF(AND(E4693=0,COUNTIFS($A$2:A4693,A4693,$E$2:E4693,0)=1),L4693,0)</f>
        <v>0</v>
      </c>
    </row>
    <row r="4694" spans="1:13" ht="15" customHeight="1">
      <c r="A4694" s="1">
        <v>268</v>
      </c>
      <c r="B4694" s="1" t="s">
        <v>9</v>
      </c>
      <c r="C4694" s="2" t="s">
        <v>5566</v>
      </c>
      <c r="D4694" s="2" t="s">
        <v>1306</v>
      </c>
      <c r="E4694" s="1">
        <v>1</v>
      </c>
      <c r="F4694" s="2" t="s">
        <v>5572</v>
      </c>
      <c r="G4694" s="1">
        <v>1</v>
      </c>
      <c r="H4694" s="1" t="str">
        <f t="shared" si="76"/>
        <v>k268_1</v>
      </c>
      <c r="K4694" s="1">
        <f>IF(E4694=0,SUMPRODUCT(($A$2:$A$4734=A4694)*($B$2:$B$4734=B4694)*($D$2:$D$4734=D4694)*($E$2:$E$4734=0)),0)</f>
        <v>0</v>
      </c>
      <c r="L4694" s="1" t="str">
        <f>IF(E4694=0,SUMPRODUCT(MIN($K$2:$K$4734+((($A$2:$A$4734&lt;&gt;A4694)+($E$2:$E$4734&lt;&gt;0))&gt;0)*1000000)),"")</f>
        <v/>
      </c>
      <c r="M4694" s="1">
        <f>IF(AND(E4694=0,COUNTIFS($A$2:A4694,A4694,$E$2:E4694,0)=1),L4694,0)</f>
        <v>0</v>
      </c>
    </row>
    <row r="4695" spans="1:13" ht="15" customHeight="1">
      <c r="A4695" s="1">
        <v>268</v>
      </c>
      <c r="B4695" s="1" t="s">
        <v>9</v>
      </c>
      <c r="C4695" s="2" t="s">
        <v>5566</v>
      </c>
      <c r="D4695" s="2" t="s">
        <v>1306</v>
      </c>
      <c r="E4695" s="1">
        <v>1</v>
      </c>
      <c r="F4695" s="2" t="s">
        <v>1332</v>
      </c>
      <c r="G4695" s="1">
        <v>3</v>
      </c>
      <c r="H4695" s="1" t="str">
        <f t="shared" si="76"/>
        <v>k268_3</v>
      </c>
      <c r="K4695" s="1">
        <f>IF(E4695=0,SUMPRODUCT(($A$2:$A$4734=A4695)*($B$2:$B$4734=B4695)*($D$2:$D$4734=D4695)*($E$2:$E$4734=0)),0)</f>
        <v>0</v>
      </c>
      <c r="L4695" s="1" t="str">
        <f>IF(E4695=0,SUMPRODUCT(MIN($K$2:$K$4734+((($A$2:$A$4734&lt;&gt;A4695)+($E$2:$E$4734&lt;&gt;0))&gt;0)*1000000)),"")</f>
        <v/>
      </c>
      <c r="M4695" s="1">
        <f>IF(AND(E4695=0,COUNTIFS($A$2:A4695,A4695,$E$2:E4695,0)=1),L4695,0)</f>
        <v>0</v>
      </c>
    </row>
    <row r="4696" spans="1:13" ht="15" customHeight="1">
      <c r="A4696" s="1">
        <v>268</v>
      </c>
      <c r="B4696" s="1" t="s">
        <v>9</v>
      </c>
      <c r="C4696" s="2" t="s">
        <v>5566</v>
      </c>
      <c r="D4696" s="2" t="s">
        <v>1306</v>
      </c>
      <c r="E4696" s="1">
        <v>1</v>
      </c>
      <c r="F4696" s="2" t="s">
        <v>5573</v>
      </c>
      <c r="G4696" s="1">
        <v>2</v>
      </c>
      <c r="H4696" s="1" t="str">
        <f t="shared" si="76"/>
        <v>k268_2</v>
      </c>
      <c r="K4696" s="1">
        <f>IF(E4696=0,SUMPRODUCT(($A$2:$A$4734=A4696)*($B$2:$B$4734=B4696)*($D$2:$D$4734=D4696)*($E$2:$E$4734=0)),0)</f>
        <v>0</v>
      </c>
      <c r="L4696" s="1" t="str">
        <f>IF(E4696=0,SUMPRODUCT(MIN($K$2:$K$4734+((($A$2:$A$4734&lt;&gt;A4696)+($E$2:$E$4734&lt;&gt;0))&gt;0)*1000000)),"")</f>
        <v/>
      </c>
      <c r="M4696" s="1">
        <f>IF(AND(E4696=0,COUNTIFS($A$2:A4696,A4696,$E$2:E4696,0)=1),L4696,0)</f>
        <v>0</v>
      </c>
    </row>
    <row r="4697" spans="1:13" ht="15" customHeight="1">
      <c r="A4697" s="1">
        <v>269</v>
      </c>
      <c r="B4697" s="1" t="s">
        <v>69</v>
      </c>
      <c r="C4697" s="2" t="s">
        <v>5574</v>
      </c>
      <c r="D4697" s="2" t="s">
        <v>5575</v>
      </c>
      <c r="E4697" s="1">
        <v>1</v>
      </c>
      <c r="F4697" s="2" t="s">
        <v>5576</v>
      </c>
      <c r="G4697" s="1">
        <v>1</v>
      </c>
      <c r="H4697" s="1" t="str">
        <f t="shared" si="76"/>
        <v>k269_1</v>
      </c>
      <c r="K4697" s="1">
        <f>IF(E4697=0,SUMPRODUCT(($A$2:$A$4734=A4697)*($B$2:$B$4734=B4697)*($D$2:$D$4734=D4697)*($E$2:$E$4734=0)),0)</f>
        <v>0</v>
      </c>
      <c r="L4697" s="1" t="str">
        <f>IF(E4697=0,SUMPRODUCT(MIN($K$2:$K$4734+((($A$2:$A$4734&lt;&gt;A4697)+($E$2:$E$4734&lt;&gt;0))&gt;0)*1000000)),"")</f>
        <v/>
      </c>
      <c r="M4697" s="1">
        <f>IF(AND(E4697=0,COUNTIFS($A$2:A4697,A4697,$E$2:E4697,0)=1),L4697,0)</f>
        <v>0</v>
      </c>
    </row>
    <row r="4698" spans="1:13" ht="15" customHeight="1">
      <c r="A4698" s="1">
        <v>269</v>
      </c>
      <c r="B4698" s="1" t="s">
        <v>69</v>
      </c>
      <c r="C4698" s="2" t="s">
        <v>5574</v>
      </c>
      <c r="D4698" s="2" t="s">
        <v>5575</v>
      </c>
      <c r="E4698" s="1">
        <v>1</v>
      </c>
      <c r="F4698" s="2" t="s">
        <v>5577</v>
      </c>
      <c r="G4698" s="1">
        <v>2</v>
      </c>
      <c r="H4698" s="1" t="str">
        <f t="shared" si="76"/>
        <v>k269_2</v>
      </c>
      <c r="K4698" s="1">
        <f>IF(E4698=0,SUMPRODUCT(($A$2:$A$4734=A4698)*($B$2:$B$4734=B4698)*($D$2:$D$4734=D4698)*($E$2:$E$4734=0)),0)</f>
        <v>0</v>
      </c>
      <c r="L4698" s="1" t="str">
        <f>IF(E4698=0,SUMPRODUCT(MIN($K$2:$K$4734+((($A$2:$A$4734&lt;&gt;A4698)+($E$2:$E$4734&lt;&gt;0))&gt;0)*1000000)),"")</f>
        <v/>
      </c>
      <c r="M4698" s="1">
        <f>IF(AND(E4698=0,COUNTIFS($A$2:A4698,A4698,$E$2:E4698,0)=1),L4698,0)</f>
        <v>0</v>
      </c>
    </row>
    <row r="4699" spans="1:13" ht="15" customHeight="1">
      <c r="A4699" s="1">
        <v>269</v>
      </c>
      <c r="B4699" s="1" t="s">
        <v>69</v>
      </c>
      <c r="C4699" s="2" t="s">
        <v>5574</v>
      </c>
      <c r="D4699" s="2" t="s">
        <v>5575</v>
      </c>
      <c r="E4699" s="1">
        <v>1</v>
      </c>
      <c r="F4699" s="2" t="s">
        <v>5578</v>
      </c>
      <c r="G4699" s="1">
        <v>3</v>
      </c>
      <c r="H4699" s="1" t="str">
        <f t="shared" si="76"/>
        <v>k269_3</v>
      </c>
      <c r="K4699" s="1">
        <f>IF(E4699=0,SUMPRODUCT(($A$2:$A$4734=A4699)*($B$2:$B$4734=B4699)*($D$2:$D$4734=D4699)*($E$2:$E$4734=0)),0)</f>
        <v>0</v>
      </c>
      <c r="L4699" s="1" t="str">
        <f>IF(E4699=0,SUMPRODUCT(MIN($K$2:$K$4734+((($A$2:$A$4734&lt;&gt;A4699)+($E$2:$E$4734&lt;&gt;0))&gt;0)*1000000)),"")</f>
        <v/>
      </c>
      <c r="M4699" s="1">
        <f>IF(AND(E4699=0,COUNTIFS($A$2:A4699,A4699,$E$2:E4699,0)=1),L4699,0)</f>
        <v>0</v>
      </c>
    </row>
    <row r="4700" spans="1:13" ht="15" customHeight="1">
      <c r="A4700" s="1">
        <v>269</v>
      </c>
      <c r="B4700" s="1" t="s">
        <v>69</v>
      </c>
      <c r="C4700" s="2" t="s">
        <v>5574</v>
      </c>
      <c r="D4700" s="2" t="s">
        <v>5575</v>
      </c>
      <c r="E4700" s="1">
        <v>1</v>
      </c>
      <c r="F4700" s="2" t="s">
        <v>5579</v>
      </c>
      <c r="G4700" s="1">
        <v>4</v>
      </c>
      <c r="H4700" s="1" t="str">
        <f t="shared" si="76"/>
        <v>k269_4</v>
      </c>
      <c r="K4700" s="1">
        <f>IF(E4700=0,SUMPRODUCT(($A$2:$A$4734=A4700)*($B$2:$B$4734=B4700)*($D$2:$D$4734=D4700)*($E$2:$E$4734=0)),0)</f>
        <v>0</v>
      </c>
      <c r="L4700" s="1" t="str">
        <f>IF(E4700=0,SUMPRODUCT(MIN($K$2:$K$4734+((($A$2:$A$4734&lt;&gt;A4700)+($E$2:$E$4734&lt;&gt;0))&gt;0)*1000000)),"")</f>
        <v/>
      </c>
      <c r="M4700" s="1">
        <f>IF(AND(E4700=0,COUNTIFS($A$2:A4700,A4700,$E$2:E4700,0)=1),L4700,0)</f>
        <v>0</v>
      </c>
    </row>
    <row r="4701" spans="1:13" ht="15" customHeight="1">
      <c r="A4701" s="1">
        <v>269</v>
      </c>
      <c r="B4701" s="1" t="s">
        <v>69</v>
      </c>
      <c r="C4701" s="2" t="s">
        <v>5574</v>
      </c>
      <c r="D4701" s="2" t="s">
        <v>5575</v>
      </c>
      <c r="E4701" s="1">
        <v>1</v>
      </c>
      <c r="F4701" s="2" t="s">
        <v>5580</v>
      </c>
      <c r="G4701" s="1">
        <v>5</v>
      </c>
      <c r="H4701" s="1" t="str">
        <f t="shared" si="76"/>
        <v>k269_5</v>
      </c>
      <c r="K4701" s="1">
        <f>IF(E4701=0,SUMPRODUCT(($A$2:$A$4734=A4701)*($B$2:$B$4734=B4701)*($D$2:$D$4734=D4701)*($E$2:$E$4734=0)),0)</f>
        <v>0</v>
      </c>
      <c r="L4701" s="1" t="str">
        <f>IF(E4701=0,SUMPRODUCT(MIN($K$2:$K$4734+((($A$2:$A$4734&lt;&gt;A4701)+($E$2:$E$4734&lt;&gt;0))&gt;0)*1000000)),"")</f>
        <v/>
      </c>
      <c r="M4701" s="1">
        <f>IF(AND(E4701=0,COUNTIFS($A$2:A4701,A4701,$E$2:E4701,0)=1),L4701,0)</f>
        <v>0</v>
      </c>
    </row>
    <row r="4702" spans="1:13" ht="15" customHeight="1">
      <c r="A4702" s="1">
        <v>269</v>
      </c>
      <c r="B4702" s="1" t="s">
        <v>358</v>
      </c>
      <c r="C4702" s="2" t="s">
        <v>5574</v>
      </c>
      <c r="D4702" s="2" t="s">
        <v>5575</v>
      </c>
      <c r="E4702" s="1">
        <v>1</v>
      </c>
      <c r="F4702" s="2" t="s">
        <v>5581</v>
      </c>
      <c r="G4702" s="1">
        <v>1</v>
      </c>
      <c r="H4702" s="1" t="str">
        <f t="shared" si="76"/>
        <v>k269_1</v>
      </c>
      <c r="K4702" s="1">
        <f>IF(E4702=0,SUMPRODUCT(($A$2:$A$4734=A4702)*($B$2:$B$4734=B4702)*($D$2:$D$4734=D4702)*($E$2:$E$4734=0)),0)</f>
        <v>0</v>
      </c>
      <c r="L4702" s="1" t="str">
        <f>IF(E4702=0,SUMPRODUCT(MIN($K$2:$K$4734+((($A$2:$A$4734&lt;&gt;A4702)+($E$2:$E$4734&lt;&gt;0))&gt;0)*1000000)),"")</f>
        <v/>
      </c>
      <c r="M4702" s="1">
        <f>IF(AND(E4702=0,COUNTIFS($A$2:A4702,A4702,$E$2:E4702,0)=1),L4702,0)</f>
        <v>0</v>
      </c>
    </row>
    <row r="4703" spans="1:13" ht="15" customHeight="1">
      <c r="A4703" s="1">
        <v>269</v>
      </c>
      <c r="B4703" s="1" t="s">
        <v>358</v>
      </c>
      <c r="C4703" s="2" t="s">
        <v>5574</v>
      </c>
      <c r="D4703" s="2" t="s">
        <v>5575</v>
      </c>
      <c r="E4703" s="1">
        <v>1</v>
      </c>
      <c r="F4703" s="2" t="s">
        <v>5582</v>
      </c>
      <c r="G4703" s="1">
        <v>2</v>
      </c>
      <c r="H4703" s="1" t="str">
        <f t="shared" si="76"/>
        <v>k269_2</v>
      </c>
      <c r="K4703" s="1">
        <f>IF(E4703=0,SUMPRODUCT(($A$2:$A$4734=A4703)*($B$2:$B$4734=B4703)*($D$2:$D$4734=D4703)*($E$2:$E$4734=0)),0)</f>
        <v>0</v>
      </c>
      <c r="L4703" s="1" t="str">
        <f>IF(E4703=0,SUMPRODUCT(MIN($K$2:$K$4734+((($A$2:$A$4734&lt;&gt;A4703)+($E$2:$E$4734&lt;&gt;0))&gt;0)*1000000)),"")</f>
        <v/>
      </c>
      <c r="M4703" s="1">
        <f>IF(AND(E4703=0,COUNTIFS($A$2:A4703,A4703,$E$2:E4703,0)=1),L4703,0)</f>
        <v>0</v>
      </c>
    </row>
    <row r="4704" spans="1:13" ht="15" customHeight="1">
      <c r="A4704" s="1">
        <v>269</v>
      </c>
      <c r="B4704" s="1" t="s">
        <v>358</v>
      </c>
      <c r="C4704" s="2" t="s">
        <v>5574</v>
      </c>
      <c r="D4704" s="2" t="s">
        <v>5575</v>
      </c>
      <c r="E4704" s="1">
        <v>1</v>
      </c>
      <c r="F4704" s="2" t="s">
        <v>5583</v>
      </c>
      <c r="G4704" s="1">
        <v>3</v>
      </c>
      <c r="H4704" s="1" t="str">
        <f t="shared" si="76"/>
        <v>k269_3</v>
      </c>
      <c r="K4704" s="1">
        <f>IF(E4704=0,SUMPRODUCT(($A$2:$A$4734=A4704)*($B$2:$B$4734=B4704)*($D$2:$D$4734=D4704)*($E$2:$E$4734=0)),0)</f>
        <v>0</v>
      </c>
      <c r="L4704" s="1" t="str">
        <f>IF(E4704=0,SUMPRODUCT(MIN($K$2:$K$4734+((($A$2:$A$4734&lt;&gt;A4704)+($E$2:$E$4734&lt;&gt;0))&gt;0)*1000000)),"")</f>
        <v/>
      </c>
      <c r="M4704" s="1">
        <f>IF(AND(E4704=0,COUNTIFS($A$2:A4704,A4704,$E$2:E4704,0)=1),L4704,0)</f>
        <v>0</v>
      </c>
    </row>
    <row r="4705" spans="1:13" ht="15" customHeight="1">
      <c r="A4705" s="1">
        <v>269</v>
      </c>
      <c r="B4705" s="1" t="s">
        <v>358</v>
      </c>
      <c r="C4705" s="2" t="s">
        <v>5574</v>
      </c>
      <c r="D4705" s="2" t="s">
        <v>5575</v>
      </c>
      <c r="E4705" s="1">
        <v>1</v>
      </c>
      <c r="F4705" s="2" t="s">
        <v>5584</v>
      </c>
      <c r="G4705" s="1">
        <v>4</v>
      </c>
      <c r="H4705" s="1" t="str">
        <f t="shared" si="76"/>
        <v>k269_4</v>
      </c>
      <c r="K4705" s="1">
        <f>IF(E4705=0,SUMPRODUCT(($A$2:$A$4734=A4705)*($B$2:$B$4734=B4705)*($D$2:$D$4734=D4705)*($E$2:$E$4734=0)),0)</f>
        <v>0</v>
      </c>
      <c r="L4705" s="1" t="str">
        <f>IF(E4705=0,SUMPRODUCT(MIN($K$2:$K$4734+((($A$2:$A$4734&lt;&gt;A4705)+($E$2:$E$4734&lt;&gt;0))&gt;0)*1000000)),"")</f>
        <v/>
      </c>
      <c r="M4705" s="1">
        <f>IF(AND(E4705=0,COUNTIFS($A$2:A4705,A4705,$E$2:E4705,0)=1),L4705,0)</f>
        <v>0</v>
      </c>
    </row>
    <row r="4706" spans="1:13" ht="15" customHeight="1">
      <c r="A4706" s="1">
        <v>269</v>
      </c>
      <c r="B4706" s="1" t="s">
        <v>358</v>
      </c>
      <c r="C4706" s="2" t="s">
        <v>5574</v>
      </c>
      <c r="D4706" s="2" t="s">
        <v>5575</v>
      </c>
      <c r="E4706" s="1">
        <v>1</v>
      </c>
      <c r="F4706" s="2" t="s">
        <v>5584</v>
      </c>
      <c r="G4706" s="1">
        <v>5</v>
      </c>
      <c r="H4706" s="1" t="str">
        <f t="shared" si="76"/>
        <v>k269_5</v>
      </c>
      <c r="K4706" s="1">
        <f>IF(E4706=0,SUMPRODUCT(($A$2:$A$4734=A4706)*($B$2:$B$4734=B4706)*($D$2:$D$4734=D4706)*($E$2:$E$4734=0)),0)</f>
        <v>0</v>
      </c>
      <c r="L4706" s="1" t="str">
        <f>IF(E4706=0,SUMPRODUCT(MIN($K$2:$K$4734+((($A$2:$A$4734&lt;&gt;A4706)+($E$2:$E$4734&lt;&gt;0))&gt;0)*1000000)),"")</f>
        <v/>
      </c>
      <c r="M4706" s="1">
        <f>IF(AND(E4706=0,COUNTIFS($A$2:A4706,A4706,$E$2:E4706,0)=1),L4706,0)</f>
        <v>0</v>
      </c>
    </row>
    <row r="4707" spans="1:13" ht="15" customHeight="1">
      <c r="A4707" s="1">
        <v>270</v>
      </c>
      <c r="B4707" s="1" t="s">
        <v>9</v>
      </c>
      <c r="C4707" s="2" t="s">
        <v>5585</v>
      </c>
      <c r="D4707" s="2" t="s">
        <v>5586</v>
      </c>
      <c r="E4707" s="1">
        <v>1</v>
      </c>
      <c r="F4707" s="2" t="s">
        <v>638</v>
      </c>
      <c r="G4707" s="1">
        <v>2</v>
      </c>
      <c r="H4707" s="1" t="str">
        <f t="shared" si="76"/>
        <v>k270_2</v>
      </c>
      <c r="K4707" s="1">
        <f>IF(E4707=0,SUMPRODUCT(($A$2:$A$4734=A4707)*($B$2:$B$4734=B4707)*($D$2:$D$4734=D4707)*($E$2:$E$4734=0)),0)</f>
        <v>0</v>
      </c>
      <c r="L4707" s="1" t="str">
        <f>IF(E4707=0,SUMPRODUCT(MIN($K$2:$K$4734+((($A$2:$A$4734&lt;&gt;A4707)+($E$2:$E$4734&lt;&gt;0))&gt;0)*1000000)),"")</f>
        <v/>
      </c>
      <c r="M4707" s="1">
        <f>IF(AND(E4707=0,COUNTIFS($A$2:A4707,A4707,$E$2:E4707,0)=1),L4707,0)</f>
        <v>0</v>
      </c>
    </row>
    <row r="4708" spans="1:13" ht="15" customHeight="1">
      <c r="A4708" s="1">
        <v>270</v>
      </c>
      <c r="B4708" s="1" t="s">
        <v>9</v>
      </c>
      <c r="C4708" s="2" t="s">
        <v>5587</v>
      </c>
      <c r="D4708" s="2" t="s">
        <v>5586</v>
      </c>
      <c r="E4708" s="1">
        <v>1</v>
      </c>
      <c r="F4708" s="2" t="s">
        <v>5588</v>
      </c>
      <c r="G4708" s="1">
        <v>1</v>
      </c>
      <c r="H4708" s="1" t="str">
        <f t="shared" si="76"/>
        <v>k270_1</v>
      </c>
      <c r="K4708" s="1">
        <f>IF(E4708=0,SUMPRODUCT(($A$2:$A$4734=A4708)*($B$2:$B$4734=B4708)*($D$2:$D$4734=D4708)*($E$2:$E$4734=0)),0)</f>
        <v>0</v>
      </c>
      <c r="L4708" s="1" t="str">
        <f>IF(E4708=0,SUMPRODUCT(MIN($K$2:$K$4734+((($A$2:$A$4734&lt;&gt;A4708)+($E$2:$E$4734&lt;&gt;0))&gt;0)*1000000)),"")</f>
        <v/>
      </c>
      <c r="M4708" s="1">
        <f>IF(AND(E4708=0,COUNTIFS($A$2:A4708,A4708,$E$2:E4708,0)=1),L4708,0)</f>
        <v>0</v>
      </c>
    </row>
    <row r="4709" spans="1:13" ht="15" customHeight="1">
      <c r="A4709" s="1">
        <v>270</v>
      </c>
      <c r="B4709" s="1" t="s">
        <v>9</v>
      </c>
      <c r="C4709" s="2" t="s">
        <v>5589</v>
      </c>
      <c r="D4709" s="2" t="s">
        <v>5586</v>
      </c>
      <c r="E4709" s="1">
        <v>1</v>
      </c>
      <c r="F4709" s="2" t="s">
        <v>639</v>
      </c>
      <c r="G4709" s="1">
        <v>3</v>
      </c>
      <c r="H4709" s="1" t="str">
        <f t="shared" si="76"/>
        <v>k270_3</v>
      </c>
      <c r="K4709" s="1">
        <f>IF(E4709=0,SUMPRODUCT(($A$2:$A$4734=A4709)*($B$2:$B$4734=B4709)*($D$2:$D$4734=D4709)*($E$2:$E$4734=0)),0)</f>
        <v>0</v>
      </c>
      <c r="L4709" s="1" t="str">
        <f>IF(E4709=0,SUMPRODUCT(MIN($K$2:$K$4734+((($A$2:$A$4734&lt;&gt;A4709)+($E$2:$E$4734&lt;&gt;0))&gt;0)*1000000)),"")</f>
        <v/>
      </c>
      <c r="M4709" s="1">
        <f>IF(AND(E4709=0,COUNTIFS($A$2:A4709,A4709,$E$2:E4709,0)=1),L4709,0)</f>
        <v>0</v>
      </c>
    </row>
    <row r="4710" spans="1:13" ht="15" customHeight="1">
      <c r="A4710" s="1">
        <v>270</v>
      </c>
      <c r="B4710" s="1" t="s">
        <v>9</v>
      </c>
      <c r="C4710" s="2" t="s">
        <v>5590</v>
      </c>
      <c r="D4710" s="2" t="s">
        <v>5586</v>
      </c>
      <c r="E4710" s="1">
        <v>1</v>
      </c>
      <c r="F4710" s="2" t="s">
        <v>651</v>
      </c>
      <c r="G4710" s="1">
        <v>4</v>
      </c>
      <c r="H4710" s="1" t="str">
        <f t="shared" si="76"/>
        <v>k270_4</v>
      </c>
      <c r="K4710" s="1">
        <f>IF(E4710=0,SUMPRODUCT(($A$2:$A$4734=A4710)*($B$2:$B$4734=B4710)*($D$2:$D$4734=D4710)*($E$2:$E$4734=0)),0)</f>
        <v>0</v>
      </c>
      <c r="L4710" s="1" t="str">
        <f>IF(E4710=0,SUMPRODUCT(MIN($K$2:$K$4734+((($A$2:$A$4734&lt;&gt;A4710)+($E$2:$E$4734&lt;&gt;0))&gt;0)*1000000)),"")</f>
        <v/>
      </c>
      <c r="M4710" s="1">
        <f>IF(AND(E4710=0,COUNTIFS($A$2:A4710,A4710,$E$2:E4710,0)=1),L4710,0)</f>
        <v>0</v>
      </c>
    </row>
    <row r="4711" spans="1:13" ht="15" customHeight="1">
      <c r="A4711" s="1">
        <v>270</v>
      </c>
      <c r="B4711" s="1" t="s">
        <v>9</v>
      </c>
      <c r="C4711" s="2" t="s">
        <v>5589</v>
      </c>
      <c r="D4711" s="2" t="s">
        <v>5586</v>
      </c>
      <c r="E4711" s="1">
        <v>1</v>
      </c>
      <c r="F4711" s="2" t="s">
        <v>639</v>
      </c>
      <c r="G4711" s="1">
        <v>5</v>
      </c>
      <c r="H4711" s="1" t="str">
        <f t="shared" si="76"/>
        <v>k270_5</v>
      </c>
      <c r="K4711" s="1">
        <f>IF(E4711=0,SUMPRODUCT(($A$2:$A$4734=A4711)*($B$2:$B$4734=B4711)*($D$2:$D$4734=D4711)*($E$2:$E$4734=0)),0)</f>
        <v>0</v>
      </c>
      <c r="L4711" s="1" t="str">
        <f>IF(E4711=0,SUMPRODUCT(MIN($K$2:$K$4734+((($A$2:$A$4734&lt;&gt;A4711)+($E$2:$E$4734&lt;&gt;0))&gt;0)*1000000)),"")</f>
        <v/>
      </c>
      <c r="M4711" s="1">
        <f>IF(AND(E4711=0,COUNTIFS($A$2:A4711,A4711,$E$2:E4711,0)=1),L4711,0)</f>
        <v>0</v>
      </c>
    </row>
    <row r="4712" spans="1:13" ht="15" customHeight="1">
      <c r="A4712" s="1">
        <v>270</v>
      </c>
      <c r="B4712" s="1" t="s">
        <v>9</v>
      </c>
      <c r="C4712" s="2" t="s">
        <v>5590</v>
      </c>
      <c r="D4712" s="2" t="s">
        <v>5586</v>
      </c>
      <c r="E4712" s="1">
        <v>1</v>
      </c>
      <c r="F4712" s="2" t="s">
        <v>651</v>
      </c>
      <c r="G4712" s="1">
        <v>6</v>
      </c>
      <c r="H4712" s="1" t="str">
        <f t="shared" si="76"/>
        <v>k270_6</v>
      </c>
      <c r="K4712" s="1">
        <f>IF(E4712=0,SUMPRODUCT(($A$2:$A$4734=A4712)*($B$2:$B$4734=B4712)*($D$2:$D$4734=D4712)*($E$2:$E$4734=0)),0)</f>
        <v>0</v>
      </c>
      <c r="L4712" s="1" t="str">
        <f>IF(E4712=0,SUMPRODUCT(MIN($K$2:$K$4734+((($A$2:$A$4734&lt;&gt;A4712)+($E$2:$E$4734&lt;&gt;0))&gt;0)*1000000)),"")</f>
        <v/>
      </c>
      <c r="M4712" s="1">
        <f>IF(AND(E4712=0,COUNTIFS($A$2:A4712,A4712,$E$2:E4712,0)=1),L4712,0)</f>
        <v>0</v>
      </c>
    </row>
    <row r="4713" spans="1:13" ht="15" customHeight="1">
      <c r="A4713" s="1">
        <v>270</v>
      </c>
      <c r="B4713" s="1" t="s">
        <v>69</v>
      </c>
      <c r="C4713" s="2" t="s">
        <v>5591</v>
      </c>
      <c r="D4713" s="2" t="s">
        <v>5592</v>
      </c>
      <c r="E4713" s="1">
        <v>1</v>
      </c>
      <c r="F4713" s="2" t="s">
        <v>5593</v>
      </c>
      <c r="G4713" s="1">
        <v>1</v>
      </c>
      <c r="H4713" s="1" t="str">
        <f t="shared" si="76"/>
        <v>k270_1</v>
      </c>
      <c r="K4713" s="1">
        <f>IF(E4713=0,SUMPRODUCT(($A$2:$A$4734=A4713)*($B$2:$B$4734=B4713)*($D$2:$D$4734=D4713)*($E$2:$E$4734=0)),0)</f>
        <v>0</v>
      </c>
      <c r="L4713" s="1" t="str">
        <f>IF(E4713=0,SUMPRODUCT(MIN($K$2:$K$4734+((($A$2:$A$4734&lt;&gt;A4713)+($E$2:$E$4734&lt;&gt;0))&gt;0)*1000000)),"")</f>
        <v/>
      </c>
      <c r="M4713" s="1">
        <f>IF(AND(E4713=0,COUNTIFS($A$2:A4713,A4713,$E$2:E4713,0)=1),L4713,0)</f>
        <v>0</v>
      </c>
    </row>
    <row r="4714" spans="1:13" ht="15" customHeight="1">
      <c r="A4714" s="1">
        <v>270</v>
      </c>
      <c r="B4714" s="1" t="s">
        <v>69</v>
      </c>
      <c r="C4714" s="2" t="s">
        <v>5594</v>
      </c>
      <c r="D4714" s="2" t="s">
        <v>5592</v>
      </c>
      <c r="E4714" s="1">
        <v>1</v>
      </c>
      <c r="F4714" s="2" t="s">
        <v>5595</v>
      </c>
      <c r="G4714" s="1">
        <v>2</v>
      </c>
      <c r="H4714" s="1" t="str">
        <f t="shared" si="76"/>
        <v>k270_2</v>
      </c>
      <c r="K4714" s="1">
        <f>IF(E4714=0,SUMPRODUCT(($A$2:$A$4734=A4714)*($B$2:$B$4734=B4714)*($D$2:$D$4734=D4714)*($E$2:$E$4734=0)),0)</f>
        <v>0</v>
      </c>
      <c r="L4714" s="1" t="str">
        <f>IF(E4714=0,SUMPRODUCT(MIN($K$2:$K$4734+((($A$2:$A$4734&lt;&gt;A4714)+($E$2:$E$4734&lt;&gt;0))&gt;0)*1000000)),"")</f>
        <v/>
      </c>
      <c r="M4714" s="1">
        <f>IF(AND(E4714=0,COUNTIFS($A$2:A4714,A4714,$E$2:E4714,0)=1),L4714,0)</f>
        <v>0</v>
      </c>
    </row>
    <row r="4715" spans="1:13" ht="15" customHeight="1">
      <c r="A4715" s="1">
        <v>270</v>
      </c>
      <c r="B4715" s="1" t="s">
        <v>69</v>
      </c>
      <c r="C4715" s="2" t="s">
        <v>5596</v>
      </c>
      <c r="D4715" s="2" t="s">
        <v>5592</v>
      </c>
      <c r="E4715" s="1">
        <v>1</v>
      </c>
      <c r="F4715" s="2" t="s">
        <v>5597</v>
      </c>
      <c r="G4715" s="1">
        <v>3</v>
      </c>
      <c r="H4715" s="1" t="str">
        <f t="shared" si="76"/>
        <v>k270_3</v>
      </c>
      <c r="K4715" s="1">
        <f>IF(E4715=0,SUMPRODUCT(($A$2:$A$4734=A4715)*($B$2:$B$4734=B4715)*($D$2:$D$4734=D4715)*($E$2:$E$4734=0)),0)</f>
        <v>0</v>
      </c>
      <c r="L4715" s="1" t="str">
        <f>IF(E4715=0,SUMPRODUCT(MIN($K$2:$K$4734+((($A$2:$A$4734&lt;&gt;A4715)+($E$2:$E$4734&lt;&gt;0))&gt;0)*1000000)),"")</f>
        <v/>
      </c>
      <c r="M4715" s="1">
        <f>IF(AND(E4715=0,COUNTIFS($A$2:A4715,A4715,$E$2:E4715,0)=1),L4715,0)</f>
        <v>0</v>
      </c>
    </row>
    <row r="4716" spans="1:13" ht="15" customHeight="1">
      <c r="A4716" s="1">
        <v>270</v>
      </c>
      <c r="B4716" s="1" t="s">
        <v>69</v>
      </c>
      <c r="C4716" s="2" t="s">
        <v>5598</v>
      </c>
      <c r="D4716" s="2" t="s">
        <v>5592</v>
      </c>
      <c r="E4716" s="1">
        <v>1</v>
      </c>
      <c r="F4716" s="2" t="s">
        <v>5599</v>
      </c>
      <c r="G4716" s="1">
        <v>4</v>
      </c>
      <c r="H4716" s="1" t="str">
        <f t="shared" si="76"/>
        <v>k270_4</v>
      </c>
      <c r="K4716" s="1">
        <f>IF(E4716=0,SUMPRODUCT(($A$2:$A$4734=A4716)*($B$2:$B$4734=B4716)*($D$2:$D$4734=D4716)*($E$2:$E$4734=0)),0)</f>
        <v>0</v>
      </c>
      <c r="L4716" s="1" t="str">
        <f>IF(E4716=0,SUMPRODUCT(MIN($K$2:$K$4734+((($A$2:$A$4734&lt;&gt;A4716)+($E$2:$E$4734&lt;&gt;0))&gt;0)*1000000)),"")</f>
        <v/>
      </c>
      <c r="M4716" s="1">
        <f>IF(AND(E4716=0,COUNTIFS($A$2:A4716,A4716,$E$2:E4716,0)=1),L4716,0)</f>
        <v>0</v>
      </c>
    </row>
    <row r="4717" spans="1:13" ht="15" customHeight="1">
      <c r="A4717" s="1">
        <v>270</v>
      </c>
      <c r="B4717" s="1" t="s">
        <v>69</v>
      </c>
      <c r="C4717" s="2" t="s">
        <v>5600</v>
      </c>
      <c r="D4717" s="2" t="s">
        <v>5592</v>
      </c>
      <c r="E4717" s="1">
        <v>1</v>
      </c>
      <c r="F4717" s="2" t="s">
        <v>5601</v>
      </c>
      <c r="G4717" s="1">
        <v>5</v>
      </c>
      <c r="H4717" s="1" t="str">
        <f t="shared" si="76"/>
        <v>k270_5</v>
      </c>
      <c r="K4717" s="1">
        <f>IF(E4717=0,SUMPRODUCT(($A$2:$A$4734=A4717)*($B$2:$B$4734=B4717)*($D$2:$D$4734=D4717)*($E$2:$E$4734=0)),0)</f>
        <v>0</v>
      </c>
      <c r="L4717" s="1" t="str">
        <f>IF(E4717=0,SUMPRODUCT(MIN($K$2:$K$4734+((($A$2:$A$4734&lt;&gt;A4717)+($E$2:$E$4734&lt;&gt;0))&gt;0)*1000000)),"")</f>
        <v/>
      </c>
      <c r="M4717" s="1">
        <f>IF(AND(E4717=0,COUNTIFS($A$2:A4717,A4717,$E$2:E4717,0)=1),L4717,0)</f>
        <v>0</v>
      </c>
    </row>
    <row r="4718" spans="1:13" ht="15" customHeight="1">
      <c r="A4718" s="1">
        <v>270</v>
      </c>
      <c r="B4718" s="1" t="s">
        <v>69</v>
      </c>
      <c r="C4718" s="2" t="s">
        <v>5602</v>
      </c>
      <c r="D4718" s="2" t="s">
        <v>5592</v>
      </c>
      <c r="E4718" s="1">
        <v>1</v>
      </c>
      <c r="F4718" s="2" t="s">
        <v>5603</v>
      </c>
      <c r="G4718" s="1">
        <v>6</v>
      </c>
      <c r="H4718" s="1" t="str">
        <f t="shared" si="76"/>
        <v>k270_6</v>
      </c>
      <c r="K4718" s="1">
        <f>IF(E4718=0,SUMPRODUCT(($A$2:$A$4734=A4718)*($B$2:$B$4734=B4718)*($D$2:$D$4734=D4718)*($E$2:$E$4734=0)),0)</f>
        <v>0</v>
      </c>
      <c r="L4718" s="1" t="str">
        <f>IF(E4718=0,SUMPRODUCT(MIN($K$2:$K$4734+((($A$2:$A$4734&lt;&gt;A4718)+($E$2:$E$4734&lt;&gt;0))&gt;0)*1000000)),"")</f>
        <v/>
      </c>
      <c r="M4718" s="1">
        <f>IF(AND(E4718=0,COUNTIFS($A$2:A4718,A4718,$E$2:E4718,0)=1),L4718,0)</f>
        <v>0</v>
      </c>
    </row>
    <row r="4719" spans="1:13" ht="15" customHeight="1">
      <c r="A4719" s="1">
        <v>271</v>
      </c>
      <c r="B4719" s="1" t="s">
        <v>9</v>
      </c>
      <c r="C4719" s="2" t="s">
        <v>5604</v>
      </c>
      <c r="D4719" s="2" t="s">
        <v>5605</v>
      </c>
      <c r="E4719" s="1">
        <v>1</v>
      </c>
      <c r="F4719" s="2" t="s">
        <v>5606</v>
      </c>
      <c r="G4719" s="1">
        <v>4</v>
      </c>
      <c r="H4719" s="1" t="str">
        <f t="shared" si="76"/>
        <v>k271_4</v>
      </c>
      <c r="K4719" s="1">
        <f>IF(E4719=0,SUMPRODUCT(($A$2:$A$4734=A4719)*($B$2:$B$4734=B4719)*($D$2:$D$4734=D4719)*($E$2:$E$4734=0)),0)</f>
        <v>0</v>
      </c>
      <c r="L4719" s="1" t="str">
        <f>IF(E4719=0,SUMPRODUCT(MIN($K$2:$K$4734+((($A$2:$A$4734&lt;&gt;A4719)+($E$2:$E$4734&lt;&gt;0))&gt;0)*1000000)),"")</f>
        <v/>
      </c>
      <c r="M4719" s="1">
        <f>IF(AND(E4719=0,COUNTIFS($A$2:A4719,A4719,$E$2:E4719,0)=1),L4719,0)</f>
        <v>0</v>
      </c>
    </row>
    <row r="4720" spans="1:13" ht="15" customHeight="1">
      <c r="A4720" s="1">
        <v>271</v>
      </c>
      <c r="B4720" s="1" t="s">
        <v>9</v>
      </c>
      <c r="C4720" s="2" t="s">
        <v>5604</v>
      </c>
      <c r="D4720" s="2" t="s">
        <v>5605</v>
      </c>
      <c r="E4720" s="1">
        <v>1</v>
      </c>
      <c r="F4720" s="2" t="s">
        <v>5607</v>
      </c>
      <c r="G4720" s="1">
        <v>1</v>
      </c>
      <c r="H4720" s="1" t="str">
        <f t="shared" si="76"/>
        <v>k271_1</v>
      </c>
      <c r="K4720" s="1">
        <f>IF(E4720=0,SUMPRODUCT(($A$2:$A$4734=A4720)*($B$2:$B$4734=B4720)*($D$2:$D$4734=D4720)*($E$2:$E$4734=0)),0)</f>
        <v>0</v>
      </c>
      <c r="L4720" s="1" t="str">
        <f>IF(E4720=0,SUMPRODUCT(MIN($K$2:$K$4734+((($A$2:$A$4734&lt;&gt;A4720)+($E$2:$E$4734&lt;&gt;0))&gt;0)*1000000)),"")</f>
        <v/>
      </c>
      <c r="M4720" s="1">
        <f>IF(AND(E4720=0,COUNTIFS($A$2:A4720,A4720,$E$2:E4720,0)=1),L4720,0)</f>
        <v>0</v>
      </c>
    </row>
    <row r="4721" spans="1:13" ht="15" customHeight="1">
      <c r="A4721" s="1">
        <v>271</v>
      </c>
      <c r="B4721" s="1" t="s">
        <v>9</v>
      </c>
      <c r="C4721" s="2" t="s">
        <v>5604</v>
      </c>
      <c r="D4721" s="2" t="s">
        <v>5605</v>
      </c>
      <c r="E4721" s="1">
        <v>1</v>
      </c>
      <c r="F4721" s="2" t="s">
        <v>5608</v>
      </c>
      <c r="G4721" s="1">
        <v>5</v>
      </c>
      <c r="H4721" s="1" t="str">
        <f t="shared" si="76"/>
        <v>k271_5</v>
      </c>
      <c r="K4721" s="1">
        <f>IF(E4721=0,SUMPRODUCT(($A$2:$A$4734=A4721)*($B$2:$B$4734=B4721)*($D$2:$D$4734=D4721)*($E$2:$E$4734=0)),0)</f>
        <v>0</v>
      </c>
      <c r="L4721" s="1" t="str">
        <f>IF(E4721=0,SUMPRODUCT(MIN($K$2:$K$4734+((($A$2:$A$4734&lt;&gt;A4721)+($E$2:$E$4734&lt;&gt;0))&gt;0)*1000000)),"")</f>
        <v/>
      </c>
      <c r="M4721" s="1">
        <f>IF(AND(E4721=0,COUNTIFS($A$2:A4721,A4721,$E$2:E4721,0)=1),L4721,0)</f>
        <v>0</v>
      </c>
    </row>
    <row r="4722" spans="1:13" ht="15" customHeight="1">
      <c r="A4722" s="1">
        <v>271</v>
      </c>
      <c r="B4722" s="1" t="s">
        <v>9</v>
      </c>
      <c r="C4722" s="2" t="s">
        <v>5604</v>
      </c>
      <c r="D4722" s="2" t="s">
        <v>5605</v>
      </c>
      <c r="E4722" s="1">
        <v>1</v>
      </c>
      <c r="F4722" s="2" t="s">
        <v>5609</v>
      </c>
      <c r="G4722" s="1">
        <v>6</v>
      </c>
      <c r="H4722" s="1" t="str">
        <f t="shared" si="76"/>
        <v>k271_6</v>
      </c>
      <c r="K4722" s="1">
        <f>IF(E4722=0,SUMPRODUCT(($A$2:$A$4734=A4722)*($B$2:$B$4734=B4722)*($D$2:$D$4734=D4722)*($E$2:$E$4734=0)),0)</f>
        <v>0</v>
      </c>
      <c r="L4722" s="1" t="str">
        <f>IF(E4722=0,SUMPRODUCT(MIN($K$2:$K$4734+((($A$2:$A$4734&lt;&gt;A4722)+($E$2:$E$4734&lt;&gt;0))&gt;0)*1000000)),"")</f>
        <v/>
      </c>
      <c r="M4722" s="1">
        <f>IF(AND(E4722=0,COUNTIFS($A$2:A4722,A4722,$E$2:E4722,0)=1),L4722,0)</f>
        <v>0</v>
      </c>
    </row>
    <row r="4723" spans="1:13" ht="15" customHeight="1">
      <c r="A4723" s="1">
        <v>271</v>
      </c>
      <c r="B4723" s="1" t="s">
        <v>9</v>
      </c>
      <c r="C4723" s="2" t="s">
        <v>5604</v>
      </c>
      <c r="D4723" s="2" t="s">
        <v>5605</v>
      </c>
      <c r="E4723" s="1">
        <v>1</v>
      </c>
      <c r="F4723" s="2" t="s">
        <v>5608</v>
      </c>
      <c r="G4723" s="1">
        <v>2</v>
      </c>
      <c r="H4723" s="1" t="str">
        <f t="shared" si="76"/>
        <v>k271_2</v>
      </c>
      <c r="K4723" s="1">
        <f>IF(E4723=0,SUMPRODUCT(($A$2:$A$4734=A4723)*($B$2:$B$4734=B4723)*($D$2:$D$4734=D4723)*($E$2:$E$4734=0)),0)</f>
        <v>0</v>
      </c>
      <c r="L4723" s="1" t="str">
        <f>IF(E4723=0,SUMPRODUCT(MIN($K$2:$K$4734+((($A$2:$A$4734&lt;&gt;A4723)+($E$2:$E$4734&lt;&gt;0))&gt;0)*1000000)),"")</f>
        <v/>
      </c>
      <c r="M4723" s="1">
        <f>IF(AND(E4723=0,COUNTIFS($A$2:A4723,A4723,$E$2:E4723,0)=1),L4723,0)</f>
        <v>0</v>
      </c>
    </row>
    <row r="4724" spans="1:13" ht="15" customHeight="1">
      <c r="A4724" s="1">
        <v>271</v>
      </c>
      <c r="B4724" s="1" t="s">
        <v>9</v>
      </c>
      <c r="C4724" s="2" t="s">
        <v>5604</v>
      </c>
      <c r="D4724" s="2" t="s">
        <v>5605</v>
      </c>
      <c r="E4724" s="1">
        <v>1</v>
      </c>
      <c r="F4724" s="2" t="s">
        <v>5608</v>
      </c>
      <c r="G4724" s="1">
        <v>3</v>
      </c>
      <c r="H4724" s="1" t="str">
        <f t="shared" si="76"/>
        <v>k271_3</v>
      </c>
      <c r="K4724" s="1">
        <f>IF(E4724=0,SUMPRODUCT(($A$2:$A$4734=A4724)*($B$2:$B$4734=B4724)*($D$2:$D$4734=D4724)*($E$2:$E$4734=0)),0)</f>
        <v>0</v>
      </c>
      <c r="L4724" s="1" t="str">
        <f>IF(E4724=0,SUMPRODUCT(MIN($K$2:$K$4734+((($A$2:$A$4734&lt;&gt;A4724)+($E$2:$E$4734&lt;&gt;0))&gt;0)*1000000)),"")</f>
        <v/>
      </c>
      <c r="M4724" s="1">
        <f>IF(AND(E4724=0,COUNTIFS($A$2:A4724,A4724,$E$2:E4724,0)=1),L4724,0)</f>
        <v>0</v>
      </c>
    </row>
    <row r="4725" spans="1:13" ht="15" customHeight="1">
      <c r="A4725" s="1">
        <v>271</v>
      </c>
      <c r="B4725" s="1" t="s">
        <v>69</v>
      </c>
      <c r="C4725" s="2" t="s">
        <v>5604</v>
      </c>
      <c r="D4725" s="2" t="s">
        <v>5610</v>
      </c>
      <c r="E4725" s="1">
        <v>1</v>
      </c>
      <c r="F4725" s="2" t="s">
        <v>5611</v>
      </c>
      <c r="G4725" s="1">
        <v>1</v>
      </c>
      <c r="H4725" s="1" t="str">
        <f t="shared" si="76"/>
        <v>k271_1</v>
      </c>
      <c r="K4725" s="1">
        <f>IF(E4725=0,SUMPRODUCT(($A$2:$A$4734=A4725)*($B$2:$B$4734=B4725)*($D$2:$D$4734=D4725)*($E$2:$E$4734=0)),0)</f>
        <v>0</v>
      </c>
      <c r="L4725" s="1" t="str">
        <f>IF(E4725=0,SUMPRODUCT(MIN($K$2:$K$4734+((($A$2:$A$4734&lt;&gt;A4725)+($E$2:$E$4734&lt;&gt;0))&gt;0)*1000000)),"")</f>
        <v/>
      </c>
      <c r="M4725" s="1">
        <f>IF(AND(E4725=0,COUNTIFS($A$2:A4725,A4725,$E$2:E4725,0)=1),L4725,0)</f>
        <v>0</v>
      </c>
    </row>
    <row r="4726" spans="1:13" ht="15" customHeight="1">
      <c r="A4726" s="1">
        <v>271</v>
      </c>
      <c r="B4726" s="1" t="s">
        <v>69</v>
      </c>
      <c r="C4726" s="2" t="s">
        <v>5604</v>
      </c>
      <c r="D4726" s="2" t="s">
        <v>5610</v>
      </c>
      <c r="E4726" s="1">
        <v>1</v>
      </c>
      <c r="F4726" s="2" t="s">
        <v>5612</v>
      </c>
      <c r="G4726" s="1">
        <v>2</v>
      </c>
      <c r="H4726" s="1" t="str">
        <f t="shared" si="76"/>
        <v>k271_2</v>
      </c>
      <c r="K4726" s="1">
        <f>IF(E4726=0,SUMPRODUCT(($A$2:$A$4734=A4726)*($B$2:$B$4734=B4726)*($D$2:$D$4734=D4726)*($E$2:$E$4734=0)),0)</f>
        <v>0</v>
      </c>
      <c r="L4726" s="1" t="str">
        <f>IF(E4726=0,SUMPRODUCT(MIN($K$2:$K$4734+((($A$2:$A$4734&lt;&gt;A4726)+($E$2:$E$4734&lt;&gt;0))&gt;0)*1000000)),"")</f>
        <v/>
      </c>
      <c r="M4726" s="1">
        <f>IF(AND(E4726=0,COUNTIFS($A$2:A4726,A4726,$E$2:E4726,0)=1),L4726,0)</f>
        <v>0</v>
      </c>
    </row>
    <row r="4727" spans="1:13" ht="15" customHeight="1">
      <c r="A4727" s="1">
        <v>271</v>
      </c>
      <c r="B4727" s="1" t="s">
        <v>69</v>
      </c>
      <c r="C4727" s="2" t="s">
        <v>5604</v>
      </c>
      <c r="D4727" s="2" t="s">
        <v>5610</v>
      </c>
      <c r="E4727" s="1">
        <v>1</v>
      </c>
      <c r="F4727" s="2" t="s">
        <v>5613</v>
      </c>
      <c r="G4727" s="1">
        <v>3</v>
      </c>
      <c r="H4727" s="1" t="str">
        <f t="shared" si="76"/>
        <v>k271_3</v>
      </c>
      <c r="K4727" s="1">
        <f>IF(E4727=0,SUMPRODUCT(($A$2:$A$4734=A4727)*($B$2:$B$4734=B4727)*($D$2:$D$4734=D4727)*($E$2:$E$4734=0)),0)</f>
        <v>0</v>
      </c>
      <c r="L4727" s="1" t="str">
        <f>IF(E4727=0,SUMPRODUCT(MIN($K$2:$K$4734+((($A$2:$A$4734&lt;&gt;A4727)+($E$2:$E$4734&lt;&gt;0))&gt;0)*1000000)),"")</f>
        <v/>
      </c>
      <c r="M4727" s="1">
        <f>IF(AND(E4727=0,COUNTIFS($A$2:A4727,A4727,$E$2:E4727,0)=1),L4727,0)</f>
        <v>0</v>
      </c>
    </row>
    <row r="4728" spans="1:13" ht="15" customHeight="1">
      <c r="A4728" s="1">
        <v>271</v>
      </c>
      <c r="B4728" s="1" t="s">
        <v>69</v>
      </c>
      <c r="C4728" s="2" t="s">
        <v>5604</v>
      </c>
      <c r="D4728" s="2" t="s">
        <v>5610</v>
      </c>
      <c r="E4728" s="1">
        <v>1</v>
      </c>
      <c r="F4728" s="2" t="s">
        <v>5611</v>
      </c>
      <c r="G4728" s="1">
        <v>4</v>
      </c>
      <c r="H4728" s="1" t="str">
        <f t="shared" si="76"/>
        <v>k271_4</v>
      </c>
      <c r="K4728" s="1">
        <f>IF(E4728=0,SUMPRODUCT(($A$2:$A$4734=A4728)*($B$2:$B$4734=B4728)*($D$2:$D$4734=D4728)*($E$2:$E$4734=0)),0)</f>
        <v>0</v>
      </c>
      <c r="L4728" s="1" t="str">
        <f>IF(E4728=0,SUMPRODUCT(MIN($K$2:$K$4734+((($A$2:$A$4734&lt;&gt;A4728)+($E$2:$E$4734&lt;&gt;0))&gt;0)*1000000)),"")</f>
        <v/>
      </c>
      <c r="M4728" s="1">
        <f>IF(AND(E4728=0,COUNTIFS($A$2:A4728,A4728,$E$2:E4728,0)=1),L4728,0)</f>
        <v>0</v>
      </c>
    </row>
    <row r="4729" spans="1:13" ht="15" customHeight="1">
      <c r="A4729" s="1">
        <v>271</v>
      </c>
      <c r="B4729" s="1" t="s">
        <v>69</v>
      </c>
      <c r="C4729" s="2" t="s">
        <v>5604</v>
      </c>
      <c r="D4729" s="2" t="s">
        <v>5610</v>
      </c>
      <c r="E4729" s="1">
        <v>1</v>
      </c>
      <c r="F4729" s="2" t="s">
        <v>5612</v>
      </c>
      <c r="G4729" s="1">
        <v>5</v>
      </c>
      <c r="H4729" s="1" t="str">
        <f t="shared" si="76"/>
        <v>k271_5</v>
      </c>
      <c r="K4729" s="1">
        <f>IF(E4729=0,SUMPRODUCT(($A$2:$A$4734=A4729)*($B$2:$B$4734=B4729)*($D$2:$D$4734=D4729)*($E$2:$E$4734=0)),0)</f>
        <v>0</v>
      </c>
      <c r="L4729" s="1" t="str">
        <f>IF(E4729=0,SUMPRODUCT(MIN($K$2:$K$4734+((($A$2:$A$4734&lt;&gt;A4729)+($E$2:$E$4734&lt;&gt;0))&gt;0)*1000000)),"")</f>
        <v/>
      </c>
      <c r="M4729" s="1">
        <f>IF(AND(E4729=0,COUNTIFS($A$2:A4729,A4729,$E$2:E4729,0)=1),L4729,0)</f>
        <v>0</v>
      </c>
    </row>
    <row r="4730" spans="1:13" ht="15" customHeight="1">
      <c r="A4730" s="1">
        <v>271</v>
      </c>
      <c r="B4730" s="1" t="s">
        <v>69</v>
      </c>
      <c r="C4730" s="2" t="s">
        <v>5604</v>
      </c>
      <c r="D4730" s="2" t="s">
        <v>5610</v>
      </c>
      <c r="E4730" s="1">
        <v>1</v>
      </c>
      <c r="F4730" s="2" t="s">
        <v>5613</v>
      </c>
      <c r="G4730" s="1">
        <v>6</v>
      </c>
      <c r="H4730" s="1" t="str">
        <f t="shared" si="76"/>
        <v>k271_6</v>
      </c>
      <c r="K4730" s="1">
        <f>IF(E4730=0,SUMPRODUCT(($A$2:$A$4734=A4730)*($B$2:$B$4734=B4730)*($D$2:$D$4734=D4730)*($E$2:$E$4734=0)),0)</f>
        <v>0</v>
      </c>
      <c r="L4730" s="1" t="str">
        <f>IF(E4730=0,SUMPRODUCT(MIN($K$2:$K$4734+((($A$2:$A$4734&lt;&gt;A4730)+($E$2:$E$4734&lt;&gt;0))&gt;0)*1000000)),"")</f>
        <v/>
      </c>
      <c r="M4730" s="1">
        <f>IF(AND(E4730=0,COUNTIFS($A$2:A4730,A4730,$E$2:E4730,0)=1),L4730,0)</f>
        <v>0</v>
      </c>
    </row>
    <row r="4731" spans="1:13" ht="15" customHeight="1">
      <c r="A4731" s="1">
        <v>272</v>
      </c>
      <c r="B4731" s="1" t="s">
        <v>69</v>
      </c>
      <c r="C4731" s="2" t="s">
        <v>5614</v>
      </c>
      <c r="D4731" s="2" t="s">
        <v>5615</v>
      </c>
      <c r="E4731" s="1">
        <v>1</v>
      </c>
      <c r="F4731" s="2" t="s">
        <v>5616</v>
      </c>
      <c r="G4731" s="1">
        <v>1</v>
      </c>
      <c r="H4731" s="1" t="str">
        <f t="shared" si="76"/>
        <v>k272_1</v>
      </c>
      <c r="K4731" s="1">
        <f>IF(E4731=0,SUMPRODUCT(($A$2:$A$4734=A4731)*($B$2:$B$4734=B4731)*($D$2:$D$4734=D4731)*($E$2:$E$4734=0)),0)</f>
        <v>0</v>
      </c>
      <c r="L4731" s="1" t="str">
        <f>IF(E4731=0,SUMPRODUCT(MIN($K$2:$K$4734+((($A$2:$A$4734&lt;&gt;A4731)+($E$2:$E$4734&lt;&gt;0))&gt;0)*1000000)),"")</f>
        <v/>
      </c>
      <c r="M4731" s="1">
        <f>IF(AND(E4731=0,COUNTIFS($A$2:A4731,A4731,$E$2:E4731,0)=1),L4731,0)</f>
        <v>0</v>
      </c>
    </row>
    <row r="4732" spans="1:13" ht="15" customHeight="1">
      <c r="A4732" s="1">
        <v>272</v>
      </c>
      <c r="B4732" s="1" t="s">
        <v>69</v>
      </c>
      <c r="C4732" s="2" t="s">
        <v>5614</v>
      </c>
      <c r="D4732" s="2" t="s">
        <v>5615</v>
      </c>
      <c r="E4732" s="1">
        <v>1</v>
      </c>
      <c r="F4732" s="2" t="s">
        <v>5617</v>
      </c>
      <c r="G4732" s="1">
        <v>2</v>
      </c>
      <c r="H4732" s="1" t="str">
        <f t="shared" si="76"/>
        <v>k272_2</v>
      </c>
      <c r="K4732" s="1">
        <f>IF(E4732=0,SUMPRODUCT(($A$2:$A$4734=A4732)*($B$2:$B$4734=B4732)*($D$2:$D$4734=D4732)*($E$2:$E$4734=0)),0)</f>
        <v>0</v>
      </c>
      <c r="L4732" s="1" t="str">
        <f>IF(E4732=0,SUMPRODUCT(MIN($K$2:$K$4734+((($A$2:$A$4734&lt;&gt;A4732)+($E$2:$E$4734&lt;&gt;0))&gt;0)*1000000)),"")</f>
        <v/>
      </c>
      <c r="M4732" s="1">
        <f>IF(AND(E4732=0,COUNTIFS($A$2:A4732,A4732,$E$2:E4732,0)=1),L4732,0)</f>
        <v>0</v>
      </c>
    </row>
    <row r="4733" spans="1:13" ht="15" customHeight="1">
      <c r="A4733" s="1">
        <v>272</v>
      </c>
      <c r="B4733" s="1" t="s">
        <v>69</v>
      </c>
      <c r="C4733" s="2" t="s">
        <v>5614</v>
      </c>
      <c r="D4733" s="2" t="s">
        <v>5615</v>
      </c>
      <c r="E4733" s="1">
        <v>1</v>
      </c>
      <c r="F4733" s="2" t="s">
        <v>5618</v>
      </c>
      <c r="G4733" s="1">
        <v>3</v>
      </c>
      <c r="H4733" s="1" t="str">
        <f t="shared" si="76"/>
        <v>k272_3</v>
      </c>
      <c r="K4733" s="1">
        <f>IF(E4733=0,SUMPRODUCT(($A$2:$A$4734=A4733)*($B$2:$B$4734=B4733)*($D$2:$D$4734=D4733)*($E$2:$E$4734=0)),0)</f>
        <v>0</v>
      </c>
      <c r="L4733" s="1" t="str">
        <f>IF(E4733=0,SUMPRODUCT(MIN($K$2:$K$4734+((($A$2:$A$4734&lt;&gt;A4733)+($E$2:$E$4734&lt;&gt;0))&gt;0)*1000000)),"")</f>
        <v/>
      </c>
      <c r="M4733" s="1">
        <f>IF(AND(E4733=0,COUNTIFS($A$2:A4733,A4733,$E$2:E4733,0)=1),L4733,0)</f>
        <v>0</v>
      </c>
    </row>
    <row r="4734" spans="1:13" ht="15" customHeight="1">
      <c r="A4734" s="1">
        <v>272</v>
      </c>
      <c r="B4734" s="1" t="s">
        <v>69</v>
      </c>
      <c r="C4734" s="2" t="s">
        <v>5614</v>
      </c>
      <c r="D4734" s="2" t="s">
        <v>5615</v>
      </c>
      <c r="E4734" s="1">
        <v>1</v>
      </c>
      <c r="F4734" s="2" t="s">
        <v>5619</v>
      </c>
      <c r="G4734" s="1">
        <v>4</v>
      </c>
      <c r="H4734" s="1" t="str">
        <f t="shared" si="76"/>
        <v>k272_4</v>
      </c>
      <c r="K4734" s="1">
        <f>IF(E4734=0,SUMPRODUCT(($A$2:$A$4734=A4734)*($B$2:$B$4734=B4734)*($D$2:$D$4734=D4734)*($E$2:$E$4734=0)),0)</f>
        <v>0</v>
      </c>
      <c r="L4734" s="1" t="str">
        <f>IF(E4734=0,SUMPRODUCT(MIN($K$2:$K$4734+((($A$2:$A$4734&lt;&gt;A4734)+($E$2:$E$4734&lt;&gt;0))&gt;0)*1000000)),"")</f>
        <v/>
      </c>
      <c r="M4734" s="1">
        <f>IF(AND(E4734=0,COUNTIFS($A$2:A4734,A4734,$E$2:E4734,0)=1),L4734,0)</f>
        <v>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tabSelected="1" workbookViewId="0">
      <selection activeCell="E7" sqref="E7"/>
    </sheetView>
  </sheetViews>
  <sheetFormatPr defaultRowHeight="14.4"/>
  <cols>
    <col min="1" max="1" width="52" style="1" customWidth="1"/>
    <col min="2" max="2" width="14" style="1" customWidth="1"/>
    <col min="3" max="3" width="57.88671875" customWidth="1"/>
  </cols>
  <sheetData>
    <row r="1" spans="1:3">
      <c r="A1" s="12" t="s">
        <v>5623</v>
      </c>
      <c r="B1" s="12" t="s">
        <v>5624</v>
      </c>
      <c r="C1" s="12" t="s">
        <v>5625</v>
      </c>
    </row>
    <row r="2" spans="1:3" ht="55.2">
      <c r="A2" s="10" t="s">
        <v>5620</v>
      </c>
      <c r="B2" s="6">
        <f>SUMPRODUCT((detailes!H2:H4734&lt;&gt;"")/COUNTIF(detailes!H2:H4734,detailes!H2:H4734&amp;""))</f>
        <v>1194.0000000000002</v>
      </c>
      <c r="C2" s="5" t="s">
        <v>5631</v>
      </c>
    </row>
    <row r="3" spans="1:3" ht="43.2">
      <c r="A3" s="11" t="s">
        <v>5621</v>
      </c>
      <c r="B3" s="7">
        <f>SUM(detailes!M2:M4734)</f>
        <v>552</v>
      </c>
      <c r="C3" s="8" t="s">
        <v>5622</v>
      </c>
    </row>
    <row r="4" spans="1:3">
      <c r="A4" s="11" t="s">
        <v>5627</v>
      </c>
      <c r="B4" s="7">
        <f>B2+B3</f>
        <v>1746.0000000000002</v>
      </c>
      <c r="C4" s="6" t="s">
        <v>5626</v>
      </c>
    </row>
    <row r="5" spans="1:3">
      <c r="A5" s="11" t="s">
        <v>5628</v>
      </c>
      <c r="B5" s="9">
        <f>B3/B4</f>
        <v>0.31615120274914082</v>
      </c>
      <c r="C5" s="6"/>
    </row>
    <row r="6" spans="1:3">
      <c r="A6" s="11" t="s">
        <v>21</v>
      </c>
      <c r="B6" s="9">
        <f>B2/B4</f>
        <v>0.68384879725085912</v>
      </c>
      <c r="C6" s="6"/>
    </row>
    <row r="7" spans="1:3">
      <c r="A7" s="3"/>
      <c r="B7" s="3"/>
    </row>
    <row r="8" spans="1:3">
      <c r="A8" s="3"/>
      <c r="B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2026-10-21T00:12:32Z</dcterms:created>
  <dcterms:modified xsi:type="dcterms:W3CDTF">2026-10-22T19:33:32Z</dcterms:modified>
  <dc:language>en-US</dc:language>
</cp:coreProperties>
</file>